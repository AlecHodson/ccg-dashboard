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A" sheetId="1" state="visible" r:id="rId1"/>
    <sheet xmlns:r="http://schemas.openxmlformats.org/officeDocument/2006/relationships" name="BK" sheetId="2" state="visible" r:id="rId2"/>
    <sheet xmlns:r="http://schemas.openxmlformats.org/officeDocument/2006/relationships" name="BW" sheetId="3" state="visible" r:id="rId3"/>
    <sheet xmlns:r="http://schemas.openxmlformats.org/officeDocument/2006/relationships" name="CED" sheetId="4" state="visible" r:id="rId4"/>
    <sheet xmlns:r="http://schemas.openxmlformats.org/officeDocument/2006/relationships" name="HAB" sheetId="5" state="visible" r:id="rId5"/>
    <sheet xmlns:r="http://schemas.openxmlformats.org/officeDocument/2006/relationships" name="HB" sheetId="6" state="visible" r:id="rId6"/>
    <sheet xmlns:r="http://schemas.openxmlformats.org/officeDocument/2006/relationships" name="OD" sheetId="7" state="visible" r:id="rId7"/>
    <sheet xmlns:r="http://schemas.openxmlformats.org/officeDocument/2006/relationships" name="HDN" sheetId="8" state="visible" r:id="rId8"/>
    <sheet xmlns:r="http://schemas.openxmlformats.org/officeDocument/2006/relationships" name="KIN" sheetId="9" state="visible" r:id="rId9"/>
    <sheet xmlns:r="http://schemas.openxmlformats.org/officeDocument/2006/relationships" name="LE" sheetId="10" state="visible" r:id="rId10"/>
    <sheet xmlns:r="http://schemas.openxmlformats.org/officeDocument/2006/relationships" name="MER" sheetId="11" state="visible" r:id="rId11"/>
    <sheet xmlns:r="http://schemas.openxmlformats.org/officeDocument/2006/relationships" name="NDN" sheetId="12" state="visible" r:id="rId12"/>
    <sheet xmlns:r="http://schemas.openxmlformats.org/officeDocument/2006/relationships" name="SALT" sheetId="13" state="visible" r:id="rId13"/>
    <sheet xmlns:r="http://schemas.openxmlformats.org/officeDocument/2006/relationships" name="SDN" sheetId="14" state="visible" r:id="rId14"/>
    <sheet xmlns:r="http://schemas.openxmlformats.org/officeDocument/2006/relationships" name="SST" sheetId="15" state="visible" r:id="rId15"/>
    <sheet xmlns:r="http://schemas.openxmlformats.org/officeDocument/2006/relationships" name="WH" sheetId="16" state="visible" r:id="rId16"/>
    <sheet xmlns:r="http://schemas.openxmlformats.org/officeDocument/2006/relationships" name="FH" sheetId="17" state="visible" r:id="rId17"/>
    <sheet xmlns:r="http://schemas.openxmlformats.org/officeDocument/2006/relationships" name="KNL HO" sheetId="18" state="visible" r:id="rId18"/>
    <sheet xmlns:r="http://schemas.openxmlformats.org/officeDocument/2006/relationships" name="CCL HO" sheetId="19" state="visible" r:id="rId19"/>
    <sheet xmlns:r="http://schemas.openxmlformats.org/officeDocument/2006/relationships" name="YBHN HO" sheetId="20" state="visible" r:id="rId20"/>
    <sheet xmlns:r="http://schemas.openxmlformats.org/officeDocument/2006/relationships" name="YBN HO" sheetId="21" state="visible" r:id="rId21"/>
    <sheet xmlns:r="http://schemas.openxmlformats.org/officeDocument/2006/relationships" name="GROUP TOTALS" sheetId="22" state="visible" r:id="rId22"/>
    <sheet xmlns:r="http://schemas.openxmlformats.org/officeDocument/2006/relationships" name="ABA Plan" sheetId="23" state="visible" r:id="rId23"/>
    <sheet xmlns:r="http://schemas.openxmlformats.org/officeDocument/2006/relationships" name="BK Plan" sheetId="24" state="visible" r:id="rId24"/>
    <sheet xmlns:r="http://schemas.openxmlformats.org/officeDocument/2006/relationships" name="BW Plan" sheetId="25" state="visible" r:id="rId25"/>
    <sheet xmlns:r="http://schemas.openxmlformats.org/officeDocument/2006/relationships" name="CED Plan" sheetId="26" state="visible" r:id="rId26"/>
    <sheet xmlns:r="http://schemas.openxmlformats.org/officeDocument/2006/relationships" name="HAB Plan" sheetId="27" state="visible" r:id="rId27"/>
    <sheet xmlns:r="http://schemas.openxmlformats.org/officeDocument/2006/relationships" name="HB Plan" sheetId="28" state="visible" r:id="rId28"/>
    <sheet xmlns:r="http://schemas.openxmlformats.org/officeDocument/2006/relationships" name="OD Plan" sheetId="29" state="visible" r:id="rId29"/>
    <sheet xmlns:r="http://schemas.openxmlformats.org/officeDocument/2006/relationships" name="HDN Plan" sheetId="30" state="visible" r:id="rId30"/>
    <sheet xmlns:r="http://schemas.openxmlformats.org/officeDocument/2006/relationships" name="KIN Plan" sheetId="31" state="visible" r:id="rId31"/>
    <sheet xmlns:r="http://schemas.openxmlformats.org/officeDocument/2006/relationships" name="LE Plan" sheetId="32" state="visible" r:id="rId32"/>
    <sheet xmlns:r="http://schemas.openxmlformats.org/officeDocument/2006/relationships" name="MER Plan" sheetId="33" state="visible" r:id="rId33"/>
    <sheet xmlns:r="http://schemas.openxmlformats.org/officeDocument/2006/relationships" name="NDN Plan" sheetId="34" state="visible" r:id="rId34"/>
    <sheet xmlns:r="http://schemas.openxmlformats.org/officeDocument/2006/relationships" name="SALT Plan" sheetId="35" state="visible" r:id="rId35"/>
    <sheet xmlns:r="http://schemas.openxmlformats.org/officeDocument/2006/relationships" name="SDN Plan" sheetId="36" state="visible" r:id="rId36"/>
    <sheet xmlns:r="http://schemas.openxmlformats.org/officeDocument/2006/relationships" name="SST Plan" sheetId="37" state="visible" r:id="rId37"/>
    <sheet xmlns:r="http://schemas.openxmlformats.org/officeDocument/2006/relationships" name="WH Plan" sheetId="38" state="visible" r:id="rId38"/>
    <sheet xmlns:r="http://schemas.openxmlformats.org/officeDocument/2006/relationships" name="FH Plan" sheetId="39" state="visible" r:id="rId39"/>
    <sheet xmlns:r="http://schemas.openxmlformats.org/officeDocument/2006/relationships" name="KNL HO Plan" sheetId="40" state="visible" r:id="rId40"/>
    <sheet xmlns:r="http://schemas.openxmlformats.org/officeDocument/2006/relationships" name="CCL HO Plan" sheetId="41" state="visible" r:id="rId41"/>
    <sheet xmlns:r="http://schemas.openxmlformats.org/officeDocument/2006/relationships" name="YBHN HO Plan" sheetId="42" state="visible" r:id="rId42"/>
    <sheet xmlns:r="http://schemas.openxmlformats.org/officeDocument/2006/relationships" name="YBN HO Plan" sheetId="43" state="visible" r:id="rId43"/>
    <sheet xmlns:r="http://schemas.openxmlformats.org/officeDocument/2006/relationships" name="GROUP TOTALS Plan" sheetId="44" state="visible" r:id="rId4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_);&quot;(&quot;#,##0&quot;)&quot;;&quot;-&quot;_)"/>
    <numFmt numFmtId="165" formatCode="#,##0.0000_);&quot;(&quot;#,##0.0000&quot;)&quot;;&quot;-&quot;_)"/>
    <numFmt numFmtId="166" formatCode="0.0%"/>
    <numFmt numFmtId="167" formatCode="#,##0.00000_);&quot;(&quot;#,##0.00000&quot;)&quot;;&quot;-&quot;_)"/>
    <numFmt numFmtId="168" formatCode="_(* #,##0_);_(* \(#,##0\);_(* &quot;-&quot;??_);_(@_)"/>
    <numFmt numFmtId="169" formatCode="+0.0%;-0.0%;0.0%"/>
    <numFmt numFmtId="170" formatCode="+#,##0;-#,##0;#,##0"/>
  </numFmts>
  <fonts count="20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6"/>
      <u val="single"/>
    </font>
    <font>
      <name val="Calibri"/>
      <family val="2"/>
      <b val="1"/>
      <color rgb="FF000000"/>
      <sz val="12"/>
    </font>
    <font>
      <name val="Aptos Narrow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Aptos Narrow"/>
      <family val="2"/>
      <sz val="11"/>
    </font>
    <font>
      <name val="Calibri"/>
      <family val="2"/>
      <sz val="11"/>
    </font>
    <font>
      <name val="Calibri"/>
      <family val="2"/>
      <b val="1"/>
      <sz val="11"/>
    </font>
    <font>
      <name val="Aptos Narrow"/>
      <family val="2"/>
      <b val="1"/>
      <sz val="11"/>
      <u val="single"/>
    </font>
    <font>
      <name val="Calibri"/>
      <family val="2"/>
      <b val="1"/>
      <color rgb="FF000000"/>
      <sz val="11"/>
      <u val="single"/>
    </font>
    <font>
      <name val="Aptos Narrow"/>
      <family val="2"/>
      <b val="1"/>
      <sz val="11"/>
    </font>
    <font>
      <name val="Aptos Narrow"/>
      <family val="2"/>
      <color theme="1"/>
      <sz val="10"/>
      <scheme val="minor"/>
    </font>
    <font>
      <b val="1"/>
      <color rgb="00FFFFFF"/>
      <sz val="9"/>
    </font>
    <font>
      <b val="1"/>
      <color rgb="00FFFFFF"/>
      <sz val="8"/>
    </font>
    <font>
      <sz val="11"/>
    </font>
    <font>
      <b val="1"/>
      <sz val="9"/>
    </font>
    <font>
      <color rgb="00555555"/>
      <sz val="9"/>
    </font>
    <font>
      <color rgb="FF000000"/>
      <sz val="11"/>
    </font>
    <font>
      <b val="1"/>
      <color rgb="FF000000"/>
      <sz val="11"/>
    </font>
  </fonts>
  <fills count="15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6C3483"/>
      </patternFill>
    </fill>
    <fill>
      <patternFill patternType="solid">
        <fgColor rgb="002C3E50"/>
      </patternFill>
    </fill>
    <fill>
      <patternFill patternType="solid">
        <fgColor rgb="0027AE60"/>
      </patternFill>
    </fill>
    <fill>
      <patternFill patternType="solid">
        <fgColor rgb="00FFFDE7"/>
      </patternFill>
    </fill>
    <fill>
      <patternFill patternType="solid">
        <fgColor rgb="00F8F9FA"/>
      </patternFill>
    </fill>
  </fills>
  <borders count="17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8">
    <xf numFmtId="0" fontId="0" fillId="0" borderId="0" pivotButton="0" quotePrefix="0" xfId="0"/>
    <xf numFmtId="164" fontId="1" fillId="0" borderId="0" pivotButton="0" quotePrefix="0" xfId="0"/>
    <xf numFmtId="164" fontId="2" fillId="2" borderId="0" pivotButton="0" quotePrefix="0" xfId="0"/>
    <xf numFmtId="164" fontId="1" fillId="2" borderId="0" pivotButton="0" quotePrefix="0" xfId="0"/>
    <xf numFmtId="164" fontId="2" fillId="3" borderId="1" pivotButton="0" quotePrefix="0" xfId="0"/>
    <xf numFmtId="164" fontId="2" fillId="0" borderId="0" pivotButton="0" quotePrefix="0" xfId="0"/>
    <xf numFmtId="164" fontId="2" fillId="0" borderId="1" pivotButton="0" quotePrefix="0" xfId="0"/>
    <xf numFmtId="164" fontId="1" fillId="4" borderId="0" pivotButton="0" quotePrefix="0" xfId="0"/>
    <xf numFmtId="0" fontId="3" fillId="0" borderId="0" pivotButton="0" quotePrefix="0" xfId="0"/>
    <xf numFmtId="164" fontId="2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4" fillId="2" borderId="2" applyAlignment="1" pivotButton="0" quotePrefix="0" xfId="0">
      <alignment horizontal="center"/>
    </xf>
    <xf numFmtId="164" fontId="5" fillId="3" borderId="3" applyAlignment="1" pivotButton="0" quotePrefix="0" xfId="0">
      <alignment horizontal="center"/>
    </xf>
    <xf numFmtId="164" fontId="4" fillId="0" borderId="2" applyAlignment="1" pivotButton="0" quotePrefix="0" xfId="0">
      <alignment horizontal="center"/>
    </xf>
    <xf numFmtId="164" fontId="4" fillId="4" borderId="2" applyAlignment="1" pivotButton="0" quotePrefix="0" xfId="0">
      <alignment horizontal="center"/>
    </xf>
    <xf numFmtId="164" fontId="5" fillId="3" borderId="3" applyAlignment="1" pivotButton="0" quotePrefix="0" xfId="0">
      <alignment horizontal="center" wrapText="1"/>
    </xf>
    <xf numFmtId="164" fontId="5" fillId="3" borderId="4" applyAlignment="1" pivotButton="0" quotePrefix="0" xfId="0">
      <alignment horizontal="center" wrapText="1"/>
    </xf>
    <xf numFmtId="164" fontId="5" fillId="0" borderId="0" applyAlignment="1" pivotButton="0" quotePrefix="0" xfId="0">
      <alignment horizontal="center" wrapText="1"/>
    </xf>
    <xf numFmtId="164" fontId="4" fillId="2" borderId="0" pivotButton="0" quotePrefix="0" xfId="0"/>
    <xf numFmtId="164" fontId="4" fillId="3" borderId="5" pivotButton="0" quotePrefix="0" xfId="0"/>
    <xf numFmtId="164" fontId="4" fillId="4" borderId="0" pivotButton="0" quotePrefix="0" xfId="0"/>
    <xf numFmtId="164" fontId="4" fillId="3" borderId="6" pivotButton="0" quotePrefix="0" xfId="0"/>
    <xf numFmtId="164" fontId="4" fillId="0" borderId="0" applyAlignment="1" pivotButton="0" quotePrefix="0" xfId="0">
      <alignment horizontal="left"/>
    </xf>
    <xf numFmtId="164" fontId="4" fillId="2" borderId="0" applyAlignment="1" pivotButton="0" quotePrefix="0" xfId="0">
      <alignment horizontal="right"/>
    </xf>
    <xf numFmtId="164" fontId="4" fillId="3" borderId="5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164" fontId="4" fillId="3" borderId="6" applyAlignment="1" pivotButton="0" quotePrefix="0" xfId="0">
      <alignment horizontal="right"/>
    </xf>
    <xf numFmtId="164" fontId="5" fillId="0" borderId="0" applyAlignment="1" pivotButton="0" quotePrefix="0" xfId="0">
      <alignment horizontal="left"/>
    </xf>
    <xf numFmtId="164" fontId="5" fillId="2" borderId="0" applyAlignment="1" pivotButton="0" quotePrefix="0" xfId="0">
      <alignment horizontal="right"/>
    </xf>
    <xf numFmtId="164" fontId="5" fillId="3" borderId="5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164" fontId="5" fillId="4" borderId="0" applyAlignment="1" pivotButton="0" quotePrefix="0" xfId="0">
      <alignment horizontal="right"/>
    </xf>
    <xf numFmtId="164" fontId="5" fillId="3" borderId="6" applyAlignment="1" pivotButton="0" quotePrefix="0" xfId="0">
      <alignment horizontal="right"/>
    </xf>
    <xf numFmtId="0" fontId="6" fillId="0" borderId="0" pivotButton="0" quotePrefix="0" xfId="0"/>
    <xf numFmtId="164" fontId="7" fillId="2" borderId="0" pivotButton="0" quotePrefix="0" xfId="0"/>
    <xf numFmtId="164" fontId="8" fillId="3" borderId="5" pivotButton="0" quotePrefix="0" xfId="0"/>
    <xf numFmtId="164" fontId="7" fillId="0" borderId="0" pivotButton="0" quotePrefix="0" xfId="0"/>
    <xf numFmtId="164" fontId="7" fillId="4" borderId="0" pivotButton="0" quotePrefix="0" xfId="0"/>
    <xf numFmtId="164" fontId="8" fillId="3" borderId="6" pivotButton="0" quotePrefix="0" xfId="0"/>
    <xf numFmtId="164" fontId="8" fillId="0" borderId="0" pivotButton="0" quotePrefix="0" xfId="0"/>
    <xf numFmtId="164" fontId="4" fillId="0" borderId="7" applyAlignment="1" pivotButton="0" quotePrefix="0" xfId="0">
      <alignment horizontal="left"/>
    </xf>
    <xf numFmtId="164" fontId="4" fillId="2" borderId="8" applyAlignment="1" pivotButton="0" quotePrefix="0" xfId="0">
      <alignment horizontal="right"/>
    </xf>
    <xf numFmtId="164" fontId="8" fillId="3" borderId="9" pivotButton="0" quotePrefix="0" xfId="0"/>
    <xf numFmtId="164" fontId="4" fillId="0" borderId="8" applyAlignment="1" pivotButton="0" quotePrefix="0" xfId="0">
      <alignment horizontal="right"/>
    </xf>
    <xf numFmtId="164" fontId="4" fillId="4" borderId="8" applyAlignment="1" pivotButton="0" quotePrefix="0" xfId="0">
      <alignment horizontal="right"/>
    </xf>
    <xf numFmtId="164" fontId="5" fillId="5" borderId="0" applyAlignment="1" pivotButton="0" quotePrefix="0" xfId="0">
      <alignment horizontal="left"/>
    </xf>
    <xf numFmtId="9" fontId="5" fillId="5" borderId="0" applyAlignment="1" pivotButton="0" quotePrefix="0" xfId="0">
      <alignment horizontal="right"/>
    </xf>
    <xf numFmtId="165" fontId="4" fillId="5" borderId="0" pivotButton="0" quotePrefix="0" xfId="0"/>
    <xf numFmtId="164" fontId="8" fillId="5" borderId="5" pivotButton="0" quotePrefix="0" xfId="0"/>
    <xf numFmtId="164" fontId="8" fillId="5" borderId="6" pivotButton="0" quotePrefix="0" xfId="0"/>
    <xf numFmtId="165" fontId="4" fillId="0" borderId="0" pivotButton="0" quotePrefix="0" xfId="0"/>
    <xf numFmtId="164" fontId="4" fillId="3" borderId="9" applyAlignment="1" pivotButton="0" quotePrefix="0" xfId="0">
      <alignment horizontal="right"/>
    </xf>
    <xf numFmtId="164" fontId="4" fillId="3" borderId="7" applyAlignment="1" pivotButton="0" quotePrefix="0" xfId="0">
      <alignment horizontal="right"/>
    </xf>
    <xf numFmtId="164" fontId="5" fillId="6" borderId="0" applyAlignment="1" pivotButton="0" quotePrefix="0" xfId="0">
      <alignment horizontal="left"/>
    </xf>
    <xf numFmtId="164" fontId="5" fillId="6" borderId="0" pivotButton="0" quotePrefix="0" xfId="0"/>
    <xf numFmtId="164" fontId="5" fillId="0" borderId="0" pivotButton="0" quotePrefix="0" xfId="0"/>
    <xf numFmtId="164" fontId="5" fillId="2" borderId="0" pivotButton="0" quotePrefix="0" xfId="0"/>
    <xf numFmtId="164" fontId="5" fillId="4" borderId="0" pivotButton="0" quotePrefix="0" xfId="0"/>
    <xf numFmtId="0" fontId="9" fillId="0" borderId="0" pivotButton="0" quotePrefix="0" xfId="0"/>
    <xf numFmtId="164" fontId="4" fillId="0" borderId="0" pivotButton="0" quotePrefix="0" xfId="0"/>
    <xf numFmtId="166" fontId="3" fillId="0" borderId="0" pivotButton="0" quotePrefix="0" xfId="0"/>
    <xf numFmtId="2" fontId="3" fillId="0" borderId="0" pivotButton="0" quotePrefix="0" xfId="0"/>
    <xf numFmtId="164" fontId="10" fillId="0" borderId="0" applyAlignment="1" pivotButton="0" quotePrefix="0" xfId="0">
      <alignment horizontal="left"/>
    </xf>
    <xf numFmtId="164" fontId="4" fillId="0" borderId="10" pivotButton="0" quotePrefix="0" xfId="0"/>
    <xf numFmtId="164" fontId="4" fillId="7" borderId="0" pivotButton="0" quotePrefix="0" xfId="0"/>
    <xf numFmtId="9" fontId="5" fillId="2" borderId="0" applyAlignment="1" pivotButton="0" quotePrefix="0" xfId="0">
      <alignment horizontal="right"/>
    </xf>
    <xf numFmtId="164" fontId="4" fillId="2" borderId="10" pivotButton="0" quotePrefix="0" xfId="0"/>
    <xf numFmtId="164" fontId="4" fillId="4" borderId="10" pivotButton="0" quotePrefix="0" xfId="0"/>
    <xf numFmtId="0" fontId="6" fillId="7" borderId="0" pivotButton="0" quotePrefix="0" xfId="0"/>
    <xf numFmtId="0" fontId="11" fillId="0" borderId="0" pivotButton="0" quotePrefix="0" xfId="0"/>
    <xf numFmtId="0" fontId="6" fillId="0" borderId="10" pivotButton="0" quotePrefix="0" xfId="0"/>
    <xf numFmtId="164" fontId="5" fillId="0" borderId="10" pivotButton="0" quotePrefix="0" xfId="0"/>
    <xf numFmtId="0" fontId="6" fillId="0" borderId="11" pivotButton="0" quotePrefix="0" xfId="0"/>
    <xf numFmtId="164" fontId="7" fillId="2" borderId="11" pivotButton="0" quotePrefix="0" xfId="0"/>
    <xf numFmtId="164" fontId="8" fillId="3" borderId="12" pivotButton="0" quotePrefix="0" xfId="0"/>
    <xf numFmtId="164" fontId="7" fillId="0" borderId="11" pivotButton="0" quotePrefix="0" xfId="0"/>
    <xf numFmtId="164" fontId="7" fillId="4" borderId="11" pivotButton="0" quotePrefix="0" xfId="0"/>
    <xf numFmtId="164" fontId="5" fillId="6" borderId="13" pivotButton="0" quotePrefix="0" xfId="0"/>
    <xf numFmtId="9" fontId="5" fillId="0" borderId="0" applyAlignment="1" pivotButton="0" quotePrefix="0" xfId="0">
      <alignment horizontal="right"/>
    </xf>
    <xf numFmtId="165" fontId="3" fillId="0" borderId="0" pivotButton="0" quotePrefix="0" xfId="0"/>
    <xf numFmtId="164" fontId="4" fillId="5" borderId="0" pivotButton="0" quotePrefix="0" xfId="0"/>
    <xf numFmtId="164" fontId="5" fillId="0" borderId="10" applyAlignment="1" pivotButton="0" quotePrefix="0" xfId="0">
      <alignment horizontal="left"/>
    </xf>
    <xf numFmtId="164" fontId="2" fillId="4" borderId="0" pivotButton="0" quotePrefix="0" xfId="0"/>
    <xf numFmtId="49" fontId="1" fillId="4" borderId="0" pivotButton="0" quotePrefix="0" xfId="0"/>
    <xf numFmtId="164" fontId="2" fillId="0" borderId="9" applyAlignment="1" pivotButton="0" quotePrefix="0" xfId="0">
      <alignment horizontal="center"/>
    </xf>
    <xf numFmtId="164" fontId="2" fillId="0" borderId="14" applyAlignment="1" pivotButton="0" quotePrefix="0" xfId="0">
      <alignment horizontal="center"/>
    </xf>
    <xf numFmtId="164" fontId="2" fillId="8" borderId="9" applyAlignment="1" pivotButton="0" quotePrefix="0" xfId="0">
      <alignment horizontal="center"/>
    </xf>
    <xf numFmtId="164" fontId="5" fillId="8" borderId="3" applyAlignment="1" pivotButton="0" quotePrefix="0" xfId="0">
      <alignment horizontal="center" wrapText="1"/>
    </xf>
    <xf numFmtId="164" fontId="4" fillId="8" borderId="5" pivotButton="0" quotePrefix="0" xfId="0"/>
    <xf numFmtId="164" fontId="4" fillId="8" borderId="5" applyAlignment="1" pivotButton="0" quotePrefix="0" xfId="0">
      <alignment horizontal="right"/>
    </xf>
    <xf numFmtId="164" fontId="5" fillId="8" borderId="5" applyAlignment="1" pivotButton="0" quotePrefix="0" xfId="0">
      <alignment horizontal="right"/>
    </xf>
    <xf numFmtId="164" fontId="8" fillId="8" borderId="5" pivotButton="0" quotePrefix="0" xfId="0"/>
    <xf numFmtId="164" fontId="8" fillId="8" borderId="9" pivotButton="0" quotePrefix="0" xfId="0"/>
    <xf numFmtId="9" fontId="5" fillId="8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4" fontId="5" fillId="0" borderId="7" applyAlignment="1" pivotButton="0" quotePrefix="0" xfId="0">
      <alignment horizontal="left"/>
    </xf>
    <xf numFmtId="164" fontId="5" fillId="2" borderId="8" applyAlignment="1" pivotButton="0" quotePrefix="0" xfId="0">
      <alignment horizontal="right"/>
    </xf>
    <xf numFmtId="164" fontId="5" fillId="0" borderId="8" applyAlignment="1" pivotButton="0" quotePrefix="0" xfId="0">
      <alignment horizontal="right"/>
    </xf>
    <xf numFmtId="164" fontId="5" fillId="4" borderId="8" applyAlignment="1" pivotButton="0" quotePrefix="0" xfId="0">
      <alignment horizontal="right"/>
    </xf>
    <xf numFmtId="164" fontId="8" fillId="3" borderId="15" pivotButton="0" quotePrefix="0" xfId="0"/>
    <xf numFmtId="164" fontId="5" fillId="6" borderId="5" pivotButton="0" quotePrefix="0" xfId="0"/>
    <xf numFmtId="164" fontId="5" fillId="8" borderId="5" pivotButton="0" quotePrefix="0" xfId="0"/>
    <xf numFmtId="164" fontId="7" fillId="9" borderId="0" pivotButton="0" quotePrefix="0" xfId="0"/>
    <xf numFmtId="164" fontId="8" fillId="3" borderId="16" pivotButton="0" quotePrefix="0" xfId="0"/>
    <xf numFmtId="164" fontId="2" fillId="8" borderId="0" pivotButton="0" quotePrefix="0" xfId="0"/>
    <xf numFmtId="164" fontId="4" fillId="8" borderId="0" pivotButton="0" quotePrefix="0" xfId="0"/>
    <xf numFmtId="164" fontId="5" fillId="6" borderId="7" applyAlignment="1" pivotButton="0" quotePrefix="0" xfId="0">
      <alignment horizontal="left"/>
    </xf>
    <xf numFmtId="164" fontId="5" fillId="6" borderId="8" pivotButton="0" quotePrefix="0" xfId="0"/>
    <xf numFmtId="168" fontId="12" fillId="0" borderId="0" pivotButton="0" quotePrefix="0" xfId="0"/>
    <xf numFmtId="0" fontId="13" fillId="10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/>
    </xf>
    <xf numFmtId="164" fontId="14" fillId="10" borderId="3" applyAlignment="1" pivotButton="0" quotePrefix="0" xfId="0">
      <alignment horizontal="center"/>
    </xf>
    <xf numFmtId="164" fontId="14" fillId="10" borderId="4" applyAlignment="1" pivotButton="0" quotePrefix="0" xfId="0">
      <alignment horizontal="center"/>
    </xf>
    <xf numFmtId="164" fontId="14" fillId="10" borderId="0" applyAlignment="1" pivotButton="0" quotePrefix="0" xfId="0">
      <alignment horizontal="center"/>
    </xf>
    <xf numFmtId="164" fontId="14" fillId="10" borderId="3" applyAlignment="1" pivotButton="0" quotePrefix="0" xfId="0">
      <alignment horizontal="center" wrapText="1"/>
    </xf>
    <xf numFmtId="164" fontId="14" fillId="11" borderId="3" applyAlignment="1" pivotButton="0" quotePrefix="0" xfId="0">
      <alignment horizontal="center" wrapText="1"/>
    </xf>
    <xf numFmtId="0" fontId="14" fillId="12" borderId="0" applyAlignment="1" pivotButton="0" quotePrefix="0" xfId="0">
      <alignment horizontal="center" wrapText="1"/>
    </xf>
    <xf numFmtId="164" fontId="15" fillId="13" borderId="0" applyAlignment="1" pivotButton="0" quotePrefix="0" xfId="0">
      <alignment horizontal="right" vertical="center"/>
    </xf>
    <xf numFmtId="164" fontId="15" fillId="13" borderId="5" applyAlignment="1" pivotButton="0" quotePrefix="0" xfId="0">
      <alignment horizontal="right" vertical="center"/>
    </xf>
    <xf numFmtId="164" fontId="15" fillId="13" borderId="6" applyAlignment="1" pivotButton="0" quotePrefix="0" xfId="0">
      <alignment horizontal="right" vertical="center"/>
    </xf>
    <xf numFmtId="3" fontId="16" fillId="2" borderId="5" applyAlignment="1" pivotButton="0" quotePrefix="0" xfId="0">
      <alignment horizontal="right"/>
    </xf>
    <xf numFmtId="169" fontId="17" fillId="14" borderId="5" applyAlignment="1" pivotButton="0" quotePrefix="0" xfId="0">
      <alignment horizontal="right"/>
    </xf>
    <xf numFmtId="164" fontId="18" fillId="2" borderId="0" applyAlignment="1" pivotButton="0" quotePrefix="0" xfId="0">
      <alignment horizontal="right" vertical="center"/>
    </xf>
    <xf numFmtId="164" fontId="18" fillId="2" borderId="9" applyAlignment="1" pivotButton="0" quotePrefix="0" xfId="0">
      <alignment horizontal="right" vertical="center"/>
    </xf>
    <xf numFmtId="3" fontId="16" fillId="2" borderId="9" applyAlignment="1" pivotButton="0" quotePrefix="0" xfId="0">
      <alignment horizontal="right"/>
    </xf>
    <xf numFmtId="169" fontId="17" fillId="14" borderId="9" applyAlignment="1" pivotButton="0" quotePrefix="0" xfId="0">
      <alignment horizontal="right"/>
    </xf>
    <xf numFmtId="164" fontId="19" fillId="13" borderId="0" applyAlignment="1" pivotButton="0" quotePrefix="0" xfId="0">
      <alignment horizontal="right" vertical="center"/>
    </xf>
    <xf numFmtId="164" fontId="19" fillId="13" borderId="5" applyAlignment="1" pivotButton="0" quotePrefix="0" xfId="0">
      <alignment horizontal="right" vertical="center"/>
    </xf>
    <xf numFmtId="164" fontId="19" fillId="13" borderId="6" applyAlignment="1" pivotButton="0" quotePrefix="0" xfId="0">
      <alignment horizontal="right" vertical="center"/>
    </xf>
    <xf numFmtId="9" fontId="19" fillId="13" borderId="0" applyAlignment="1" pivotButton="0" quotePrefix="0" xfId="0">
      <alignment horizontal="right" vertical="center"/>
    </xf>
    <xf numFmtId="9" fontId="19" fillId="13" borderId="5" applyAlignment="1" pivotButton="0" quotePrefix="0" xfId="0">
      <alignment horizontal="right" vertical="center"/>
    </xf>
    <xf numFmtId="9" fontId="19" fillId="13" borderId="6" applyAlignment="1" pivotButton="0" quotePrefix="0" xfId="0">
      <alignment horizontal="right" vertical="center"/>
    </xf>
    <xf numFmtId="3" fontId="16" fillId="5" borderId="5" applyAlignment="1" pivotButton="0" quotePrefix="0" xfId="0">
      <alignment horizontal="right"/>
    </xf>
    <xf numFmtId="164" fontId="18" fillId="13" borderId="0" applyAlignment="1" pivotButton="0" quotePrefix="0" xfId="0">
      <alignment horizontal="right" vertical="center"/>
    </xf>
    <xf numFmtId="164" fontId="18" fillId="13" borderId="5" applyAlignment="1" pivotButton="0" quotePrefix="0" xfId="0">
      <alignment horizontal="right" vertical="center"/>
    </xf>
    <xf numFmtId="164" fontId="18" fillId="13" borderId="6" applyAlignment="1" pivotButton="0" quotePrefix="0" xfId="0">
      <alignment horizontal="right" vertical="center"/>
    </xf>
    <xf numFmtId="164" fontId="18" fillId="2" borderId="7" applyAlignment="1" pivotButton="0" quotePrefix="0" xfId="0">
      <alignment horizontal="right" vertical="center"/>
    </xf>
    <xf numFmtId="164" fontId="19" fillId="2" borderId="0" applyAlignment="1" pivotButton="0" quotePrefix="0" xfId="0">
      <alignment horizontal="right" vertical="center"/>
    </xf>
    <xf numFmtId="164" fontId="19" fillId="2" borderId="5" applyAlignment="1" pivotButton="0" quotePrefix="0" xfId="0">
      <alignment horizontal="right" vertical="center"/>
    </xf>
    <xf numFmtId="164" fontId="19" fillId="6" borderId="0" applyAlignment="1" pivotButton="0" quotePrefix="0" xfId="0">
      <alignment horizontal="right" vertical="center"/>
    </xf>
    <xf numFmtId="3" fontId="16" fillId="6" borderId="0" applyAlignment="1" pivotButton="0" quotePrefix="0" xfId="0">
      <alignment horizontal="right"/>
    </xf>
    <xf numFmtId="169" fontId="17" fillId="14" borderId="0" applyAlignment="1" pivotButton="0" quotePrefix="0" xfId="0">
      <alignment horizontal="right"/>
    </xf>
    <xf numFmtId="170" fontId="13" fillId="12" borderId="0" applyAlignment="1" pivotButton="0" quotePrefix="0" xfId="0">
      <alignment horizontal="right"/>
    </xf>
    <xf numFmtId="3" fontId="16" fillId="2" borderId="0" applyAlignment="1" pivotButton="0" quotePrefix="0" xfId="0">
      <alignment horizontal="right"/>
    </xf>
    <xf numFmtId="3" fontId="16" fillId="0" borderId="0" applyAlignment="1" pivotButton="0" quotePrefix="0" xfId="0">
      <alignment horizontal="right"/>
    </xf>
    <xf numFmtId="3" fontId="16" fillId="7" borderId="0" applyAlignment="1" pivotButton="0" quotePrefix="0" xfId="0">
      <alignment horizontal="right"/>
    </xf>
    <xf numFmtId="164" fontId="18" fillId="2" borderId="5" applyAlignment="1" pivotButton="0" quotePrefix="0" xfId="0">
      <alignment horizontal="right" vertical="center"/>
    </xf>
    <xf numFmtId="0" fontId="15" fillId="13" borderId="0" applyAlignment="1" pivotButton="0" quotePrefix="0" xfId="0">
      <alignment horizontal="right" vertical="center"/>
    </xf>
    <xf numFmtId="164" fontId="18" fillId="13" borderId="10" applyAlignment="1" pivotButton="0" quotePrefix="0" xfId="0">
      <alignment horizontal="right" vertical="center"/>
    </xf>
    <xf numFmtId="3" fontId="16" fillId="2" borderId="10" applyAlignment="1" pivotButton="0" quotePrefix="0" xfId="0">
      <alignment horizontal="right"/>
    </xf>
    <xf numFmtId="169" fontId="17" fillId="14" borderId="10" applyAlignment="1" pivotButton="0" quotePrefix="0" xfId="0">
      <alignment horizontal="right"/>
    </xf>
    <xf numFmtId="164" fontId="18" fillId="13" borderId="9" applyAlignment="1" pivotButton="0" quotePrefix="0" xfId="0">
      <alignment horizontal="right" vertical="center"/>
    </xf>
    <xf numFmtId="164" fontId="18" fillId="13" borderId="7" applyAlignment="1" pivotButton="0" quotePrefix="0" xfId="0">
      <alignment horizontal="right" vertical="center"/>
    </xf>
    <xf numFmtId="3" fontId="16" fillId="5" borderId="0" applyAlignment="1" pivotButton="0" quotePrefix="0" xfId="0">
      <alignment horizontal="right"/>
    </xf>
    <xf numFmtId="164" fontId="19" fillId="2" borderId="9" applyAlignment="1" pivotButton="0" quotePrefix="0" xfId="0">
      <alignment horizontal="right" vertical="center"/>
    </xf>
    <xf numFmtId="164" fontId="19" fillId="6" borderId="5" applyAlignment="1" pivotButton="0" quotePrefix="0" xfId="0">
      <alignment horizontal="right" vertical="center"/>
    </xf>
    <xf numFmtId="3" fontId="16" fillId="6" borderId="5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styles" Target="styles.xml" Id="rId45"/><Relationship Type="http://schemas.openxmlformats.org/officeDocument/2006/relationships/theme" Target="theme/theme1.xml" Id="rId4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Abacus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n"/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5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45121.08</v>
      </c>
      <c r="C8" s="35" t="n">
        <v>48317.09</v>
      </c>
      <c r="D8" s="35" t="n">
        <v>59604</v>
      </c>
      <c r="E8" s="35" t="n">
        <v>58999.57</v>
      </c>
      <c r="F8" s="35" t="n">
        <v>54973.4</v>
      </c>
      <c r="G8" s="35" t="n">
        <v>54200.75</v>
      </c>
      <c r="H8" s="35" t="n">
        <v>68470.83</v>
      </c>
      <c r="I8" s="35" t="n">
        <v>57893.73</v>
      </c>
      <c r="J8" s="35" t="n">
        <v>46302.96</v>
      </c>
      <c r="K8" s="35" t="n">
        <v>47210.81</v>
      </c>
      <c r="L8" s="35" t="n">
        <v>44551.63</v>
      </c>
      <c r="M8" s="35" t="n">
        <v>58823.32</v>
      </c>
      <c r="N8" s="36">
        <f>SUM(B8:M8)</f>
        <v/>
      </c>
      <c r="O8" s="37">
        <f>-SUMIF('ABA TB'!$R:$R,'ABA P&amp;L'!$A8,'ABA TB'!C:C)</f>
        <v/>
      </c>
      <c r="P8" s="37">
        <f>-SUMIF('ABA TB'!$R:$R,'ABA P&amp;L'!$A8,'ABA TB'!D:D)</f>
        <v/>
      </c>
      <c r="Q8" s="37">
        <f>-SUMIF('ABA TB'!$R:$R,'ABA P&amp;L'!$A8,'ABA TB'!E:E)</f>
        <v/>
      </c>
      <c r="R8" s="37">
        <f>-SUMIF('ABA TB'!$R:$R,'ABA P&amp;L'!$A8,'ABA TB'!F:F)</f>
        <v/>
      </c>
      <c r="S8" s="37">
        <f>-SUMIF('ABA TB'!$R:$R,'ABA P&amp;L'!$A8,'ABA TB'!G:G)</f>
        <v/>
      </c>
      <c r="T8" s="37">
        <f>-SUMIF('ABA TB'!$R:$R,'ABA P&amp;L'!$A8,'ABA TB'!H:H)</f>
        <v/>
      </c>
      <c r="U8" s="37">
        <f>-SUMIF('ABA TB'!$R:$R,'ABA P&amp;L'!$A8,'ABA TB'!I:I)</f>
        <v/>
      </c>
      <c r="V8" s="38" t="n">
        <v>69966.50999999999</v>
      </c>
      <c r="W8" s="38" t="n">
        <v>57880</v>
      </c>
      <c r="X8" s="38" t="n">
        <v>57383</v>
      </c>
      <c r="Y8" s="38" t="n">
        <v>63262</v>
      </c>
      <c r="Z8" s="38" t="n">
        <v>82845</v>
      </c>
      <c r="AA8" s="36">
        <f>SUM(O8:U8)</f>
        <v/>
      </c>
      <c r="AB8" s="36">
        <f>SUM(O8:Z8)</f>
        <v/>
      </c>
      <c r="AC8" s="38" t="n">
        <v>105589.88</v>
      </c>
      <c r="AD8" s="38" t="n">
        <v>122011.99</v>
      </c>
      <c r="AE8" s="38" t="n">
        <v>95286.97</v>
      </c>
      <c r="AF8" s="38" t="n">
        <v>109311.06</v>
      </c>
      <c r="AG8" s="38" t="n">
        <v>116010.76</v>
      </c>
      <c r="AH8" s="38" t="n">
        <v>110257.62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11395.45</v>
      </c>
      <c r="C9" s="35" t="n">
        <v>30240.26</v>
      </c>
      <c r="D9" s="35" t="n">
        <v>33852.92</v>
      </c>
      <c r="E9" s="35" t="n">
        <v>11973.37</v>
      </c>
      <c r="F9" s="35" t="n">
        <v>11973.37</v>
      </c>
      <c r="G9" s="35" t="n">
        <v>44731.22</v>
      </c>
      <c r="H9" s="35" t="n">
        <v>40794.17</v>
      </c>
      <c r="I9" s="35" t="n">
        <v>0</v>
      </c>
      <c r="J9" s="35" t="n">
        <v>12746.69</v>
      </c>
      <c r="K9" s="35" t="n">
        <v>34548.74</v>
      </c>
      <c r="L9" s="35" t="n">
        <v>34548.75</v>
      </c>
      <c r="M9" s="35" t="n">
        <v>37093.27</v>
      </c>
      <c r="N9" s="36">
        <f>SUM(B9:M9)</f>
        <v/>
      </c>
      <c r="O9" s="37">
        <f>-SUMIF('ABA TB'!$R:$R,'ABA P&amp;L'!$A9,'ABA TB'!C:C)</f>
        <v/>
      </c>
      <c r="P9" s="37">
        <f>-SUMIF('ABA TB'!$R:$R,'ABA P&amp;L'!$A9,'ABA TB'!D:D)</f>
        <v/>
      </c>
      <c r="Q9" s="37">
        <f>-SUMIF('ABA TB'!$R:$R,'ABA P&amp;L'!$A9,'ABA TB'!E:E)</f>
        <v/>
      </c>
      <c r="R9" s="37">
        <f>-SUMIF('ABA TB'!$R:$R,'ABA P&amp;L'!$A9,'ABA TB'!F:F)</f>
        <v/>
      </c>
      <c r="S9" s="37">
        <f>-SUMIF('ABA TB'!$R:$R,'ABA P&amp;L'!$A9,'ABA TB'!G:G)</f>
        <v/>
      </c>
      <c r="T9" s="37">
        <f>-SUMIF('ABA TB'!$R:$R,'ABA P&amp;L'!$A9,'ABA TB'!H:H)</f>
        <v/>
      </c>
      <c r="U9" s="37">
        <f>-SUMIF('ABA TB'!$R:$R,'ABA P&amp;L'!$A9,'ABA TB'!I:I)</f>
        <v/>
      </c>
      <c r="V9" s="38" t="n"/>
      <c r="W9" s="38" t="n">
        <v>36619</v>
      </c>
      <c r="X9" s="38" t="n">
        <v>44154</v>
      </c>
      <c r="Y9" s="38" t="n">
        <v>43245</v>
      </c>
      <c r="Z9" s="38" t="n">
        <v>20548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1000</v>
      </c>
      <c r="C10" s="35" t="n">
        <v>0</v>
      </c>
      <c r="D10" s="35" t="n">
        <v>0</v>
      </c>
      <c r="E10" s="35" t="n">
        <v>240</v>
      </c>
      <c r="F10" s="35" t="n">
        <v>150</v>
      </c>
      <c r="G10" s="35" t="n">
        <v>150</v>
      </c>
      <c r="H10" s="35" t="n">
        <v>150</v>
      </c>
      <c r="I10" s="35" t="n">
        <v>150</v>
      </c>
      <c r="J10" s="35" t="n">
        <v>150</v>
      </c>
      <c r="K10" s="35" t="n">
        <v>150</v>
      </c>
      <c r="L10" s="35" t="n">
        <v>150</v>
      </c>
      <c r="M10" s="35" t="n">
        <v>150</v>
      </c>
      <c r="N10" s="36">
        <f>SUM(B10:M10)</f>
        <v/>
      </c>
      <c r="O10" s="37">
        <f>-SUMIF('ABA TB'!$R:$R,'ABA P&amp;L'!$A10,'ABA TB'!C:C)</f>
        <v/>
      </c>
      <c r="P10" s="37">
        <f>-SUMIF('ABA TB'!$R:$R,'ABA P&amp;L'!$A10,'ABA TB'!D:D)</f>
        <v/>
      </c>
      <c r="Q10" s="37">
        <f>-SUMIF('ABA TB'!$R:$R,'ABA P&amp;L'!$A10,'ABA TB'!E:E)</f>
        <v/>
      </c>
      <c r="R10" s="37">
        <f>-SUMIF('ABA TB'!$R:$R,'ABA P&amp;L'!$A10,'ABA TB'!F:F)</f>
        <v/>
      </c>
      <c r="S10" s="37">
        <f>-SUMIF('ABA TB'!$R:$R,'ABA P&amp;L'!$A10,'ABA TB'!G:G)</f>
        <v/>
      </c>
      <c r="T10" s="37">
        <f>-SUMIF('ABA TB'!$R:$R,'ABA P&amp;L'!$A10,'ABA TB'!H:H)</f>
        <v/>
      </c>
      <c r="U10" s="37">
        <f>-SUMIF('ABA TB'!$R:$R,'ABA P&amp;L'!$A10,'ABA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57516.53</v>
      </c>
      <c r="C11" s="42" t="n">
        <v>78557.34999999999</v>
      </c>
      <c r="D11" s="42" t="n">
        <v>93456.92</v>
      </c>
      <c r="E11" s="42" t="n">
        <v>71212.94</v>
      </c>
      <c r="F11" s="42" t="n">
        <v>67096.77</v>
      </c>
      <c r="G11" s="42" t="n">
        <v>99081.97</v>
      </c>
      <c r="H11" s="42" t="n">
        <v>109415</v>
      </c>
      <c r="I11" s="42" t="n">
        <v>58043.73</v>
      </c>
      <c r="J11" s="42" t="n">
        <v>59199.65</v>
      </c>
      <c r="K11" s="42" t="n">
        <v>81909.55</v>
      </c>
      <c r="L11" s="42" t="n">
        <v>79250.38</v>
      </c>
      <c r="M11" s="42" t="n">
        <v>96066.59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31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31316.14</v>
      </c>
      <c r="C16" s="35" t="n">
        <v>32272.71</v>
      </c>
      <c r="D16" s="35" t="n">
        <v>33507.52</v>
      </c>
      <c r="E16" s="35" t="n">
        <v>35857.02</v>
      </c>
      <c r="F16" s="35" t="n">
        <v>36300.07</v>
      </c>
      <c r="G16" s="35" t="n">
        <v>37005.6</v>
      </c>
      <c r="H16" s="35" t="n">
        <v>38811.34</v>
      </c>
      <c r="I16" s="35" t="n">
        <v>36024.66</v>
      </c>
      <c r="J16" s="35" t="n">
        <v>35973.55</v>
      </c>
      <c r="K16" s="35" t="n">
        <v>34210.75</v>
      </c>
      <c r="L16" s="35" t="n">
        <v>33941.4</v>
      </c>
      <c r="M16" s="35" t="n">
        <v>34611.41</v>
      </c>
      <c r="N16" s="36">
        <f>SUM(B16:M16)</f>
        <v/>
      </c>
      <c r="O16" s="37">
        <f>SUMIF('ABA TB'!$R:$R,'ABA P&amp;L'!$A16,'ABA TB'!C:C)</f>
        <v/>
      </c>
      <c r="P16" s="37">
        <f>SUMIF('ABA TB'!$R:$R,'ABA P&amp;L'!$A16,'ABA TB'!D:D)</f>
        <v/>
      </c>
      <c r="Q16" s="37">
        <f>SUMIF('ABA TB'!$R:$R,'ABA P&amp;L'!$A16,'ABA TB'!E:E)</f>
        <v/>
      </c>
      <c r="R16" s="37">
        <f>SUMIF('ABA TB'!$R:$R,'ABA P&amp;L'!$A16,'ABA TB'!F:F)</f>
        <v/>
      </c>
      <c r="S16" s="37">
        <f>SUMIF('ABA TB'!$R:$R,'ABA P&amp;L'!$A16,'ABA TB'!G:G)</f>
        <v/>
      </c>
      <c r="T16" s="37">
        <f>SUMIF('ABA TB'!$R:$R,'ABA P&amp;L'!$A16,'ABA TB'!H:H)</f>
        <v/>
      </c>
      <c r="U16" s="37">
        <f>SUMIF('ABA TB'!$R:$R,'ABA P&amp;L'!$A16,'ABA TB'!I:I)</f>
        <v/>
      </c>
      <c r="V16" s="38" t="n">
        <v>44079.43</v>
      </c>
      <c r="W16" s="38" t="n">
        <v>44079.43</v>
      </c>
      <c r="X16" s="38" t="n">
        <v>44079.43</v>
      </c>
      <c r="Y16" s="38" t="n">
        <v>44079.43</v>
      </c>
      <c r="Z16" s="38" t="n">
        <v>44079.43</v>
      </c>
      <c r="AA16" s="36">
        <f>SUM(O16:U16)</f>
        <v/>
      </c>
      <c r="AB16" s="36">
        <f>SUM(O16:Z16)</f>
        <v/>
      </c>
      <c r="AC16" s="38" t="n">
        <v>44079.43</v>
      </c>
      <c r="AD16" s="38" t="n">
        <v>44079.43</v>
      </c>
      <c r="AE16" s="38" t="n">
        <v>44079.43</v>
      </c>
      <c r="AF16" s="38" t="n">
        <v>44079.43</v>
      </c>
      <c r="AG16" s="38" t="n">
        <v>44079.43</v>
      </c>
      <c r="AH16" s="38" t="n">
        <v>44079.43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2200.8</v>
      </c>
      <c r="C17" s="35" t="n">
        <v>2181.6</v>
      </c>
      <c r="D17" s="35" t="n">
        <v>2265.66</v>
      </c>
      <c r="E17" s="35" t="n">
        <v>3434.81</v>
      </c>
      <c r="F17" s="35" t="n">
        <v>3452.56</v>
      </c>
      <c r="G17" s="35" t="n">
        <v>3639.83</v>
      </c>
      <c r="H17" s="35" t="n">
        <v>4034.6</v>
      </c>
      <c r="I17" s="35" t="n">
        <v>3525.03</v>
      </c>
      <c r="J17" s="35" t="n">
        <v>3409.27</v>
      </c>
      <c r="K17" s="35" t="n">
        <v>3148</v>
      </c>
      <c r="L17" s="35" t="n">
        <v>3079.55</v>
      </c>
      <c r="M17" s="35" t="n">
        <v>3438.39</v>
      </c>
      <c r="N17" s="36">
        <f>SUM(B17:M17)</f>
        <v/>
      </c>
      <c r="O17" s="37">
        <f>SUMIF('ABA TB'!$R:$R,'ABA P&amp;L'!$A17,'ABA TB'!C:C)</f>
        <v/>
      </c>
      <c r="P17" s="37">
        <f>SUMIF('ABA TB'!$R:$R,'ABA P&amp;L'!$A17,'ABA TB'!D:D)</f>
        <v/>
      </c>
      <c r="Q17" s="37">
        <f>SUMIF('ABA TB'!$R:$R,'ABA P&amp;L'!$A17,'ABA TB'!E:E)</f>
        <v/>
      </c>
      <c r="R17" s="37">
        <f>SUMIF('ABA TB'!$R:$R,'ABA P&amp;L'!$A17,'ABA TB'!F:F)</f>
        <v/>
      </c>
      <c r="S17" s="37">
        <f>SUMIF('ABA TB'!$R:$R,'ABA P&amp;L'!$A17,'ABA TB'!G:G)</f>
        <v/>
      </c>
      <c r="T17" s="37">
        <f>SUMIF('ABA TB'!$R:$R,'ABA P&amp;L'!$A17,'ABA TB'!H:H)</f>
        <v/>
      </c>
      <c r="U17" s="37">
        <f>SUMIF('ABA TB'!$R:$R,'ABA P&amp;L'!$A17,'ABA TB'!I:I)</f>
        <v/>
      </c>
      <c r="V17" s="38" t="n">
        <v>4289.92</v>
      </c>
      <c r="W17" s="38" t="n">
        <v>4289.92</v>
      </c>
      <c r="X17" s="38" t="n">
        <v>4289.92</v>
      </c>
      <c r="Y17" s="38" t="n">
        <v>4289.92</v>
      </c>
      <c r="Z17" s="38" t="n">
        <v>4289.92</v>
      </c>
      <c r="AA17" s="36">
        <f>SUM(O17:U17)</f>
        <v/>
      </c>
      <c r="AB17" s="36">
        <f>SUM(O17:Z17)</f>
        <v/>
      </c>
      <c r="AC17" s="38" t="n">
        <v>4289.92</v>
      </c>
      <c r="AD17" s="38" t="n">
        <v>4289.92</v>
      </c>
      <c r="AE17" s="38" t="n">
        <v>4289.92</v>
      </c>
      <c r="AF17" s="38" t="n">
        <v>4289.92</v>
      </c>
      <c r="AG17" s="38" t="n">
        <v>4289.92</v>
      </c>
      <c r="AH17" s="38" t="n">
        <v>4289.92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609.12</v>
      </c>
      <c r="C18" s="35" t="n">
        <v>604.7</v>
      </c>
      <c r="D18" s="35" t="n">
        <v>593.33</v>
      </c>
      <c r="E18" s="35" t="n">
        <v>633.2</v>
      </c>
      <c r="F18" s="35" t="n">
        <v>631.9</v>
      </c>
      <c r="G18" s="35" t="n">
        <v>716.47</v>
      </c>
      <c r="H18" s="35" t="n">
        <v>746.36</v>
      </c>
      <c r="I18" s="35" t="n">
        <v>648.61</v>
      </c>
      <c r="J18" s="35" t="n">
        <v>678.39</v>
      </c>
      <c r="K18" s="35" t="n">
        <v>624.58</v>
      </c>
      <c r="L18" s="35" t="n">
        <v>612.97</v>
      </c>
      <c r="M18" s="35" t="n">
        <v>624.6900000000001</v>
      </c>
      <c r="N18" s="36">
        <f>SUM(B18:M18)</f>
        <v/>
      </c>
      <c r="O18" s="37">
        <f>SUMIF('ABA TB'!$R:$R,'ABA P&amp;L'!$A18,'ABA TB'!C:C)</f>
        <v/>
      </c>
      <c r="P18" s="37">
        <f>SUMIF('ABA TB'!$R:$R,'ABA P&amp;L'!$A18,'ABA TB'!D:D)</f>
        <v/>
      </c>
      <c r="Q18" s="37">
        <f>SUMIF('ABA TB'!$R:$R,'ABA P&amp;L'!$A18,'ABA TB'!E:E)</f>
        <v/>
      </c>
      <c r="R18" s="37">
        <f>SUMIF('ABA TB'!$R:$R,'ABA P&amp;L'!$A18,'ABA TB'!F:F)</f>
        <v/>
      </c>
      <c r="S18" s="37">
        <f>SUMIF('ABA TB'!$R:$R,'ABA P&amp;L'!$A18,'ABA TB'!G:G)</f>
        <v/>
      </c>
      <c r="T18" s="37">
        <f>SUMIF('ABA TB'!$R:$R,'ABA P&amp;L'!$A18,'ABA TB'!H:H)</f>
        <v/>
      </c>
      <c r="U18" s="37">
        <f>SUMIF('ABA TB'!$R:$R,'ABA P&amp;L'!$A18,'ABA TB'!I:I)</f>
        <v/>
      </c>
      <c r="V18" s="38" t="n">
        <v>706.29</v>
      </c>
      <c r="W18" s="38" t="n">
        <v>706.29</v>
      </c>
      <c r="X18" s="38" t="n">
        <v>706.29</v>
      </c>
      <c r="Y18" s="38" t="n">
        <v>706.29</v>
      </c>
      <c r="Z18" s="38" t="n">
        <v>706.29</v>
      </c>
      <c r="AA18" s="36">
        <f>SUM(O18:U18)</f>
        <v/>
      </c>
      <c r="AB18" s="36">
        <f>SUM(O18:Z18)</f>
        <v/>
      </c>
      <c r="AC18" s="38" t="n">
        <v>706.29</v>
      </c>
      <c r="AD18" s="38" t="n">
        <v>706.29</v>
      </c>
      <c r="AE18" s="38" t="n">
        <v>706.29</v>
      </c>
      <c r="AF18" s="38" t="n">
        <v>706.29</v>
      </c>
      <c r="AG18" s="38" t="n">
        <v>706.29</v>
      </c>
      <c r="AH18" s="38" t="n">
        <v>706.29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86.04000000000001</v>
      </c>
      <c r="C19" s="35" t="n">
        <v>0</v>
      </c>
      <c r="D19" s="35" t="n">
        <v>181.94</v>
      </c>
      <c r="E19" s="35" t="n">
        <v>0</v>
      </c>
      <c r="F19" s="35" t="n">
        <v>251.04</v>
      </c>
      <c r="G19" s="35" t="n">
        <v>85.92</v>
      </c>
      <c r="H19" s="35" t="n">
        <v>0</v>
      </c>
      <c r="I19" s="35" t="n">
        <v>0</v>
      </c>
      <c r="J19" s="35" t="n">
        <v>105.66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>
        <f>SUMIF('ABA TB'!$R:$R,'ABA P&amp;L'!$A19,'ABA TB'!C:C)</f>
        <v/>
      </c>
      <c r="P19" s="37">
        <f>SUMIF('ABA TB'!$R:$R,'ABA P&amp;L'!$A19,'ABA TB'!D:D)</f>
        <v/>
      </c>
      <c r="Q19" s="37">
        <f>SUMIF('ABA TB'!$R:$R,'ABA P&amp;L'!$A19,'ABA TB'!E:E)</f>
        <v/>
      </c>
      <c r="R19" s="37">
        <f>SUMIF('ABA TB'!$R:$R,'ABA P&amp;L'!$A19,'ABA TB'!F:F)</f>
        <v/>
      </c>
      <c r="S19" s="37">
        <f>SUMIF('ABA TB'!$R:$R,'ABA P&amp;L'!$A19,'ABA TB'!G:G)</f>
        <v/>
      </c>
      <c r="T19" s="37">
        <f>SUMIF('ABA TB'!$R:$R,'ABA P&amp;L'!$A19,'ABA TB'!H:H)</f>
        <v/>
      </c>
      <c r="U19" s="37">
        <f>SUMIF('ABA TB'!$R:$R,'ABA P&amp;L'!$A19,'ABA TB'!I:I)</f>
        <v/>
      </c>
      <c r="V19" s="38" t="n">
        <v>173</v>
      </c>
      <c r="W19" s="38" t="n">
        <v>173</v>
      </c>
      <c r="X19" s="38" t="n">
        <v>173</v>
      </c>
      <c r="Y19" s="38" t="n">
        <v>173</v>
      </c>
      <c r="Z19" s="38" t="n">
        <v>173</v>
      </c>
      <c r="AA19" s="36">
        <f>SUM(O19:U19)</f>
        <v/>
      </c>
      <c r="AB19" s="36">
        <f>SUM(O19:Z19)</f>
        <v/>
      </c>
      <c r="AC19" s="38" t="n">
        <v>173</v>
      </c>
      <c r="AD19" s="38" t="n">
        <v>173</v>
      </c>
      <c r="AE19" s="38" t="n">
        <v>173</v>
      </c>
      <c r="AF19" s="38" t="n">
        <v>173</v>
      </c>
      <c r="AG19" s="38" t="n">
        <v>173</v>
      </c>
      <c r="AH19" s="38" t="n">
        <v>173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270</v>
      </c>
      <c r="C20" s="35" t="n">
        <v>66</v>
      </c>
      <c r="D20" s="35" t="n">
        <v>145</v>
      </c>
      <c r="E20" s="35" t="n">
        <v>29.43</v>
      </c>
      <c r="F20" s="35" t="n">
        <v>291.7</v>
      </c>
      <c r="G20" s="35" t="n">
        <v>0</v>
      </c>
      <c r="H20" s="35" t="n">
        <v>298.2</v>
      </c>
      <c r="I20" s="35" t="n">
        <v>0</v>
      </c>
      <c r="J20" s="35" t="n">
        <v>0</v>
      </c>
      <c r="K20" s="35" t="n">
        <v>123.5</v>
      </c>
      <c r="L20" s="35" t="n">
        <v>247.5</v>
      </c>
      <c r="M20" s="35" t="n">
        <v>176.67</v>
      </c>
      <c r="N20" s="36">
        <f>SUM(B20:M20)</f>
        <v/>
      </c>
      <c r="O20" s="37">
        <f>SUMIF('ABA TB'!$R:$R,'ABA P&amp;L'!$A20,'ABA TB'!C:C)</f>
        <v/>
      </c>
      <c r="P20" s="37">
        <f>SUMIF('ABA TB'!$R:$R,'ABA P&amp;L'!$A20,'ABA TB'!D:D)</f>
        <v/>
      </c>
      <c r="Q20" s="37">
        <f>SUMIF('ABA TB'!$R:$R,'ABA P&amp;L'!$A20,'ABA TB'!E:E)</f>
        <v/>
      </c>
      <c r="R20" s="37">
        <f>SUMIF('ABA TB'!$R:$R,'ABA P&amp;L'!$A20,'ABA TB'!F:F)</f>
        <v/>
      </c>
      <c r="S20" s="37">
        <f>SUMIF('ABA TB'!$R:$R,'ABA P&amp;L'!$A20,'ABA TB'!G:G)</f>
        <v/>
      </c>
      <c r="T20" s="37">
        <f>SUMIF('ABA TB'!$R:$R,'ABA P&amp;L'!$A20,'ABA TB'!H:H)</f>
        <v/>
      </c>
      <c r="U20" s="37">
        <f>SUMIF('ABA TB'!$R:$R,'ABA P&amp;L'!$A20,'ABA TB'!I:I)</f>
        <v/>
      </c>
      <c r="V20" s="38" t="n">
        <v>323</v>
      </c>
      <c r="W20" s="38" t="n">
        <v>323</v>
      </c>
      <c r="X20" s="38" t="n">
        <v>323</v>
      </c>
      <c r="Y20" s="38" t="n">
        <v>323</v>
      </c>
      <c r="Z20" s="38" t="n">
        <v>323</v>
      </c>
      <c r="AA20" s="36">
        <f>SUM(O20:U20)</f>
        <v/>
      </c>
      <c r="AB20" s="36">
        <f>SUM(O20:Z20)</f>
        <v/>
      </c>
      <c r="AC20" s="38" t="n">
        <v>323</v>
      </c>
      <c r="AD20" s="38" t="n">
        <v>323</v>
      </c>
      <c r="AE20" s="38" t="n">
        <v>323</v>
      </c>
      <c r="AF20" s="38" t="n">
        <v>323</v>
      </c>
      <c r="AG20" s="38" t="n">
        <v>323</v>
      </c>
      <c r="AH20" s="38" t="n">
        <v>323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92.7</v>
      </c>
      <c r="C21" s="35" t="n">
        <v>249.13</v>
      </c>
      <c r="D21" s="35" t="n">
        <v>279.46</v>
      </c>
      <c r="E21" s="35" t="n">
        <v>346.01</v>
      </c>
      <c r="F21" s="35" t="n">
        <v>289.41</v>
      </c>
      <c r="G21" s="35" t="n">
        <v>78.06999999999999</v>
      </c>
      <c r="H21" s="35" t="n">
        <v>604.4200000000001</v>
      </c>
      <c r="I21" s="35" t="n">
        <v>209.95</v>
      </c>
      <c r="J21" s="35" t="n">
        <v>136.72</v>
      </c>
      <c r="K21" s="35" t="n">
        <v>248.7</v>
      </c>
      <c r="L21" s="35" t="n">
        <v>246.42</v>
      </c>
      <c r="M21" s="35" t="n">
        <v>79.21000000000001</v>
      </c>
      <c r="N21" s="36">
        <f>SUM(B21:M21)</f>
        <v/>
      </c>
      <c r="O21" s="37">
        <f>SUMIF('ABA TB'!$R:$R,'ABA P&amp;L'!$A21,'ABA TB'!C:C)</f>
        <v/>
      </c>
      <c r="P21" s="37">
        <f>SUMIF('ABA TB'!$R:$R,'ABA P&amp;L'!$A21,'ABA TB'!D:D)</f>
        <v/>
      </c>
      <c r="Q21" s="37">
        <f>SUMIF('ABA TB'!$R:$R,'ABA P&amp;L'!$A21,'ABA TB'!E:E)</f>
        <v/>
      </c>
      <c r="R21" s="37">
        <f>SUMIF('ABA TB'!$R:$R,'ABA P&amp;L'!$A21,'ABA TB'!F:F)</f>
        <v/>
      </c>
      <c r="S21" s="37">
        <f>SUMIF('ABA TB'!$R:$R,'ABA P&amp;L'!$A21,'ABA TB'!G:G)</f>
        <v/>
      </c>
      <c r="T21" s="37">
        <f>SUMIF('ABA TB'!$R:$R,'ABA P&amp;L'!$A21,'ABA TB'!H:H)</f>
        <v/>
      </c>
      <c r="U21" s="37">
        <f>SUMIF('ABA TB'!$R:$R,'ABA P&amp;L'!$A21,'ABA TB'!I:I)</f>
        <v/>
      </c>
      <c r="V21" s="38" t="n">
        <v>211</v>
      </c>
      <c r="W21" s="38" t="n">
        <v>211</v>
      </c>
      <c r="X21" s="38" t="n">
        <v>211</v>
      </c>
      <c r="Y21" s="38" t="n">
        <v>211</v>
      </c>
      <c r="Z21" s="38" t="n">
        <v>211</v>
      </c>
      <c r="AA21" s="36">
        <f>SUM(O21:U21)</f>
        <v/>
      </c>
      <c r="AB21" s="36">
        <f>SUM(O21:Z21)</f>
        <v/>
      </c>
      <c r="AC21" s="38" t="n">
        <v>211</v>
      </c>
      <c r="AD21" s="38" t="n">
        <v>211</v>
      </c>
      <c r="AE21" s="38" t="n">
        <v>211</v>
      </c>
      <c r="AF21" s="38" t="n">
        <v>211</v>
      </c>
      <c r="AG21" s="38" t="n">
        <v>211</v>
      </c>
      <c r="AH21" s="38" t="n">
        <v>211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SUMIF('ABA TB'!$R:$R,'ABA P&amp;L'!$A22,'ABA TB'!C:C)</f>
        <v/>
      </c>
      <c r="P22" s="37">
        <f>SUMIF('ABA TB'!$R:$R,'ABA P&amp;L'!$A22,'ABA TB'!D:D)</f>
        <v/>
      </c>
      <c r="Q22" s="37">
        <f>SUMIF('ABA TB'!$R:$R,'ABA P&amp;L'!$A22,'ABA TB'!E:E)</f>
        <v/>
      </c>
      <c r="R22" s="37">
        <f>SUMIF('ABA TB'!$R:$R,'ABA P&amp;L'!$A22,'ABA TB'!F:F)</f>
        <v/>
      </c>
      <c r="S22" s="37">
        <f>SUMIF('ABA TB'!$R:$R,'ABA P&amp;L'!$A22,'ABA TB'!G:G)</f>
        <v/>
      </c>
      <c r="T22" s="37">
        <f>SUMIF('ABA TB'!$R:$R,'ABA P&amp;L'!$A22,'ABA TB'!H:H)</f>
        <v/>
      </c>
      <c r="U22" s="37">
        <f>SUMIF('ABA TB'!$R:$R,'ABA P&amp;L'!$A22,'ABA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330</v>
      </c>
      <c r="I23" s="35" t="n">
        <v>25</v>
      </c>
      <c r="J23" s="35" t="n">
        <v>0</v>
      </c>
      <c r="K23" s="35" t="n">
        <v>48.95</v>
      </c>
      <c r="L23" s="35" t="n">
        <v>21.64</v>
      </c>
      <c r="M23" s="35" t="n">
        <v>218.89</v>
      </c>
      <c r="N23" s="36">
        <f>SUM(B23:M23)</f>
        <v/>
      </c>
      <c r="O23" s="37">
        <f>SUMIF('ABA TB'!$R:$R,'ABA P&amp;L'!$A23,'ABA TB'!C:C)</f>
        <v/>
      </c>
      <c r="P23" s="37">
        <f>SUMIF('ABA TB'!$R:$R,'ABA P&amp;L'!$A23,'ABA TB'!D:D)</f>
        <v/>
      </c>
      <c r="Q23" s="37">
        <f>SUMIF('ABA TB'!$R:$R,'ABA P&amp;L'!$A23,'ABA TB'!E:E)</f>
        <v/>
      </c>
      <c r="R23" s="37">
        <f>SUMIF('ABA TB'!$R:$R,'ABA P&amp;L'!$A23,'ABA TB'!F:F)</f>
        <v/>
      </c>
      <c r="S23" s="37">
        <f>SUMIF('ABA TB'!$R:$R,'ABA P&amp;L'!$A23,'ABA TB'!G:G)</f>
        <v/>
      </c>
      <c r="T23" s="37">
        <f>SUMIF('ABA TB'!$R:$R,'ABA P&amp;L'!$A23,'ABA TB'!H:H)</f>
        <v/>
      </c>
      <c r="U23" s="37">
        <f>SUMIF('ABA TB'!$R:$R,'ABA P&amp;L'!$A23,'ABA TB'!I:I)</f>
        <v/>
      </c>
      <c r="V23" s="38" t="n">
        <v>121</v>
      </c>
      <c r="W23" s="38" t="n">
        <v>121</v>
      </c>
      <c r="X23" s="38" t="n">
        <v>121</v>
      </c>
      <c r="Y23" s="38" t="n">
        <v>121</v>
      </c>
      <c r="Z23" s="38" t="n">
        <v>121</v>
      </c>
      <c r="AA23" s="36">
        <f>SUM(O23:U23)</f>
        <v/>
      </c>
      <c r="AB23" s="36">
        <f>SUM(O23:Z23)</f>
        <v/>
      </c>
      <c r="AC23" s="38" t="n">
        <v>121</v>
      </c>
      <c r="AD23" s="38" t="n">
        <v>121</v>
      </c>
      <c r="AE23" s="38" t="n">
        <v>121</v>
      </c>
      <c r="AF23" s="38" t="n">
        <v>121</v>
      </c>
      <c r="AG23" s="38" t="n">
        <v>121</v>
      </c>
      <c r="AH23" s="38" t="n">
        <v>121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SUMIF('ABA TB'!$R:$R,'ABA P&amp;L'!$A24,'ABA TB'!C:C)</f>
        <v/>
      </c>
      <c r="P24" s="37">
        <f>SUMIF('ABA TB'!$R:$R,'ABA P&amp;L'!$A24,'ABA TB'!D:D)</f>
        <v/>
      </c>
      <c r="Q24" s="37">
        <f>SUMIF('ABA TB'!$R:$R,'ABA P&amp;L'!$A24,'ABA TB'!E:E)</f>
        <v/>
      </c>
      <c r="R24" s="37">
        <f>SUMIF('ABA TB'!$R:$R,'ABA P&amp;L'!$A24,'ABA TB'!F:F)</f>
        <v/>
      </c>
      <c r="S24" s="37">
        <f>SUMIF('ABA TB'!$R:$R,'ABA P&amp;L'!$A24,'ABA TB'!G:G)</f>
        <v/>
      </c>
      <c r="T24" s="37">
        <f>SUMIF('ABA TB'!$R:$R,'ABA P&amp;L'!$A24,'ABA TB'!H:H)</f>
        <v/>
      </c>
      <c r="U24" s="37">
        <f>SUMIF('ABA TB'!$R:$R,'ABA P&amp;L'!$A24,'ABA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34574.8</v>
      </c>
      <c r="C25" s="42" t="n">
        <v>35374.13999999999</v>
      </c>
      <c r="D25" s="42" t="n">
        <v>36972.91</v>
      </c>
      <c r="E25" s="42" t="n">
        <v>40300.46999999999</v>
      </c>
      <c r="F25" s="42" t="n">
        <v>41216.68</v>
      </c>
      <c r="G25" s="42" t="n">
        <v>41525.89</v>
      </c>
      <c r="H25" s="42" t="n">
        <v>44824.91999999999</v>
      </c>
      <c r="I25" s="42" t="n">
        <v>40433.25</v>
      </c>
      <c r="J25" s="42" t="n">
        <v>40303.59</v>
      </c>
      <c r="K25" s="42" t="n">
        <v>38404.48</v>
      </c>
      <c r="L25" s="42" t="n">
        <v>38149.48</v>
      </c>
      <c r="M25" s="42" t="n">
        <v>39149.26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1524.48</v>
      </c>
      <c r="C27" s="35" t="n">
        <v>2122.3</v>
      </c>
      <c r="D27" s="35" t="n">
        <v>1998.39</v>
      </c>
      <c r="E27" s="35" t="n">
        <v>1391.12</v>
      </c>
      <c r="F27" s="35" t="n">
        <v>1821.4</v>
      </c>
      <c r="G27" s="35" t="n">
        <v>1831.3</v>
      </c>
      <c r="H27" s="35" t="n">
        <v>1657.01</v>
      </c>
      <c r="I27" s="35" t="n">
        <v>1141.58</v>
      </c>
      <c r="J27" s="35" t="n">
        <v>1605.26</v>
      </c>
      <c r="K27" s="35" t="n">
        <v>1538.28</v>
      </c>
      <c r="L27" s="35" t="n">
        <v>1760.83</v>
      </c>
      <c r="M27" s="35" t="n">
        <v>1172.25</v>
      </c>
      <c r="N27" s="36">
        <f>SUM(B27:M27)</f>
        <v/>
      </c>
      <c r="O27" s="37">
        <f>SUMIF('ABA TB'!$R:$R,'ABA P&amp;L'!$A27,'ABA TB'!C:C)</f>
        <v/>
      </c>
      <c r="P27" s="37">
        <f>SUMIF('ABA TB'!$R:$R,'ABA P&amp;L'!$A27,'ABA TB'!D:D)</f>
        <v/>
      </c>
      <c r="Q27" s="37">
        <f>SUMIF('ABA TB'!$R:$R,'ABA P&amp;L'!$A27,'ABA TB'!E:E)</f>
        <v/>
      </c>
      <c r="R27" s="37">
        <f>SUMIF('ABA TB'!$R:$R,'ABA P&amp;L'!$A27,'ABA TB'!F:F)</f>
        <v/>
      </c>
      <c r="S27" s="37">
        <f>SUMIF('ABA TB'!$R:$R,'ABA P&amp;L'!$A27,'ABA TB'!G:G)</f>
        <v/>
      </c>
      <c r="T27" s="37">
        <f>SUMIF('ABA TB'!$R:$R,'ABA P&amp;L'!$A27,'ABA TB'!H:H)</f>
        <v/>
      </c>
      <c r="U27" s="37">
        <f>SUMIF('ABA TB'!$R:$R,'ABA P&amp;L'!$A27,'ABA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0.0318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91.51000000000001</v>
      </c>
      <c r="C28" s="35" t="n">
        <v>452.3</v>
      </c>
      <c r="D28" s="35" t="n">
        <v>327.22</v>
      </c>
      <c r="E28" s="35" t="n">
        <v>103.6</v>
      </c>
      <c r="F28" s="35" t="n">
        <v>851.51</v>
      </c>
      <c r="G28" s="35" t="n">
        <v>37.37</v>
      </c>
      <c r="H28" s="35" t="n">
        <v>2634.18</v>
      </c>
      <c r="I28" s="35" t="n">
        <v>1272.86</v>
      </c>
      <c r="J28" s="35" t="n">
        <v>-132.59</v>
      </c>
      <c r="K28" s="35" t="n">
        <v>313.94</v>
      </c>
      <c r="L28" s="35" t="n">
        <v>334.54</v>
      </c>
      <c r="M28" s="35" t="n">
        <v>543.5300000000001</v>
      </c>
      <c r="N28" s="36">
        <f>SUM(B28:M28)</f>
        <v/>
      </c>
      <c r="O28" s="37">
        <f>SUMIF('ABA TB'!$R:$R,'ABA P&amp;L'!$A28,'ABA TB'!C:C)</f>
        <v/>
      </c>
      <c r="P28" s="37">
        <f>SUMIF('ABA TB'!$R:$R,'ABA P&amp;L'!$A28,'ABA TB'!D:D)</f>
        <v/>
      </c>
      <c r="Q28" s="37">
        <f>SUMIF('ABA TB'!$R:$R,'ABA P&amp;L'!$A28,'ABA TB'!E:E)</f>
        <v/>
      </c>
      <c r="R28" s="37">
        <f>SUMIF('ABA TB'!$R:$R,'ABA P&amp;L'!$A28,'ABA TB'!F:F)</f>
        <v/>
      </c>
      <c r="S28" s="37">
        <f>SUMIF('ABA TB'!$R:$R,'ABA P&amp;L'!$A28,'ABA TB'!G:G)</f>
        <v/>
      </c>
      <c r="T28" s="37">
        <f>SUMIF('ABA TB'!$R:$R,'ABA P&amp;L'!$A28,'ABA TB'!H:H)</f>
        <v/>
      </c>
      <c r="U28" s="37">
        <f>SUMIF('ABA TB'!$R:$R,'ABA P&amp;L'!$A28,'ABA TB'!I:I)</f>
        <v/>
      </c>
      <c r="V28" s="38" t="n">
        <v>100</v>
      </c>
      <c r="W28" s="38" t="n">
        <v>100</v>
      </c>
      <c r="X28" s="38" t="n">
        <v>100</v>
      </c>
      <c r="Y28" s="38" t="n">
        <v>100</v>
      </c>
      <c r="Z28" s="38" t="n">
        <v>100</v>
      </c>
      <c r="AA28" s="36">
        <f>SUM(O28:U28)</f>
        <v/>
      </c>
      <c r="AB28" s="36">
        <f>SUM(O28:Z28)</f>
        <v/>
      </c>
      <c r="AC28" s="38" t="n">
        <v>100</v>
      </c>
      <c r="AD28" s="38" t="n">
        <v>100</v>
      </c>
      <c r="AE28" s="38" t="n">
        <v>100</v>
      </c>
      <c r="AF28" s="38" t="n">
        <v>100</v>
      </c>
      <c r="AG28" s="38" t="n">
        <v>100</v>
      </c>
      <c r="AH28" s="38" t="n">
        <v>100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167.72</v>
      </c>
      <c r="C29" s="35" t="n">
        <v>267.24</v>
      </c>
      <c r="D29" s="35" t="n">
        <v>282.45</v>
      </c>
      <c r="E29" s="35" t="n">
        <v>372.05</v>
      </c>
      <c r="F29" s="35" t="n">
        <v>127.92</v>
      </c>
      <c r="G29" s="35" t="n">
        <v>246.37</v>
      </c>
      <c r="H29" s="35" t="n">
        <v>201.14</v>
      </c>
      <c r="I29" s="35" t="n">
        <v>0</v>
      </c>
      <c r="J29" s="35" t="n">
        <v>147.48</v>
      </c>
      <c r="K29" s="35" t="n">
        <v>112.1</v>
      </c>
      <c r="L29" s="35" t="n">
        <v>485.16</v>
      </c>
      <c r="M29" s="35" t="n">
        <v>67.34</v>
      </c>
      <c r="N29" s="36">
        <f>SUM(B29:M29)</f>
        <v/>
      </c>
      <c r="O29" s="37">
        <f>SUMIF('ABA TB'!$R:$R,'ABA P&amp;L'!$A29,'ABA TB'!C:C)</f>
        <v/>
      </c>
      <c r="P29" s="37">
        <f>SUMIF('ABA TB'!$R:$R,'ABA P&amp;L'!$A29,'ABA TB'!D:D)</f>
        <v/>
      </c>
      <c r="Q29" s="37">
        <f>SUMIF('ABA TB'!$R:$R,'ABA P&amp;L'!$A29,'ABA TB'!E:E)</f>
        <v/>
      </c>
      <c r="R29" s="37">
        <f>SUMIF('ABA TB'!$R:$R,'ABA P&amp;L'!$A29,'ABA TB'!F:F)</f>
        <v/>
      </c>
      <c r="S29" s="37">
        <f>SUMIF('ABA TB'!$R:$R,'ABA P&amp;L'!$A29,'ABA TB'!G:G)</f>
        <v/>
      </c>
      <c r="T29" s="37">
        <f>SUMIF('ABA TB'!$R:$R,'ABA P&amp;L'!$A29,'ABA TB'!H:H)</f>
        <v/>
      </c>
      <c r="U29" s="37">
        <f>SUMIF('ABA TB'!$R:$R,'ABA P&amp;L'!$A29,'ABA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0.004240000000000001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94.15000000000001</v>
      </c>
      <c r="C30" s="35" t="n">
        <v>42.29</v>
      </c>
      <c r="D30" s="35" t="n">
        <v>57.79</v>
      </c>
      <c r="E30" s="35" t="n">
        <v>75.59</v>
      </c>
      <c r="F30" s="35" t="n">
        <v>44.53</v>
      </c>
      <c r="G30" s="35" t="n">
        <v>83.44999999999999</v>
      </c>
      <c r="H30" s="35" t="n">
        <v>34.42</v>
      </c>
      <c r="I30" s="35" t="n">
        <v>28.37</v>
      </c>
      <c r="J30" s="35" t="n">
        <v>31.5</v>
      </c>
      <c r="K30" s="35" t="n">
        <v>12.34</v>
      </c>
      <c r="L30" s="35" t="n">
        <v>338.1</v>
      </c>
      <c r="M30" s="35" t="n">
        <v>33.94</v>
      </c>
      <c r="N30" s="36">
        <f>SUM(B30:M30)</f>
        <v/>
      </c>
      <c r="O30" s="37">
        <f>SUMIF('ABA TB'!$R:$R,'ABA P&amp;L'!$A30,'ABA TB'!C:C)</f>
        <v/>
      </c>
      <c r="P30" s="37">
        <f>SUMIF('ABA TB'!$R:$R,'ABA P&amp;L'!$A30,'ABA TB'!D:D)</f>
        <v/>
      </c>
      <c r="Q30" s="37">
        <f>SUMIF('ABA TB'!$R:$R,'ABA P&amp;L'!$A30,'ABA TB'!E:E)</f>
        <v/>
      </c>
      <c r="R30" s="37">
        <f>SUMIF('ABA TB'!$R:$R,'ABA P&amp;L'!$A30,'ABA TB'!F:F)</f>
        <v/>
      </c>
      <c r="S30" s="37">
        <f>SUMIF('ABA TB'!$R:$R,'ABA P&amp;L'!$A30,'ABA TB'!G:G)</f>
        <v/>
      </c>
      <c r="T30" s="37">
        <f>SUMIF('ABA TB'!$R:$R,'ABA P&amp;L'!$A30,'ABA TB'!H:H)</f>
        <v/>
      </c>
      <c r="U30" s="37">
        <f>SUMIF('ABA TB'!$R:$R,'ABA P&amp;L'!$A30,'ABA TB'!I:I)</f>
        <v/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189.9</v>
      </c>
      <c r="C31" s="35" t="n">
        <v>131.91</v>
      </c>
      <c r="D31" s="35" t="n">
        <v>63.11000000000001</v>
      </c>
      <c r="E31" s="35" t="n">
        <v>17.99</v>
      </c>
      <c r="F31" s="35" t="n">
        <v>140.72</v>
      </c>
      <c r="G31" s="35" t="n">
        <v>671.26</v>
      </c>
      <c r="H31" s="35" t="n">
        <v>453.3</v>
      </c>
      <c r="I31" s="35" t="n">
        <v>32.21</v>
      </c>
      <c r="J31" s="35" t="n">
        <v>25.47</v>
      </c>
      <c r="K31" s="35" t="n">
        <v>59.66</v>
      </c>
      <c r="L31" s="35" t="n">
        <v>94.7</v>
      </c>
      <c r="M31" s="35" t="n">
        <v>57.97</v>
      </c>
      <c r="N31" s="36">
        <f>SUM(B31:M31)</f>
        <v/>
      </c>
      <c r="O31" s="37">
        <f>SUMIF('ABA TB'!$R:$R,'ABA P&amp;L'!$A31,'ABA TB'!C:C)</f>
        <v/>
      </c>
      <c r="P31" s="37">
        <f>SUMIF('ABA TB'!$R:$R,'ABA P&amp;L'!$A31,'ABA TB'!D:D)</f>
        <v/>
      </c>
      <c r="Q31" s="37">
        <f>SUMIF('ABA TB'!$R:$R,'ABA P&amp;L'!$A31,'ABA TB'!E:E)</f>
        <v/>
      </c>
      <c r="R31" s="37">
        <f>SUMIF('ABA TB'!$R:$R,'ABA P&amp;L'!$A31,'ABA TB'!F:F)</f>
        <v/>
      </c>
      <c r="S31" s="37">
        <f>SUMIF('ABA TB'!$R:$R,'ABA P&amp;L'!$A31,'ABA TB'!G:G)</f>
        <v/>
      </c>
      <c r="T31" s="37">
        <f>SUMIF('ABA TB'!$R:$R,'ABA P&amp;L'!$A31,'ABA TB'!H:H)</f>
        <v/>
      </c>
      <c r="U31" s="37">
        <f>SUMIF('ABA TB'!$R:$R,'ABA P&amp;L'!$A31,'ABA TB'!I:I)</f>
        <v/>
      </c>
      <c r="V31" s="38" t="n">
        <v>100</v>
      </c>
      <c r="W31" s="38" t="n">
        <v>100</v>
      </c>
      <c r="X31" s="38" t="n">
        <v>100</v>
      </c>
      <c r="Y31" s="38" t="n">
        <v>100</v>
      </c>
      <c r="Z31" s="38" t="n">
        <v>100</v>
      </c>
      <c r="AA31" s="36">
        <f>SUM(O31:U31)</f>
        <v/>
      </c>
      <c r="AB31" s="36">
        <f>SUM(O31:Z31)</f>
        <v/>
      </c>
      <c r="AC31" s="38" t="n">
        <v>100</v>
      </c>
      <c r="AD31" s="38" t="n">
        <v>100</v>
      </c>
      <c r="AE31" s="38" t="n">
        <v>100</v>
      </c>
      <c r="AF31" s="38" t="n">
        <v>100</v>
      </c>
      <c r="AG31" s="38" t="n">
        <v>100</v>
      </c>
      <c r="AH31" s="38" t="n">
        <v>100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108.66</v>
      </c>
      <c r="C32" s="35" t="n">
        <v>143.33</v>
      </c>
      <c r="D32" s="35" t="n">
        <v>173.25</v>
      </c>
      <c r="E32" s="35" t="n">
        <v>189.42</v>
      </c>
      <c r="F32" s="35" t="n">
        <v>189.15</v>
      </c>
      <c r="G32" s="35" t="n">
        <v>733.62</v>
      </c>
      <c r="H32" s="35" t="n">
        <v>261.65</v>
      </c>
      <c r="I32" s="35" t="n">
        <v>249.18</v>
      </c>
      <c r="J32" s="35" t="n">
        <v>157.52</v>
      </c>
      <c r="K32" s="35" t="n">
        <v>314.47</v>
      </c>
      <c r="L32" s="35" t="n">
        <v>283.95</v>
      </c>
      <c r="M32" s="35" t="n">
        <v>206.52</v>
      </c>
      <c r="N32" s="36">
        <f>SUM(B32:M32)</f>
        <v/>
      </c>
      <c r="O32" s="37">
        <f>SUMIF('ABA TB'!$R:$R,'ABA P&amp;L'!$A32,'ABA TB'!C:C)</f>
        <v/>
      </c>
      <c r="P32" s="37">
        <f>SUMIF('ABA TB'!$R:$R,'ABA P&amp;L'!$A32,'ABA TB'!D:D)</f>
        <v/>
      </c>
      <c r="Q32" s="37">
        <f>SUMIF('ABA TB'!$R:$R,'ABA P&amp;L'!$A32,'ABA TB'!E:E)</f>
        <v/>
      </c>
      <c r="R32" s="37">
        <f>SUMIF('ABA TB'!$R:$R,'ABA P&amp;L'!$A32,'ABA TB'!F:F)</f>
        <v/>
      </c>
      <c r="S32" s="37">
        <f>SUMIF('ABA TB'!$R:$R,'ABA P&amp;L'!$A32,'ABA TB'!G:G)</f>
        <v/>
      </c>
      <c r="T32" s="37">
        <f>SUMIF('ABA TB'!$R:$R,'ABA P&amp;L'!$A32,'ABA TB'!H:H)</f>
        <v/>
      </c>
      <c r="U32" s="37">
        <f>SUMIF('ABA TB'!$R:$R,'ABA P&amp;L'!$A32,'ABA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0.006240000000000001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SUMIF('ABA TB'!$R:$R,'ABA P&amp;L'!$A33,'ABA TB'!C:C)</f>
        <v/>
      </c>
      <c r="P33" s="37">
        <f>SUMIF('ABA TB'!$R:$R,'ABA P&amp;L'!$A33,'ABA TB'!D:D)</f>
        <v/>
      </c>
      <c r="Q33" s="37">
        <f>SUMIF('ABA TB'!$R:$R,'ABA P&amp;L'!$A33,'ABA TB'!E:E)</f>
        <v/>
      </c>
      <c r="R33" s="37">
        <f>SUMIF('ABA TB'!$R:$R,'ABA P&amp;L'!$A33,'ABA TB'!F:F)</f>
        <v/>
      </c>
      <c r="S33" s="37">
        <f>SUMIF('ABA TB'!$R:$R,'ABA P&amp;L'!$A33,'ABA TB'!G:G)</f>
        <v/>
      </c>
      <c r="T33" s="37">
        <f>SUMIF('ABA TB'!$R:$R,'ABA P&amp;L'!$A33,'ABA TB'!H:H)</f>
        <v/>
      </c>
      <c r="U33" s="37">
        <f>SUMIF('ABA TB'!$R:$R,'ABA P&amp;L'!$A33,'ABA TB'!I:I)</f>
        <v/>
      </c>
      <c r="V33" s="38" t="n">
        <v>0</v>
      </c>
      <c r="W33" s="38" t="n">
        <v>0</v>
      </c>
      <c r="X33" s="38" t="n">
        <v>0</v>
      </c>
      <c r="Y33" s="38" t="n">
        <v>0</v>
      </c>
      <c r="Z33" s="38" t="n">
        <v>0</v>
      </c>
      <c r="AA33" s="36">
        <f>SUM(O33:U33)</f>
        <v/>
      </c>
      <c r="AB33" s="36">
        <f>SUM(O33:Z33)</f>
        <v/>
      </c>
      <c r="AC33" s="38" t="n">
        <v>0</v>
      </c>
      <c r="AD33" s="38" t="n">
        <v>0</v>
      </c>
      <c r="AE33" s="38" t="n">
        <v>0</v>
      </c>
      <c r="AF33" s="38" t="n">
        <v>0</v>
      </c>
      <c r="AG33" s="38" t="n">
        <v>0</v>
      </c>
      <c r="AH33" s="38" t="n">
        <v>0</v>
      </c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2176.42</v>
      </c>
      <c r="C34" s="42" t="n">
        <v>3159.37</v>
      </c>
      <c r="D34" s="42" t="n">
        <v>2902.21</v>
      </c>
      <c r="E34" s="42" t="n">
        <v>2149.77</v>
      </c>
      <c r="F34" s="42" t="n">
        <v>3175.23</v>
      </c>
      <c r="G34" s="42" t="n">
        <v>3603.37</v>
      </c>
      <c r="H34" s="42" t="n">
        <v>5241.700000000001</v>
      </c>
      <c r="I34" s="42" t="n">
        <v>2724.2</v>
      </c>
      <c r="J34" s="42" t="n">
        <v>1834.64</v>
      </c>
      <c r="K34" s="42" t="n">
        <v>2350.79</v>
      </c>
      <c r="L34" s="42" t="n">
        <v>3297.279999999999</v>
      </c>
      <c r="M34" s="42" t="n">
        <v>2081.55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SUMIF('ABA TB'!$R:$R,'ABA P&amp;L'!$A36,'ABA TB'!C:C)</f>
        <v/>
      </c>
      <c r="P36" s="37">
        <f>SUMIF('ABA TB'!$R:$R,'ABA P&amp;L'!$A36,'ABA TB'!D:D)</f>
        <v/>
      </c>
      <c r="Q36" s="37">
        <f>SUMIF('ABA TB'!$R:$R,'ABA P&amp;L'!$A36,'ABA TB'!E:E)</f>
        <v/>
      </c>
      <c r="R36" s="37">
        <f>SUMIF('ABA TB'!$R:$R,'ABA P&amp;L'!$A36,'ABA TB'!F:F)</f>
        <v/>
      </c>
      <c r="S36" s="37">
        <f>SUMIF('ABA TB'!$R:$R,'ABA P&amp;L'!$A36,'ABA TB'!G:G)</f>
        <v/>
      </c>
      <c r="T36" s="37">
        <f>SUMIF('ABA TB'!$R:$R,'ABA P&amp;L'!$A36,'ABA TB'!H:H)</f>
        <v/>
      </c>
      <c r="U36" s="37">
        <f>SUMIF('ABA TB'!$R:$R,'ABA P&amp;L'!$A36,'ABA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1704.92</v>
      </c>
      <c r="C37" s="35" t="n">
        <v>1704.92</v>
      </c>
      <c r="D37" s="35" t="n">
        <v>1704.92</v>
      </c>
      <c r="E37" s="35" t="n">
        <v>1704.92</v>
      </c>
      <c r="F37" s="35" t="n">
        <v>1704.92</v>
      </c>
      <c r="G37" s="35" t="n">
        <v>1704.92</v>
      </c>
      <c r="H37" s="35" t="n">
        <v>1704.92</v>
      </c>
      <c r="I37" s="35" t="n">
        <v>1704.92</v>
      </c>
      <c r="J37" s="35" t="n">
        <v>1704.92</v>
      </c>
      <c r="K37" s="35" t="n">
        <v>1704.92</v>
      </c>
      <c r="L37" s="35" t="n">
        <v>1704.92</v>
      </c>
      <c r="M37" s="35" t="n">
        <v>1704.92</v>
      </c>
      <c r="N37" s="36">
        <f>SUM(B37:M37)</f>
        <v/>
      </c>
      <c r="O37" s="37">
        <f>SUMIF('ABA TB'!$R:$R,'ABA P&amp;L'!$A37,'ABA TB'!C:C)</f>
        <v/>
      </c>
      <c r="P37" s="37">
        <f>SUMIF('ABA TB'!$R:$R,'ABA P&amp;L'!$A37,'ABA TB'!D:D)</f>
        <v/>
      </c>
      <c r="Q37" s="37">
        <f>SUMIF('ABA TB'!$R:$R,'ABA P&amp;L'!$A37,'ABA TB'!E:E)</f>
        <v/>
      </c>
      <c r="R37" s="37">
        <f>SUMIF('ABA TB'!$R:$R,'ABA P&amp;L'!$A37,'ABA TB'!F:F)</f>
        <v/>
      </c>
      <c r="S37" s="37">
        <f>SUMIF('ABA TB'!$R:$R,'ABA P&amp;L'!$A37,'ABA TB'!G:G)</f>
        <v/>
      </c>
      <c r="T37" s="37">
        <f>SUMIF('ABA TB'!$R:$R,'ABA P&amp;L'!$A37,'ABA TB'!H:H)</f>
        <v/>
      </c>
      <c r="U37" s="37">
        <f>SUMIF('ABA TB'!$R:$R,'ABA P&amp;L'!$A37,'ABA TB'!I:I)</f>
        <v/>
      </c>
      <c r="V37" s="38" t="n">
        <v>1823.25</v>
      </c>
      <c r="W37" s="38" t="n">
        <v>1823.25</v>
      </c>
      <c r="X37" s="38" t="n">
        <v>1823.25</v>
      </c>
      <c r="Y37" s="38" t="n">
        <v>1823.25</v>
      </c>
      <c r="Z37" s="38" t="n">
        <v>1823.25</v>
      </c>
      <c r="AA37" s="36">
        <f>SUM(O37:U37)</f>
        <v/>
      </c>
      <c r="AB37" s="36">
        <f>SUM(O37:Z37)</f>
        <v/>
      </c>
      <c r="AC37" s="38" t="n">
        <v>1823.25</v>
      </c>
      <c r="AD37" s="38" t="n">
        <v>1823.25</v>
      </c>
      <c r="AE37" s="38" t="n">
        <v>1823.25</v>
      </c>
      <c r="AF37" s="38" t="n">
        <v>1823.25</v>
      </c>
      <c r="AG37" s="38" t="n">
        <v>1823.25</v>
      </c>
      <c r="AH37" s="38" t="n">
        <v>1823.25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895.97</v>
      </c>
      <c r="C38" s="35" t="n">
        <v>27.47</v>
      </c>
      <c r="D38" s="35" t="n">
        <v>1315.56</v>
      </c>
      <c r="E38" s="35" t="n">
        <v>712.0700000000001</v>
      </c>
      <c r="F38" s="35" t="n">
        <v>4544.52</v>
      </c>
      <c r="G38" s="35" t="n">
        <v>684.5699999999999</v>
      </c>
      <c r="H38" s="35" t="n">
        <v>627.64</v>
      </c>
      <c r="I38" s="35" t="n">
        <v>514.1999999999999</v>
      </c>
      <c r="J38" s="35" t="n">
        <v>-607.48</v>
      </c>
      <c r="K38" s="35" t="n">
        <v>4237.07</v>
      </c>
      <c r="L38" s="35" t="n">
        <v>769.03</v>
      </c>
      <c r="M38" s="35" t="n">
        <v>2369.66</v>
      </c>
      <c r="N38" s="36">
        <f>SUM(B38:M38)</f>
        <v/>
      </c>
      <c r="O38" s="37">
        <f>SUMIF('ABA TB'!$R:$R,'ABA P&amp;L'!$A38,'ABA TB'!C:C)</f>
        <v/>
      </c>
      <c r="P38" s="37">
        <f>SUMIF('ABA TB'!$R:$R,'ABA P&amp;L'!$A38,'ABA TB'!D:D)</f>
        <v/>
      </c>
      <c r="Q38" s="37">
        <f>SUMIF('ABA TB'!$R:$R,'ABA P&amp;L'!$A38,'ABA TB'!E:E)</f>
        <v/>
      </c>
      <c r="R38" s="37">
        <f>SUMIF('ABA TB'!$R:$R,'ABA P&amp;L'!$A38,'ABA TB'!F:F)</f>
        <v/>
      </c>
      <c r="S38" s="37">
        <f>SUMIF('ABA TB'!$R:$R,'ABA P&amp;L'!$A38,'ABA TB'!G:G)</f>
        <v/>
      </c>
      <c r="T38" s="37">
        <f>SUMIF('ABA TB'!$R:$R,'ABA P&amp;L'!$A38,'ABA TB'!H:H)</f>
        <v/>
      </c>
      <c r="U38" s="37">
        <f>SUMIF('ABA TB'!$R:$R,'ABA P&amp;L'!$A38,'ABA TB'!I:I)</f>
        <v/>
      </c>
      <c r="V38" s="38" t="n">
        <v>1429</v>
      </c>
      <c r="W38" s="38" t="n">
        <v>1429</v>
      </c>
      <c r="X38" s="38" t="n">
        <v>1429</v>
      </c>
      <c r="Y38" s="38" t="n">
        <v>1429</v>
      </c>
      <c r="Z38" s="38" t="n">
        <v>1429</v>
      </c>
      <c r="AA38" s="36">
        <f>SUM(O38:U38)</f>
        <v/>
      </c>
      <c r="AB38" s="36">
        <f>SUM(O38:Z38)</f>
        <v/>
      </c>
      <c r="AC38" s="38" t="n">
        <v>1429</v>
      </c>
      <c r="AD38" s="38" t="n">
        <v>1429</v>
      </c>
      <c r="AE38" s="38" t="n">
        <v>1429</v>
      </c>
      <c r="AF38" s="38" t="n">
        <v>1429</v>
      </c>
      <c r="AG38" s="38" t="n">
        <v>1429</v>
      </c>
      <c r="AH38" s="38" t="n">
        <v>1429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46.95</v>
      </c>
      <c r="C39" s="35" t="n">
        <v>4832.910000000001</v>
      </c>
      <c r="D39" s="35" t="n">
        <v>603.49</v>
      </c>
      <c r="E39" s="35" t="n">
        <v>179.64</v>
      </c>
      <c r="F39" s="35" t="n">
        <v>504.08</v>
      </c>
      <c r="G39" s="35" t="n">
        <v>1430</v>
      </c>
      <c r="H39" s="35" t="n">
        <v>0</v>
      </c>
      <c r="I39" s="35" t="n">
        <v>5.99</v>
      </c>
      <c r="J39" s="35" t="n">
        <v>14</v>
      </c>
      <c r="K39" s="35" t="n">
        <v>0</v>
      </c>
      <c r="L39" s="35" t="n">
        <v>55.29</v>
      </c>
      <c r="M39" s="35" t="n">
        <v>225.21</v>
      </c>
      <c r="N39" s="36">
        <f>SUM(B39:M39)</f>
        <v/>
      </c>
      <c r="O39" s="37">
        <f>SUMIF('ABA TB'!$R:$R,'ABA P&amp;L'!$A39,'ABA TB'!C:C)</f>
        <v/>
      </c>
      <c r="P39" s="37">
        <f>SUMIF('ABA TB'!$R:$R,'ABA P&amp;L'!$A39,'ABA TB'!D:D)</f>
        <v/>
      </c>
      <c r="Q39" s="37">
        <f>SUMIF('ABA TB'!$R:$R,'ABA P&amp;L'!$A39,'ABA TB'!E:E)</f>
        <v/>
      </c>
      <c r="R39" s="37">
        <f>SUMIF('ABA TB'!$R:$R,'ABA P&amp;L'!$A39,'ABA TB'!F:F)</f>
        <v/>
      </c>
      <c r="S39" s="37">
        <f>SUMIF('ABA TB'!$R:$R,'ABA P&amp;L'!$A39,'ABA TB'!G:G)</f>
        <v/>
      </c>
      <c r="T39" s="37">
        <f>SUMIF('ABA TB'!$R:$R,'ABA P&amp;L'!$A39,'ABA TB'!H:H)</f>
        <v/>
      </c>
      <c r="U39" s="37">
        <f>SUMIF('ABA TB'!$R:$R,'ABA P&amp;L'!$A39,'ABA TB'!I:I)</f>
        <v/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1610.41</v>
      </c>
      <c r="C40" s="35" t="n">
        <v>1341.28</v>
      </c>
      <c r="D40" s="35" t="n">
        <v>618.85</v>
      </c>
      <c r="E40" s="35" t="n">
        <v>1357.49</v>
      </c>
      <c r="F40" s="35" t="n">
        <v>1371.67</v>
      </c>
      <c r="G40" s="35" t="n">
        <v>703.42</v>
      </c>
      <c r="H40" s="35" t="n">
        <v>477.23</v>
      </c>
      <c r="I40" s="35" t="n">
        <v>1549.67</v>
      </c>
      <c r="J40" s="35" t="n">
        <v>1414.78</v>
      </c>
      <c r="K40" s="35" t="n">
        <v>1644.37</v>
      </c>
      <c r="L40" s="35" t="n">
        <v>1432.79</v>
      </c>
      <c r="M40" s="35" t="n">
        <v>1367.21</v>
      </c>
      <c r="N40" s="36">
        <f>SUM(B40:M40)</f>
        <v/>
      </c>
      <c r="O40" s="37">
        <f>SUMIF('ABA TB'!$R:$R,'ABA P&amp;L'!$A40,'ABA TB'!C:C)</f>
        <v/>
      </c>
      <c r="P40" s="37">
        <f>SUMIF('ABA TB'!$R:$R,'ABA P&amp;L'!$A40,'ABA TB'!D:D)</f>
        <v/>
      </c>
      <c r="Q40" s="37">
        <f>SUMIF('ABA TB'!$R:$R,'ABA P&amp;L'!$A40,'ABA TB'!E:E)</f>
        <v/>
      </c>
      <c r="R40" s="37">
        <f>SUMIF('ABA TB'!$R:$R,'ABA P&amp;L'!$A40,'ABA TB'!F:F)</f>
        <v/>
      </c>
      <c r="S40" s="37">
        <f>SUMIF('ABA TB'!$R:$R,'ABA P&amp;L'!$A40,'ABA TB'!G:G)</f>
        <v/>
      </c>
      <c r="T40" s="37">
        <f>SUMIF('ABA TB'!$R:$R,'ABA P&amp;L'!$A40,'ABA TB'!H:H)</f>
        <v/>
      </c>
      <c r="U40" s="37">
        <f>SUMIF('ABA TB'!$R:$R,'ABA P&amp;L'!$A40,'ABA TB'!I:I)</f>
        <v/>
      </c>
      <c r="V40" s="38" t="n">
        <v>400</v>
      </c>
      <c r="W40" s="38" t="n">
        <v>400</v>
      </c>
      <c r="X40" s="38" t="n">
        <v>400</v>
      </c>
      <c r="Y40" s="38" t="n">
        <v>400</v>
      </c>
      <c r="Z40" s="38" t="n">
        <v>400</v>
      </c>
      <c r="AA40" s="36">
        <f>SUM(O40:U40)</f>
        <v/>
      </c>
      <c r="AB40" s="36">
        <f>SUM(O40:Z40)</f>
        <v/>
      </c>
      <c r="AC40" s="38" t="n">
        <v>400</v>
      </c>
      <c r="AD40" s="38" t="n">
        <v>400</v>
      </c>
      <c r="AE40" s="38" t="n">
        <v>400</v>
      </c>
      <c r="AF40" s="38" t="n">
        <v>400</v>
      </c>
      <c r="AG40" s="38" t="n">
        <v>400</v>
      </c>
      <c r="AH40" s="38" t="n">
        <v>400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384.51</v>
      </c>
      <c r="C41" s="35" t="n">
        <v>339.51</v>
      </c>
      <c r="D41" s="35" t="n">
        <v>605.71</v>
      </c>
      <c r="E41" s="35" t="n">
        <v>354.44</v>
      </c>
      <c r="F41" s="35" t="n">
        <v>460.6900000000001</v>
      </c>
      <c r="G41" s="35" t="n">
        <v>328.31</v>
      </c>
      <c r="H41" s="35" t="n">
        <v>432.13</v>
      </c>
      <c r="I41" s="35" t="n">
        <v>328.31</v>
      </c>
      <c r="J41" s="35" t="n">
        <v>474.42</v>
      </c>
      <c r="K41" s="35" t="n">
        <v>328.32</v>
      </c>
      <c r="L41" s="35" t="n">
        <v>445.29</v>
      </c>
      <c r="M41" s="35" t="n">
        <v>381.72</v>
      </c>
      <c r="N41" s="36">
        <f>SUM(B41:M41)</f>
        <v/>
      </c>
      <c r="O41" s="37">
        <f>SUMIF('ABA TB'!$R:$R,'ABA P&amp;L'!$A41,'ABA TB'!C:C)</f>
        <v/>
      </c>
      <c r="P41" s="37">
        <f>SUMIF('ABA TB'!$R:$R,'ABA P&amp;L'!$A41,'ABA TB'!D:D)</f>
        <v/>
      </c>
      <c r="Q41" s="37">
        <f>SUMIF('ABA TB'!$R:$R,'ABA P&amp;L'!$A41,'ABA TB'!E:E)</f>
        <v/>
      </c>
      <c r="R41" s="37">
        <f>SUMIF('ABA TB'!$R:$R,'ABA P&amp;L'!$A41,'ABA TB'!F:F)</f>
        <v/>
      </c>
      <c r="S41" s="37">
        <f>SUMIF('ABA TB'!$R:$R,'ABA P&amp;L'!$A41,'ABA TB'!G:G)</f>
        <v/>
      </c>
      <c r="T41" s="37">
        <f>SUMIF('ABA TB'!$R:$R,'ABA P&amp;L'!$A41,'ABA TB'!H:H)</f>
        <v/>
      </c>
      <c r="U41" s="37">
        <f>SUMIF('ABA TB'!$R:$R,'ABA P&amp;L'!$A41,'ABA TB'!I:I)</f>
        <v/>
      </c>
      <c r="V41" s="38" t="n">
        <v>400</v>
      </c>
      <c r="W41" s="38" t="n">
        <v>400</v>
      </c>
      <c r="X41" s="38" t="n">
        <v>400</v>
      </c>
      <c r="Y41" s="38" t="n">
        <v>400</v>
      </c>
      <c r="Z41" s="38" t="n">
        <v>400</v>
      </c>
      <c r="AA41" s="36">
        <f>SUM(O41:U41)</f>
        <v/>
      </c>
      <c r="AB41" s="36">
        <f>SUM(O41:Z41)</f>
        <v/>
      </c>
      <c r="AC41" s="38" t="n">
        <v>400</v>
      </c>
      <c r="AD41" s="38" t="n">
        <v>400</v>
      </c>
      <c r="AE41" s="38" t="n">
        <v>400</v>
      </c>
      <c r="AF41" s="38" t="n">
        <v>400</v>
      </c>
      <c r="AG41" s="38" t="n">
        <v>400</v>
      </c>
      <c r="AH41" s="38" t="n">
        <v>400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137.34</v>
      </c>
      <c r="C42" s="35" t="n">
        <v>73.97</v>
      </c>
      <c r="D42" s="35" t="n">
        <v>80.18000000000001</v>
      </c>
      <c r="E42" s="35" t="n">
        <v>84.22999999999999</v>
      </c>
      <c r="F42" s="35" t="n">
        <v>71.16</v>
      </c>
      <c r="G42" s="35" t="n">
        <v>66.28</v>
      </c>
      <c r="H42" s="35" t="n">
        <v>105.45</v>
      </c>
      <c r="I42" s="35" t="n">
        <v>71.08</v>
      </c>
      <c r="J42" s="35" t="n">
        <v>92.42</v>
      </c>
      <c r="K42" s="35" t="n">
        <v>81.83</v>
      </c>
      <c r="L42" s="35" t="n">
        <v>67.48999999999999</v>
      </c>
      <c r="M42" s="35" t="n">
        <v>78.18000000000001</v>
      </c>
      <c r="N42" s="36">
        <f>SUM(B42:M42)</f>
        <v/>
      </c>
      <c r="O42" s="37">
        <f>SUMIF('ABA TB'!$R:$R,'ABA P&amp;L'!$A42,'ABA TB'!C:C)</f>
        <v/>
      </c>
      <c r="P42" s="37">
        <f>SUMIF('ABA TB'!$R:$R,'ABA P&amp;L'!$A42,'ABA TB'!D:D)</f>
        <v/>
      </c>
      <c r="Q42" s="37">
        <f>SUMIF('ABA TB'!$R:$R,'ABA P&amp;L'!$A42,'ABA TB'!E:E)</f>
        <v/>
      </c>
      <c r="R42" s="37">
        <f>SUMIF('ABA TB'!$R:$R,'ABA P&amp;L'!$A42,'ABA TB'!F:F)</f>
        <v/>
      </c>
      <c r="S42" s="37">
        <f>SUMIF('ABA TB'!$R:$R,'ABA P&amp;L'!$A42,'ABA TB'!G:G)</f>
        <v/>
      </c>
      <c r="T42" s="37">
        <f>SUMIF('ABA TB'!$R:$R,'ABA P&amp;L'!$A42,'ABA TB'!H:H)</f>
        <v/>
      </c>
      <c r="U42" s="37">
        <f>SUMIF('ABA TB'!$R:$R,'ABA P&amp;L'!$A42,'ABA TB'!I:I)</f>
        <v/>
      </c>
      <c r="V42" s="38" t="n">
        <v>106</v>
      </c>
      <c r="W42" s="38" t="n">
        <v>106</v>
      </c>
      <c r="X42" s="38" t="n">
        <v>106</v>
      </c>
      <c r="Y42" s="38" t="n">
        <v>106</v>
      </c>
      <c r="Z42" s="38" t="n">
        <v>106</v>
      </c>
      <c r="AA42" s="36">
        <f>SUM(O42:U42)</f>
        <v/>
      </c>
      <c r="AB42" s="36">
        <f>SUM(O42:Z42)</f>
        <v/>
      </c>
      <c r="AC42" s="38" t="n">
        <v>106</v>
      </c>
      <c r="AD42" s="38" t="n">
        <v>106</v>
      </c>
      <c r="AE42" s="38" t="n">
        <v>106</v>
      </c>
      <c r="AF42" s="38" t="n">
        <v>106</v>
      </c>
      <c r="AG42" s="38" t="n">
        <v>106</v>
      </c>
      <c r="AH42" s="38" t="n">
        <v>106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SUMIF('ABA TB'!$R:$R,'ABA P&amp;L'!$A43,'ABA TB'!C:C)</f>
        <v/>
      </c>
      <c r="P43" s="37">
        <f>SUMIF('ABA TB'!$R:$R,'ABA P&amp;L'!$A43,'ABA TB'!D:D)</f>
        <v/>
      </c>
      <c r="Q43" s="37">
        <f>SUMIF('ABA TB'!$R:$R,'ABA P&amp;L'!$A43,'ABA TB'!E:E)</f>
        <v/>
      </c>
      <c r="R43" s="37">
        <f>SUMIF('ABA TB'!$R:$R,'ABA P&amp;L'!$A43,'ABA TB'!F:F)</f>
        <v/>
      </c>
      <c r="S43" s="37">
        <f>SUMIF('ABA TB'!$R:$R,'ABA P&amp;L'!$A43,'ABA TB'!G:G)</f>
        <v/>
      </c>
      <c r="T43" s="37">
        <f>SUMIF('ABA TB'!$R:$R,'ABA P&amp;L'!$A43,'ABA TB'!H:H)</f>
        <v/>
      </c>
      <c r="U43" s="37">
        <f>SUMIF('ABA TB'!$R:$R,'ABA P&amp;L'!$A43,'ABA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SUMIF('ABA TB'!$R:$R,'ABA P&amp;L'!$A44,'ABA TB'!C:C)</f>
        <v/>
      </c>
      <c r="P44" s="37">
        <f>SUMIF('ABA TB'!$R:$R,'ABA P&amp;L'!$A44,'ABA TB'!D:D)</f>
        <v/>
      </c>
      <c r="Q44" s="37">
        <f>SUMIF('ABA TB'!$R:$R,'ABA P&amp;L'!$A44,'ABA TB'!E:E)</f>
        <v/>
      </c>
      <c r="R44" s="37">
        <f>SUMIF('ABA TB'!$R:$R,'ABA P&amp;L'!$A44,'ABA TB'!F:F)</f>
        <v/>
      </c>
      <c r="S44" s="37">
        <f>SUMIF('ABA TB'!$R:$R,'ABA P&amp;L'!$A44,'ABA TB'!G:G)</f>
        <v/>
      </c>
      <c r="T44" s="37">
        <f>SUMIF('ABA TB'!$R:$R,'ABA P&amp;L'!$A44,'ABA TB'!H:H)</f>
        <v/>
      </c>
      <c r="U44" s="37">
        <f>SUMIF('ABA TB'!$R:$R,'ABA P&amp;L'!$A44,'ABA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588.8100000000001</v>
      </c>
      <c r="E45" s="35" t="n">
        <v>0</v>
      </c>
      <c r="F45" s="35" t="n">
        <v>0</v>
      </c>
      <c r="G45" s="35" t="n">
        <v>45</v>
      </c>
      <c r="H45" s="35" t="n">
        <v>0</v>
      </c>
      <c r="I45" s="35" t="n">
        <v>45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SUMIF('ABA TB'!$R:$R,'ABA P&amp;L'!$A45,'ABA TB'!C:C)</f>
        <v/>
      </c>
      <c r="P45" s="37">
        <f>SUMIF('ABA TB'!$R:$R,'ABA P&amp;L'!$A45,'ABA TB'!D:D)</f>
        <v/>
      </c>
      <c r="Q45" s="37">
        <f>SUMIF('ABA TB'!$R:$R,'ABA P&amp;L'!$A45,'ABA TB'!E:E)</f>
        <v/>
      </c>
      <c r="R45" s="37">
        <f>SUMIF('ABA TB'!$R:$R,'ABA P&amp;L'!$A45,'ABA TB'!F:F)</f>
        <v/>
      </c>
      <c r="S45" s="37">
        <f>SUMIF('ABA TB'!$R:$R,'ABA P&amp;L'!$A45,'ABA TB'!G:G)</f>
        <v/>
      </c>
      <c r="T45" s="37">
        <f>SUMIF('ABA TB'!$R:$R,'ABA P&amp;L'!$A45,'ABA TB'!H:H)</f>
        <v/>
      </c>
      <c r="U45" s="37">
        <f>SUMIF('ABA TB'!$R:$R,'ABA P&amp;L'!$A45,'ABA TB'!I:I)</f>
        <v/>
      </c>
      <c r="V45" s="38" t="n">
        <v>106</v>
      </c>
      <c r="W45" s="38" t="n">
        <v>106</v>
      </c>
      <c r="X45" s="38" t="n">
        <v>106</v>
      </c>
      <c r="Y45" s="38" t="n">
        <v>106</v>
      </c>
      <c r="Z45" s="38" t="n">
        <v>106</v>
      </c>
      <c r="AA45" s="36">
        <f>SUM(O45:U45)</f>
        <v/>
      </c>
      <c r="AB45" s="36">
        <f>SUM(O45:Z45)</f>
        <v/>
      </c>
      <c r="AC45" s="38" t="n">
        <v>106</v>
      </c>
      <c r="AD45" s="38" t="n">
        <v>106</v>
      </c>
      <c r="AE45" s="38" t="n">
        <v>106</v>
      </c>
      <c r="AF45" s="38" t="n">
        <v>106</v>
      </c>
      <c r="AG45" s="38" t="n">
        <v>106</v>
      </c>
      <c r="AH45" s="38" t="n">
        <v>106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SUMIF('ABA TB'!$R:$R,'ABA P&amp;L'!$A46,'ABA TB'!C:C)</f>
        <v/>
      </c>
      <c r="P46" s="37">
        <f>SUMIF('ABA TB'!$R:$R,'ABA P&amp;L'!$A46,'ABA TB'!D:D)</f>
        <v/>
      </c>
      <c r="Q46" s="37">
        <f>SUMIF('ABA TB'!$R:$R,'ABA P&amp;L'!$A46,'ABA TB'!E:E)</f>
        <v/>
      </c>
      <c r="R46" s="37">
        <f>SUMIF('ABA TB'!$R:$R,'ABA P&amp;L'!$A46,'ABA TB'!F:F)</f>
        <v/>
      </c>
      <c r="S46" s="37">
        <f>SUMIF('ABA TB'!$R:$R,'ABA P&amp;L'!$A46,'ABA TB'!G:G)</f>
        <v/>
      </c>
      <c r="T46" s="37">
        <f>SUMIF('ABA TB'!$R:$R,'ABA P&amp;L'!$A46,'ABA TB'!H:H)</f>
        <v/>
      </c>
      <c r="U46" s="37">
        <f>SUMIF('ABA TB'!$R:$R,'ABA P&amp;L'!$A46,'ABA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4780.1</v>
      </c>
      <c r="C47" s="42" t="n">
        <v>8320.059999999999</v>
      </c>
      <c r="D47" s="42" t="n">
        <v>5517.520000000001</v>
      </c>
      <c r="E47" s="42" t="n">
        <v>4392.789999999999</v>
      </c>
      <c r="F47" s="42" t="n">
        <v>8657.039999999999</v>
      </c>
      <c r="G47" s="42" t="n">
        <v>4962.5</v>
      </c>
      <c r="H47" s="42" t="n">
        <v>3347.37</v>
      </c>
      <c r="I47" s="42" t="n">
        <v>4219.17</v>
      </c>
      <c r="J47" s="42" t="n">
        <v>3093.06</v>
      </c>
      <c r="K47" s="42" t="n">
        <v>7996.509999999999</v>
      </c>
      <c r="L47" s="42" t="n">
        <v>4474.809999999999</v>
      </c>
      <c r="M47" s="42" t="n">
        <v>6126.900000000001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8" t="inlineStr">
        <is>
          <t>Total Direct Costs</t>
        </is>
      </c>
      <c r="B48" s="29" t="n">
        <v>41531.32</v>
      </c>
      <c r="C48" s="29" t="n">
        <v>46853.56999999999</v>
      </c>
      <c r="D48" s="29" t="n">
        <v>45392.64</v>
      </c>
      <c r="E48" s="29" t="n">
        <v>46843.02999999999</v>
      </c>
      <c r="F48" s="29" t="n">
        <v>53048.95</v>
      </c>
      <c r="G48" s="29" t="n">
        <v>50091.76</v>
      </c>
      <c r="H48" s="29" t="n">
        <v>53413.99</v>
      </c>
      <c r="I48" s="29" t="n">
        <v>47376.62</v>
      </c>
      <c r="J48" s="29" t="n">
        <v>45231.29</v>
      </c>
      <c r="K48" s="29" t="n">
        <v>48751.78</v>
      </c>
      <c r="L48" s="29" t="n">
        <v>45921.57</v>
      </c>
      <c r="M48" s="29" t="n">
        <v>47357.71000000001</v>
      </c>
      <c r="N48" s="36">
        <f>SUM(B48:M48)</f>
        <v/>
      </c>
      <c r="O48" s="31">
        <f t="array" ref="O48">O25+O34+_xlfn.ANCHORARRAY(O47)</f>
        <v/>
      </c>
      <c r="P48" s="31">
        <f t="array" ref="P48">P25+P34+_xlfn.ANCHORARRAY(P47)</f>
        <v/>
      </c>
      <c r="Q48" s="31">
        <f t="array" ref="Q48">Q25+Q34+_xlfn.ANCHORARRAY(Q47)</f>
        <v/>
      </c>
      <c r="R48" s="31">
        <f t="array" ref="R48">R25+R34+_xlfn.ANCHORARRAY(R47)</f>
        <v/>
      </c>
      <c r="S48" s="31">
        <f t="array" ref="S48">S25+S34+_xlfn.ANCHORARRAY(S47)</f>
        <v/>
      </c>
      <c r="T48" s="31">
        <f t="array" ref="T48">T25+T34+_xlfn.ANCHORARRAY(T47)</f>
        <v/>
      </c>
      <c r="U48" s="31">
        <f t="array" ref="U48">U25+U34+_xlfn.ANCHORARRAY(U47)</f>
        <v/>
      </c>
      <c r="V48" s="32">
        <f>V25+V34+V47</f>
        <v/>
      </c>
      <c r="W48" s="32">
        <f>W25+W34+W47</f>
        <v/>
      </c>
      <c r="X48" s="32">
        <f>X25+X34+X47</f>
        <v/>
      </c>
      <c r="Y48" s="32">
        <f>Y25+Y34+Y47</f>
        <v/>
      </c>
      <c r="Z48" s="32">
        <f>Z25+Z34+Z47</f>
        <v/>
      </c>
      <c r="AA48" s="36">
        <f>AA25+AA34+AA47</f>
        <v/>
      </c>
      <c r="AB48" s="36">
        <f>AB25+AB34+AB47</f>
        <v/>
      </c>
      <c r="AC48" s="32">
        <f>AC25+AC34+AC47</f>
        <v/>
      </c>
      <c r="AD48" s="32">
        <f>AD25+AD34+AD47</f>
        <v/>
      </c>
      <c r="AE48" s="32">
        <f>AE25+AE34+AE47</f>
        <v/>
      </c>
      <c r="AF48" s="32">
        <f>AF25+AF34+AF47</f>
        <v/>
      </c>
      <c r="AG48" s="32">
        <f>AG25+AG34+AG47</f>
        <v/>
      </c>
      <c r="AH48" s="32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15985.21</v>
      </c>
      <c r="C50" s="55" t="n">
        <v>31703.78</v>
      </c>
      <c r="D50" s="55" t="n">
        <v>48064.28</v>
      </c>
      <c r="E50" s="55" t="n">
        <v>24369.91000000001</v>
      </c>
      <c r="F50" s="55" t="n">
        <v>14047.82</v>
      </c>
      <c r="G50" s="55" t="n">
        <v>48990.21</v>
      </c>
      <c r="H50" s="55" t="n">
        <v>56001.01</v>
      </c>
      <c r="I50" s="55" t="n">
        <v>10667.11</v>
      </c>
      <c r="J50" s="55" t="n">
        <v>13968.36</v>
      </c>
      <c r="K50" s="55" t="n">
        <v>33157.77</v>
      </c>
      <c r="L50" s="55" t="n">
        <v>33328.81</v>
      </c>
      <c r="M50" s="55" t="n">
        <v>48708.87999999999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SUM(O50:Z50)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SUMIF('ABA TB'!$R:$R,'ABA P&amp;L'!$A53,'ABA TB'!C:C)</f>
        <v/>
      </c>
      <c r="P53" s="37">
        <f>SUMIF('ABA TB'!$R:$R,'ABA P&amp;L'!$A53,'ABA TB'!D:D)</f>
        <v/>
      </c>
      <c r="Q53" s="37">
        <f>SUMIF('ABA TB'!$R:$R,'ABA P&amp;L'!$A53,'ABA TB'!E:E)</f>
        <v/>
      </c>
      <c r="R53" s="37">
        <f>SUMIF('ABA TB'!$R:$R,'ABA P&amp;L'!$A53,'ABA TB'!F:F)</f>
        <v/>
      </c>
      <c r="S53" s="37">
        <f>SUMIF('ABA TB'!$R:$R,'ABA P&amp;L'!$A53,'ABA TB'!G:G)</f>
        <v/>
      </c>
      <c r="T53" s="37">
        <f>SUMIF('ABA TB'!$R:$R,'ABA P&amp;L'!$A53,'ABA TB'!H:H)</f>
        <v/>
      </c>
      <c r="U53" s="37">
        <f>SUMIF('ABA TB'!$R:$R,'ABA P&amp;L'!$A53,'ABA TB'!I:I)</f>
        <v/>
      </c>
      <c r="V53" s="38" t="n">
        <v>0</v>
      </c>
      <c r="W53" s="38" t="n">
        <v>0</v>
      </c>
      <c r="X53" s="38" t="n">
        <v>0</v>
      </c>
      <c r="Y53" s="38" t="n">
        <v>0</v>
      </c>
      <c r="Z53" s="38" t="n">
        <v>0</v>
      </c>
      <c r="AA53" s="36">
        <f>SUM(O53:U53)</f>
        <v/>
      </c>
      <c r="AB53" s="36">
        <f>SUM(O53:Z53)</f>
        <v/>
      </c>
      <c r="AC53" s="38" t="n">
        <v>0</v>
      </c>
      <c r="AD53" s="38" t="n">
        <v>0</v>
      </c>
      <c r="AE53" s="38" t="n">
        <v>0</v>
      </c>
      <c r="AF53" s="38" t="n">
        <v>0</v>
      </c>
      <c r="AG53" s="38" t="n">
        <v>0</v>
      </c>
      <c r="AH53" s="38" t="n">
        <v>0</v>
      </c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SUMIF('ABA TB'!$R:$R,'ABA P&amp;L'!$A54,'ABA TB'!C:C)</f>
        <v/>
      </c>
      <c r="P54" s="37">
        <f>SUMIF('ABA TB'!$R:$R,'ABA P&amp;L'!$A54,'ABA TB'!D:D)</f>
        <v/>
      </c>
      <c r="Q54" s="37">
        <f>SUMIF('ABA TB'!$R:$R,'ABA P&amp;L'!$A54,'ABA TB'!E:E)</f>
        <v/>
      </c>
      <c r="R54" s="37">
        <f>SUMIF('ABA TB'!$R:$R,'ABA P&amp;L'!$A54,'ABA TB'!F:F)</f>
        <v/>
      </c>
      <c r="S54" s="37">
        <f>SUMIF('ABA TB'!$R:$R,'ABA P&amp;L'!$A54,'ABA TB'!G:G)</f>
        <v/>
      </c>
      <c r="T54" s="37">
        <f>SUMIF('ABA TB'!$R:$R,'ABA P&amp;L'!$A54,'ABA TB'!H:H)</f>
        <v/>
      </c>
      <c r="U54" s="37">
        <f>SUMIF('ABA TB'!$R:$R,'ABA P&amp;L'!$A54,'ABA TB'!I:I)</f>
        <v/>
      </c>
      <c r="V54" s="38" t="n">
        <v>0</v>
      </c>
      <c r="W54" s="38" t="n">
        <v>0</v>
      </c>
      <c r="X54" s="38" t="n">
        <v>0</v>
      </c>
      <c r="Y54" s="38" t="n">
        <v>0</v>
      </c>
      <c r="Z54" s="38" t="n">
        <v>0</v>
      </c>
      <c r="AA54" s="36">
        <f>SUM(O54:U54)</f>
        <v/>
      </c>
      <c r="AB54" s="36">
        <f>SUM(O54:Z54)</f>
        <v/>
      </c>
      <c r="AC54" s="38" t="n">
        <v>0</v>
      </c>
      <c r="AD54" s="38" t="n">
        <v>0</v>
      </c>
      <c r="AE54" s="38" t="n">
        <v>0</v>
      </c>
      <c r="AF54" s="38" t="n">
        <v>0</v>
      </c>
      <c r="AG54" s="38" t="n">
        <v>0</v>
      </c>
      <c r="AH54" s="38" t="n">
        <v>0</v>
      </c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SUMIF('ABA TB'!$R:$R,'ABA P&amp;L'!$A55,'ABA TB'!C:C)</f>
        <v/>
      </c>
      <c r="P55" s="37">
        <f>SUMIF('ABA TB'!$R:$R,'ABA P&amp;L'!$A55,'ABA TB'!D:D)</f>
        <v/>
      </c>
      <c r="Q55" s="37">
        <f>SUMIF('ABA TB'!$R:$R,'ABA P&amp;L'!$A55,'ABA TB'!E:E)</f>
        <v/>
      </c>
      <c r="R55" s="37">
        <f>SUMIF('ABA TB'!$R:$R,'ABA P&amp;L'!$A55,'ABA TB'!F:F)</f>
        <v/>
      </c>
      <c r="S55" s="37">
        <f>SUMIF('ABA TB'!$R:$R,'ABA P&amp;L'!$A55,'ABA TB'!G:G)</f>
        <v/>
      </c>
      <c r="T55" s="37">
        <f>SUMIF('ABA TB'!$R:$R,'ABA P&amp;L'!$A55,'ABA TB'!H:H)</f>
        <v/>
      </c>
      <c r="U55" s="37">
        <f>SUMIF('ABA TB'!$R:$R,'ABA P&amp;L'!$A55,'ABA TB'!I:I)</f>
        <v/>
      </c>
      <c r="V55" s="38" t="n">
        <v>0</v>
      </c>
      <c r="W55" s="38" t="n">
        <v>0</v>
      </c>
      <c r="X55" s="38" t="n">
        <v>0</v>
      </c>
      <c r="Y55" s="38" t="n">
        <v>0</v>
      </c>
      <c r="Z55" s="38" t="n">
        <v>0</v>
      </c>
      <c r="AA55" s="36">
        <f>SUM(O55:U55)</f>
        <v/>
      </c>
      <c r="AB55" s="36">
        <f>SUM(O55:Z55)</f>
        <v/>
      </c>
      <c r="AC55" s="38" t="n">
        <v>0</v>
      </c>
      <c r="AD55" s="38" t="n">
        <v>0</v>
      </c>
      <c r="AE55" s="38" t="n">
        <v>0</v>
      </c>
      <c r="AF55" s="38" t="n">
        <v>0</v>
      </c>
      <c r="AG55" s="38" t="n">
        <v>0</v>
      </c>
      <c r="AH55" s="38" t="n">
        <v>0</v>
      </c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SUMIF('ABA TB'!$R:$R,'ABA P&amp;L'!$A56,'ABA TB'!C:C)</f>
        <v/>
      </c>
      <c r="P56" s="37">
        <f>SUMIF('ABA TB'!$R:$R,'ABA P&amp;L'!$A56,'ABA TB'!D:D)</f>
        <v/>
      </c>
      <c r="Q56" s="37">
        <f>SUMIF('ABA TB'!$R:$R,'ABA P&amp;L'!$A56,'ABA TB'!E:E)</f>
        <v/>
      </c>
      <c r="R56" s="37">
        <f>SUMIF('ABA TB'!$R:$R,'ABA P&amp;L'!$A56,'ABA TB'!F:F)</f>
        <v/>
      </c>
      <c r="S56" s="37">
        <f>SUMIF('ABA TB'!$R:$R,'ABA P&amp;L'!$A56,'ABA TB'!G:G)</f>
        <v/>
      </c>
      <c r="T56" s="37">
        <f>SUMIF('ABA TB'!$R:$R,'ABA P&amp;L'!$A56,'ABA TB'!H:H)</f>
        <v/>
      </c>
      <c r="U56" s="37">
        <f>SUMIF('ABA TB'!$R:$R,'ABA P&amp;L'!$A56,'ABA TB'!I:I)</f>
        <v/>
      </c>
      <c r="V56" s="38" t="n">
        <v>0</v>
      </c>
      <c r="W56" s="38" t="n">
        <v>0</v>
      </c>
      <c r="X56" s="38" t="n">
        <v>0</v>
      </c>
      <c r="Y56" s="38" t="n">
        <v>0</v>
      </c>
      <c r="Z56" s="38" t="n">
        <v>0</v>
      </c>
      <c r="AA56" s="36">
        <f>SUM(O56:U56)</f>
        <v/>
      </c>
      <c r="AB56" s="36">
        <f>SUM(O56:Z56)</f>
        <v/>
      </c>
      <c r="AC56" s="38" t="n">
        <v>0</v>
      </c>
      <c r="AD56" s="38" t="n">
        <v>0</v>
      </c>
      <c r="AE56" s="38" t="n">
        <v>0</v>
      </c>
      <c r="AF56" s="38" t="n">
        <v>0</v>
      </c>
      <c r="AG56" s="38" t="n">
        <v>0</v>
      </c>
      <c r="AH56" s="38" t="n">
        <v>0</v>
      </c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80</v>
      </c>
      <c r="M57" s="35" t="n">
        <v>321.43</v>
      </c>
      <c r="N57" s="36">
        <f>SUM(B57:M57)</f>
        <v/>
      </c>
      <c r="O57" s="37">
        <f>SUMIF('ABA TB'!$R:$R,'ABA P&amp;L'!$A57,'ABA TB'!C:C)</f>
        <v/>
      </c>
      <c r="P57" s="37">
        <f>SUMIF('ABA TB'!$R:$R,'ABA P&amp;L'!$A57,'ABA TB'!D:D)</f>
        <v/>
      </c>
      <c r="Q57" s="37">
        <f>SUMIF('ABA TB'!$R:$R,'ABA P&amp;L'!$A57,'ABA TB'!E:E)</f>
        <v/>
      </c>
      <c r="R57" s="37">
        <f>SUMIF('ABA TB'!$R:$R,'ABA P&amp;L'!$A57,'ABA TB'!F:F)</f>
        <v/>
      </c>
      <c r="S57" s="37">
        <f>SUMIF('ABA TB'!$R:$R,'ABA P&amp;L'!$A57,'ABA TB'!G:G)</f>
        <v/>
      </c>
      <c r="T57" s="37">
        <f>SUMIF('ABA TB'!$R:$R,'ABA P&amp;L'!$A57,'ABA TB'!H:H)</f>
        <v/>
      </c>
      <c r="U57" s="37">
        <f>SUMIF('ABA TB'!$R:$R,'ABA P&amp;L'!$A57,'ABA TB'!I:I)</f>
        <v/>
      </c>
      <c r="V57" s="38" t="n">
        <v>0</v>
      </c>
      <c r="W57" s="38" t="n">
        <v>0</v>
      </c>
      <c r="X57" s="38" t="n">
        <v>0</v>
      </c>
      <c r="Y57" s="38" t="n">
        <v>0</v>
      </c>
      <c r="Z57" s="38">
        <f>19*30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SUMIF('ABA TB'!$R:$R,'ABA P&amp;L'!$A58,'ABA TB'!C:C)</f>
        <v/>
      </c>
      <c r="P58" s="37">
        <f>SUMIF('ABA TB'!$R:$R,'ABA P&amp;L'!$A58,'ABA TB'!D:D)</f>
        <v/>
      </c>
      <c r="Q58" s="37">
        <f>SUMIF('ABA TB'!$R:$R,'ABA P&amp;L'!$A58,'ABA TB'!E:E)</f>
        <v/>
      </c>
      <c r="R58" s="37">
        <f>SUMIF('ABA TB'!$R:$R,'ABA P&amp;L'!$A58,'ABA TB'!F:F)</f>
        <v/>
      </c>
      <c r="S58" s="37">
        <f>SUMIF('ABA TB'!$R:$R,'ABA P&amp;L'!$A58,'ABA TB'!G:G)</f>
        <v/>
      </c>
      <c r="T58" s="37">
        <f>SUMIF('ABA TB'!$R:$R,'ABA P&amp;L'!$A58,'ABA TB'!H:H)</f>
        <v/>
      </c>
      <c r="U58" s="37">
        <f>SUMIF('ABA TB'!$R:$R,'ABA P&amp;L'!$A58,'ABA TB'!I:I)</f>
        <v/>
      </c>
      <c r="V58" s="38" t="n">
        <v>0</v>
      </c>
      <c r="W58" s="38" t="n">
        <v>0</v>
      </c>
      <c r="X58" s="38" t="n">
        <v>0</v>
      </c>
      <c r="Y58" s="38" t="n">
        <v>0</v>
      </c>
      <c r="Z58" s="38" t="n">
        <v>0</v>
      </c>
      <c r="AA58" s="36">
        <f>SUM(O58:U58)</f>
        <v/>
      </c>
      <c r="AB58" s="36">
        <f>SUM(O58:Z58)</f>
        <v/>
      </c>
      <c r="AC58" s="38" t="n">
        <v>0</v>
      </c>
      <c r="AD58" s="38" t="n">
        <v>0</v>
      </c>
      <c r="AE58" s="38" t="n">
        <v>0</v>
      </c>
      <c r="AF58" s="38" t="n">
        <v>0</v>
      </c>
      <c r="AG58" s="38" t="n">
        <v>0</v>
      </c>
      <c r="AH58" s="38" t="n">
        <v>0</v>
      </c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SUMIF('ABA TB'!$R:$R,'ABA P&amp;L'!$A59,'ABA TB'!C:C)</f>
        <v/>
      </c>
      <c r="P59" s="37">
        <f>SUMIF('ABA TB'!$R:$R,'ABA P&amp;L'!$A59,'ABA TB'!D:D)</f>
        <v/>
      </c>
      <c r="Q59" s="37">
        <f>SUMIF('ABA TB'!$R:$R,'ABA P&amp;L'!$A59,'ABA TB'!E:E)</f>
        <v/>
      </c>
      <c r="R59" s="37">
        <f>SUMIF('ABA TB'!$R:$R,'ABA P&amp;L'!$A59,'ABA TB'!F:F)</f>
        <v/>
      </c>
      <c r="S59" s="37">
        <f>SUMIF('ABA TB'!$R:$R,'ABA P&amp;L'!$A59,'ABA TB'!G:G)</f>
        <v/>
      </c>
      <c r="T59" s="37">
        <f>SUMIF('ABA TB'!$R:$R,'ABA P&amp;L'!$A59,'ABA TB'!H:H)</f>
        <v/>
      </c>
      <c r="U59" s="37">
        <f>SUMIF('ABA TB'!$R:$R,'ABA P&amp;L'!$A59,'ABA TB'!I:I)</f>
        <v/>
      </c>
      <c r="V59" s="38">
        <f>215*1.06</f>
        <v/>
      </c>
      <c r="W59" s="38">
        <f>215*1.06</f>
        <v/>
      </c>
      <c r="X59" s="38">
        <f>215*1.06</f>
        <v/>
      </c>
      <c r="Y59" s="38">
        <f>215*1.06</f>
        <v/>
      </c>
      <c r="Z59" s="38">
        <f>215*1.06</f>
        <v/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6</v>
      </c>
      <c r="C60" s="35" t="n">
        <v>6.6</v>
      </c>
      <c r="D60" s="35" t="n">
        <v>6.6</v>
      </c>
      <c r="E60" s="35" t="n">
        <v>7.2</v>
      </c>
      <c r="F60" s="35" t="n">
        <v>7.199999999999999</v>
      </c>
      <c r="G60" s="35" t="n">
        <v>6.6</v>
      </c>
      <c r="H60" s="35" t="n">
        <v>7.8</v>
      </c>
      <c r="I60" s="35" t="n">
        <v>6</v>
      </c>
      <c r="J60" s="35" t="n">
        <v>5.4</v>
      </c>
      <c r="K60" s="35" t="n">
        <v>70.59999999999999</v>
      </c>
      <c r="L60" s="35" t="n">
        <v>3.6</v>
      </c>
      <c r="M60" s="35" t="n">
        <v>3</v>
      </c>
      <c r="N60" s="36">
        <f>SUM(B60:M60)</f>
        <v/>
      </c>
      <c r="O60" s="37">
        <f>SUMIF('ABA TB'!$R:$R,'ABA P&amp;L'!$A60,'ABA TB'!C:C)</f>
        <v/>
      </c>
      <c r="P60" s="37">
        <f>SUMIF('ABA TB'!$R:$R,'ABA P&amp;L'!$A60,'ABA TB'!D:D)</f>
        <v/>
      </c>
      <c r="Q60" s="37">
        <f>SUMIF('ABA TB'!$R:$R,'ABA P&amp;L'!$A60,'ABA TB'!E:E)</f>
        <v/>
      </c>
      <c r="R60" s="37">
        <f>SUMIF('ABA TB'!$R:$R,'ABA P&amp;L'!$A60,'ABA TB'!F:F)</f>
        <v/>
      </c>
      <c r="S60" s="37">
        <f>SUMIF('ABA TB'!$R:$R,'ABA P&amp;L'!$A60,'ABA TB'!G:G)</f>
        <v/>
      </c>
      <c r="T60" s="37">
        <f>SUMIF('ABA TB'!$R:$R,'ABA P&amp;L'!$A60,'ABA TB'!H:H)</f>
        <v/>
      </c>
      <c r="U60" s="37">
        <f>SUMIF('ABA TB'!$R:$R,'ABA P&amp;L'!$A60,'ABA TB'!I:I)</f>
        <v/>
      </c>
      <c r="V60" s="38" t="n">
        <v>5</v>
      </c>
      <c r="W60" s="38" t="n">
        <v>5</v>
      </c>
      <c r="X60" s="38" t="n">
        <v>5</v>
      </c>
      <c r="Y60" s="38" t="n">
        <v>5</v>
      </c>
      <c r="Z60" s="38" t="n">
        <v>5</v>
      </c>
      <c r="AA60" s="36">
        <f>SUM(O60:U60)</f>
        <v/>
      </c>
      <c r="AB60" s="36">
        <f>SUM(O60:Z60)</f>
        <v/>
      </c>
      <c r="AC60" s="38" t="n">
        <v>5</v>
      </c>
      <c r="AD60" s="38" t="n">
        <v>5</v>
      </c>
      <c r="AE60" s="38" t="n">
        <v>5</v>
      </c>
      <c r="AF60" s="38" t="n">
        <v>5</v>
      </c>
      <c r="AG60" s="38" t="n">
        <v>5</v>
      </c>
      <c r="AH60" s="38" t="n">
        <v>5</v>
      </c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22.04</v>
      </c>
      <c r="E61" s="35" t="n">
        <v>21.36</v>
      </c>
      <c r="F61" s="35" t="n">
        <v>39.06</v>
      </c>
      <c r="G61" s="35" t="n">
        <v>6.99</v>
      </c>
      <c r="H61" s="35" t="n">
        <v>0</v>
      </c>
      <c r="I61" s="35" t="n">
        <v>0</v>
      </c>
      <c r="J61" s="35" t="n">
        <v>0</v>
      </c>
      <c r="K61" s="35" t="n">
        <v>52.6</v>
      </c>
      <c r="L61" s="35" t="n">
        <v>54.23</v>
      </c>
      <c r="M61" s="35" t="n">
        <v>0</v>
      </c>
      <c r="N61" s="36">
        <f>SUM(B61:M61)</f>
        <v/>
      </c>
      <c r="O61" s="37">
        <f>SUMIF('ABA TB'!$R:$R,'ABA P&amp;L'!$A61,'ABA TB'!C:C)</f>
        <v/>
      </c>
      <c r="P61" s="37">
        <f>SUMIF('ABA TB'!$R:$R,'ABA P&amp;L'!$A61,'ABA TB'!D:D)</f>
        <v/>
      </c>
      <c r="Q61" s="37">
        <f>SUMIF('ABA TB'!$R:$R,'ABA P&amp;L'!$A61,'ABA TB'!E:E)</f>
        <v/>
      </c>
      <c r="R61" s="37">
        <f>SUMIF('ABA TB'!$R:$R,'ABA P&amp;L'!$A61,'ABA TB'!F:F)</f>
        <v/>
      </c>
      <c r="S61" s="37">
        <f>SUMIF('ABA TB'!$R:$R,'ABA P&amp;L'!$A61,'ABA TB'!G:G)</f>
        <v/>
      </c>
      <c r="T61" s="37">
        <f>SUMIF('ABA TB'!$R:$R,'ABA P&amp;L'!$A61,'ABA TB'!H:H)</f>
        <v/>
      </c>
      <c r="U61" s="37">
        <f>SUMIF('ABA TB'!$R:$R,'ABA P&amp;L'!$A61,'ABA TB'!I:I)</f>
        <v/>
      </c>
      <c r="V61" s="38" t="n">
        <v>0</v>
      </c>
      <c r="W61" s="38" t="n">
        <v>0</v>
      </c>
      <c r="X61" s="38" t="n">
        <v>0</v>
      </c>
      <c r="Y61" s="38" t="n">
        <v>0</v>
      </c>
      <c r="Z61" s="38" t="n">
        <v>0</v>
      </c>
      <c r="AA61" s="36">
        <f>SUM(O61:U61)</f>
        <v/>
      </c>
      <c r="AB61" s="36">
        <f>SUM(O61:Z61)</f>
        <v/>
      </c>
      <c r="AC61" s="38" t="n">
        <v>0</v>
      </c>
      <c r="AD61" s="38" t="n">
        <v>0</v>
      </c>
      <c r="AE61" s="38" t="n">
        <v>0</v>
      </c>
      <c r="AF61" s="38" t="n">
        <v>0</v>
      </c>
      <c r="AG61" s="38" t="n">
        <v>0</v>
      </c>
      <c r="AH61" s="38" t="n">
        <v>0</v>
      </c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1.5</v>
      </c>
      <c r="D62" s="35" t="n">
        <v>67</v>
      </c>
      <c r="E62" s="35" t="n">
        <v>107</v>
      </c>
      <c r="F62" s="35" t="n">
        <v>58</v>
      </c>
      <c r="G62" s="35" t="n">
        <v>35.6</v>
      </c>
      <c r="H62" s="35" t="n">
        <v>0</v>
      </c>
      <c r="I62" s="35" t="n">
        <v>60</v>
      </c>
      <c r="J62" s="35" t="n">
        <v>0</v>
      </c>
      <c r="K62" s="35" t="n">
        <v>0</v>
      </c>
      <c r="L62" s="35" t="n">
        <v>11.2</v>
      </c>
      <c r="M62" s="35" t="n">
        <v>3.4</v>
      </c>
      <c r="N62" s="36">
        <f>SUM(B62:M62)</f>
        <v/>
      </c>
      <c r="O62" s="37">
        <f>SUMIF('ABA TB'!$R:$R,'ABA P&amp;L'!$A62,'ABA TB'!C:C)</f>
        <v/>
      </c>
      <c r="P62" s="37">
        <f>SUMIF('ABA TB'!$R:$R,'ABA P&amp;L'!$A62,'ABA TB'!D:D)</f>
        <v/>
      </c>
      <c r="Q62" s="37">
        <f>SUMIF('ABA TB'!$R:$R,'ABA P&amp;L'!$A62,'ABA TB'!E:E)</f>
        <v/>
      </c>
      <c r="R62" s="37">
        <f>SUMIF('ABA TB'!$R:$R,'ABA P&amp;L'!$A62,'ABA TB'!F:F)</f>
        <v/>
      </c>
      <c r="S62" s="37">
        <f>SUMIF('ABA TB'!$R:$R,'ABA P&amp;L'!$A62,'ABA TB'!G:G)</f>
        <v/>
      </c>
      <c r="T62" s="37">
        <f>SUMIF('ABA TB'!$R:$R,'ABA P&amp;L'!$A62,'ABA TB'!H:H)</f>
        <v/>
      </c>
      <c r="U62" s="37">
        <f>SUMIF('ABA TB'!$R:$R,'ABA P&amp;L'!$A62,'ABA TB'!I:I)</f>
        <v/>
      </c>
      <c r="V62" s="38" t="n">
        <v>0</v>
      </c>
      <c r="W62" s="38" t="n">
        <v>0</v>
      </c>
      <c r="X62" s="38" t="n">
        <v>0</v>
      </c>
      <c r="Y62" s="38" t="n">
        <v>0</v>
      </c>
      <c r="Z62" s="38" t="n">
        <v>0</v>
      </c>
      <c r="AA62" s="36">
        <f>SUM(O62:U62)</f>
        <v/>
      </c>
      <c r="AB62" s="36">
        <f>SUM(O62:Z62)</f>
        <v/>
      </c>
      <c r="AC62" s="38" t="n">
        <v>0</v>
      </c>
      <c r="AD62" s="38" t="n">
        <v>0</v>
      </c>
      <c r="AE62" s="38" t="n">
        <v>0</v>
      </c>
      <c r="AF62" s="38" t="n">
        <v>0</v>
      </c>
      <c r="AG62" s="38" t="n">
        <v>0</v>
      </c>
      <c r="AH62" s="38" t="n">
        <v>0</v>
      </c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SUMIF('ABA TB'!$R:$R,'ABA P&amp;L'!$A63,'ABA TB'!C:C)</f>
        <v/>
      </c>
      <c r="P63" s="37">
        <f>SUMIF('ABA TB'!$R:$R,'ABA P&amp;L'!$A63,'ABA TB'!D:D)</f>
        <v/>
      </c>
      <c r="Q63" s="37">
        <f>SUMIF('ABA TB'!$R:$R,'ABA P&amp;L'!$A63,'ABA TB'!E:E)</f>
        <v/>
      </c>
      <c r="R63" s="37">
        <f>SUMIF('ABA TB'!$R:$R,'ABA P&amp;L'!$A63,'ABA TB'!F:F)</f>
        <v/>
      </c>
      <c r="S63" s="37">
        <f>SUMIF('ABA TB'!$R:$R,'ABA P&amp;L'!$A63,'ABA TB'!G:G)</f>
        <v/>
      </c>
      <c r="T63" s="37">
        <f>SUMIF('ABA TB'!$R:$R,'ABA P&amp;L'!$A63,'ABA TB'!H:H)</f>
        <v/>
      </c>
      <c r="U63" s="37">
        <f>SUMIF('ABA TB'!$R:$R,'ABA P&amp;L'!$A63,'ABA TB'!I:I)</f>
        <v/>
      </c>
      <c r="V63" s="38" t="n">
        <v>0</v>
      </c>
      <c r="W63" s="38" t="n">
        <v>0</v>
      </c>
      <c r="X63" s="38" t="n">
        <v>0</v>
      </c>
      <c r="Y63" s="38" t="n">
        <v>0</v>
      </c>
      <c r="Z63" s="38" t="n">
        <v>0</v>
      </c>
      <c r="AA63" s="36">
        <f>SUM(O63:U63)</f>
        <v/>
      </c>
      <c r="AB63" s="36">
        <f>SUM(O63:Z63)</f>
        <v/>
      </c>
      <c r="AC63" s="38" t="n">
        <v>0</v>
      </c>
      <c r="AD63" s="38" t="n">
        <v>0</v>
      </c>
      <c r="AE63" s="38" t="n">
        <v>0</v>
      </c>
      <c r="AF63" s="38" t="n">
        <v>0</v>
      </c>
      <c r="AG63" s="38" t="n">
        <v>0</v>
      </c>
      <c r="AH63" s="38" t="n">
        <v>0</v>
      </c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SUMIF('ABA TB'!$R:$R,'ABA P&amp;L'!$A64,'ABA TB'!C:C)</f>
        <v/>
      </c>
      <c r="P64" s="37">
        <f>SUMIF('ABA TB'!$R:$R,'ABA P&amp;L'!$A64,'ABA TB'!D:D)</f>
        <v/>
      </c>
      <c r="Q64" s="37">
        <f>SUMIF('ABA TB'!$R:$R,'ABA P&amp;L'!$A64,'ABA TB'!E:E)</f>
        <v/>
      </c>
      <c r="R64" s="37">
        <f>SUMIF('ABA TB'!$R:$R,'ABA P&amp;L'!$A64,'ABA TB'!F:F)</f>
        <v/>
      </c>
      <c r="S64" s="37">
        <f>SUMIF('ABA TB'!$R:$R,'ABA P&amp;L'!$A64,'ABA TB'!G:G)</f>
        <v/>
      </c>
      <c r="T64" s="37">
        <f>SUMIF('ABA TB'!$R:$R,'ABA P&amp;L'!$A64,'ABA TB'!H:H)</f>
        <v/>
      </c>
      <c r="U64" s="37">
        <f>SUMIF('ABA TB'!$R:$R,'ABA P&amp;L'!$A64,'ABA TB'!I:I)</f>
        <v/>
      </c>
      <c r="V64" s="38" t="n">
        <v>0</v>
      </c>
      <c r="W64" s="38" t="n">
        <v>0</v>
      </c>
      <c r="X64" s="38" t="n">
        <v>0</v>
      </c>
      <c r="Y64" s="38" t="n">
        <v>0</v>
      </c>
      <c r="Z64" s="38" t="n">
        <v>0</v>
      </c>
      <c r="AA64" s="36">
        <f>SUM(O64:U64)</f>
        <v/>
      </c>
      <c r="AB64" s="36">
        <f>SUM(O64:Z64)</f>
        <v/>
      </c>
      <c r="AC64" s="38" t="n">
        <v>0</v>
      </c>
      <c r="AD64" s="38" t="n">
        <v>0</v>
      </c>
      <c r="AE64" s="38" t="n">
        <v>0</v>
      </c>
      <c r="AF64" s="38" t="n">
        <v>0</v>
      </c>
      <c r="AG64" s="38" t="n">
        <v>0</v>
      </c>
      <c r="AH64" s="38" t="n">
        <v>0</v>
      </c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SUMIF('ABA TB'!$R:$R,'ABA P&amp;L'!$A65,'ABA TB'!C:C)</f>
        <v/>
      </c>
      <c r="P65" s="37">
        <f>SUMIF('ABA TB'!$R:$R,'ABA P&amp;L'!$A65,'ABA TB'!D:D)</f>
        <v/>
      </c>
      <c r="Q65" s="37">
        <f>SUMIF('ABA TB'!$R:$R,'ABA P&amp;L'!$A65,'ABA TB'!E:E)</f>
        <v/>
      </c>
      <c r="R65" s="37">
        <f>SUMIF('ABA TB'!$R:$R,'ABA P&amp;L'!$A65,'ABA TB'!F:F)</f>
        <v/>
      </c>
      <c r="S65" s="37">
        <f>SUMIF('ABA TB'!$R:$R,'ABA P&amp;L'!$A65,'ABA TB'!G:G)</f>
        <v/>
      </c>
      <c r="T65" s="37">
        <f>SUMIF('ABA TB'!$R:$R,'ABA P&amp;L'!$A65,'ABA TB'!H:H)</f>
        <v/>
      </c>
      <c r="U65" s="37">
        <f>SUMIF('ABA TB'!$R:$R,'ABA P&amp;L'!$A65,'ABA TB'!I:I)</f>
        <v/>
      </c>
      <c r="V65" s="38" t="n">
        <v>0</v>
      </c>
      <c r="W65" s="38" t="n">
        <v>0</v>
      </c>
      <c r="X65" s="38" t="n">
        <v>0</v>
      </c>
      <c r="Y65" s="38" t="n">
        <v>0</v>
      </c>
      <c r="Z65" s="38" t="n">
        <v>0</v>
      </c>
      <c r="AA65" s="36">
        <f>SUM(O65:U65)</f>
        <v/>
      </c>
      <c r="AB65" s="36">
        <f>SUM(O65:Z65)</f>
        <v/>
      </c>
      <c r="AC65" s="38" t="n">
        <v>0</v>
      </c>
      <c r="AD65" s="38" t="n">
        <v>0</v>
      </c>
      <c r="AE65" s="38" t="n">
        <v>0</v>
      </c>
      <c r="AF65" s="38" t="n">
        <v>0</v>
      </c>
      <c r="AG65" s="38" t="n">
        <v>0</v>
      </c>
      <c r="AH65" s="38" t="n">
        <v>0</v>
      </c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SUMIF('ABA TB'!$R:$R,'ABA P&amp;L'!$A66,'ABA TB'!C:C)</f>
        <v/>
      </c>
      <c r="P66" s="37">
        <f>SUMIF('ABA TB'!$R:$R,'ABA P&amp;L'!$A66,'ABA TB'!D:D)</f>
        <v/>
      </c>
      <c r="Q66" s="37">
        <f>SUMIF('ABA TB'!$R:$R,'ABA P&amp;L'!$A66,'ABA TB'!E:E)</f>
        <v/>
      </c>
      <c r="R66" s="37">
        <f>SUMIF('ABA TB'!$R:$R,'ABA P&amp;L'!$A66,'ABA TB'!F:F)</f>
        <v/>
      </c>
      <c r="S66" s="37">
        <f>SUMIF('ABA TB'!$R:$R,'ABA P&amp;L'!$A66,'ABA TB'!G:G)</f>
        <v/>
      </c>
      <c r="T66" s="37">
        <f>SUMIF('ABA TB'!$R:$R,'ABA P&amp;L'!$A66,'ABA TB'!H:H)</f>
        <v/>
      </c>
      <c r="U66" s="37">
        <f>SUMIF('ABA TB'!$R:$R,'ABA P&amp;L'!$A66,'ABA TB'!I:I)</f>
        <v/>
      </c>
      <c r="V66" s="38" t="n">
        <v>0</v>
      </c>
      <c r="W66" s="38" t="n">
        <v>0</v>
      </c>
      <c r="X66" s="38" t="n">
        <v>0</v>
      </c>
      <c r="Y66" s="38" t="n">
        <v>0</v>
      </c>
      <c r="Z66" s="38" t="n">
        <v>0</v>
      </c>
      <c r="AA66" s="36">
        <f>SUM(O66:U66)</f>
        <v/>
      </c>
      <c r="AB66" s="36">
        <f>SUM(O66:Z66)</f>
        <v/>
      </c>
      <c r="AC66" s="38" t="n">
        <v>0</v>
      </c>
      <c r="AD66" s="38" t="n">
        <v>0</v>
      </c>
      <c r="AE66" s="38" t="n">
        <v>0</v>
      </c>
      <c r="AF66" s="38" t="n">
        <v>0</v>
      </c>
      <c r="AG66" s="38" t="n">
        <v>0</v>
      </c>
      <c r="AH66" s="38" t="n">
        <v>0</v>
      </c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220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SUMIF('ABA TB'!$R:$R,'ABA P&amp;L'!$A67,'ABA TB'!C:C)</f>
        <v/>
      </c>
      <c r="P67" s="37">
        <f>SUMIF('ABA TB'!$R:$R,'ABA P&amp;L'!$A67,'ABA TB'!D:D)</f>
        <v/>
      </c>
      <c r="Q67" s="37">
        <f>SUMIF('ABA TB'!$R:$R,'ABA P&amp;L'!$A67,'ABA TB'!E:E)</f>
        <v/>
      </c>
      <c r="R67" s="37">
        <f>SUMIF('ABA TB'!$R:$R,'ABA P&amp;L'!$A67,'ABA TB'!F:F)</f>
        <v/>
      </c>
      <c r="S67" s="37">
        <f>SUMIF('ABA TB'!$R:$R,'ABA P&amp;L'!$A67,'ABA TB'!G:G)</f>
        <v/>
      </c>
      <c r="T67" s="37">
        <f>SUMIF('ABA TB'!$R:$R,'ABA P&amp;L'!$A67,'ABA TB'!H:H)</f>
        <v/>
      </c>
      <c r="U67" s="37">
        <f>SUMIF('ABA TB'!$R:$R,'ABA P&amp;L'!$A67,'ABA TB'!I:I)</f>
        <v/>
      </c>
      <c r="V67" s="38" t="n">
        <v>0</v>
      </c>
      <c r="W67" s="38" t="n">
        <v>0</v>
      </c>
      <c r="X67" s="38" t="n">
        <v>0</v>
      </c>
      <c r="Y67" s="38" t="n">
        <v>0</v>
      </c>
      <c r="Z67" s="38" t="n">
        <v>0</v>
      </c>
      <c r="AA67" s="36">
        <f>SUM(O67:U67)</f>
        <v/>
      </c>
      <c r="AB67" s="36">
        <f>SUM(O67:Z67)</f>
        <v/>
      </c>
      <c r="AC67" s="38" t="n">
        <v>0</v>
      </c>
      <c r="AD67" s="38" t="n">
        <v>0</v>
      </c>
      <c r="AE67" s="38" t="n">
        <v>0</v>
      </c>
      <c r="AF67" s="38" t="n">
        <v>0</v>
      </c>
      <c r="AG67" s="38" t="n">
        <v>0</v>
      </c>
      <c r="AH67" s="38" t="n">
        <v>0</v>
      </c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SUMIF('ABA TB'!$R:$R,'ABA P&amp;L'!$A68,'ABA TB'!C:C)</f>
        <v/>
      </c>
      <c r="P68" s="37">
        <f>SUMIF('ABA TB'!$R:$R,'ABA P&amp;L'!$A68,'ABA TB'!D:D)</f>
        <v/>
      </c>
      <c r="Q68" s="37">
        <f>SUMIF('ABA TB'!$R:$R,'ABA P&amp;L'!$A68,'ABA TB'!E:E)</f>
        <v/>
      </c>
      <c r="R68" s="37">
        <f>SUMIF('ABA TB'!$R:$R,'ABA P&amp;L'!$A68,'ABA TB'!F:F)</f>
        <v/>
      </c>
      <c r="S68" s="37">
        <f>SUMIF('ABA TB'!$R:$R,'ABA P&amp;L'!$A68,'ABA TB'!G:G)</f>
        <v/>
      </c>
      <c r="T68" s="37">
        <f>SUMIF('ABA TB'!$R:$R,'ABA P&amp;L'!$A68,'ABA TB'!H:H)</f>
        <v/>
      </c>
      <c r="U68" s="37">
        <f>SUMIF('ABA TB'!$R:$R,'ABA P&amp;L'!$A68,'ABA TB'!I:I)</f>
        <v/>
      </c>
      <c r="V68" s="38" t="n">
        <v>0</v>
      </c>
      <c r="W68" s="38" t="n">
        <v>0</v>
      </c>
      <c r="X68" s="38" t="n">
        <v>0</v>
      </c>
      <c r="Y68" s="38" t="n">
        <v>0</v>
      </c>
      <c r="Z68" s="38" t="n">
        <v>0</v>
      </c>
      <c r="AA68" s="36">
        <f>SUM(O68:U68)</f>
        <v/>
      </c>
      <c r="AB68" s="36">
        <f>SUM(O68:Z68)</f>
        <v/>
      </c>
      <c r="AC68" s="38" t="n">
        <v>0</v>
      </c>
      <c r="AD68" s="38" t="n">
        <v>0</v>
      </c>
      <c r="AE68" s="38" t="n">
        <v>0</v>
      </c>
      <c r="AF68" s="38" t="n">
        <v>0</v>
      </c>
      <c r="AG68" s="38" t="n">
        <v>0</v>
      </c>
      <c r="AH68" s="38" t="n">
        <v>0</v>
      </c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207.38</v>
      </c>
      <c r="C69" s="42" t="n">
        <v>209.48</v>
      </c>
      <c r="D69" s="42" t="n">
        <v>297.02</v>
      </c>
      <c r="E69" s="42" t="n">
        <v>336.94</v>
      </c>
      <c r="F69" s="42" t="n">
        <v>305.64</v>
      </c>
      <c r="G69" s="42" t="n">
        <v>470.57</v>
      </c>
      <c r="H69" s="42" t="n">
        <v>209.18</v>
      </c>
      <c r="I69" s="42" t="n">
        <v>267.38</v>
      </c>
      <c r="J69" s="42" t="n">
        <v>206.78</v>
      </c>
      <c r="K69" s="42" t="n">
        <v>338</v>
      </c>
      <c r="L69" s="42" t="n">
        <v>363.83</v>
      </c>
      <c r="M69" s="42" t="n">
        <v>542.63</v>
      </c>
      <c r="N69" s="43">
        <f>SUM(B69:M69)</f>
        <v/>
      </c>
      <c r="O69" s="44">
        <f>SUM(O53:O68)</f>
        <v/>
      </c>
      <c r="P69" s="44">
        <f>SUM(P53:P68)</f>
        <v/>
      </c>
      <c r="Q69" s="44">
        <f>SUM(Q53:Q68)</f>
        <v/>
      </c>
      <c r="R69" s="44">
        <f>SUM(R53:R68)</f>
        <v/>
      </c>
      <c r="S69" s="44">
        <f>SUM(S53:S68)</f>
        <v/>
      </c>
      <c r="T69" s="44">
        <f>SUM(T53:T68)</f>
        <v/>
      </c>
      <c r="U69" s="44">
        <f>SUM(U53:U68)</f>
        <v/>
      </c>
      <c r="V69" s="45">
        <f>SUM(V53:V68)</f>
        <v/>
      </c>
      <c r="W69" s="45">
        <f>SUM(W53:W68)</f>
        <v/>
      </c>
      <c r="X69" s="45">
        <f>SUM(X53:X68)</f>
        <v/>
      </c>
      <c r="Y69" s="45">
        <f>SUM(Y53:Y68)</f>
        <v/>
      </c>
      <c r="Z69" s="45">
        <f>SUM(Z53:Z68)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15777.83</v>
      </c>
      <c r="C70" s="55" t="n">
        <v>31494.3</v>
      </c>
      <c r="D70" s="55" t="n">
        <v>47767.26</v>
      </c>
      <c r="E70" s="55" t="n">
        <v>24032.97000000001</v>
      </c>
      <c r="F70" s="55" t="n">
        <v>13742.18</v>
      </c>
      <c r="G70" s="55" t="n">
        <v>48519.64</v>
      </c>
      <c r="H70" s="55" t="n">
        <v>55791.83</v>
      </c>
      <c r="I70" s="55" t="n">
        <v>10399.73</v>
      </c>
      <c r="J70" s="55" t="n">
        <v>13761.58</v>
      </c>
      <c r="K70" s="55" t="n">
        <v>32819.77</v>
      </c>
      <c r="L70" s="55" t="n">
        <v>32964.98</v>
      </c>
      <c r="M70" s="55" t="n">
        <v>48166.24999999999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SUM(O70:Z70)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8" t="n"/>
      <c r="B71" s="57" t="n"/>
      <c r="C71" s="57" t="n"/>
      <c r="D71" s="57" t="n"/>
      <c r="E71" s="57" t="n"/>
      <c r="F71" s="57" t="n"/>
      <c r="G71" s="57" t="n"/>
      <c r="H71" s="57" t="n"/>
      <c r="I71" s="57" t="n"/>
      <c r="J71" s="57" t="n"/>
      <c r="K71" s="57" t="n"/>
      <c r="L71" s="57" t="n"/>
      <c r="M71" s="57" t="n"/>
      <c r="N71" s="56">
        <f>SUM(B71:M71)</f>
        <v/>
      </c>
      <c r="O71" s="56" t="n"/>
      <c r="P71" s="56" t="n"/>
      <c r="Q71" s="56" t="n"/>
      <c r="R71" s="56" t="n"/>
      <c r="S71" s="56" t="n"/>
      <c r="T71" s="56" t="n"/>
      <c r="U71" s="56" t="n"/>
      <c r="V71" s="58" t="n"/>
      <c r="W71" s="58" t="n"/>
      <c r="X71" s="58" t="n"/>
      <c r="Y71" s="58" t="n"/>
      <c r="Z71" s="58" t="n"/>
      <c r="AA71" s="56">
        <f>SUM(O71:T71)</f>
        <v/>
      </c>
      <c r="AB71" s="56" t="n"/>
      <c r="AC71" s="58" t="n"/>
      <c r="AD71" s="58" t="n"/>
      <c r="AE71" s="58" t="n"/>
      <c r="AF71" s="58" t="n"/>
      <c r="AG71" s="58" t="n"/>
      <c r="AH71" s="58" t="n"/>
      <c r="AI71" s="8" t="n"/>
      <c r="AJ71" s="56" t="n"/>
      <c r="AK71" s="56" t="n"/>
      <c r="AL71" s="56" t="n"/>
      <c r="AM71" s="56" t="n"/>
      <c r="AN71" s="56" t="n"/>
      <c r="AO71" s="56" t="n"/>
      <c r="AP71" s="56" t="n"/>
    </row>
    <row r="72">
      <c r="A72" s="28" t="n"/>
      <c r="B72" s="57" t="n"/>
      <c r="C72" s="57" t="n"/>
      <c r="D72" s="57" t="n"/>
      <c r="E72" s="57" t="n"/>
      <c r="F72" s="57" t="n"/>
      <c r="G72" s="57" t="n"/>
      <c r="H72" s="57" t="n"/>
      <c r="I72" s="57" t="n"/>
      <c r="J72" s="57" t="n"/>
      <c r="K72" s="57" t="n"/>
      <c r="L72" s="57" t="n"/>
      <c r="M72" s="57" t="n"/>
      <c r="N72" s="56">
        <f>SUM(B72:M72)</f>
        <v/>
      </c>
      <c r="O72" s="56" t="n"/>
      <c r="P72" s="56" t="n"/>
      <c r="Q72" s="56" t="n"/>
      <c r="R72" s="56" t="n"/>
      <c r="S72" s="56" t="n"/>
      <c r="T72" s="56" t="n"/>
      <c r="U72" s="56" t="n"/>
      <c r="V72" s="58" t="n"/>
      <c r="W72" s="58" t="n"/>
      <c r="X72" s="58" t="n"/>
      <c r="Y72" s="58" t="n"/>
      <c r="Z72" s="58" t="n"/>
      <c r="AA72" s="56">
        <f>SUM(O72:T72)</f>
        <v/>
      </c>
      <c r="AB72" s="56" t="n"/>
      <c r="AC72" s="58" t="n"/>
      <c r="AD72" s="58" t="n"/>
      <c r="AE72" s="58" t="n"/>
      <c r="AF72" s="58" t="n"/>
      <c r="AG72" s="58" t="n"/>
      <c r="AH72" s="58" t="n"/>
      <c r="AI72" s="8" t="n"/>
      <c r="AJ72" s="56" t="n"/>
      <c r="AK72" s="56" t="n"/>
      <c r="AL72" s="56" t="n"/>
      <c r="AM72" s="56" t="n"/>
      <c r="AN72" s="56" t="n"/>
      <c r="AO72" s="56" t="n"/>
      <c r="AP72" s="56" t="n"/>
    </row>
    <row r="73">
      <c r="A73" s="28" t="n"/>
      <c r="B73" s="57" t="n"/>
      <c r="C73" s="57" t="n"/>
      <c r="D73" s="57" t="n"/>
      <c r="E73" s="57" t="n"/>
      <c r="F73" s="57" t="n"/>
      <c r="G73" s="57" t="n"/>
      <c r="H73" s="57" t="n"/>
      <c r="I73" s="57" t="n"/>
      <c r="J73" s="57" t="n"/>
      <c r="K73" s="57" t="n"/>
      <c r="L73" s="57" t="n"/>
      <c r="M73" s="57" t="n"/>
      <c r="N73" s="56">
        <f>SUM(B73:M73)</f>
        <v/>
      </c>
      <c r="O73" s="56" t="n"/>
      <c r="P73" s="56" t="n"/>
      <c r="Q73" s="56" t="n"/>
      <c r="R73" s="56" t="n"/>
      <c r="S73" s="56" t="n"/>
      <c r="T73" s="56" t="n"/>
      <c r="U73" s="56" t="n"/>
      <c r="V73" s="58" t="n"/>
      <c r="W73" s="58" t="n"/>
      <c r="X73" s="58" t="n"/>
      <c r="Y73" s="58" t="n"/>
      <c r="Z73" s="58" t="n"/>
      <c r="AA73" s="56">
        <f>SUM(O73:T73)</f>
        <v/>
      </c>
      <c r="AB73" s="56" t="n"/>
      <c r="AC73" s="58" t="n"/>
      <c r="AD73" s="58" t="n"/>
      <c r="AE73" s="58" t="n"/>
      <c r="AF73" s="58" t="n"/>
      <c r="AG73" s="58" t="n"/>
      <c r="AH73" s="58" t="n"/>
      <c r="AI73" s="8" t="n"/>
      <c r="AJ73" s="59" t="inlineStr">
        <is>
          <t>Model assumptions 2027:</t>
        </is>
      </c>
      <c r="AK73" s="8" t="n"/>
      <c r="AL73" s="8" t="n"/>
      <c r="AM73" s="8" t="n"/>
      <c r="AN73" s="56" t="n"/>
      <c r="AO73" s="56" t="n"/>
      <c r="AP73" s="56" t="n"/>
    </row>
    <row r="74">
      <c r="A74" s="22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60">
        <f>SUM(B74:M74)</f>
        <v/>
      </c>
      <c r="O74" s="8" t="n"/>
      <c r="P74" s="8" t="n"/>
      <c r="Q74" s="8" t="n"/>
      <c r="R74" s="8" t="n"/>
      <c r="S74" s="8" t="n"/>
      <c r="T74" s="8" t="n"/>
      <c r="U74" s="8" t="n"/>
      <c r="V74" s="20" t="n"/>
      <c r="W74" s="20" t="n"/>
      <c r="X74" s="20" t="n"/>
      <c r="Y74" s="20" t="n"/>
      <c r="Z74" s="20" t="n"/>
      <c r="AA74" s="60">
        <f>SUM(O74:T74)</f>
        <v/>
      </c>
      <c r="AB74" s="8" t="n"/>
      <c r="AC74" s="20" t="n"/>
      <c r="AD74" s="20" t="n"/>
      <c r="AE74" s="20" t="n"/>
      <c r="AF74" s="20" t="n"/>
      <c r="AG74" s="20" t="n"/>
      <c r="AH74" s="20" t="n"/>
      <c r="AI74" s="8" t="n"/>
      <c r="AJ74" s="8" t="inlineStr">
        <is>
          <t>Salary Uplift</t>
        </is>
      </c>
      <c r="AK74" s="8" t="n"/>
      <c r="AL74" s="61" t="n">
        <v>0.05</v>
      </c>
      <c r="AM74" s="62" t="n"/>
      <c r="AN74" s="8" t="n"/>
      <c r="AO74" s="8" t="n"/>
      <c r="AP74" s="8" t="n"/>
    </row>
    <row r="75">
      <c r="A75" s="22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60">
        <f>SUM(B75:M75)</f>
        <v/>
      </c>
      <c r="O75" s="8" t="n"/>
      <c r="P75" s="8" t="n"/>
      <c r="Q75" s="8" t="n"/>
      <c r="R75" s="8" t="n"/>
      <c r="S75" s="8" t="n"/>
      <c r="T75" s="8" t="n"/>
      <c r="U75" s="8" t="n"/>
      <c r="V75" s="20" t="n"/>
      <c r="W75" s="20" t="n"/>
      <c r="X75" s="20" t="n"/>
      <c r="Y75" s="20" t="n"/>
      <c r="Z75" s="20" t="n"/>
      <c r="AA75" s="60">
        <f>SUM(O75:T75)</f>
        <v/>
      </c>
      <c r="AB75" s="8" t="n"/>
      <c r="AC75" s="20" t="n"/>
      <c r="AD75" s="20" t="n"/>
      <c r="AE75" s="20" t="n"/>
      <c r="AF75" s="20" t="n"/>
      <c r="AG75" s="20" t="n"/>
      <c r="AH75" s="20" t="n"/>
      <c r="AI75" s="8" t="n"/>
      <c r="AJ75" s="8" t="inlineStr">
        <is>
          <t>Fee uplift</t>
        </is>
      </c>
      <c r="AK75" s="8" t="n"/>
      <c r="AL75" s="61" t="n">
        <v>0.07000000000000001</v>
      </c>
      <c r="AM75" s="60" t="inlineStr">
        <is>
          <t>Fee Uplift not yet in calcs - offer changing this is purely on FAMLY current data</t>
        </is>
      </c>
      <c r="AN75" s="8" t="n"/>
      <c r="AO75" s="8" t="n"/>
      <c r="AP75" s="8" t="n"/>
    </row>
    <row r="76">
      <c r="A76" s="63" t="inlineStr">
        <is>
          <t>Memo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60">
        <f>SUM(B76:M76)</f>
        <v/>
      </c>
      <c r="O76" s="8" t="n"/>
      <c r="P76" s="8" t="n"/>
      <c r="Q76" s="8" t="n"/>
      <c r="R76" s="8" t="n"/>
      <c r="S76" s="8" t="n"/>
      <c r="T76" s="8" t="n"/>
      <c r="U76" s="8" t="n"/>
      <c r="V76" s="20" t="n"/>
      <c r="W76" s="20" t="n"/>
      <c r="X76" s="20" t="n"/>
      <c r="Y76" s="20" t="n"/>
      <c r="Z76" s="20" t="n"/>
      <c r="AA76" s="60">
        <f>SUM(O76:T76)</f>
        <v/>
      </c>
      <c r="AB76" s="8" t="n"/>
      <c r="AC76" s="20" t="n"/>
      <c r="AD76" s="20" t="n"/>
      <c r="AE76" s="20" t="n"/>
      <c r="AF76" s="20" t="n"/>
      <c r="AG76" s="20" t="n"/>
      <c r="AH76" s="20" t="n"/>
      <c r="AI76" s="8" t="n"/>
      <c r="AJ76" s="8" t="inlineStr">
        <is>
          <t>Monthly volume growth</t>
        </is>
      </c>
      <c r="AK76" s="8" t="n"/>
      <c r="AL76" s="61" t="n">
        <v>0.01</v>
      </c>
      <c r="AM76" s="62" t="n"/>
      <c r="AN76" s="8" t="n"/>
      <c r="AO76" s="8" t="n"/>
      <c r="AP76" s="8" t="n"/>
    </row>
    <row r="77">
      <c r="A77" s="34" t="inlineStr">
        <is>
          <t>Direct - Sales</t>
        </is>
      </c>
      <c r="B77" s="18" t="n">
        <v>57516.53</v>
      </c>
      <c r="C77" s="18" t="n">
        <v>78557.34999999999</v>
      </c>
      <c r="D77" s="18" t="n">
        <v>93456.92</v>
      </c>
      <c r="E77" s="18" t="n">
        <v>71212.94</v>
      </c>
      <c r="F77" s="18" t="n">
        <v>67096.77</v>
      </c>
      <c r="G77" s="18" t="n">
        <v>99081.97</v>
      </c>
      <c r="H77" s="18" t="n">
        <v>109415</v>
      </c>
      <c r="I77" s="18" t="n">
        <v>58043.73</v>
      </c>
      <c r="J77" s="18" t="n">
        <v>59199.65</v>
      </c>
      <c r="K77" s="18" t="n">
        <v>81909.55</v>
      </c>
      <c r="L77" s="18" t="n">
        <v>79250.38</v>
      </c>
      <c r="M77" s="18" t="n">
        <v>96066.59</v>
      </c>
      <c r="N77" s="60">
        <f>SUM(B77:M77)</f>
        <v/>
      </c>
      <c r="O77" s="60">
        <f>-SUMIF('ABA TB'!$T:$T,'ABA P&amp;L'!$A77,'ABA TB'!C:C)</f>
        <v/>
      </c>
      <c r="P77" s="60">
        <f>-SUMIF('ABA TB'!$T:$T,'ABA P&amp;L'!$A77,'ABA TB'!D:D)</f>
        <v/>
      </c>
      <c r="Q77" s="60">
        <f>-SUMIF('ABA TB'!$T:$T,'ABA P&amp;L'!$A77,'ABA TB'!E:E)</f>
        <v/>
      </c>
      <c r="R77" s="60">
        <f>-SUMIF('ABA TB'!$T:$T,'ABA P&amp;L'!$A77,'ABA TB'!F:F)</f>
        <v/>
      </c>
      <c r="S77" s="60">
        <f>-SUMIF('ABA TB'!$T:$T,'ABA P&amp;L'!$A77,'ABA TB'!G:G)</f>
        <v/>
      </c>
      <c r="T77" s="60">
        <f>-SUMIF('ABA TB'!$T:$T,'ABA P&amp;L'!$A77,'ABA TB'!H:H)</f>
        <v/>
      </c>
      <c r="U77" s="60">
        <f>-SUMIF('ABA TB'!$T:$T,'ABA P&amp;L'!$A77,'ABA TB'!I:I)</f>
        <v/>
      </c>
      <c r="V77" s="20" t="n"/>
      <c r="W77" s="20" t="n"/>
      <c r="X77" s="20" t="n"/>
      <c r="Y77" s="20" t="n"/>
      <c r="Z77" s="20" t="n"/>
      <c r="AA77" s="60">
        <f>SUM(O77:T77)</f>
        <v/>
      </c>
      <c r="AB77" s="8" t="n"/>
      <c r="AC77" s="20" t="n"/>
      <c r="AD77" s="20" t="n"/>
      <c r="AE77" s="20" t="n"/>
      <c r="AF77" s="20" t="n"/>
      <c r="AG77" s="20" t="n"/>
      <c r="AH77" s="20" t="n"/>
      <c r="AI77" s="8" t="n"/>
      <c r="AJ77" s="8" t="inlineStr">
        <is>
          <t>Easter fallback</t>
        </is>
      </c>
      <c r="AK77" s="8" t="n"/>
      <c r="AL77" s="61" t="n">
        <v>0.04</v>
      </c>
      <c r="AM77" s="62" t="n"/>
      <c r="AN77" s="8" t="n"/>
      <c r="AO77" s="8" t="n"/>
      <c r="AP77" s="8" t="n"/>
    </row>
    <row r="78">
      <c r="A78" s="34" t="inlineStr">
        <is>
          <t>Direct - Staff Cost</t>
        </is>
      </c>
      <c r="B78" s="18" t="n">
        <v>-34574.8</v>
      </c>
      <c r="C78" s="18" t="n">
        <v>-35374.13999999999</v>
      </c>
      <c r="D78" s="18" t="n">
        <v>-36972.91</v>
      </c>
      <c r="E78" s="18" t="n">
        <v>-40300.46999999999</v>
      </c>
      <c r="F78" s="18" t="n">
        <v>-41216.68</v>
      </c>
      <c r="G78" s="18" t="n">
        <v>-41525.89</v>
      </c>
      <c r="H78" s="18" t="n">
        <v>-44824.91999999999</v>
      </c>
      <c r="I78" s="18" t="n">
        <v>-40433.25</v>
      </c>
      <c r="J78" s="18" t="n">
        <v>-40303.59</v>
      </c>
      <c r="K78" s="18" t="n">
        <v>-38404.48</v>
      </c>
      <c r="L78" s="18" t="n">
        <v>-38149.48</v>
      </c>
      <c r="M78" s="18" t="n">
        <v>-39149.26</v>
      </c>
      <c r="N78" s="60">
        <f>SUM(B78:M78)</f>
        <v/>
      </c>
      <c r="O78" s="60">
        <f>-SUMIF('ABA TB'!$T:$T,'ABA P&amp;L'!$A78,'ABA TB'!C:C)</f>
        <v/>
      </c>
      <c r="P78" s="60">
        <f>-SUMIF('ABA TB'!$T:$T,'ABA P&amp;L'!$A78,'ABA TB'!D:D)</f>
        <v/>
      </c>
      <c r="Q78" s="60">
        <f>-SUMIF('ABA TB'!$T:$T,'ABA P&amp;L'!$A78,'ABA TB'!E:E)</f>
        <v/>
      </c>
      <c r="R78" s="60">
        <f>-SUMIF('ABA TB'!$T:$T,'ABA P&amp;L'!$A78,'ABA TB'!F:F)</f>
        <v/>
      </c>
      <c r="S78" s="60">
        <f>-SUMIF('ABA TB'!$T:$T,'ABA P&amp;L'!$A78,'ABA TB'!G:G)</f>
        <v/>
      </c>
      <c r="T78" s="60">
        <f>-SUMIF('ABA TB'!$T:$T,'ABA P&amp;L'!$A78,'ABA TB'!H:H)</f>
        <v/>
      </c>
      <c r="U78" s="60">
        <f>-SUMIF('ABA TB'!$T:$T,'ABA P&amp;L'!$A78,'ABA TB'!I:I)</f>
        <v/>
      </c>
      <c r="V78" s="20" t="n"/>
      <c r="W78" s="20" t="n"/>
      <c r="X78" s="20" t="n"/>
      <c r="Y78" s="20" t="n"/>
      <c r="Z78" s="20" t="n"/>
      <c r="AA78" s="60">
        <f>SUM(O78:T78)</f>
        <v/>
      </c>
      <c r="AB78" s="8" t="n"/>
      <c r="AC78" s="20" t="n"/>
      <c r="AD78" s="20" t="n"/>
      <c r="AE78" s="20" t="n"/>
      <c r="AF78" s="20" t="n"/>
      <c r="AG78" s="20" t="n"/>
      <c r="AH78" s="20" t="n"/>
      <c r="AI78" s="8" t="n"/>
      <c r="AJ78" s="8" t="inlineStr">
        <is>
          <t>Inflation</t>
        </is>
      </c>
      <c r="AK78" s="8" t="n"/>
      <c r="AL78" s="61" t="n">
        <v>0.06</v>
      </c>
      <c r="AM78" s="62" t="n"/>
      <c r="AN78" s="8" t="n"/>
      <c r="AO78" s="8" t="n"/>
      <c r="AP78" s="8" t="n"/>
    </row>
    <row r="79">
      <c r="A79" s="60" t="inlineStr">
        <is>
          <t>Direct - Childcare Cost</t>
        </is>
      </c>
      <c r="B79" s="18" t="n">
        <v>-2176.42</v>
      </c>
      <c r="C79" s="18" t="n">
        <v>-3159.37</v>
      </c>
      <c r="D79" s="18" t="n">
        <v>-2902.21</v>
      </c>
      <c r="E79" s="18" t="n">
        <v>-2149.77</v>
      </c>
      <c r="F79" s="18" t="n">
        <v>-3175.23</v>
      </c>
      <c r="G79" s="18" t="n">
        <v>-3603.37</v>
      </c>
      <c r="H79" s="18" t="n">
        <v>-5241.700000000001</v>
      </c>
      <c r="I79" s="18" t="n">
        <v>-2724.2</v>
      </c>
      <c r="J79" s="18" t="n">
        <v>-1834.64</v>
      </c>
      <c r="K79" s="18" t="n">
        <v>-2350.79</v>
      </c>
      <c r="L79" s="18" t="n">
        <v>-3297.279999999999</v>
      </c>
      <c r="M79" s="18" t="n">
        <v>-2081.55</v>
      </c>
      <c r="N79" s="60">
        <f>SUM(B79:M79)</f>
        <v/>
      </c>
      <c r="O79" s="60">
        <f>-SUMIF('ABA TB'!$T:$T,'ABA P&amp;L'!$A79,'ABA TB'!C:C)</f>
        <v/>
      </c>
      <c r="P79" s="60">
        <f>-SUMIF('ABA TB'!$T:$T,'ABA P&amp;L'!$A79,'ABA TB'!D:D)</f>
        <v/>
      </c>
      <c r="Q79" s="60">
        <f>-SUMIF('ABA TB'!$T:$T,'ABA P&amp;L'!$A79,'ABA TB'!E:E)</f>
        <v/>
      </c>
      <c r="R79" s="60">
        <f>-SUMIF('ABA TB'!$T:$T,'ABA P&amp;L'!$A79,'ABA TB'!F:F)</f>
        <v/>
      </c>
      <c r="S79" s="60">
        <f>-SUMIF('ABA TB'!$T:$T,'ABA P&amp;L'!$A79,'ABA TB'!G:G)</f>
        <v/>
      </c>
      <c r="T79" s="60">
        <f>-SUMIF('ABA TB'!$T:$T,'ABA P&amp;L'!$A79,'ABA TB'!H:H)</f>
        <v/>
      </c>
      <c r="U79" s="60">
        <f>-SUMIF('ABA TB'!$T:$T,'ABA P&amp;L'!$A79,'ABA TB'!I:I)</f>
        <v/>
      </c>
      <c r="V79" s="20" t="n"/>
      <c r="W79" s="20" t="n"/>
      <c r="X79" s="20" t="n"/>
      <c r="Y79" s="20" t="n"/>
      <c r="Z79" s="20" t="n"/>
      <c r="AA79" s="60">
        <f>SUM(O79:T79)</f>
        <v/>
      </c>
      <c r="AB79" s="8" t="n"/>
      <c r="AC79" s="20" t="n"/>
      <c r="AD79" s="20" t="n"/>
      <c r="AE79" s="20" t="n"/>
      <c r="AF79" s="20" t="n"/>
      <c r="AG79" s="20" t="n"/>
      <c r="AH79" s="20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>
      <c r="A80" s="60" t="inlineStr">
        <is>
          <t>Direct - Premises &amp; Admin</t>
        </is>
      </c>
      <c r="B80" s="18" t="n">
        <v>-4780.1</v>
      </c>
      <c r="C80" s="18" t="n">
        <v>-8320.059999999999</v>
      </c>
      <c r="D80" s="18" t="n">
        <v>-5517.520000000001</v>
      </c>
      <c r="E80" s="18" t="n">
        <v>-4392.789999999999</v>
      </c>
      <c r="F80" s="18" t="n">
        <v>-8657.039999999999</v>
      </c>
      <c r="G80" s="18" t="n">
        <v>-4962.5</v>
      </c>
      <c r="H80" s="18" t="n">
        <v>-3347.37</v>
      </c>
      <c r="I80" s="18" t="n">
        <v>-4219.17</v>
      </c>
      <c r="J80" s="18" t="n">
        <v>-3093.06</v>
      </c>
      <c r="K80" s="18" t="n">
        <v>-7996.509999999999</v>
      </c>
      <c r="L80" s="18" t="n">
        <v>-4474.809999999999</v>
      </c>
      <c r="M80" s="18" t="n">
        <v>-6126.900000000001</v>
      </c>
      <c r="N80" s="60">
        <f>SUM(B80:M80)</f>
        <v/>
      </c>
      <c r="O80" s="60">
        <f>-SUMIF('ABA TB'!$T:$T,'ABA P&amp;L'!$A80,'ABA TB'!C:C)</f>
        <v/>
      </c>
      <c r="P80" s="60">
        <f>-SUMIF('ABA TB'!$T:$T,'ABA P&amp;L'!$A80,'ABA TB'!D:D)</f>
        <v/>
      </c>
      <c r="Q80" s="60">
        <f>-SUMIF('ABA TB'!$T:$T,'ABA P&amp;L'!$A80,'ABA TB'!E:E)</f>
        <v/>
      </c>
      <c r="R80" s="60">
        <f>-SUMIF('ABA TB'!$T:$T,'ABA P&amp;L'!$A80,'ABA TB'!F:F)</f>
        <v/>
      </c>
      <c r="S80" s="60">
        <f>-SUMIF('ABA TB'!$T:$T,'ABA P&amp;L'!$A80,'ABA TB'!G:G)</f>
        <v/>
      </c>
      <c r="T80" s="60">
        <f>-SUMIF('ABA TB'!$T:$T,'ABA P&amp;L'!$A80,'ABA TB'!H:H)</f>
        <v/>
      </c>
      <c r="U80" s="60">
        <f>-SUMIF('ABA TB'!$T:$T,'ABA P&amp;L'!$A80,'ABA TB'!I:I)</f>
        <v/>
      </c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60" t="inlineStr">
        <is>
          <t>In-Direct - Staff Cost</t>
        </is>
      </c>
      <c r="B81" s="60" t="n">
        <v>0</v>
      </c>
      <c r="C81" s="60" t="n">
        <v>0</v>
      </c>
      <c r="D81" s="60" t="n">
        <v>0</v>
      </c>
      <c r="E81" s="60" t="n">
        <v>0</v>
      </c>
      <c r="F81" s="60" t="n">
        <v>0</v>
      </c>
      <c r="G81" s="60" t="n">
        <v>0</v>
      </c>
      <c r="H81" s="60" t="n">
        <v>0</v>
      </c>
      <c r="I81" s="60" t="n">
        <v>0</v>
      </c>
      <c r="J81" s="60" t="n">
        <v>0</v>
      </c>
      <c r="K81" s="60" t="n">
        <v>0</v>
      </c>
      <c r="L81" s="60" t="n">
        <v>0</v>
      </c>
      <c r="M81" s="60" t="n">
        <v>0</v>
      </c>
      <c r="N81" s="60">
        <f>SUM(B81:M81)</f>
        <v/>
      </c>
      <c r="O81" s="60">
        <f>-SUMIF('ABA TB'!$T:$T,'ABA P&amp;L'!$A81,'ABA TB'!C:C)</f>
        <v/>
      </c>
      <c r="P81" s="60">
        <f>-SUMIF('ABA TB'!$T:$T,'ABA P&amp;L'!$A81,'ABA TB'!D:D)</f>
        <v/>
      </c>
      <c r="Q81" s="60">
        <f>-SUMIF('ABA TB'!$T:$T,'ABA P&amp;L'!$A81,'ABA TB'!E:E)</f>
        <v/>
      </c>
      <c r="R81" s="60">
        <f>-SUMIF('ABA TB'!$T:$T,'ABA P&amp;L'!$A81,'ABA TB'!F:F)</f>
        <v/>
      </c>
      <c r="S81" s="60">
        <f>-SUMIF('ABA TB'!$T:$T,'ABA P&amp;L'!$A81,'ABA TB'!G:G)</f>
        <v/>
      </c>
      <c r="T81" s="60">
        <f>-SUMIF('ABA TB'!$T:$T,'ABA P&amp;L'!$A81,'ABA TB'!H:H)</f>
        <v/>
      </c>
      <c r="U81" s="60">
        <f>-SUMIF('ABA TB'!$T:$T,'ABA P&amp;L'!$A81,'ABA TB'!I:I)</f>
        <v/>
      </c>
      <c r="V81" s="60">
        <f>-SUMIF('ABA TB'!$T:$T,'ABA P&amp;L'!$A81,'ABA TB'!J:J)</f>
        <v/>
      </c>
      <c r="W81" s="60">
        <f>-SUMIF('ABA TB'!$T:$T,'ABA P&amp;L'!$A81,'ABA TB'!K:K)</f>
        <v/>
      </c>
      <c r="X81" s="60">
        <f>-SUMIF('ABA TB'!$T:$T,'ABA P&amp;L'!$A81,'ABA TB'!L:L)</f>
        <v/>
      </c>
      <c r="Y81" s="60">
        <f>-SUMIF('ABA TB'!$T:$T,'ABA P&amp;L'!$A81,'ABA TB'!M:M)</f>
        <v/>
      </c>
      <c r="Z81" s="60">
        <f>-SUMIF('ABA TB'!$T:$T,'ABA P&amp;L'!$A81,'ABA TB'!N:N)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60" t="inlineStr">
        <is>
          <t>In-Direct - Overheads</t>
        </is>
      </c>
      <c r="B82" s="18" t="n">
        <v>-207.38</v>
      </c>
      <c r="C82" s="18" t="n">
        <v>-209.48</v>
      </c>
      <c r="D82" s="18" t="n">
        <v>-297.02</v>
      </c>
      <c r="E82" s="18" t="n">
        <v>-336.94</v>
      </c>
      <c r="F82" s="18" t="n">
        <v>-305.64</v>
      </c>
      <c r="G82" s="18" t="n">
        <v>-470.57</v>
      </c>
      <c r="H82" s="18" t="n">
        <v>-209.18</v>
      </c>
      <c r="I82" s="18" t="n">
        <v>-267.38</v>
      </c>
      <c r="J82" s="18" t="n">
        <v>-206.78</v>
      </c>
      <c r="K82" s="18" t="n">
        <v>-338</v>
      </c>
      <c r="L82" s="18" t="n">
        <v>-363.83</v>
      </c>
      <c r="M82" s="18" t="n"/>
      <c r="N82" s="8" t="n"/>
      <c r="O82" s="60">
        <f>-SUMIF('ABA TB'!$T:$T,'ABA P&amp;L'!$A82,'ABA TB'!C:C)</f>
        <v/>
      </c>
      <c r="P82" s="60">
        <f>-SUMIF('ABA TB'!$T:$T,'ABA P&amp;L'!$A82,'ABA TB'!D:D)</f>
        <v/>
      </c>
      <c r="Q82" s="60">
        <f>-SUMIF('ABA TB'!$T:$T,'ABA P&amp;L'!$A82,'ABA TB'!E:E)</f>
        <v/>
      </c>
      <c r="R82" s="60">
        <f>-SUMIF('ABA TB'!$T:$T,'ABA P&amp;L'!$A82,'ABA TB'!F:F)</f>
        <v/>
      </c>
      <c r="S82" s="60">
        <f>-SUMIF('ABA TB'!$T:$T,'ABA P&amp;L'!$A82,'ABA TB'!G:G)</f>
        <v/>
      </c>
      <c r="T82" s="60">
        <f>-SUMIF('ABA TB'!$T:$T,'ABA P&amp;L'!$A82,'ABA TB'!H:H)</f>
        <v/>
      </c>
      <c r="U82" s="60">
        <f>-SUMIF('ABA TB'!$T:$T,'ABA P&amp;L'!$A82,'ABA TB'!I:I)</f>
        <v/>
      </c>
      <c r="V82" s="60">
        <f>-SUMIF('ABA TB'!$T:$T,'ABA P&amp;L'!$A82,'ABA TB'!J:J)</f>
        <v/>
      </c>
      <c r="W82" s="60">
        <f>-SUMIF('ABA TB'!$T:$T,'ABA P&amp;L'!$A82,'ABA TB'!K:K)</f>
        <v/>
      </c>
      <c r="X82" s="60">
        <f>-SUMIF('ABA TB'!$T:$T,'ABA P&amp;L'!$A82,'ABA TB'!L:L)</f>
        <v/>
      </c>
      <c r="Y82" s="60">
        <f>-SUMIF('ABA TB'!$T:$T,'ABA P&amp;L'!$A82,'ABA TB'!M:M)</f>
        <v/>
      </c>
      <c r="Z82" s="60">
        <f>-SUMIF('ABA TB'!$T:$T,'ABA P&amp;L'!$A82,'ABA TB'!N:N)</f>
        <v/>
      </c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 ht="15.75" customHeight="1">
      <c r="A83" s="64" t="n"/>
      <c r="B83" s="64" t="n">
        <v>15777.83</v>
      </c>
      <c r="C83" s="64" t="n">
        <v>31494.3</v>
      </c>
      <c r="D83" s="64" t="n">
        <v>47767.26</v>
      </c>
      <c r="E83" s="64" t="n">
        <v>24032.97000000001</v>
      </c>
      <c r="F83" s="64" t="n">
        <v>13742.18000000001</v>
      </c>
      <c r="G83" s="64" t="n">
        <v>48519.64</v>
      </c>
      <c r="H83" s="64" t="n">
        <v>55791.83</v>
      </c>
      <c r="I83" s="64" t="n">
        <v>10399.73</v>
      </c>
      <c r="J83" s="64" t="n">
        <v>13761.58</v>
      </c>
      <c r="K83" s="64" t="n">
        <v>32819.77</v>
      </c>
      <c r="L83" s="64" t="n">
        <v>32964.98</v>
      </c>
      <c r="M83" s="64" t="n"/>
      <c r="N83" s="64" t="n"/>
      <c r="O83" s="64">
        <f>SUM(O77:O82)</f>
        <v/>
      </c>
      <c r="P83" s="64">
        <f>SUM(P77:P82)</f>
        <v/>
      </c>
      <c r="Q83" s="64">
        <f>SUM(Q77:Q82)</f>
        <v/>
      </c>
      <c r="R83" s="64">
        <f>SUM(R77:R82)</f>
        <v/>
      </c>
      <c r="S83" s="64">
        <f>SUM(S77:S82)</f>
        <v/>
      </c>
      <c r="T83" s="64">
        <f>SUM(T77:T82)</f>
        <v/>
      </c>
      <c r="U83" s="64">
        <f>SUM(U77:U82)</f>
        <v/>
      </c>
      <c r="V83" s="64">
        <f>SUM(V77:V82)</f>
        <v/>
      </c>
      <c r="W83" s="64">
        <f>SUM(W77:W82)</f>
        <v/>
      </c>
      <c r="X83" s="64">
        <f>SUM(X77:X82)</f>
        <v/>
      </c>
      <c r="Y83" s="64">
        <f>SUM(Y77:Y82)</f>
        <v/>
      </c>
      <c r="Z83" s="64">
        <f>SUM(Z77:Z82)</f>
        <v/>
      </c>
      <c r="AA83" s="8" t="n"/>
      <c r="AB83" s="8" t="n"/>
      <c r="AC83" s="64" t="n"/>
      <c r="AD83" s="64" t="n"/>
      <c r="AE83" s="64" t="n"/>
      <c r="AF83" s="64" t="n"/>
      <c r="AG83" s="64" t="n"/>
      <c r="AH83" s="64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 ht="15.75" customHeight="1">
      <c r="A84" s="8" t="n"/>
      <c r="B84" s="60" t="n">
        <v>0</v>
      </c>
      <c r="C84" s="60" t="n">
        <v>0</v>
      </c>
      <c r="D84" s="60" t="n">
        <v>0</v>
      </c>
      <c r="E84" s="60" t="n">
        <v>0</v>
      </c>
      <c r="F84" s="60" t="n">
        <v>0</v>
      </c>
      <c r="G84" s="60" t="n">
        <v>0</v>
      </c>
      <c r="H84" s="60" t="n">
        <v>0</v>
      </c>
      <c r="I84" s="60" t="n">
        <v>0</v>
      </c>
      <c r="J84" s="60" t="n">
        <v>0</v>
      </c>
      <c r="K84" s="60" t="n">
        <v>0</v>
      </c>
      <c r="L84" s="60" t="n">
        <v>0</v>
      </c>
      <c r="M84" s="8" t="n"/>
      <c r="N84" s="8" t="n"/>
      <c r="O84" s="60">
        <f>+O70-O83</f>
        <v/>
      </c>
      <c r="P84" s="60">
        <f>+P70-P83</f>
        <v/>
      </c>
      <c r="Q84" s="60">
        <f>+Q70-Q83</f>
        <v/>
      </c>
      <c r="R84" s="60">
        <f>+R70-R83</f>
        <v/>
      </c>
      <c r="S84" s="60">
        <f>+S70-S83</f>
        <v/>
      </c>
      <c r="T84" s="60">
        <f>+T70-T83</f>
        <v/>
      </c>
      <c r="U84" s="60">
        <f>+U70-U83</f>
        <v/>
      </c>
      <c r="V84" s="60">
        <f>+V70-V83</f>
        <v/>
      </c>
      <c r="W84" s="60">
        <f>+W70-W83</f>
        <v/>
      </c>
      <c r="X84" s="60">
        <f>+X70-X83</f>
        <v/>
      </c>
      <c r="Y84" s="60">
        <f>+Y70-Y83</f>
        <v/>
      </c>
      <c r="Z84" s="60">
        <f>+Z70-Z83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5" t="inlineStr">
        <is>
          <t>CHECK TO TB</t>
        </is>
      </c>
      <c r="B86" s="65" t="n">
        <v>0</v>
      </c>
      <c r="C86" s="65" t="n">
        <v>0</v>
      </c>
      <c r="D86" s="65" t="n">
        <v>0</v>
      </c>
      <c r="E86" s="65" t="n">
        <v>0</v>
      </c>
      <c r="F86" s="65" t="n">
        <v>0</v>
      </c>
      <c r="G86" s="65" t="n">
        <v>0</v>
      </c>
      <c r="H86" s="65" t="n">
        <v>0</v>
      </c>
      <c r="I86" s="65" t="n">
        <v>0</v>
      </c>
      <c r="J86" s="65" t="n">
        <v>0</v>
      </c>
      <c r="K86" s="65" t="n"/>
      <c r="L86" s="65" t="n"/>
      <c r="M86" s="65" t="n"/>
      <c r="N86" s="8" t="n"/>
      <c r="O86" s="65">
        <f>O83+O87</f>
        <v/>
      </c>
      <c r="P86" s="65">
        <f>P83+P87</f>
        <v/>
      </c>
      <c r="Q86" s="65">
        <f>Q83+Q87</f>
        <v/>
      </c>
      <c r="R86" s="65">
        <f>R83+R87</f>
        <v/>
      </c>
      <c r="S86" s="65">
        <f>S83+S87</f>
        <v/>
      </c>
      <c r="T86" s="65">
        <f>T83+T87</f>
        <v/>
      </c>
      <c r="U86" s="65">
        <f>U83+U87</f>
        <v/>
      </c>
      <c r="V86" s="65">
        <f>V83+V87</f>
        <v/>
      </c>
      <c r="W86" s="65">
        <f>W83+W87</f>
        <v/>
      </c>
      <c r="X86" s="65">
        <f>X83+X87</f>
        <v/>
      </c>
      <c r="Y86" s="65">
        <f>Y83+Y87</f>
        <v/>
      </c>
      <c r="Z86" s="65">
        <f>Z83+Z87</f>
        <v/>
      </c>
      <c r="AA86" s="8" t="n"/>
      <c r="AB86" s="8" t="n"/>
      <c r="AC86" s="65" t="n"/>
      <c r="AD86" s="65" t="n"/>
      <c r="AE86" s="65" t="n"/>
      <c r="AF86" s="65" t="n"/>
      <c r="AG86" s="65" t="n"/>
      <c r="AH86" s="65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5" t="n"/>
      <c r="B87" s="65" t="n">
        <v>-15777.83</v>
      </c>
      <c r="C87" s="65" t="n">
        <v>-31494.3</v>
      </c>
      <c r="D87" s="65" t="n">
        <v>-47767.26000000002</v>
      </c>
      <c r="E87" s="65" t="n">
        <v>-24032.97</v>
      </c>
      <c r="F87" s="65" t="n">
        <v>-13742.18</v>
      </c>
      <c r="G87" s="65" t="n">
        <v>-48519.64000000001</v>
      </c>
      <c r="H87" s="65" t="n">
        <v>-55791.83</v>
      </c>
      <c r="I87" s="65" t="n">
        <v>-10399.73</v>
      </c>
      <c r="J87" s="65" t="n">
        <v>-13761.58</v>
      </c>
      <c r="K87" s="65" t="n"/>
      <c r="L87" s="65" t="n"/>
      <c r="M87" s="65" t="n"/>
      <c r="N87" s="8" t="n"/>
      <c r="O87" s="65">
        <f>SUM('ABA TB'!C2:C44)</f>
        <v/>
      </c>
      <c r="P87" s="65">
        <f>SUM('ABA TB'!D2:D44)</f>
        <v/>
      </c>
      <c r="Q87" s="65">
        <f>SUM('ABA TB'!E2:E44)</f>
        <v/>
      </c>
      <c r="R87" s="65">
        <f>SUM('ABA TB'!F2:F44)</f>
        <v/>
      </c>
      <c r="S87" s="65">
        <f>SUM('ABA TB'!G2:G44)</f>
        <v/>
      </c>
      <c r="T87" s="65">
        <f>SUM('ABA TB'!H2:H44)</f>
        <v/>
      </c>
      <c r="U87" s="65">
        <f>SUM('ABA TB'!I2:I44)</f>
        <v/>
      </c>
      <c r="V87" s="65">
        <f>SUM('ABA TB'!J2:J44)</f>
        <v/>
      </c>
      <c r="W87" s="65">
        <f>SUM('ABA TB'!K2:K44)</f>
        <v/>
      </c>
      <c r="X87" s="65">
        <f>SUM('ABA TB'!L2:L44)</f>
        <v/>
      </c>
      <c r="Y87" s="65">
        <f>SUM('ABA TB'!M2:M44)</f>
        <v/>
      </c>
      <c r="Z87" s="65">
        <f>SUM('ABA TB'!N2:N44)</f>
        <v/>
      </c>
      <c r="AA87" s="8" t="n"/>
      <c r="AB87" s="8" t="n"/>
      <c r="AC87" s="65" t="n"/>
      <c r="AD87" s="65" t="n"/>
      <c r="AE87" s="65" t="n"/>
      <c r="AF87" s="65" t="n"/>
      <c r="AG87" s="65" t="n"/>
      <c r="AH87" s="65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22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28515625" customWidth="1" min="27" max="27"/>
    <col width="8.4257812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Bees Knees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n"/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>
        <f>SUM(O8:O9)</f>
        <v/>
      </c>
      <c r="P6" s="31">
        <f>SUM(P8:P9)</f>
        <v/>
      </c>
      <c r="Q6" s="31">
        <f>SUM(Q8:Q9)</f>
        <v/>
      </c>
      <c r="R6" s="31">
        <f>SUM(R8:R9)</f>
        <v/>
      </c>
      <c r="S6" s="31">
        <f>SUM(S8:S9)</f>
        <v/>
      </c>
      <c r="T6" s="31">
        <f>SUM(T8:T9)</f>
        <v/>
      </c>
      <c r="U6" s="31">
        <f>SUM(U8:U9)</f>
        <v/>
      </c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28822.91</v>
      </c>
      <c r="C8" s="35" t="n">
        <v>27527.48</v>
      </c>
      <c r="D8" s="35" t="n">
        <v>31969.83</v>
      </c>
      <c r="E8" s="35" t="n">
        <v>35157.71</v>
      </c>
      <c r="F8" s="35" t="n">
        <v>28423.99</v>
      </c>
      <c r="G8" s="35" t="n">
        <v>26822.46</v>
      </c>
      <c r="H8" s="35" t="n">
        <v>35071.73</v>
      </c>
      <c r="I8" s="35" t="n">
        <v>29292.16</v>
      </c>
      <c r="J8" s="35" t="n">
        <v>20414.75</v>
      </c>
      <c r="K8" s="35" t="n">
        <v>19819.13</v>
      </c>
      <c r="L8" s="35" t="n">
        <v>18348.67</v>
      </c>
      <c r="M8" s="35" t="n">
        <v>27249.99</v>
      </c>
      <c r="N8" s="36">
        <f>SUM(B8:M8)</f>
        <v/>
      </c>
      <c r="O8" s="37">
        <f>-SUMIF('BK TB '!$R:$R,'BK P&amp;L'!$A8,'BK TB '!C:C)</f>
        <v/>
      </c>
      <c r="P8" s="37">
        <f>-SUMIF('BK TB '!$R:$R,'BK P&amp;L'!$A8,'BK TB '!D:D)</f>
        <v/>
      </c>
      <c r="Q8" s="37">
        <f>-SUMIF('BK TB '!$R:$R,'BK P&amp;L'!$A8,'BK TB '!E:E)</f>
        <v/>
      </c>
      <c r="R8" s="37">
        <f>-SUMIF('BK TB '!$R:$R,'BK P&amp;L'!$A8,'BK TB '!F:F)</f>
        <v/>
      </c>
      <c r="S8" s="37">
        <f>-SUMIF('BK TB '!$R:$R,'BK P&amp;L'!$A8,'BK TB '!G:G)</f>
        <v/>
      </c>
      <c r="T8" s="37">
        <f>-SUMIF('BK TB '!$R:$R,'BK P&amp;L'!$A8,'BK TB '!H:H)</f>
        <v/>
      </c>
      <c r="U8" s="37">
        <f>-SUMIF('BK TB '!$R:$R,'BK P&amp;L'!$A8,'BK TB '!I:I)</f>
        <v/>
      </c>
      <c r="V8" s="38" t="n">
        <v>22776</v>
      </c>
      <c r="W8" s="38" t="n">
        <v>16164</v>
      </c>
      <c r="X8" s="38" t="n">
        <v>15373</v>
      </c>
      <c r="Y8" s="38" t="n">
        <v>14600</v>
      </c>
      <c r="Z8" s="38" t="n">
        <v>19758</v>
      </c>
      <c r="AA8" s="36">
        <f>SUM(O8:U8)</f>
        <v/>
      </c>
      <c r="AB8" s="36">
        <f>SUM(O8:Z8)</f>
        <v/>
      </c>
      <c r="AC8" s="38" t="n">
        <v>33849.27</v>
      </c>
      <c r="AD8" s="38" t="n">
        <v>40863.29</v>
      </c>
      <c r="AE8" s="38" t="n">
        <v>33168.87</v>
      </c>
      <c r="AF8" s="38" t="n">
        <v>37302.1</v>
      </c>
      <c r="AG8" s="38" t="n">
        <v>39624.94</v>
      </c>
      <c r="AH8" s="38" t="n">
        <v>49227.72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8562.4</v>
      </c>
      <c r="C9" s="35" t="n">
        <v>8562.4</v>
      </c>
      <c r="D9" s="35" t="n">
        <v>33256.45</v>
      </c>
      <c r="E9" s="35" t="n">
        <v>10591.2</v>
      </c>
      <c r="F9" s="35" t="n">
        <v>10591.2</v>
      </c>
      <c r="G9" s="35" t="n">
        <v>21480.3</v>
      </c>
      <c r="H9" s="35" t="n">
        <v>21480.3</v>
      </c>
      <c r="I9" s="35" t="n">
        <v>0</v>
      </c>
      <c r="J9" s="35" t="n">
        <v>15872.22</v>
      </c>
      <c r="K9" s="35" t="n">
        <v>15872.22</v>
      </c>
      <c r="L9" s="35" t="n">
        <v>18615.75</v>
      </c>
      <c r="M9" s="35" t="n">
        <v>19798.35</v>
      </c>
      <c r="N9" s="36">
        <f>SUM(B9:M9)</f>
        <v/>
      </c>
      <c r="O9" s="37">
        <f>-SUMIF('BK TB '!$R:$R,'BK P&amp;L'!$A9,'BK TB '!C:C)</f>
        <v/>
      </c>
      <c r="P9" s="37">
        <f>-SUMIF('BK TB '!$R:$R,'BK P&amp;L'!$A9,'BK TB '!D:D)</f>
        <v/>
      </c>
      <c r="Q9" s="37">
        <f>-SUMIF('BK TB '!$R:$R,'BK P&amp;L'!$A9,'BK TB '!E:E)</f>
        <v/>
      </c>
      <c r="R9" s="37">
        <f>-SUMIF('BK TB '!$R:$R,'BK P&amp;L'!$A9,'BK TB '!F:F)</f>
        <v/>
      </c>
      <c r="S9" s="37">
        <f>-SUMIF('BK TB '!$R:$R,'BK P&amp;L'!$A9,'BK TB '!G:G)</f>
        <v/>
      </c>
      <c r="T9" s="37">
        <f>-SUMIF('BK TB '!$R:$R,'BK P&amp;L'!$A9,'BK TB '!H:H)</f>
        <v/>
      </c>
      <c r="U9" s="37">
        <f>-SUMIF('BK TB '!$R:$R,'BK P&amp;L'!$A9,'BK TB '!I:I)</f>
        <v/>
      </c>
      <c r="V9" s="38" t="n"/>
      <c r="W9" s="38" t="n">
        <v>16184.02</v>
      </c>
      <c r="X9" s="38" t="n">
        <v>17636</v>
      </c>
      <c r="Y9" s="38" t="n">
        <v>17121</v>
      </c>
      <c r="Z9" s="38" t="n">
        <v>9939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100</v>
      </c>
      <c r="C10" s="35" t="n">
        <v>0</v>
      </c>
      <c r="D10" s="35" t="n">
        <v>100</v>
      </c>
      <c r="E10" s="35" t="n">
        <v>300</v>
      </c>
      <c r="F10" s="35" t="n">
        <v>0</v>
      </c>
      <c r="G10" s="35" t="n">
        <v>300</v>
      </c>
      <c r="H10" s="35" t="n">
        <v>0</v>
      </c>
      <c r="I10" s="35" t="n">
        <v>2568.76</v>
      </c>
      <c r="J10" s="35" t="n">
        <v>450</v>
      </c>
      <c r="K10" s="35" t="n">
        <v>150</v>
      </c>
      <c r="L10" s="35" t="n">
        <v>300</v>
      </c>
      <c r="M10" s="35" t="n">
        <v>300</v>
      </c>
      <c r="N10" s="36">
        <f>SUM(B10:M10)</f>
        <v/>
      </c>
      <c r="O10" s="37">
        <f>-SUMIF('BK TB '!$R:$R,'BK P&amp;L'!$A10,'BK TB '!C:C)</f>
        <v/>
      </c>
      <c r="P10" s="37">
        <f>-SUMIF('BK TB '!$R:$R,'BK P&amp;L'!$A10,'BK TB '!D:D)</f>
        <v/>
      </c>
      <c r="Q10" s="37">
        <f>-SUMIF('BK TB '!$R:$R,'BK P&amp;L'!$A10,'BK TB '!E:E)</f>
        <v/>
      </c>
      <c r="R10" s="37">
        <f>-SUMIF('BK TB '!$R:$R,'BK P&amp;L'!$A10,'BK TB '!F:F)</f>
        <v/>
      </c>
      <c r="S10" s="37">
        <f>-SUMIF('BK TB '!$R:$R,'BK P&amp;L'!$A10,'BK TB '!G:G)</f>
        <v/>
      </c>
      <c r="T10" s="37">
        <f>-SUMIF('BK TB '!$R:$R,'BK P&amp;L'!$A10,'BK TB '!H:H)</f>
        <v/>
      </c>
      <c r="U10" s="37">
        <f>-SUMIF('BK TB '!$R:$R,'BK P&amp;L'!$A10,'BK TB 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37485.31</v>
      </c>
      <c r="C11" s="42" t="n">
        <v>36089.88</v>
      </c>
      <c r="D11" s="42" t="n">
        <v>65326.28</v>
      </c>
      <c r="E11" s="42" t="n">
        <v>46048.91</v>
      </c>
      <c r="F11" s="42" t="n">
        <v>39015.19</v>
      </c>
      <c r="G11" s="42" t="n">
        <v>48602.76</v>
      </c>
      <c r="H11" s="42" t="n">
        <v>56552.03</v>
      </c>
      <c r="I11" s="42" t="n">
        <v>31860.92</v>
      </c>
      <c r="J11" s="42" t="n">
        <v>36736.97</v>
      </c>
      <c r="K11" s="42" t="n">
        <v>35841.35</v>
      </c>
      <c r="L11" s="42" t="n">
        <v>37264.42</v>
      </c>
      <c r="M11" s="42" t="n">
        <v>47348.34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17812.5</v>
      </c>
      <c r="C16" s="35" t="n">
        <v>17339.68</v>
      </c>
      <c r="D16" s="35" t="n">
        <v>20177.72</v>
      </c>
      <c r="E16" s="35" t="n">
        <v>22232.54</v>
      </c>
      <c r="F16" s="35" t="n">
        <v>22270.94</v>
      </c>
      <c r="G16" s="35" t="n">
        <v>23588.71</v>
      </c>
      <c r="H16" s="35" t="n">
        <v>23343.5</v>
      </c>
      <c r="I16" s="35" t="n">
        <v>23511.85</v>
      </c>
      <c r="J16" s="35" t="n">
        <v>20681.56</v>
      </c>
      <c r="K16" s="35" t="n">
        <v>22301.58</v>
      </c>
      <c r="L16" s="35" t="n">
        <v>19748.45</v>
      </c>
      <c r="M16" s="35" t="n">
        <v>21714.13</v>
      </c>
      <c r="N16" s="36">
        <f>SUM(B16:M16)</f>
        <v/>
      </c>
      <c r="O16" s="37">
        <f>SUMIF('BK TB '!$R:$R,'BK P&amp;L'!$A16,'BK TB '!C:C)</f>
        <v/>
      </c>
      <c r="P16" s="37">
        <f>SUMIF('BK TB '!$R:$R,'BK P&amp;L'!$A16,'BK TB '!D:D)</f>
        <v/>
      </c>
      <c r="Q16" s="37">
        <f>SUMIF('BK TB '!$R:$R,'BK P&amp;L'!$A16,'BK TB '!E:E)</f>
        <v/>
      </c>
      <c r="R16" s="37">
        <f>SUMIF('BK TB '!$R:$R,'BK P&amp;L'!$A16,'BK TB '!F:F)</f>
        <v/>
      </c>
      <c r="S16" s="37">
        <f>SUMIF('BK TB '!$R:$R,'BK P&amp;L'!$A16,'BK TB '!G:G)</f>
        <v/>
      </c>
      <c r="T16" s="37">
        <f>SUMIF('BK TB '!$R:$R,'BK P&amp;L'!$A16,'BK TB '!H:H)</f>
        <v/>
      </c>
      <c r="U16" s="37">
        <f>SUMIF('BK TB '!$R:$R,'BK P&amp;L'!$A16,'BK TB '!I:I)</f>
        <v/>
      </c>
      <c r="V16" s="38" t="n">
        <v>23226.6</v>
      </c>
      <c r="W16" s="38" t="n">
        <v>23226.6</v>
      </c>
      <c r="X16" s="38" t="n">
        <v>23226.6</v>
      </c>
      <c r="Y16" s="38" t="n">
        <v>23226.6</v>
      </c>
      <c r="Z16" s="38" t="n">
        <v>23226.6</v>
      </c>
      <c r="AA16" s="36">
        <f>SUM(O16:U16)</f>
        <v/>
      </c>
      <c r="AB16" s="36">
        <f>SUM(O16:Z16)</f>
        <v/>
      </c>
      <c r="AC16" s="38" t="n">
        <v>23226.6</v>
      </c>
      <c r="AD16" s="38" t="n">
        <v>23226.6</v>
      </c>
      <c r="AE16" s="38" t="n">
        <v>23226.6</v>
      </c>
      <c r="AF16" s="38" t="n">
        <v>23226.6</v>
      </c>
      <c r="AG16" s="38" t="n">
        <v>23226.6</v>
      </c>
      <c r="AH16" s="38" t="n">
        <v>23226.6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1475.26</v>
      </c>
      <c r="C17" s="35" t="n">
        <v>1417.07</v>
      </c>
      <c r="D17" s="35" t="n">
        <v>1686.46</v>
      </c>
      <c r="E17" s="35" t="n">
        <v>2563.92</v>
      </c>
      <c r="F17" s="35" t="n">
        <v>2567.89</v>
      </c>
      <c r="G17" s="35" t="n">
        <v>2767.34</v>
      </c>
      <c r="H17" s="35" t="n">
        <v>2749.77</v>
      </c>
      <c r="I17" s="35" t="n">
        <v>2755.82</v>
      </c>
      <c r="J17" s="35" t="n">
        <v>2340.87</v>
      </c>
      <c r="K17" s="35" t="n">
        <v>2518.95</v>
      </c>
      <c r="L17" s="35" t="n">
        <v>2309.57</v>
      </c>
      <c r="M17" s="35" t="n">
        <v>2480.48</v>
      </c>
      <c r="N17" s="36">
        <f>SUM(B17:M17)</f>
        <v/>
      </c>
      <c r="O17" s="37">
        <f>SUMIF('BK TB '!$R:$R,'BK P&amp;L'!$A17,'BK TB '!C:C)</f>
        <v/>
      </c>
      <c r="P17" s="37">
        <f>SUMIF('BK TB '!$R:$R,'BK P&amp;L'!$A17,'BK TB '!D:D)</f>
        <v/>
      </c>
      <c r="Q17" s="37">
        <f>SUMIF('BK TB '!$R:$R,'BK P&amp;L'!$A17,'BK TB '!E:E)</f>
        <v/>
      </c>
      <c r="R17" s="37">
        <f>SUMIF('BK TB '!$R:$R,'BK P&amp;L'!$A17,'BK TB '!F:F)</f>
        <v/>
      </c>
      <c r="S17" s="37">
        <f>SUMIF('BK TB '!$R:$R,'BK P&amp;L'!$A17,'BK TB '!G:G)</f>
        <v/>
      </c>
      <c r="T17" s="37">
        <f>SUMIF('BK TB '!$R:$R,'BK P&amp;L'!$A17,'BK TB '!H:H)</f>
        <v/>
      </c>
      <c r="U17" s="37">
        <f>SUMIF('BK TB '!$R:$R,'BK P&amp;L'!$A17,'BK TB '!I:I)</f>
        <v/>
      </c>
      <c r="V17" s="38" t="n">
        <v>2177.1</v>
      </c>
      <c r="W17" s="38" t="n">
        <v>2177.1</v>
      </c>
      <c r="X17" s="38" t="n">
        <v>2177.1</v>
      </c>
      <c r="Y17" s="38" t="n">
        <v>2177.1</v>
      </c>
      <c r="Z17" s="38" t="n">
        <v>2177.1</v>
      </c>
      <c r="AA17" s="36">
        <f>SUM(O17:U17)</f>
        <v/>
      </c>
      <c r="AB17" s="36">
        <f>SUM(O17:Z17)</f>
        <v/>
      </c>
      <c r="AC17" s="38" t="n">
        <v>2177.1</v>
      </c>
      <c r="AD17" s="38" t="n">
        <v>2177.1</v>
      </c>
      <c r="AE17" s="38" t="n">
        <v>2177.1</v>
      </c>
      <c r="AF17" s="38" t="n">
        <v>2177.1</v>
      </c>
      <c r="AG17" s="38" t="n">
        <v>2177.1</v>
      </c>
      <c r="AH17" s="38" t="n">
        <v>2177.1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347.13</v>
      </c>
      <c r="C18" s="35" t="n">
        <v>330.13</v>
      </c>
      <c r="D18" s="35" t="n">
        <v>333.41</v>
      </c>
      <c r="E18" s="35" t="n">
        <v>342.51</v>
      </c>
      <c r="F18" s="35" t="n">
        <v>397.67</v>
      </c>
      <c r="G18" s="35" t="n">
        <v>473.08</v>
      </c>
      <c r="H18" s="35" t="n">
        <v>489.34</v>
      </c>
      <c r="I18" s="35" t="n">
        <v>523.3099999999999</v>
      </c>
      <c r="J18" s="35" t="n">
        <v>440.32</v>
      </c>
      <c r="K18" s="35" t="n">
        <v>418.9</v>
      </c>
      <c r="L18" s="35" t="n">
        <v>382.73</v>
      </c>
      <c r="M18" s="35" t="n">
        <v>421.5700000000001</v>
      </c>
      <c r="N18" s="36">
        <f>SUM(B18:M18)</f>
        <v/>
      </c>
      <c r="O18" s="37">
        <f>SUMIF('BK TB '!$R:$R,'BK P&amp;L'!$A18,'BK TB '!C:C)</f>
        <v/>
      </c>
      <c r="P18" s="37">
        <f>SUMIF('BK TB '!$R:$R,'BK P&amp;L'!$A18,'BK TB '!D:D)</f>
        <v/>
      </c>
      <c r="Q18" s="37">
        <f>SUMIF('BK TB '!$R:$R,'BK P&amp;L'!$A18,'BK TB '!E:E)</f>
        <v/>
      </c>
      <c r="R18" s="37">
        <f>SUMIF('BK TB '!$R:$R,'BK P&amp;L'!$A18,'BK TB '!F:F)</f>
        <v/>
      </c>
      <c r="S18" s="37">
        <f>SUMIF('BK TB '!$R:$R,'BK P&amp;L'!$A18,'BK TB '!G:G)</f>
        <v/>
      </c>
      <c r="T18" s="37">
        <f>SUMIF('BK TB '!$R:$R,'BK P&amp;L'!$A18,'BK TB '!H:H)</f>
        <v/>
      </c>
      <c r="U18" s="37">
        <f>SUMIF('BK TB '!$R:$R,'BK P&amp;L'!$A18,'BK TB '!I:I)</f>
        <v/>
      </c>
      <c r="V18" s="38" t="n">
        <v>413.76</v>
      </c>
      <c r="W18" s="38" t="n">
        <v>413.76</v>
      </c>
      <c r="X18" s="38" t="n">
        <v>413.76</v>
      </c>
      <c r="Y18" s="38" t="n">
        <v>413.76</v>
      </c>
      <c r="Z18" s="38" t="n">
        <v>413.76</v>
      </c>
      <c r="AA18" s="36">
        <f>SUM(O18:U18)</f>
        <v/>
      </c>
      <c r="AB18" s="36">
        <f>SUM(O18:Z18)</f>
        <v/>
      </c>
      <c r="AC18" s="38" t="n">
        <v>413.76</v>
      </c>
      <c r="AD18" s="38" t="n">
        <v>413.76</v>
      </c>
      <c r="AE18" s="38" t="n">
        <v>413.76</v>
      </c>
      <c r="AF18" s="38" t="n">
        <v>413.76</v>
      </c>
      <c r="AG18" s="38" t="n">
        <v>413.76</v>
      </c>
      <c r="AH18" s="38" t="n">
        <v>413.76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59.28</v>
      </c>
      <c r="D19" s="35" t="n">
        <v>0</v>
      </c>
      <c r="E19" s="35" t="n">
        <v>105.18</v>
      </c>
      <c r="F19" s="35" t="n">
        <v>155.4</v>
      </c>
      <c r="G19" s="35" t="n">
        <v>104.69</v>
      </c>
      <c r="H19" s="35" t="n">
        <v>11.99</v>
      </c>
      <c r="I19" s="35" t="n">
        <v>0</v>
      </c>
      <c r="J19" s="35" t="n">
        <v>0</v>
      </c>
      <c r="K19" s="35" t="n">
        <v>0</v>
      </c>
      <c r="L19" s="35" t="n">
        <v>0</v>
      </c>
      <c r="M19" s="35" t="n">
        <v>401.76</v>
      </c>
      <c r="N19" s="36">
        <f>SUM(B19:M19)</f>
        <v/>
      </c>
      <c r="O19" s="37">
        <f>SUMIF('BK TB '!$R:$R,'BK P&amp;L'!$A19,'BK TB '!C:C)</f>
        <v/>
      </c>
      <c r="P19" s="37">
        <f>SUMIF('BK TB '!$R:$R,'BK P&amp;L'!$A19,'BK TB '!D:D)</f>
        <v/>
      </c>
      <c r="Q19" s="37">
        <f>SUMIF('BK TB '!$R:$R,'BK P&amp;L'!$A19,'BK TB '!E:E)</f>
        <v/>
      </c>
      <c r="R19" s="37">
        <f>SUMIF('BK TB '!$R:$R,'BK P&amp;L'!$A19,'BK TB '!F:F)</f>
        <v/>
      </c>
      <c r="S19" s="37">
        <f>SUMIF('BK TB '!$R:$R,'BK P&amp;L'!$A19,'BK TB '!G:G)</f>
        <v/>
      </c>
      <c r="T19" s="37">
        <f>SUMIF('BK TB '!$R:$R,'BK P&amp;L'!$A19,'BK TB '!H:H)</f>
        <v/>
      </c>
      <c r="U19" s="37">
        <f>SUMIF('BK TB '!$R:$R,'BK P&amp;L'!$A19,'BK TB '!I:I)</f>
        <v/>
      </c>
      <c r="V19" s="38" t="n">
        <v>50</v>
      </c>
      <c r="W19" s="38" t="n">
        <v>50</v>
      </c>
      <c r="X19" s="38" t="n">
        <v>50</v>
      </c>
      <c r="Y19" s="38" t="n">
        <v>50</v>
      </c>
      <c r="Z19" s="38" t="n">
        <v>50</v>
      </c>
      <c r="AA19" s="36">
        <f>SUM(O19:U19)</f>
        <v/>
      </c>
      <c r="AB19" s="36">
        <f>SUM(O19:Z19)</f>
        <v/>
      </c>
      <c r="AC19" s="38" t="n">
        <v>50</v>
      </c>
      <c r="AD19" s="38" t="n">
        <v>50</v>
      </c>
      <c r="AE19" s="38" t="n">
        <v>50</v>
      </c>
      <c r="AF19" s="38" t="n">
        <v>50</v>
      </c>
      <c r="AG19" s="38" t="n">
        <v>50</v>
      </c>
      <c r="AH19" s="38" t="n">
        <v>50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57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24</v>
      </c>
      <c r="H20" s="35" t="n">
        <v>0</v>
      </c>
      <c r="I20" s="35" t="n">
        <v>33</v>
      </c>
      <c r="J20" s="35" t="n">
        <v>0</v>
      </c>
      <c r="K20" s="35" t="n">
        <v>684</v>
      </c>
      <c r="L20" s="35" t="n">
        <v>172.6</v>
      </c>
      <c r="M20" s="35" t="n">
        <v>384</v>
      </c>
      <c r="N20" s="36">
        <f>SUM(B20:M20)</f>
        <v/>
      </c>
      <c r="O20" s="37">
        <f>SUMIF('BK TB '!$R:$R,'BK P&amp;L'!$A20,'BK TB '!C:C)</f>
        <v/>
      </c>
      <c r="P20" s="37">
        <f>SUMIF('BK TB '!$R:$R,'BK P&amp;L'!$A20,'BK TB '!D:D)</f>
        <v/>
      </c>
      <c r="Q20" s="37">
        <f>SUMIF('BK TB '!$R:$R,'BK P&amp;L'!$A20,'BK TB '!E:E)</f>
        <v/>
      </c>
      <c r="R20" s="37">
        <f>SUMIF('BK TB '!$R:$R,'BK P&amp;L'!$A20,'BK TB '!F:F)</f>
        <v/>
      </c>
      <c r="S20" s="37">
        <f>SUMIF('BK TB '!$R:$R,'BK P&amp;L'!$A20,'BK TB '!G:G)</f>
        <v/>
      </c>
      <c r="T20" s="37">
        <f>SUMIF('BK TB '!$R:$R,'BK P&amp;L'!$A20,'BK TB '!H:H)</f>
        <v/>
      </c>
      <c r="U20" s="37">
        <f>SUMIF('BK TB '!$R:$R,'BK P&amp;L'!$A20,'BK TB '!I:I)</f>
        <v/>
      </c>
      <c r="V20" s="38" t="n">
        <v>0</v>
      </c>
      <c r="W20" s="38" t="n">
        <v>0</v>
      </c>
      <c r="X20" s="38" t="n">
        <v>0</v>
      </c>
      <c r="Y20" s="38" t="n">
        <v>0</v>
      </c>
      <c r="Z20" s="38" t="n">
        <v>0</v>
      </c>
      <c r="AA20" s="36">
        <f>SUM(O20:U20)</f>
        <v/>
      </c>
      <c r="AB20" s="36">
        <f>SUM(O20:Z20)</f>
        <v/>
      </c>
      <c r="AC20" s="38" t="n">
        <v>0</v>
      </c>
      <c r="AD20" s="38" t="n">
        <v>0</v>
      </c>
      <c r="AE20" s="38" t="n">
        <v>0</v>
      </c>
      <c r="AF20" s="38" t="n">
        <v>0</v>
      </c>
      <c r="AG20" s="38" t="n">
        <v>0</v>
      </c>
      <c r="AH20" s="38" t="n">
        <v>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53.68</v>
      </c>
      <c r="C21" s="35" t="n">
        <v>350.21</v>
      </c>
      <c r="D21" s="35" t="n">
        <v>17.06</v>
      </c>
      <c r="E21" s="35" t="n">
        <v>46.05</v>
      </c>
      <c r="F21" s="35" t="n">
        <v>300.11</v>
      </c>
      <c r="G21" s="35" t="n">
        <v>272.05</v>
      </c>
      <c r="H21" s="35" t="n">
        <v>224.64</v>
      </c>
      <c r="I21" s="35" t="n">
        <v>246.79</v>
      </c>
      <c r="J21" s="35" t="n">
        <v>129.2</v>
      </c>
      <c r="K21" s="35" t="n">
        <v>88.43000000000001</v>
      </c>
      <c r="L21" s="35" t="n">
        <v>342.9</v>
      </c>
      <c r="M21" s="35" t="n">
        <v>243.13</v>
      </c>
      <c r="N21" s="36">
        <f>SUM(B21:M21)</f>
        <v/>
      </c>
      <c r="O21" s="37">
        <f>SUMIF('BK TB '!$R:$R,'BK P&amp;L'!$A21,'BK TB '!C:C)</f>
        <v/>
      </c>
      <c r="P21" s="37">
        <f>SUMIF('BK TB '!$R:$R,'BK P&amp;L'!$A21,'BK TB '!D:D)</f>
        <v/>
      </c>
      <c r="Q21" s="37">
        <f>SUMIF('BK TB '!$R:$R,'BK P&amp;L'!$A21,'BK TB '!E:E)</f>
        <v/>
      </c>
      <c r="R21" s="37">
        <f>SUMIF('BK TB '!$R:$R,'BK P&amp;L'!$A21,'BK TB '!F:F)</f>
        <v/>
      </c>
      <c r="S21" s="37">
        <f>SUMIF('BK TB '!$R:$R,'BK P&amp;L'!$A21,'BK TB '!G:G)</f>
        <v/>
      </c>
      <c r="T21" s="37">
        <f>SUMIF('BK TB '!$R:$R,'BK P&amp;L'!$A21,'BK TB '!H:H)</f>
        <v/>
      </c>
      <c r="U21" s="37">
        <f>SUMIF('BK TB '!$R:$R,'BK P&amp;L'!$A21,'BK TB '!I:I)</f>
        <v/>
      </c>
      <c r="V21" s="38" t="n">
        <v>80</v>
      </c>
      <c r="W21" s="38" t="n">
        <v>80</v>
      </c>
      <c r="X21" s="38" t="n">
        <v>80</v>
      </c>
      <c r="Y21" s="38" t="n">
        <v>80</v>
      </c>
      <c r="Z21" s="38" t="n">
        <v>80</v>
      </c>
      <c r="AA21" s="36">
        <f>SUM(O21:U21)</f>
        <v/>
      </c>
      <c r="AB21" s="36">
        <f>SUM(O21:Z21)</f>
        <v/>
      </c>
      <c r="AC21" s="38" t="n">
        <v>80</v>
      </c>
      <c r="AD21" s="38" t="n">
        <v>80</v>
      </c>
      <c r="AE21" s="38" t="n">
        <v>80</v>
      </c>
      <c r="AF21" s="38" t="n">
        <v>80</v>
      </c>
      <c r="AG21" s="38" t="n">
        <v>80</v>
      </c>
      <c r="AH21" s="38" t="n">
        <v>80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3861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SUMIF('BK TB '!$R:$R,'BK P&amp;L'!$A22,'BK TB '!C:C)</f>
        <v/>
      </c>
      <c r="P22" s="37">
        <f>SUMIF('BK TB '!$R:$R,'BK P&amp;L'!$A22,'BK TB '!D:D)</f>
        <v/>
      </c>
      <c r="Q22" s="37">
        <f>SUMIF('BK TB '!$R:$R,'BK P&amp;L'!$A22,'BK TB '!E:E)</f>
        <v/>
      </c>
      <c r="R22" s="37">
        <f>SUMIF('BK TB '!$R:$R,'BK P&amp;L'!$A22,'BK TB '!F:F)</f>
        <v/>
      </c>
      <c r="S22" s="37">
        <f>SUMIF('BK TB '!$R:$R,'BK P&amp;L'!$A22,'BK TB '!G:G)</f>
        <v/>
      </c>
      <c r="T22" s="37">
        <f>SUMIF('BK TB '!$R:$R,'BK P&amp;L'!$A22,'BK TB '!H:H)</f>
        <v/>
      </c>
      <c r="U22" s="37">
        <f>SUMIF('BK TB '!$R:$R,'BK P&amp;L'!$A22,'BK TB 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12.8</v>
      </c>
      <c r="I23" s="35" t="n">
        <v>0</v>
      </c>
      <c r="J23" s="35" t="n">
        <v>22.88</v>
      </c>
      <c r="K23" s="35" t="n">
        <v>0</v>
      </c>
      <c r="L23" s="35" t="n">
        <v>50.97</v>
      </c>
      <c r="M23" s="35" t="n">
        <v>88.44</v>
      </c>
      <c r="N23" s="36">
        <f>SUM(B23:M23)</f>
        <v/>
      </c>
      <c r="O23" s="37">
        <f>SUMIF('BK TB '!$R:$R,'BK P&amp;L'!$A23,'BK TB '!C:C)</f>
        <v/>
      </c>
      <c r="P23" s="37">
        <f>SUMIF('BK TB '!$R:$R,'BK P&amp;L'!$A23,'BK TB '!D:D)</f>
        <v/>
      </c>
      <c r="Q23" s="37">
        <f>SUMIF('BK TB '!$R:$R,'BK P&amp;L'!$A23,'BK TB '!E:E)</f>
        <v/>
      </c>
      <c r="R23" s="37">
        <f>SUMIF('BK TB '!$R:$R,'BK P&amp;L'!$A23,'BK TB '!F:F)</f>
        <v/>
      </c>
      <c r="S23" s="37">
        <f>SUMIF('BK TB '!$R:$R,'BK P&amp;L'!$A23,'BK TB '!G:G)</f>
        <v/>
      </c>
      <c r="T23" s="37">
        <f>SUMIF('BK TB '!$R:$R,'BK P&amp;L'!$A23,'BK TB '!H:H)</f>
        <v/>
      </c>
      <c r="U23" s="37">
        <f>SUMIF('BK TB '!$R:$R,'BK P&amp;L'!$A23,'BK TB '!I:I)</f>
        <v/>
      </c>
      <c r="V23" s="38" t="n">
        <v>33</v>
      </c>
      <c r="W23" s="38" t="n">
        <v>33</v>
      </c>
      <c r="X23" s="38" t="n">
        <v>33</v>
      </c>
      <c r="Y23" s="38" t="n">
        <v>33</v>
      </c>
      <c r="Z23" s="38" t="n">
        <v>33</v>
      </c>
      <c r="AA23" s="36">
        <f>SUM(O23:U23)</f>
        <v/>
      </c>
      <c r="AB23" s="36">
        <f>SUM(O23:Z23)</f>
        <v/>
      </c>
      <c r="AC23" s="38" t="n">
        <v>33</v>
      </c>
      <c r="AD23" s="38" t="n">
        <v>33</v>
      </c>
      <c r="AE23" s="38" t="n">
        <v>33</v>
      </c>
      <c r="AF23" s="38" t="n">
        <v>33</v>
      </c>
      <c r="AG23" s="38" t="n">
        <v>33</v>
      </c>
      <c r="AH23" s="38" t="n">
        <v>33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475.44</v>
      </c>
      <c r="L24" s="35" t="n">
        <v>0</v>
      </c>
      <c r="M24" s="35" t="n">
        <v>0</v>
      </c>
      <c r="N24" s="36">
        <f>SUM(B24:M24)</f>
        <v/>
      </c>
      <c r="O24" s="37">
        <f>SUMIF('BK TB '!$R:$R,'BK P&amp;L'!$A24,'BK TB '!C:C)</f>
        <v/>
      </c>
      <c r="P24" s="37">
        <f>SUMIF('BK TB '!$R:$R,'BK P&amp;L'!$A24,'BK TB '!D:D)</f>
        <v/>
      </c>
      <c r="Q24" s="37">
        <f>SUMIF('BK TB '!$R:$R,'BK P&amp;L'!$A24,'BK TB '!E:E)</f>
        <v/>
      </c>
      <c r="R24" s="37">
        <f>SUMIF('BK TB '!$R:$R,'BK P&amp;L'!$A24,'BK TB '!F:F)</f>
        <v/>
      </c>
      <c r="S24" s="37">
        <f>SUMIF('BK TB '!$R:$R,'BK P&amp;L'!$A24,'BK TB '!G:G)</f>
        <v/>
      </c>
      <c r="T24" s="37">
        <f>SUMIF('BK TB '!$R:$R,'BK P&amp;L'!$A24,'BK TB '!H:H)</f>
        <v/>
      </c>
      <c r="U24" s="37">
        <f>SUMIF('BK TB '!$R:$R,'BK P&amp;L'!$A24,'BK TB 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19745.57</v>
      </c>
      <c r="C25" s="42" t="n">
        <v>19496.37</v>
      </c>
      <c r="D25" s="42" t="n">
        <v>22214.65</v>
      </c>
      <c r="E25" s="42" t="n">
        <v>25290.2</v>
      </c>
      <c r="F25" s="42" t="n">
        <v>25692.01</v>
      </c>
      <c r="G25" s="42" t="n">
        <v>27229.87</v>
      </c>
      <c r="H25" s="42" t="n">
        <v>26832.04</v>
      </c>
      <c r="I25" s="42" t="n">
        <v>27070.77</v>
      </c>
      <c r="J25" s="42" t="n">
        <v>27475.83</v>
      </c>
      <c r="K25" s="42" t="n">
        <v>26487.3</v>
      </c>
      <c r="L25" s="42" t="n">
        <v>23007.22</v>
      </c>
      <c r="M25" s="42" t="n">
        <v>25733.51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1233.99</v>
      </c>
      <c r="C27" s="35" t="n">
        <v>1338.85</v>
      </c>
      <c r="D27" s="35" t="n">
        <v>1128.13</v>
      </c>
      <c r="E27" s="35" t="n">
        <v>869.38</v>
      </c>
      <c r="F27" s="35" t="n">
        <v>1023.76</v>
      </c>
      <c r="G27" s="35" t="n">
        <v>988.9300000000001</v>
      </c>
      <c r="H27" s="35" t="n">
        <v>877.88</v>
      </c>
      <c r="I27" s="35" t="n">
        <v>1121.08</v>
      </c>
      <c r="J27" s="35" t="n">
        <v>1015.23</v>
      </c>
      <c r="K27" s="35" t="n">
        <v>1080.66</v>
      </c>
      <c r="L27" s="35" t="n">
        <v>1029.29</v>
      </c>
      <c r="M27" s="35" t="n">
        <v>1043.87</v>
      </c>
      <c r="N27" s="36">
        <f>SUM(B27:M27)</f>
        <v/>
      </c>
      <c r="O27" s="37">
        <f>SUMIF('BK TB '!$R:$R,'BK P&amp;L'!$A27,'BK TB '!C:C)</f>
        <v/>
      </c>
      <c r="P27" s="37">
        <f>SUMIF('BK TB '!$R:$R,'BK P&amp;L'!$A27,'BK TB '!D:D)</f>
        <v/>
      </c>
      <c r="Q27" s="37">
        <f>SUMIF('BK TB '!$R:$R,'BK P&amp;L'!$A27,'BK TB '!E:E)</f>
        <v/>
      </c>
      <c r="R27" s="37">
        <f>SUMIF('BK TB '!$R:$R,'BK P&amp;L'!$A27,'BK TB '!F:F)</f>
        <v/>
      </c>
      <c r="S27" s="37">
        <f>SUMIF('BK TB '!$R:$R,'BK P&amp;L'!$A27,'BK TB '!G:G)</f>
        <v/>
      </c>
      <c r="T27" s="37">
        <f>SUMIF('BK TB '!$R:$R,'BK P&amp;L'!$A27,'BK TB '!H:H)</f>
        <v/>
      </c>
      <c r="U27" s="37">
        <f>SUMIF('BK TB '!$R:$R,'BK P&amp;L'!$A27,'BK TB 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85.72</v>
      </c>
      <c r="C28" s="35" t="n">
        <v>41.48999999999999</v>
      </c>
      <c r="D28" s="35" t="n">
        <v>55.22</v>
      </c>
      <c r="E28" s="35" t="n">
        <v>133.77</v>
      </c>
      <c r="F28" s="35" t="n">
        <v>115.2</v>
      </c>
      <c r="G28" s="35" t="n">
        <v>40.97</v>
      </c>
      <c r="H28" s="35" t="n">
        <v>119.18</v>
      </c>
      <c r="I28" s="35" t="n">
        <v>0</v>
      </c>
      <c r="J28" s="35" t="n">
        <v>937.3900000000001</v>
      </c>
      <c r="K28" s="35" t="n">
        <v>75.81999999999999</v>
      </c>
      <c r="L28" s="35" t="n">
        <v>34</v>
      </c>
      <c r="M28" s="35" t="n">
        <v>44.21</v>
      </c>
      <c r="N28" s="36">
        <f>SUM(B28:M28)</f>
        <v/>
      </c>
      <c r="O28" s="37">
        <f>SUMIF('BK TB '!$R:$R,'BK P&amp;L'!$A28,'BK TB '!C:C)</f>
        <v/>
      </c>
      <c r="P28" s="37">
        <f>SUMIF('BK TB '!$R:$R,'BK P&amp;L'!$A28,'BK TB '!D:D)</f>
        <v/>
      </c>
      <c r="Q28" s="37">
        <f>SUMIF('BK TB '!$R:$R,'BK P&amp;L'!$A28,'BK TB '!E:E)</f>
        <v/>
      </c>
      <c r="R28" s="37">
        <f>SUMIF('BK TB '!$R:$R,'BK P&amp;L'!$A28,'BK TB '!F:F)</f>
        <v/>
      </c>
      <c r="S28" s="37">
        <f>SUMIF('BK TB '!$R:$R,'BK P&amp;L'!$A28,'BK TB '!G:G)</f>
        <v/>
      </c>
      <c r="T28" s="37">
        <f>SUMIF('BK TB '!$R:$R,'BK P&amp;L'!$A28,'BK TB '!H:H)</f>
        <v/>
      </c>
      <c r="U28" s="37">
        <f>SUMIF('BK TB '!$R:$R,'BK P&amp;L'!$A28,'BK TB '!I:I)</f>
        <v/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17.82</v>
      </c>
      <c r="C29" s="35" t="n">
        <v>8.99</v>
      </c>
      <c r="D29" s="35" t="n">
        <v>190.08</v>
      </c>
      <c r="E29" s="35" t="n">
        <v>3.2</v>
      </c>
      <c r="F29" s="35" t="n">
        <v>10.24</v>
      </c>
      <c r="G29" s="35" t="n">
        <v>47.9</v>
      </c>
      <c r="H29" s="35" t="n">
        <v>43.28</v>
      </c>
      <c r="I29" s="35" t="n">
        <v>42.43</v>
      </c>
      <c r="J29" s="35" t="n">
        <v>148.76</v>
      </c>
      <c r="K29" s="35" t="n">
        <v>21.97</v>
      </c>
      <c r="L29" s="35" t="n">
        <v>152.01</v>
      </c>
      <c r="M29" s="35" t="n">
        <v>29.59</v>
      </c>
      <c r="N29" s="36">
        <f>SUM(B29:M29)</f>
        <v/>
      </c>
      <c r="O29" s="37">
        <f>SUMIF('BK TB '!$R:$R,'BK P&amp;L'!$A29,'BK TB '!C:C)</f>
        <v/>
      </c>
      <c r="P29" s="37">
        <f>SUMIF('BK TB '!$R:$R,'BK P&amp;L'!$A29,'BK TB '!D:D)</f>
        <v/>
      </c>
      <c r="Q29" s="37">
        <f>SUMIF('BK TB '!$R:$R,'BK P&amp;L'!$A29,'BK TB '!E:E)</f>
        <v/>
      </c>
      <c r="R29" s="37">
        <f>SUMIF('BK TB '!$R:$R,'BK P&amp;L'!$A29,'BK TB '!F:F)</f>
        <v/>
      </c>
      <c r="S29" s="37">
        <f>SUMIF('BK TB '!$R:$R,'BK P&amp;L'!$A29,'BK TB '!G:G)</f>
        <v/>
      </c>
      <c r="T29" s="37">
        <f>SUMIF('BK TB '!$R:$R,'BK P&amp;L'!$A29,'BK TB '!H:H)</f>
        <v/>
      </c>
      <c r="U29" s="37">
        <f>SUMIF('BK TB '!$R:$R,'BK P&amp;L'!$A29,'BK TB 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0.004160000000000001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7.64</v>
      </c>
      <c r="C30" s="35" t="n">
        <v>23.2</v>
      </c>
      <c r="D30" s="35" t="n">
        <v>31.14</v>
      </c>
      <c r="E30" s="35" t="n">
        <v>14.94</v>
      </c>
      <c r="F30" s="35" t="n">
        <v>11.95</v>
      </c>
      <c r="G30" s="35" t="n">
        <v>23.88</v>
      </c>
      <c r="H30" s="35" t="n">
        <v>107.69</v>
      </c>
      <c r="I30" s="35" t="n">
        <v>201.64</v>
      </c>
      <c r="J30" s="35" t="n">
        <v>13.58</v>
      </c>
      <c r="K30" s="35" t="n">
        <v>61.35</v>
      </c>
      <c r="L30" s="35" t="n">
        <v>13.78</v>
      </c>
      <c r="M30" s="35" t="n">
        <v>158.03</v>
      </c>
      <c r="N30" s="36">
        <f>SUM(B30:M30)</f>
        <v/>
      </c>
      <c r="O30" s="37">
        <f>SUMIF('BK TB '!$R:$R,'BK P&amp;L'!$A30,'BK TB '!C:C)</f>
        <v/>
      </c>
      <c r="P30" s="37">
        <f>SUMIF('BK TB '!$R:$R,'BK P&amp;L'!$A30,'BK TB '!D:D)</f>
        <v/>
      </c>
      <c r="Q30" s="37">
        <f>SUMIF('BK TB '!$R:$R,'BK P&amp;L'!$A30,'BK TB '!E:E)</f>
        <v/>
      </c>
      <c r="R30" s="37">
        <f>SUMIF('BK TB '!$R:$R,'BK P&amp;L'!$A30,'BK TB '!F:F)</f>
        <v/>
      </c>
      <c r="S30" s="37">
        <f>SUMIF('BK TB '!$R:$R,'BK P&amp;L'!$A30,'BK TB '!G:G)</f>
        <v/>
      </c>
      <c r="T30" s="37">
        <f>SUMIF('BK TB '!$R:$R,'BK P&amp;L'!$A30,'BK TB '!H:H)</f>
        <v/>
      </c>
      <c r="U30" s="37">
        <f>SUMIF('BK TB '!$R:$R,'BK P&amp;L'!$A30,'BK TB '!I:I)</f>
        <v/>
      </c>
      <c r="V30" s="38" t="n">
        <v>50</v>
      </c>
      <c r="W30" s="38" t="n">
        <v>50</v>
      </c>
      <c r="X30" s="38" t="n">
        <v>50</v>
      </c>
      <c r="Y30" s="38" t="n">
        <v>50</v>
      </c>
      <c r="Z30" s="38" t="n">
        <v>50</v>
      </c>
      <c r="AA30" s="36">
        <f>SUM(O30:U30)</f>
        <v/>
      </c>
      <c r="AB30" s="36">
        <f>SUM(O30:Z30)</f>
        <v/>
      </c>
      <c r="AC30" s="38" t="n">
        <v>50</v>
      </c>
      <c r="AD30" s="38" t="n">
        <v>50</v>
      </c>
      <c r="AE30" s="38" t="n">
        <v>50</v>
      </c>
      <c r="AF30" s="38" t="n">
        <v>50</v>
      </c>
      <c r="AG30" s="38" t="n">
        <v>50</v>
      </c>
      <c r="AH30" s="38" t="n">
        <v>50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7.99</v>
      </c>
      <c r="C31" s="35" t="n">
        <v>25.96</v>
      </c>
      <c r="D31" s="35" t="n">
        <v>0</v>
      </c>
      <c r="E31" s="35" t="n">
        <v>57.87</v>
      </c>
      <c r="F31" s="35" t="n">
        <v>0</v>
      </c>
      <c r="G31" s="35" t="n">
        <v>152.18</v>
      </c>
      <c r="H31" s="35" t="n">
        <v>18.98</v>
      </c>
      <c r="I31" s="35" t="n">
        <v>40.86</v>
      </c>
      <c r="J31" s="35" t="n">
        <v>0</v>
      </c>
      <c r="K31" s="35" t="n">
        <v>337.45</v>
      </c>
      <c r="L31" s="35" t="n">
        <v>777.25</v>
      </c>
      <c r="M31" s="35" t="n">
        <v>160.58</v>
      </c>
      <c r="N31" s="36">
        <f>SUM(B31:M31)</f>
        <v/>
      </c>
      <c r="O31" s="37">
        <f>SUMIF('BK TB '!$R:$R,'BK P&amp;L'!$A31,'BK TB '!C:C)</f>
        <v/>
      </c>
      <c r="P31" s="37">
        <f>SUMIF('BK TB '!$R:$R,'BK P&amp;L'!$A31,'BK TB '!D:D)</f>
        <v/>
      </c>
      <c r="Q31" s="37">
        <f>SUMIF('BK TB '!$R:$R,'BK P&amp;L'!$A31,'BK TB '!E:E)</f>
        <v/>
      </c>
      <c r="R31" s="37">
        <f>SUMIF('BK TB '!$R:$R,'BK P&amp;L'!$A31,'BK TB '!F:F)</f>
        <v/>
      </c>
      <c r="S31" s="37">
        <f>SUMIF('BK TB '!$R:$R,'BK P&amp;L'!$A31,'BK TB '!G:G)</f>
        <v/>
      </c>
      <c r="T31" s="37">
        <f>SUMIF('BK TB '!$R:$R,'BK P&amp;L'!$A31,'BK TB '!H:H)</f>
        <v/>
      </c>
      <c r="U31" s="37">
        <f>SUMIF('BK TB '!$R:$R,'BK P&amp;L'!$A31,'BK TB 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57.29</v>
      </c>
      <c r="C32" s="35" t="n">
        <v>0</v>
      </c>
      <c r="D32" s="35" t="n">
        <v>187.84</v>
      </c>
      <c r="E32" s="35" t="n">
        <v>89.67</v>
      </c>
      <c r="F32" s="35" t="n">
        <v>67.45999999999999</v>
      </c>
      <c r="G32" s="35" t="n">
        <v>182.26</v>
      </c>
      <c r="H32" s="35" t="n">
        <v>260.64</v>
      </c>
      <c r="I32" s="35" t="n">
        <v>87.45</v>
      </c>
      <c r="J32" s="35" t="n">
        <v>226.34</v>
      </c>
      <c r="K32" s="35" t="n">
        <v>71.45</v>
      </c>
      <c r="L32" s="35" t="n">
        <v>328.1</v>
      </c>
      <c r="M32" s="35" t="n">
        <v>161.95</v>
      </c>
      <c r="N32" s="36">
        <f>SUM(B32:M32)</f>
        <v/>
      </c>
      <c r="O32" s="37">
        <f>SUMIF('BK TB '!$R:$R,'BK P&amp;L'!$A32,'BK TB '!C:C)</f>
        <v/>
      </c>
      <c r="P32" s="37">
        <f>SUMIF('BK TB '!$R:$R,'BK P&amp;L'!$A32,'BK TB '!D:D)</f>
        <v/>
      </c>
      <c r="Q32" s="37">
        <f>SUMIF('BK TB '!$R:$R,'BK P&amp;L'!$A32,'BK TB '!E:E)</f>
        <v/>
      </c>
      <c r="R32" s="37">
        <f>SUMIF('BK TB '!$R:$R,'BK P&amp;L'!$A32,'BK TB '!F:F)</f>
        <v/>
      </c>
      <c r="S32" s="37">
        <f>SUMIF('BK TB '!$R:$R,'BK P&amp;L'!$A32,'BK TB '!G:G)</f>
        <v/>
      </c>
      <c r="T32" s="37">
        <f>SUMIF('BK TB '!$R:$R,'BK P&amp;L'!$A32,'BK TB '!H:H)</f>
        <v/>
      </c>
      <c r="U32" s="37">
        <f>SUMIF('BK TB '!$R:$R,'BK P&amp;L'!$A32,'BK TB 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0.004160000000000001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SUMIF('BK TB '!$R:$R,'BK P&amp;L'!$A33,'BK TB '!C:C)</f>
        <v/>
      </c>
      <c r="P33" s="37">
        <f>SUMIF('BK TB '!$R:$R,'BK P&amp;L'!$A33,'BK TB '!D:D)</f>
        <v/>
      </c>
      <c r="Q33" s="37">
        <f>SUMIF('BK TB '!$R:$R,'BK P&amp;L'!$A33,'BK TB '!E:E)</f>
        <v/>
      </c>
      <c r="R33" s="37">
        <f>SUMIF('BK TB '!$R:$R,'BK P&amp;L'!$A33,'BK TB '!F:F)</f>
        <v/>
      </c>
      <c r="S33" s="37">
        <f>SUMIF('BK TB '!$R:$R,'BK P&amp;L'!$A33,'BK TB '!G:G)</f>
        <v/>
      </c>
      <c r="T33" s="37">
        <f>SUMIF('BK TB '!$R:$R,'BK P&amp;L'!$A33,'BK TB '!H:H)</f>
        <v/>
      </c>
      <c r="U33" s="37">
        <f>SUMIF('BK TB '!$R:$R,'BK P&amp;L'!$A33,'BK TB 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1410.45</v>
      </c>
      <c r="C34" s="42" t="n">
        <v>1438.49</v>
      </c>
      <c r="D34" s="42" t="n">
        <v>1592.41</v>
      </c>
      <c r="E34" s="42" t="n">
        <v>1168.83</v>
      </c>
      <c r="F34" s="42" t="n">
        <v>1228.61</v>
      </c>
      <c r="G34" s="42" t="n">
        <v>1436.12</v>
      </c>
      <c r="H34" s="42" t="n">
        <v>1427.65</v>
      </c>
      <c r="I34" s="42" t="n">
        <v>1493.46</v>
      </c>
      <c r="J34" s="42" t="n">
        <v>2341.3</v>
      </c>
      <c r="K34" s="42" t="n">
        <v>1648.7</v>
      </c>
      <c r="L34" s="42" t="n">
        <v>2334.43</v>
      </c>
      <c r="M34" s="42" t="n">
        <v>1598.23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SUMIF('BK TB '!$R:$R,'BK P&amp;L'!$A36,'BK TB '!C:C)</f>
        <v/>
      </c>
      <c r="P36" s="37">
        <f>SUMIF('BK TB '!$R:$R,'BK P&amp;L'!$A36,'BK TB '!D:D)</f>
        <v/>
      </c>
      <c r="Q36" s="37">
        <f>SUMIF('BK TB '!$R:$R,'BK P&amp;L'!$A36,'BK TB '!E:E)</f>
        <v/>
      </c>
      <c r="R36" s="37">
        <f>SUMIF('BK TB '!$R:$R,'BK P&amp;L'!$A36,'BK TB '!F:F)</f>
        <v/>
      </c>
      <c r="S36" s="37">
        <f>SUMIF('BK TB '!$R:$R,'BK P&amp;L'!$A36,'BK TB '!G:G)</f>
        <v/>
      </c>
      <c r="T36" s="37">
        <f>SUMIF('BK TB '!$R:$R,'BK P&amp;L'!$A36,'BK TB '!H:H)</f>
        <v/>
      </c>
      <c r="U36" s="37">
        <f>SUMIF('BK TB '!$R:$R,'BK P&amp;L'!$A36,'BK TB 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1060.38</v>
      </c>
      <c r="C37" s="35" t="n">
        <v>1060.38</v>
      </c>
      <c r="D37" s="35" t="n">
        <v>1060.38</v>
      </c>
      <c r="E37" s="35" t="n">
        <v>1060.38</v>
      </c>
      <c r="F37" s="35" t="n">
        <v>1060.38</v>
      </c>
      <c r="G37" s="35" t="n">
        <v>1060.38</v>
      </c>
      <c r="H37" s="35" t="n">
        <v>1060.38</v>
      </c>
      <c r="I37" s="35" t="n">
        <v>1060.38</v>
      </c>
      <c r="J37" s="35" t="n">
        <v>1060.38</v>
      </c>
      <c r="K37" s="35" t="n">
        <v>1060.38</v>
      </c>
      <c r="L37" s="35" t="n">
        <v>1060.38</v>
      </c>
      <c r="M37" s="35" t="n">
        <v>1060.38</v>
      </c>
      <c r="N37" s="36">
        <f>SUM(B37:M37)</f>
        <v/>
      </c>
      <c r="O37" s="37">
        <f>SUMIF('BK TB '!$R:$R,'BK P&amp;L'!$A37,'BK TB '!C:C)</f>
        <v/>
      </c>
      <c r="P37" s="37">
        <f>SUMIF('BK TB '!$R:$R,'BK P&amp;L'!$A37,'BK TB '!D:D)</f>
        <v/>
      </c>
      <c r="Q37" s="37">
        <f>SUMIF('BK TB '!$R:$R,'BK P&amp;L'!$A37,'BK TB '!E:E)</f>
        <v/>
      </c>
      <c r="R37" s="37">
        <f>SUMIF('BK TB '!$R:$R,'BK P&amp;L'!$A37,'BK TB '!F:F)</f>
        <v/>
      </c>
      <c r="S37" s="37">
        <f>SUMIF('BK TB '!$R:$R,'BK P&amp;L'!$A37,'BK TB '!G:G)</f>
        <v/>
      </c>
      <c r="T37" s="37">
        <f>SUMIF('BK TB '!$R:$R,'BK P&amp;L'!$A37,'BK TB '!H:H)</f>
        <v/>
      </c>
      <c r="U37" s="37">
        <f>SUMIF('BK TB '!$R:$R,'BK P&amp;L'!$A37,'BK TB '!I:I)</f>
        <v/>
      </c>
      <c r="V37" s="38" t="n">
        <v>1178.666666666667</v>
      </c>
      <c r="W37" s="38" t="n">
        <v>1178.666666666667</v>
      </c>
      <c r="X37" s="38" t="n">
        <v>1178.666666666667</v>
      </c>
      <c r="Y37" s="38" t="n">
        <v>1178.666666666667</v>
      </c>
      <c r="Z37" s="38" t="n">
        <v>1178.666666666667</v>
      </c>
      <c r="AA37" s="36">
        <f>SUM(O37:U37)</f>
        <v/>
      </c>
      <c r="AB37" s="36">
        <f>SUM(O37:Z37)</f>
        <v/>
      </c>
      <c r="AC37" s="38" t="n">
        <v>1178.666666666667</v>
      </c>
      <c r="AD37" s="38" t="n">
        <v>1178.666666666667</v>
      </c>
      <c r="AE37" s="38" t="n">
        <v>1178.666666666667</v>
      </c>
      <c r="AF37" s="38" t="n">
        <v>1178.666666666667</v>
      </c>
      <c r="AG37" s="38" t="n">
        <v>1178.666666666667</v>
      </c>
      <c r="AH37" s="38" t="n">
        <v>1178.666666666667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1084.35</v>
      </c>
      <c r="C38" s="35" t="n">
        <v>1856.09</v>
      </c>
      <c r="D38" s="35" t="n">
        <v>680.11</v>
      </c>
      <c r="E38" s="35" t="n">
        <v>1041.36</v>
      </c>
      <c r="F38" s="35" t="n">
        <v>1404.7</v>
      </c>
      <c r="G38" s="35" t="n">
        <v>49.78000000000003</v>
      </c>
      <c r="H38" s="35" t="n">
        <v>566.46</v>
      </c>
      <c r="I38" s="35" t="n">
        <v>748.4400000000001</v>
      </c>
      <c r="J38" s="35" t="n">
        <v>123.63</v>
      </c>
      <c r="K38" s="35" t="n">
        <v>557.7</v>
      </c>
      <c r="L38" s="35" t="n">
        <v>914.73</v>
      </c>
      <c r="M38" s="35" t="n">
        <v>843.45</v>
      </c>
      <c r="N38" s="36">
        <f>SUM(B38:M38)</f>
        <v/>
      </c>
      <c r="O38" s="37">
        <f>SUMIF('BK TB '!$R:$R,'BK P&amp;L'!$A38,'BK TB '!C:C)</f>
        <v/>
      </c>
      <c r="P38" s="37">
        <f>SUMIF('BK TB '!$R:$R,'BK P&amp;L'!$A38,'BK TB '!D:D)</f>
        <v/>
      </c>
      <c r="Q38" s="37">
        <f>SUMIF('BK TB '!$R:$R,'BK P&amp;L'!$A38,'BK TB '!E:E)</f>
        <v/>
      </c>
      <c r="R38" s="37">
        <f>SUMIF('BK TB '!$R:$R,'BK P&amp;L'!$A38,'BK TB '!F:F)</f>
        <v/>
      </c>
      <c r="S38" s="37">
        <f>SUMIF('BK TB '!$R:$R,'BK P&amp;L'!$A38,'BK TB '!G:G)</f>
        <v/>
      </c>
      <c r="T38" s="37">
        <f>SUMIF('BK TB '!$R:$R,'BK P&amp;L'!$A38,'BK TB '!H:H)</f>
        <v/>
      </c>
      <c r="U38" s="37">
        <f>SUMIF('BK TB '!$R:$R,'BK P&amp;L'!$A38,'BK TB '!I:I)</f>
        <v/>
      </c>
      <c r="V38" s="38" t="n">
        <v>808</v>
      </c>
      <c r="W38" s="38" t="n">
        <v>808</v>
      </c>
      <c r="X38" s="38" t="n">
        <v>808</v>
      </c>
      <c r="Y38" s="38" t="n">
        <v>808</v>
      </c>
      <c r="Z38" s="38" t="n">
        <v>808</v>
      </c>
      <c r="AA38" s="36">
        <f>SUM(O38:U38)</f>
        <v/>
      </c>
      <c r="AB38" s="36">
        <f>SUM(O38:Z38)</f>
        <v/>
      </c>
      <c r="AC38" s="38" t="n">
        <v>808</v>
      </c>
      <c r="AD38" s="38" t="n">
        <v>808</v>
      </c>
      <c r="AE38" s="38" t="n">
        <v>808</v>
      </c>
      <c r="AF38" s="38" t="n">
        <v>808</v>
      </c>
      <c r="AG38" s="38" t="n">
        <v>808</v>
      </c>
      <c r="AH38" s="38" t="n">
        <v>808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1970.4</v>
      </c>
      <c r="C39" s="35" t="n">
        <v>4574.36</v>
      </c>
      <c r="D39" s="35" t="n">
        <v>3343.43</v>
      </c>
      <c r="E39" s="35" t="n">
        <v>2248.52</v>
      </c>
      <c r="F39" s="35" t="n">
        <v>1000.26</v>
      </c>
      <c r="G39" s="35" t="n">
        <v>36.5</v>
      </c>
      <c r="H39" s="35" t="n">
        <v>1663.64</v>
      </c>
      <c r="I39" s="35" t="n">
        <v>470.86</v>
      </c>
      <c r="J39" s="35" t="n">
        <v>14.64</v>
      </c>
      <c r="K39" s="35" t="n">
        <v>856.8200000000001</v>
      </c>
      <c r="L39" s="35" t="n">
        <v>36</v>
      </c>
      <c r="M39" s="35" t="n">
        <v>171.36</v>
      </c>
      <c r="N39" s="36">
        <f>SUM(B39:M39)</f>
        <v/>
      </c>
      <c r="O39" s="37">
        <f>SUMIF('BK TB '!$R:$R,'BK P&amp;L'!$A39,'BK TB '!C:C)</f>
        <v/>
      </c>
      <c r="P39" s="37">
        <f>SUMIF('BK TB '!$R:$R,'BK P&amp;L'!$A39,'BK TB '!D:D)</f>
        <v/>
      </c>
      <c r="Q39" s="37">
        <f>SUMIF('BK TB '!$R:$R,'BK P&amp;L'!$A39,'BK TB '!E:E)</f>
        <v/>
      </c>
      <c r="R39" s="37">
        <f>SUMIF('BK TB '!$R:$R,'BK P&amp;L'!$A39,'BK TB '!F:F)</f>
        <v/>
      </c>
      <c r="S39" s="37">
        <f>SUMIF('BK TB '!$R:$R,'BK P&amp;L'!$A39,'BK TB '!G:G)</f>
        <v/>
      </c>
      <c r="T39" s="37">
        <f>SUMIF('BK TB '!$R:$R,'BK P&amp;L'!$A39,'BK TB '!H:H)</f>
        <v/>
      </c>
      <c r="U39" s="37">
        <f>SUMIF('BK TB '!$R:$R,'BK P&amp;L'!$A39,'BK TB '!I:I)</f>
        <v/>
      </c>
      <c r="V39" s="38" t="n">
        <v>4000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188.6</v>
      </c>
      <c r="C40" s="35" t="n">
        <v>249.73</v>
      </c>
      <c r="D40" s="35" t="n">
        <v>292.16</v>
      </c>
      <c r="E40" s="35" t="n">
        <v>49.57</v>
      </c>
      <c r="F40" s="35" t="n">
        <v>542.98</v>
      </c>
      <c r="G40" s="35" t="n">
        <v>335.03</v>
      </c>
      <c r="H40" s="35" t="n">
        <v>284.16</v>
      </c>
      <c r="I40" s="35" t="n">
        <v>299.86</v>
      </c>
      <c r="J40" s="35" t="n">
        <v>559.89</v>
      </c>
      <c r="K40" s="35" t="n">
        <v>291.24</v>
      </c>
      <c r="L40" s="35" t="n">
        <v>101.59</v>
      </c>
      <c r="M40" s="35" t="n">
        <v>113.21</v>
      </c>
      <c r="N40" s="36">
        <f>SUM(B40:M40)</f>
        <v/>
      </c>
      <c r="O40" s="37">
        <f>SUMIF('BK TB '!$R:$R,'BK P&amp;L'!$A40,'BK TB '!C:C)</f>
        <v/>
      </c>
      <c r="P40" s="37">
        <f>SUMIF('BK TB '!$R:$R,'BK P&amp;L'!$A40,'BK TB '!D:D)</f>
        <v/>
      </c>
      <c r="Q40" s="37">
        <f>SUMIF('BK TB '!$R:$R,'BK P&amp;L'!$A40,'BK TB '!E:E)</f>
        <v/>
      </c>
      <c r="R40" s="37">
        <f>SUMIF('BK TB '!$R:$R,'BK P&amp;L'!$A40,'BK TB '!F:F)</f>
        <v/>
      </c>
      <c r="S40" s="37">
        <f>SUMIF('BK TB '!$R:$R,'BK P&amp;L'!$A40,'BK TB '!G:G)</f>
        <v/>
      </c>
      <c r="T40" s="37">
        <f>SUMIF('BK TB '!$R:$R,'BK P&amp;L'!$A40,'BK TB '!H:H)</f>
        <v/>
      </c>
      <c r="U40" s="37">
        <f>SUMIF('BK TB '!$R:$R,'BK P&amp;L'!$A40,'BK TB '!I:I)</f>
        <v/>
      </c>
      <c r="V40" s="38" t="n">
        <v>310</v>
      </c>
      <c r="W40" s="38" t="n">
        <v>310</v>
      </c>
      <c r="X40" s="38" t="n">
        <v>310</v>
      </c>
      <c r="Y40" s="38" t="n">
        <v>310</v>
      </c>
      <c r="Z40" s="38" t="n">
        <v>310</v>
      </c>
      <c r="AA40" s="36">
        <f>SUM(O40:U40)</f>
        <v/>
      </c>
      <c r="AB40" s="36">
        <f>SUM(O40:Z40)</f>
        <v/>
      </c>
      <c r="AC40" s="38" t="n">
        <v>310</v>
      </c>
      <c r="AD40" s="38" t="n">
        <v>310</v>
      </c>
      <c r="AE40" s="38" t="n">
        <v>310</v>
      </c>
      <c r="AF40" s="38" t="n">
        <v>310</v>
      </c>
      <c r="AG40" s="38" t="n">
        <v>310</v>
      </c>
      <c r="AH40" s="38" t="n">
        <v>310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332.71</v>
      </c>
      <c r="C41" s="35" t="n">
        <v>364.75</v>
      </c>
      <c r="D41" s="35" t="n">
        <v>380.11</v>
      </c>
      <c r="E41" s="35" t="n">
        <v>561.51</v>
      </c>
      <c r="F41" s="35" t="n">
        <v>426.52</v>
      </c>
      <c r="G41" s="35" t="n">
        <v>400.96</v>
      </c>
      <c r="H41" s="35" t="n">
        <v>339.75</v>
      </c>
      <c r="I41" s="35" t="n">
        <v>354.05</v>
      </c>
      <c r="J41" s="35" t="n">
        <v>630.6600000000001</v>
      </c>
      <c r="K41" s="35" t="n">
        <v>354.05</v>
      </c>
      <c r="L41" s="35" t="n">
        <v>404.45</v>
      </c>
      <c r="M41" s="35" t="n">
        <v>415.26</v>
      </c>
      <c r="N41" s="36">
        <f>SUM(B41:M41)</f>
        <v/>
      </c>
      <c r="O41" s="37">
        <f>SUMIF('BK TB '!$R:$R,'BK P&amp;L'!$A41,'BK TB '!C:C)</f>
        <v/>
      </c>
      <c r="P41" s="37">
        <f>SUMIF('BK TB '!$R:$R,'BK P&amp;L'!$A41,'BK TB '!D:D)</f>
        <v/>
      </c>
      <c r="Q41" s="37">
        <f>SUMIF('BK TB '!$R:$R,'BK P&amp;L'!$A41,'BK TB '!E:E)</f>
        <v/>
      </c>
      <c r="R41" s="37">
        <f>SUMIF('BK TB '!$R:$R,'BK P&amp;L'!$A41,'BK TB '!F:F)</f>
        <v/>
      </c>
      <c r="S41" s="37">
        <f>SUMIF('BK TB '!$R:$R,'BK P&amp;L'!$A41,'BK TB '!G:G)</f>
        <v/>
      </c>
      <c r="T41" s="37">
        <f>SUMIF('BK TB '!$R:$R,'BK P&amp;L'!$A41,'BK TB '!H:H)</f>
        <v/>
      </c>
      <c r="U41" s="37">
        <f>SUMIF('BK TB '!$R:$R,'BK P&amp;L'!$A41,'BK TB '!I:I)</f>
        <v/>
      </c>
      <c r="V41" s="38" t="n">
        <v>385</v>
      </c>
      <c r="W41" s="38" t="n">
        <v>385</v>
      </c>
      <c r="X41" s="38" t="n">
        <v>385</v>
      </c>
      <c r="Y41" s="38" t="n">
        <v>385</v>
      </c>
      <c r="Z41" s="38" t="n">
        <v>385</v>
      </c>
      <c r="AA41" s="36">
        <f>SUM(O41:U41)</f>
        <v/>
      </c>
      <c r="AB41" s="36">
        <f>SUM(O41:Z41)</f>
        <v/>
      </c>
      <c r="AC41" s="38" t="n">
        <v>385</v>
      </c>
      <c r="AD41" s="38" t="n">
        <v>385</v>
      </c>
      <c r="AE41" s="38" t="n">
        <v>385</v>
      </c>
      <c r="AF41" s="38" t="n">
        <v>385</v>
      </c>
      <c r="AG41" s="38" t="n">
        <v>385</v>
      </c>
      <c r="AH41" s="38" t="n">
        <v>385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52.03</v>
      </c>
      <c r="C42" s="35" t="n">
        <v>23.34</v>
      </c>
      <c r="D42" s="35" t="n">
        <v>21.74</v>
      </c>
      <c r="E42" s="35" t="n">
        <v>61.92</v>
      </c>
      <c r="F42" s="35" t="n">
        <v>81.43000000000001</v>
      </c>
      <c r="G42" s="35" t="n">
        <v>32.69</v>
      </c>
      <c r="H42" s="35" t="n">
        <v>84.15000000000001</v>
      </c>
      <c r="I42" s="35" t="n">
        <v>53.12</v>
      </c>
      <c r="J42" s="35" t="n">
        <v>75.13</v>
      </c>
      <c r="K42" s="35" t="n">
        <v>81.78999999999999</v>
      </c>
      <c r="L42" s="35" t="n">
        <v>68.56999999999999</v>
      </c>
      <c r="M42" s="35" t="n">
        <v>86.96000000000001</v>
      </c>
      <c r="N42" s="36">
        <f>SUM(B42:M42)</f>
        <v/>
      </c>
      <c r="O42" s="37">
        <f>SUMIF('BK TB '!$R:$R,'BK P&amp;L'!$A42,'BK TB '!C:C)</f>
        <v/>
      </c>
      <c r="P42" s="37">
        <f>SUMIF('BK TB '!$R:$R,'BK P&amp;L'!$A42,'BK TB '!D:D)</f>
        <v/>
      </c>
      <c r="Q42" s="37">
        <f>SUMIF('BK TB '!$R:$R,'BK P&amp;L'!$A42,'BK TB '!E:E)</f>
        <v/>
      </c>
      <c r="R42" s="37">
        <f>SUMIF('BK TB '!$R:$R,'BK P&amp;L'!$A42,'BK TB '!F:F)</f>
        <v/>
      </c>
      <c r="S42" s="37">
        <f>SUMIF('BK TB '!$R:$R,'BK P&amp;L'!$A42,'BK TB '!G:G)</f>
        <v/>
      </c>
      <c r="T42" s="37">
        <f>SUMIF('BK TB '!$R:$R,'BK P&amp;L'!$A42,'BK TB '!H:H)</f>
        <v/>
      </c>
      <c r="U42" s="37">
        <f>SUMIF('BK TB '!$R:$R,'BK P&amp;L'!$A42,'BK TB 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SUMIF('BK TB '!$R:$R,'BK P&amp;L'!$A43,'BK TB '!C:C)</f>
        <v/>
      </c>
      <c r="P43" s="37">
        <f>SUMIF('BK TB '!$R:$R,'BK P&amp;L'!$A43,'BK TB '!D:D)</f>
        <v/>
      </c>
      <c r="Q43" s="37">
        <f>SUMIF('BK TB '!$R:$R,'BK P&amp;L'!$A43,'BK TB '!E:E)</f>
        <v/>
      </c>
      <c r="R43" s="37">
        <f>SUMIF('BK TB '!$R:$R,'BK P&amp;L'!$A43,'BK TB '!F:F)</f>
        <v/>
      </c>
      <c r="S43" s="37">
        <f>SUMIF('BK TB '!$R:$R,'BK P&amp;L'!$A43,'BK TB '!G:G)</f>
        <v/>
      </c>
      <c r="T43" s="37">
        <f>SUMIF('BK TB '!$R:$R,'BK P&amp;L'!$A43,'BK TB '!H:H)</f>
        <v/>
      </c>
      <c r="U43" s="37">
        <f>SUMIF('BK TB '!$R:$R,'BK P&amp;L'!$A43,'BK TB 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SUMIF('BK TB '!$R:$R,'BK P&amp;L'!$A44,'BK TB '!C:C)</f>
        <v/>
      </c>
      <c r="P44" s="37">
        <f>SUMIF('BK TB '!$R:$R,'BK P&amp;L'!$A44,'BK TB '!D:D)</f>
        <v/>
      </c>
      <c r="Q44" s="37">
        <f>SUMIF('BK TB '!$R:$R,'BK P&amp;L'!$A44,'BK TB '!E:E)</f>
        <v/>
      </c>
      <c r="R44" s="37">
        <f>SUMIF('BK TB '!$R:$R,'BK P&amp;L'!$A44,'BK TB '!F:F)</f>
        <v/>
      </c>
      <c r="S44" s="37">
        <f>SUMIF('BK TB '!$R:$R,'BK P&amp;L'!$A44,'BK TB '!G:G)</f>
        <v/>
      </c>
      <c r="T44" s="37">
        <f>SUMIF('BK TB '!$R:$R,'BK P&amp;L'!$A44,'BK TB '!H:H)</f>
        <v/>
      </c>
      <c r="U44" s="37">
        <f>SUMIF('BK TB '!$R:$R,'BK P&amp;L'!$A44,'BK TB 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14.58</v>
      </c>
      <c r="C45" s="35" t="n">
        <v>14.58</v>
      </c>
      <c r="D45" s="35" t="n">
        <v>149.79</v>
      </c>
      <c r="E45" s="35" t="n">
        <v>234.58</v>
      </c>
      <c r="F45" s="35" t="n">
        <v>1.59</v>
      </c>
      <c r="G45" s="35" t="n">
        <v>46.59</v>
      </c>
      <c r="H45" s="35" t="n">
        <v>-1.3</v>
      </c>
      <c r="I45" s="35" t="n">
        <v>45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SUMIF('BK TB '!$R:$R,'BK P&amp;L'!$A45,'BK TB '!C:C)</f>
        <v/>
      </c>
      <c r="P45" s="37">
        <f>SUMIF('BK TB '!$R:$R,'BK P&amp;L'!$A45,'BK TB '!D:D)</f>
        <v/>
      </c>
      <c r="Q45" s="37">
        <f>SUMIF('BK TB '!$R:$R,'BK P&amp;L'!$A45,'BK TB '!E:E)</f>
        <v/>
      </c>
      <c r="R45" s="37">
        <f>SUMIF('BK TB '!$R:$R,'BK P&amp;L'!$A45,'BK TB '!F:F)</f>
        <v/>
      </c>
      <c r="S45" s="37">
        <f>SUMIF('BK TB '!$R:$R,'BK P&amp;L'!$A45,'BK TB '!G:G)</f>
        <v/>
      </c>
      <c r="T45" s="37">
        <f>SUMIF('BK TB '!$R:$R,'BK P&amp;L'!$A45,'BK TB '!H:H)</f>
        <v/>
      </c>
      <c r="U45" s="37">
        <f>SUMIF('BK TB '!$R:$R,'BK P&amp;L'!$A45,'BK TB 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SUMIF('BK TB '!$R:$R,'BK P&amp;L'!$A46,'BK TB '!C:C)</f>
        <v/>
      </c>
      <c r="P46" s="37">
        <f>SUMIF('BK TB '!$R:$R,'BK P&amp;L'!$A46,'BK TB '!D:D)</f>
        <v/>
      </c>
      <c r="Q46" s="37">
        <f>SUMIF('BK TB '!$R:$R,'BK P&amp;L'!$A46,'BK TB '!E:E)</f>
        <v/>
      </c>
      <c r="R46" s="37">
        <f>SUMIF('BK TB '!$R:$R,'BK P&amp;L'!$A46,'BK TB '!F:F)</f>
        <v/>
      </c>
      <c r="S46" s="37">
        <f>SUMIF('BK TB '!$R:$R,'BK P&amp;L'!$A46,'BK TB '!G:G)</f>
        <v/>
      </c>
      <c r="T46" s="37">
        <f>SUMIF('BK TB '!$R:$R,'BK P&amp;L'!$A46,'BK TB '!H:H)</f>
        <v/>
      </c>
      <c r="U46" s="37">
        <f>SUMIF('BK TB '!$R:$R,'BK P&amp;L'!$A46,'BK TB 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4703.050000000001</v>
      </c>
      <c r="C47" s="42" t="n">
        <v>8143.23</v>
      </c>
      <c r="D47" s="42" t="n">
        <v>5927.719999999999</v>
      </c>
      <c r="E47" s="42" t="n">
        <v>5257.84</v>
      </c>
      <c r="F47" s="42" t="n">
        <v>4517.860000000001</v>
      </c>
      <c r="G47" s="42" t="n">
        <v>1961.93</v>
      </c>
      <c r="H47" s="42" t="n">
        <v>3997.24</v>
      </c>
      <c r="I47" s="42" t="n">
        <v>3031.71</v>
      </c>
      <c r="J47" s="42" t="n">
        <v>2464.33</v>
      </c>
      <c r="K47" s="42" t="n">
        <v>3201.98</v>
      </c>
      <c r="L47" s="42" t="n">
        <v>2585.72</v>
      </c>
      <c r="M47" s="42" t="n">
        <v>2690.62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25859.07</v>
      </c>
      <c r="C48" s="23" t="n">
        <v>29078.09</v>
      </c>
      <c r="D48" s="23" t="n">
        <v>29734.78</v>
      </c>
      <c r="E48" s="23" t="n">
        <v>31716.87</v>
      </c>
      <c r="F48" s="23" t="n">
        <v>31438.48</v>
      </c>
      <c r="G48" s="23" t="n">
        <v>30627.92</v>
      </c>
      <c r="H48" s="23" t="n">
        <v>32256.93</v>
      </c>
      <c r="I48" s="23" t="n">
        <v>31595.94</v>
      </c>
      <c r="J48" s="23" t="n">
        <v>32281.46</v>
      </c>
      <c r="K48" s="23" t="n">
        <v>31337.98</v>
      </c>
      <c r="L48" s="23" t="n">
        <v>27927.37</v>
      </c>
      <c r="M48" s="23" t="n">
        <v>30022.36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11626.24</v>
      </c>
      <c r="C50" s="55" t="n">
        <v>7011.790000000001</v>
      </c>
      <c r="D50" s="55" t="n">
        <v>35591.5</v>
      </c>
      <c r="E50" s="55" t="n">
        <v>14332.04</v>
      </c>
      <c r="F50" s="55" t="n">
        <v>7576.710000000003</v>
      </c>
      <c r="G50" s="55" t="n">
        <v>17974.84</v>
      </c>
      <c r="H50" s="55" t="n">
        <v>24295.09999999999</v>
      </c>
      <c r="I50" s="55" t="n">
        <v>264.9799999999996</v>
      </c>
      <c r="J50" s="55" t="n">
        <v>4455.510000000002</v>
      </c>
      <c r="K50" s="55" t="n">
        <v>4503.369999999995</v>
      </c>
      <c r="L50" s="55" t="n">
        <v>9337.049999999996</v>
      </c>
      <c r="M50" s="55" t="n">
        <v>17325.98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SUMIF('BK TB '!$R:$R,'BK P&amp;L'!$A53,'BK TB '!C:C)</f>
        <v/>
      </c>
      <c r="P53" s="37">
        <f>SUMIF('BK TB '!$R:$R,'BK P&amp;L'!$A53,'BK TB '!D:D)</f>
        <v/>
      </c>
      <c r="Q53" s="37">
        <f>SUMIF('BK TB '!$R:$R,'BK P&amp;L'!$A53,'BK TB '!E:E)</f>
        <v/>
      </c>
      <c r="R53" s="37">
        <f>SUMIF('BK TB '!$R:$R,'BK P&amp;L'!$A53,'BK TB '!F:F)</f>
        <v/>
      </c>
      <c r="S53" s="37">
        <f>SUMIF('BK TB '!$R:$R,'BK P&amp;L'!$A53,'BK TB '!G:G)</f>
        <v/>
      </c>
      <c r="T53" s="37">
        <f>SUMIF('BK TB '!$R:$R,'BK P&amp;L'!$A53,'BK TB '!H:H)</f>
        <v/>
      </c>
      <c r="U53" s="37">
        <f>SUMIF('BK TB '!$R:$R,'BK P&amp;L'!$A53,'BK TB '!I:I)</f>
        <v/>
      </c>
      <c r="V53" s="38" t="n">
        <v>0</v>
      </c>
      <c r="W53" s="38" t="n">
        <v>0</v>
      </c>
      <c r="X53" s="38" t="n">
        <v>0</v>
      </c>
      <c r="Y53" s="38" t="n">
        <v>0</v>
      </c>
      <c r="Z53" s="38" t="n">
        <v>0</v>
      </c>
      <c r="AA53" s="36">
        <f>SUM(O53:U53)</f>
        <v/>
      </c>
      <c r="AB53" s="36">
        <f>SUM(O53:Z53)</f>
        <v/>
      </c>
      <c r="AC53" s="38" t="n">
        <v>0</v>
      </c>
      <c r="AD53" s="38" t="n">
        <v>0</v>
      </c>
      <c r="AE53" s="38" t="n">
        <v>0</v>
      </c>
      <c r="AF53" s="38" t="n">
        <v>0</v>
      </c>
      <c r="AG53" s="38" t="n">
        <v>0</v>
      </c>
      <c r="AH53" s="38" t="n">
        <v>0</v>
      </c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SUMIF('BK TB '!$R:$R,'BK P&amp;L'!$A54,'BK TB '!C:C)</f>
        <v/>
      </c>
      <c r="P54" s="37">
        <f>SUMIF('BK TB '!$R:$R,'BK P&amp;L'!$A54,'BK TB '!D:D)</f>
        <v/>
      </c>
      <c r="Q54" s="37">
        <f>SUMIF('BK TB '!$R:$R,'BK P&amp;L'!$A54,'BK TB '!E:E)</f>
        <v/>
      </c>
      <c r="R54" s="37">
        <f>SUMIF('BK TB '!$R:$R,'BK P&amp;L'!$A54,'BK TB '!F:F)</f>
        <v/>
      </c>
      <c r="S54" s="37">
        <f>SUMIF('BK TB '!$R:$R,'BK P&amp;L'!$A54,'BK TB '!G:G)</f>
        <v/>
      </c>
      <c r="T54" s="37">
        <f>SUMIF('BK TB '!$R:$R,'BK P&amp;L'!$A54,'BK TB '!H:H)</f>
        <v/>
      </c>
      <c r="U54" s="37">
        <f>SUMIF('BK TB '!$R:$R,'BK P&amp;L'!$A54,'BK TB '!I:I)</f>
        <v/>
      </c>
      <c r="V54" s="38" t="n">
        <v>0</v>
      </c>
      <c r="W54" s="38" t="n">
        <v>0</v>
      </c>
      <c r="X54" s="38" t="n">
        <v>0</v>
      </c>
      <c r="Y54" s="38" t="n">
        <v>0</v>
      </c>
      <c r="Z54" s="38" t="n">
        <v>0</v>
      </c>
      <c r="AA54" s="36">
        <f>SUM(O54:U54)</f>
        <v/>
      </c>
      <c r="AB54" s="36">
        <f>SUM(O54:Z54)</f>
        <v/>
      </c>
      <c r="AC54" s="38" t="n">
        <v>0</v>
      </c>
      <c r="AD54" s="38" t="n">
        <v>0</v>
      </c>
      <c r="AE54" s="38" t="n">
        <v>0</v>
      </c>
      <c r="AF54" s="38" t="n">
        <v>0</v>
      </c>
      <c r="AG54" s="38" t="n">
        <v>0</v>
      </c>
      <c r="AH54" s="38" t="n">
        <v>0</v>
      </c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SUMIF('BK TB '!$R:$R,'BK P&amp;L'!$A55,'BK TB '!C:C)</f>
        <v/>
      </c>
      <c r="P55" s="37">
        <f>SUMIF('BK TB '!$R:$R,'BK P&amp;L'!$A55,'BK TB '!D:D)</f>
        <v/>
      </c>
      <c r="Q55" s="37">
        <f>SUMIF('BK TB '!$R:$R,'BK P&amp;L'!$A55,'BK TB '!E:E)</f>
        <v/>
      </c>
      <c r="R55" s="37">
        <f>SUMIF('BK TB '!$R:$R,'BK P&amp;L'!$A55,'BK TB '!F:F)</f>
        <v/>
      </c>
      <c r="S55" s="37">
        <f>SUMIF('BK TB '!$R:$R,'BK P&amp;L'!$A55,'BK TB '!G:G)</f>
        <v/>
      </c>
      <c r="T55" s="37">
        <f>SUMIF('BK TB '!$R:$R,'BK P&amp;L'!$A55,'BK TB '!H:H)</f>
        <v/>
      </c>
      <c r="U55" s="37">
        <f>SUMIF('BK TB '!$R:$R,'BK P&amp;L'!$A55,'BK TB '!I:I)</f>
        <v/>
      </c>
      <c r="V55" s="38" t="n">
        <v>0</v>
      </c>
      <c r="W55" s="38" t="n">
        <v>0</v>
      </c>
      <c r="X55" s="38" t="n">
        <v>0</v>
      </c>
      <c r="Y55" s="38" t="n">
        <v>0</v>
      </c>
      <c r="Z55" s="38" t="n">
        <v>0</v>
      </c>
      <c r="AA55" s="36">
        <f>SUM(O55:U55)</f>
        <v/>
      </c>
      <c r="AB55" s="36">
        <f>SUM(O55:Z55)</f>
        <v/>
      </c>
      <c r="AC55" s="38" t="n">
        <v>0</v>
      </c>
      <c r="AD55" s="38" t="n">
        <v>0</v>
      </c>
      <c r="AE55" s="38" t="n">
        <v>0</v>
      </c>
      <c r="AF55" s="38" t="n">
        <v>0</v>
      </c>
      <c r="AG55" s="38" t="n">
        <v>0</v>
      </c>
      <c r="AH55" s="38" t="n">
        <v>0</v>
      </c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SUMIF('BK TB '!$R:$R,'BK P&amp;L'!$A56,'BK TB '!C:C)</f>
        <v/>
      </c>
      <c r="P56" s="37">
        <f>SUMIF('BK TB '!$R:$R,'BK P&amp;L'!$A56,'BK TB '!D:D)</f>
        <v/>
      </c>
      <c r="Q56" s="37">
        <f>SUMIF('BK TB '!$R:$R,'BK P&amp;L'!$A56,'BK TB '!E:E)</f>
        <v/>
      </c>
      <c r="R56" s="37">
        <f>SUMIF('BK TB '!$R:$R,'BK P&amp;L'!$A56,'BK TB '!F:F)</f>
        <v/>
      </c>
      <c r="S56" s="37">
        <f>SUMIF('BK TB '!$R:$R,'BK P&amp;L'!$A56,'BK TB '!G:G)</f>
        <v/>
      </c>
      <c r="T56" s="37">
        <f>SUMIF('BK TB '!$R:$R,'BK P&amp;L'!$A56,'BK TB '!H:H)</f>
        <v/>
      </c>
      <c r="U56" s="37">
        <f>SUMIF('BK TB '!$R:$R,'BK P&amp;L'!$A56,'BK TB '!I:I)</f>
        <v/>
      </c>
      <c r="V56" s="38" t="n">
        <v>0</v>
      </c>
      <c r="W56" s="38" t="n">
        <v>0</v>
      </c>
      <c r="X56" s="38" t="n">
        <v>0</v>
      </c>
      <c r="Y56" s="38" t="n">
        <v>0</v>
      </c>
      <c r="Z56" s="38" t="n">
        <v>0</v>
      </c>
      <c r="AA56" s="36">
        <f>SUM(O56:U56)</f>
        <v/>
      </c>
      <c r="AB56" s="36">
        <f>SUM(O56:Z56)</f>
        <v/>
      </c>
      <c r="AC56" s="38" t="n">
        <v>0</v>
      </c>
      <c r="AD56" s="38" t="n">
        <v>0</v>
      </c>
      <c r="AE56" s="38" t="n">
        <v>0</v>
      </c>
      <c r="AF56" s="38" t="n">
        <v>0</v>
      </c>
      <c r="AG56" s="38" t="n">
        <v>0</v>
      </c>
      <c r="AH56" s="38" t="n">
        <v>0</v>
      </c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0</v>
      </c>
      <c r="N57" s="36">
        <f>SUM(B57:M57)</f>
        <v/>
      </c>
      <c r="O57" s="37">
        <f>SUMIF('BK TB '!$R:$R,'BK P&amp;L'!$A57,'BK TB '!C:C)</f>
        <v/>
      </c>
      <c r="P57" s="37">
        <f>SUMIF('BK TB '!$R:$R,'BK P&amp;L'!$A57,'BK TB '!D:D)</f>
        <v/>
      </c>
      <c r="Q57" s="37">
        <f>SUMIF('BK TB '!$R:$R,'BK P&amp;L'!$A57,'BK TB '!E:E)</f>
        <v/>
      </c>
      <c r="R57" s="37">
        <f>SUMIF('BK TB '!$R:$R,'BK P&amp;L'!$A57,'BK TB '!F:F)</f>
        <v/>
      </c>
      <c r="S57" s="37">
        <f>SUMIF('BK TB '!$R:$R,'BK P&amp;L'!$A57,'BK TB '!G:G)</f>
        <v/>
      </c>
      <c r="T57" s="37">
        <f>SUMIF('BK TB '!$R:$R,'BK P&amp;L'!$A57,'BK TB '!H:H)</f>
        <v/>
      </c>
      <c r="U57" s="37">
        <f>SUMIF('BK TB '!$R:$R,'BK P&amp;L'!$A57,'BK TB '!I:I)</f>
        <v/>
      </c>
      <c r="V57" s="38" t="n">
        <v>0</v>
      </c>
      <c r="W57" s="38" t="n">
        <v>0</v>
      </c>
      <c r="X57" s="38" t="n">
        <v>0</v>
      </c>
      <c r="Y57" s="38" t="n">
        <v>0</v>
      </c>
      <c r="Z57" s="38">
        <f>30*8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SUMIF('BK TB '!$R:$R,'BK P&amp;L'!$A58,'BK TB '!C:C)</f>
        <v/>
      </c>
      <c r="P58" s="37">
        <f>SUMIF('BK TB '!$R:$R,'BK P&amp;L'!$A58,'BK TB '!D:D)</f>
        <v/>
      </c>
      <c r="Q58" s="37">
        <f>SUMIF('BK TB '!$R:$R,'BK P&amp;L'!$A58,'BK TB '!E:E)</f>
        <v/>
      </c>
      <c r="R58" s="37">
        <f>SUMIF('BK TB '!$R:$R,'BK P&amp;L'!$A58,'BK TB '!F:F)</f>
        <v/>
      </c>
      <c r="S58" s="37">
        <f>SUMIF('BK TB '!$R:$R,'BK P&amp;L'!$A58,'BK TB '!G:G)</f>
        <v/>
      </c>
      <c r="T58" s="37">
        <f>SUMIF('BK TB '!$R:$R,'BK P&amp;L'!$A58,'BK TB '!H:H)</f>
        <v/>
      </c>
      <c r="U58" s="37">
        <f>SUMIF('BK TB '!$R:$R,'BK P&amp;L'!$A58,'BK TB '!I:I)</f>
        <v/>
      </c>
      <c r="V58" s="38" t="n">
        <v>0</v>
      </c>
      <c r="W58" s="38" t="n">
        <v>0</v>
      </c>
      <c r="X58" s="38" t="n">
        <v>0</v>
      </c>
      <c r="Y58" s="38" t="n">
        <v>0</v>
      </c>
      <c r="Z58" s="38" t="n">
        <v>0</v>
      </c>
      <c r="AA58" s="36">
        <f>SUM(O58:U58)</f>
        <v/>
      </c>
      <c r="AB58" s="36">
        <f>SUM(O58:Z58)</f>
        <v/>
      </c>
      <c r="AC58" s="38" t="n">
        <v>0</v>
      </c>
      <c r="AD58" s="38" t="n">
        <v>0</v>
      </c>
      <c r="AE58" s="38" t="n">
        <v>0</v>
      </c>
      <c r="AF58" s="38" t="n">
        <v>0</v>
      </c>
      <c r="AG58" s="38" t="n">
        <v>0</v>
      </c>
      <c r="AH58" s="38" t="n">
        <v>0</v>
      </c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345.38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SUMIF('BK TB '!$R:$R,'BK P&amp;L'!$A59,'BK TB '!C:C)</f>
        <v/>
      </c>
      <c r="P59" s="37">
        <f>SUMIF('BK TB '!$R:$R,'BK P&amp;L'!$A59,'BK TB '!D:D)</f>
        <v/>
      </c>
      <c r="Q59" s="37">
        <f>SUMIF('BK TB '!$R:$R,'BK P&amp;L'!$A59,'BK TB '!E:E)</f>
        <v/>
      </c>
      <c r="R59" s="37">
        <f>SUMIF('BK TB '!$R:$R,'BK P&amp;L'!$A59,'BK TB '!F:F)</f>
        <v/>
      </c>
      <c r="S59" s="37">
        <f>SUMIF('BK TB '!$R:$R,'BK P&amp;L'!$A59,'BK TB '!G:G)</f>
        <v/>
      </c>
      <c r="T59" s="37">
        <f>SUMIF('BK TB '!$R:$R,'BK P&amp;L'!$A59,'BK TB '!H:H)</f>
        <v/>
      </c>
      <c r="U59" s="37">
        <f>SUMIF('BK TB '!$R:$R,'BK P&amp;L'!$A59,'BK TB 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2.4</v>
      </c>
      <c r="C60" s="35" t="n">
        <v>1.2</v>
      </c>
      <c r="D60" s="35" t="n">
        <v>1.2</v>
      </c>
      <c r="E60" s="35" t="n">
        <v>3</v>
      </c>
      <c r="F60" s="35" t="n">
        <v>1.8</v>
      </c>
      <c r="G60" s="35" t="n">
        <v>1.8</v>
      </c>
      <c r="H60" s="35" t="n">
        <v>2.4</v>
      </c>
      <c r="I60" s="35" t="n">
        <v>0.6</v>
      </c>
      <c r="J60" s="35" t="n">
        <v>1.8</v>
      </c>
      <c r="K60" s="35" t="n">
        <v>68.8</v>
      </c>
      <c r="L60" s="35" t="n">
        <v>3.6</v>
      </c>
      <c r="M60" s="35" t="n">
        <v>2.4</v>
      </c>
      <c r="N60" s="36">
        <f>SUM(B60:M60)</f>
        <v/>
      </c>
      <c r="O60" s="37">
        <f>SUMIF('BK TB '!$R:$R,'BK P&amp;L'!$A60,'BK TB '!C:C)</f>
        <v/>
      </c>
      <c r="P60" s="37">
        <f>SUMIF('BK TB '!$R:$R,'BK P&amp;L'!$A60,'BK TB '!D:D)</f>
        <v/>
      </c>
      <c r="Q60" s="37">
        <f>SUMIF('BK TB '!$R:$R,'BK P&amp;L'!$A60,'BK TB '!E:E)</f>
        <v/>
      </c>
      <c r="R60" s="37">
        <f>SUMIF('BK TB '!$R:$R,'BK P&amp;L'!$A60,'BK TB '!F:F)</f>
        <v/>
      </c>
      <c r="S60" s="37">
        <f>SUMIF('BK TB '!$R:$R,'BK P&amp;L'!$A60,'BK TB '!G:G)</f>
        <v/>
      </c>
      <c r="T60" s="37">
        <f>SUMIF('BK TB '!$R:$R,'BK P&amp;L'!$A60,'BK TB '!H:H)</f>
        <v/>
      </c>
      <c r="U60" s="37">
        <f>SUMIF('BK TB '!$R:$R,'BK P&amp;L'!$A60,'BK TB '!I:I)</f>
        <v/>
      </c>
      <c r="V60" s="38" t="n">
        <v>0</v>
      </c>
      <c r="W60" s="38" t="n">
        <v>0</v>
      </c>
      <c r="X60" s="38" t="n">
        <v>0</v>
      </c>
      <c r="Y60" s="38" t="n">
        <v>0</v>
      </c>
      <c r="Z60" s="38" t="n">
        <v>0</v>
      </c>
      <c r="AA60" s="36">
        <f>SUM(O60:U60)</f>
        <v/>
      </c>
      <c r="AB60" s="36">
        <f>SUM(O60:Z60)</f>
        <v/>
      </c>
      <c r="AC60" s="38" t="n">
        <v>0</v>
      </c>
      <c r="AD60" s="38" t="n">
        <v>0</v>
      </c>
      <c r="AE60" s="38" t="n">
        <v>0</v>
      </c>
      <c r="AF60" s="38" t="n">
        <v>0</v>
      </c>
      <c r="AG60" s="38" t="n">
        <v>0</v>
      </c>
      <c r="AH60" s="38" t="n">
        <v>0</v>
      </c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28.97</v>
      </c>
      <c r="G61" s="35" t="n">
        <v>0</v>
      </c>
      <c r="H61" s="35" t="n">
        <v>50.14</v>
      </c>
      <c r="I61" s="35" t="n">
        <v>0</v>
      </c>
      <c r="J61" s="35" t="n">
        <v>0</v>
      </c>
      <c r="K61" s="35" t="n">
        <v>25.85</v>
      </c>
      <c r="L61" s="35" t="n">
        <v>26.84</v>
      </c>
      <c r="M61" s="35" t="n">
        <v>79.79999999999998</v>
      </c>
      <c r="N61" s="36">
        <f>SUM(B61:M61)</f>
        <v/>
      </c>
      <c r="O61" s="37">
        <f>SUMIF('BK TB '!$R:$R,'BK P&amp;L'!$A61,'BK TB '!C:C)</f>
        <v/>
      </c>
      <c r="P61" s="37">
        <f>SUMIF('BK TB '!$R:$R,'BK P&amp;L'!$A61,'BK TB '!D:D)</f>
        <v/>
      </c>
      <c r="Q61" s="37">
        <f>SUMIF('BK TB '!$R:$R,'BK P&amp;L'!$A61,'BK TB '!E:E)</f>
        <v/>
      </c>
      <c r="R61" s="37">
        <f>SUMIF('BK TB '!$R:$R,'BK P&amp;L'!$A61,'BK TB '!F:F)</f>
        <v/>
      </c>
      <c r="S61" s="37">
        <f>SUMIF('BK TB '!$R:$R,'BK P&amp;L'!$A61,'BK TB '!G:G)</f>
        <v/>
      </c>
      <c r="T61" s="37">
        <f>SUMIF('BK TB '!$R:$R,'BK P&amp;L'!$A61,'BK TB '!H:H)</f>
        <v/>
      </c>
      <c r="U61" s="37">
        <f>SUMIF('BK TB '!$R:$R,'BK P&amp;L'!$A61,'BK TB '!I:I)</f>
        <v/>
      </c>
      <c r="V61" s="38" t="n">
        <v>0</v>
      </c>
      <c r="W61" s="38" t="n">
        <v>0</v>
      </c>
      <c r="X61" s="38" t="n">
        <v>0</v>
      </c>
      <c r="Y61" s="38" t="n">
        <v>0</v>
      </c>
      <c r="Z61" s="38" t="n">
        <v>0</v>
      </c>
      <c r="AA61" s="36">
        <f>SUM(O61:U61)</f>
        <v/>
      </c>
      <c r="AB61" s="36">
        <f>SUM(O61:Z61)</f>
        <v/>
      </c>
      <c r="AC61" s="38" t="n">
        <v>0</v>
      </c>
      <c r="AD61" s="38" t="n">
        <v>0</v>
      </c>
      <c r="AE61" s="38" t="n">
        <v>0</v>
      </c>
      <c r="AF61" s="38" t="n">
        <v>0</v>
      </c>
      <c r="AG61" s="38" t="n">
        <v>0</v>
      </c>
      <c r="AH61" s="38" t="n">
        <v>0</v>
      </c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104</v>
      </c>
      <c r="D62" s="35" t="n">
        <v>36</v>
      </c>
      <c r="E62" s="35" t="n">
        <v>77.34</v>
      </c>
      <c r="F62" s="35" t="n">
        <v>0</v>
      </c>
      <c r="G62" s="35" t="n">
        <v>169</v>
      </c>
      <c r="H62" s="35" t="n">
        <v>22</v>
      </c>
      <c r="I62" s="35" t="n">
        <v>0</v>
      </c>
      <c r="J62" s="35" t="n">
        <v>0</v>
      </c>
      <c r="K62" s="35" t="n">
        <v>150</v>
      </c>
      <c r="L62" s="35" t="n">
        <v>0</v>
      </c>
      <c r="M62" s="35" t="n">
        <v>0</v>
      </c>
      <c r="N62" s="36">
        <f>SUM(B62:M62)</f>
        <v/>
      </c>
      <c r="O62" s="37">
        <f>SUMIF('BK TB '!$R:$R,'BK P&amp;L'!$A62,'BK TB '!C:C)</f>
        <v/>
      </c>
      <c r="P62" s="37">
        <f>SUMIF('BK TB '!$R:$R,'BK P&amp;L'!$A62,'BK TB '!D:D)</f>
        <v/>
      </c>
      <c r="Q62" s="37">
        <f>SUMIF('BK TB '!$R:$R,'BK P&amp;L'!$A62,'BK TB '!E:E)</f>
        <v/>
      </c>
      <c r="R62" s="37">
        <f>SUMIF('BK TB '!$R:$R,'BK P&amp;L'!$A62,'BK TB '!F:F)</f>
        <v/>
      </c>
      <c r="S62" s="37">
        <f>SUMIF('BK TB '!$R:$R,'BK P&amp;L'!$A62,'BK TB '!G:G)</f>
        <v/>
      </c>
      <c r="T62" s="37">
        <f>SUMIF('BK TB '!$R:$R,'BK P&amp;L'!$A62,'BK TB '!H:H)</f>
        <v/>
      </c>
      <c r="U62" s="37">
        <f>SUMIF('BK TB '!$R:$R,'BK P&amp;L'!$A62,'BK TB '!I:I)</f>
        <v/>
      </c>
      <c r="V62" s="38" t="n">
        <v>0</v>
      </c>
      <c r="W62" s="38" t="n">
        <v>0</v>
      </c>
      <c r="X62" s="38" t="n">
        <v>0</v>
      </c>
      <c r="Y62" s="38" t="n">
        <v>0</v>
      </c>
      <c r="Z62" s="38" t="n">
        <v>0</v>
      </c>
      <c r="AA62" s="36">
        <f>SUM(O62:U62)</f>
        <v/>
      </c>
      <c r="AB62" s="36">
        <f>SUM(O62:Z62)</f>
        <v/>
      </c>
      <c r="AC62" s="38" t="n">
        <v>0</v>
      </c>
      <c r="AD62" s="38" t="n">
        <v>0</v>
      </c>
      <c r="AE62" s="38" t="n">
        <v>0</v>
      </c>
      <c r="AF62" s="38" t="n">
        <v>0</v>
      </c>
      <c r="AG62" s="38" t="n">
        <v>0</v>
      </c>
      <c r="AH62" s="38" t="n">
        <v>0</v>
      </c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SUMIF('BK TB '!$R:$R,'BK P&amp;L'!$A63,'BK TB '!C:C)</f>
        <v/>
      </c>
      <c r="P63" s="37">
        <f>SUMIF('BK TB '!$R:$R,'BK P&amp;L'!$A63,'BK TB '!D:D)</f>
        <v/>
      </c>
      <c r="Q63" s="37">
        <f>SUMIF('BK TB '!$R:$R,'BK P&amp;L'!$A63,'BK TB '!E:E)</f>
        <v/>
      </c>
      <c r="R63" s="37">
        <f>SUMIF('BK TB '!$R:$R,'BK P&amp;L'!$A63,'BK TB '!F:F)</f>
        <v/>
      </c>
      <c r="S63" s="37">
        <f>SUMIF('BK TB '!$R:$R,'BK P&amp;L'!$A63,'BK TB '!G:G)</f>
        <v/>
      </c>
      <c r="T63" s="37">
        <f>SUMIF('BK TB '!$R:$R,'BK P&amp;L'!$A63,'BK TB '!H:H)</f>
        <v/>
      </c>
      <c r="U63" s="37">
        <f>SUMIF('BK TB '!$R:$R,'BK P&amp;L'!$A63,'BK TB '!I:I)</f>
        <v/>
      </c>
      <c r="V63" s="38" t="n">
        <v>0</v>
      </c>
      <c r="W63" s="38" t="n">
        <v>0</v>
      </c>
      <c r="X63" s="38" t="n">
        <v>0</v>
      </c>
      <c r="Y63" s="38" t="n">
        <v>0</v>
      </c>
      <c r="Z63" s="38" t="n">
        <v>0</v>
      </c>
      <c r="AA63" s="36">
        <f>SUM(O63:U63)</f>
        <v/>
      </c>
      <c r="AB63" s="36">
        <f>SUM(O63:Z63)</f>
        <v/>
      </c>
      <c r="AC63" s="38" t="n">
        <v>0</v>
      </c>
      <c r="AD63" s="38" t="n">
        <v>0</v>
      </c>
      <c r="AE63" s="38" t="n">
        <v>0</v>
      </c>
      <c r="AF63" s="38" t="n">
        <v>0</v>
      </c>
      <c r="AG63" s="38" t="n">
        <v>0</v>
      </c>
      <c r="AH63" s="38" t="n">
        <v>0</v>
      </c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SUMIF('BK TB '!$R:$R,'BK P&amp;L'!$A64,'BK TB '!C:C)</f>
        <v/>
      </c>
      <c r="P64" s="37">
        <f>SUMIF('BK TB '!$R:$R,'BK P&amp;L'!$A64,'BK TB '!D:D)</f>
        <v/>
      </c>
      <c r="Q64" s="37">
        <f>SUMIF('BK TB '!$R:$R,'BK P&amp;L'!$A64,'BK TB '!E:E)</f>
        <v/>
      </c>
      <c r="R64" s="37">
        <f>SUMIF('BK TB '!$R:$R,'BK P&amp;L'!$A64,'BK TB '!F:F)</f>
        <v/>
      </c>
      <c r="S64" s="37">
        <f>SUMIF('BK TB '!$R:$R,'BK P&amp;L'!$A64,'BK TB '!G:G)</f>
        <v/>
      </c>
      <c r="T64" s="37">
        <f>SUMIF('BK TB '!$R:$R,'BK P&amp;L'!$A64,'BK TB '!H:H)</f>
        <v/>
      </c>
      <c r="U64" s="37">
        <f>SUMIF('BK TB '!$R:$R,'BK P&amp;L'!$A64,'BK TB '!I:I)</f>
        <v/>
      </c>
      <c r="V64" s="38" t="n">
        <v>0</v>
      </c>
      <c r="W64" s="38" t="n">
        <v>0</v>
      </c>
      <c r="X64" s="38" t="n">
        <v>0</v>
      </c>
      <c r="Y64" s="38" t="n">
        <v>0</v>
      </c>
      <c r="Z64" s="38" t="n">
        <v>0</v>
      </c>
      <c r="AA64" s="36">
        <f>SUM(O64:U64)</f>
        <v/>
      </c>
      <c r="AB64" s="36">
        <f>SUM(O64:Z64)</f>
        <v/>
      </c>
      <c r="AC64" s="38" t="n">
        <v>0</v>
      </c>
      <c r="AD64" s="38" t="n">
        <v>0</v>
      </c>
      <c r="AE64" s="38" t="n">
        <v>0</v>
      </c>
      <c r="AF64" s="38" t="n">
        <v>0</v>
      </c>
      <c r="AG64" s="38" t="n">
        <v>0</v>
      </c>
      <c r="AH64" s="38" t="n">
        <v>0</v>
      </c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SUMIF('BK TB '!$R:$R,'BK P&amp;L'!$A65,'BK TB '!C:C)</f>
        <v/>
      </c>
      <c r="P65" s="37">
        <f>SUMIF('BK TB '!$R:$R,'BK P&amp;L'!$A65,'BK TB '!D:D)</f>
        <v/>
      </c>
      <c r="Q65" s="37">
        <f>SUMIF('BK TB '!$R:$R,'BK P&amp;L'!$A65,'BK TB '!E:E)</f>
        <v/>
      </c>
      <c r="R65" s="37">
        <f>SUMIF('BK TB '!$R:$R,'BK P&amp;L'!$A65,'BK TB '!F:F)</f>
        <v/>
      </c>
      <c r="S65" s="37">
        <f>SUMIF('BK TB '!$R:$R,'BK P&amp;L'!$A65,'BK TB '!G:G)</f>
        <v/>
      </c>
      <c r="T65" s="37">
        <f>SUMIF('BK TB '!$R:$R,'BK P&amp;L'!$A65,'BK TB '!H:H)</f>
        <v/>
      </c>
      <c r="U65" s="37">
        <f>SUMIF('BK TB '!$R:$R,'BK P&amp;L'!$A65,'BK TB '!I:I)</f>
        <v/>
      </c>
      <c r="V65" s="38" t="n">
        <v>0</v>
      </c>
      <c r="W65" s="38" t="n">
        <v>0</v>
      </c>
      <c r="X65" s="38" t="n">
        <v>0</v>
      </c>
      <c r="Y65" s="38" t="n">
        <v>0</v>
      </c>
      <c r="Z65" s="38" t="n">
        <v>0</v>
      </c>
      <c r="AA65" s="36">
        <f>SUM(O65:U65)</f>
        <v/>
      </c>
      <c r="AB65" s="36">
        <f>SUM(O65:Z65)</f>
        <v/>
      </c>
      <c r="AC65" s="38" t="n">
        <v>0</v>
      </c>
      <c r="AD65" s="38" t="n">
        <v>0</v>
      </c>
      <c r="AE65" s="38" t="n">
        <v>0</v>
      </c>
      <c r="AF65" s="38" t="n">
        <v>0</v>
      </c>
      <c r="AG65" s="38" t="n">
        <v>0</v>
      </c>
      <c r="AH65" s="38" t="n">
        <v>0</v>
      </c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SUMIF('BK TB '!$R:$R,'BK P&amp;L'!$A66,'BK TB '!C:C)</f>
        <v/>
      </c>
      <c r="P66" s="37">
        <f>SUMIF('BK TB '!$R:$R,'BK P&amp;L'!$A66,'BK TB '!D:D)</f>
        <v/>
      </c>
      <c r="Q66" s="37">
        <f>SUMIF('BK TB '!$R:$R,'BK P&amp;L'!$A66,'BK TB '!E:E)</f>
        <v/>
      </c>
      <c r="R66" s="37">
        <f>SUMIF('BK TB '!$R:$R,'BK P&amp;L'!$A66,'BK TB '!F:F)</f>
        <v/>
      </c>
      <c r="S66" s="37">
        <f>SUMIF('BK TB '!$R:$R,'BK P&amp;L'!$A66,'BK TB '!G:G)</f>
        <v/>
      </c>
      <c r="T66" s="37">
        <f>SUMIF('BK TB '!$R:$R,'BK P&amp;L'!$A66,'BK TB '!H:H)</f>
        <v/>
      </c>
      <c r="U66" s="37">
        <f>SUMIF('BK TB '!$R:$R,'BK P&amp;L'!$A66,'BK TB '!I:I)</f>
        <v/>
      </c>
      <c r="V66" s="38" t="n">
        <v>0</v>
      </c>
      <c r="W66" s="38" t="n">
        <v>0</v>
      </c>
      <c r="X66" s="38" t="n">
        <v>0</v>
      </c>
      <c r="Y66" s="38" t="n">
        <v>0</v>
      </c>
      <c r="Z66" s="38" t="n">
        <v>0</v>
      </c>
      <c r="AA66" s="36">
        <f>SUM(O66:U66)</f>
        <v/>
      </c>
      <c r="AB66" s="36">
        <f>SUM(O66:Z66)</f>
        <v/>
      </c>
      <c r="AC66" s="38" t="n">
        <v>0</v>
      </c>
      <c r="AD66" s="38" t="n">
        <v>0</v>
      </c>
      <c r="AE66" s="38" t="n">
        <v>0</v>
      </c>
      <c r="AF66" s="38" t="n">
        <v>0</v>
      </c>
      <c r="AG66" s="38" t="n">
        <v>0</v>
      </c>
      <c r="AH66" s="38" t="n">
        <v>0</v>
      </c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SUMIF('BK TB '!$R:$R,'BK P&amp;L'!$A67,'BK TB '!C:C)</f>
        <v/>
      </c>
      <c r="P67" s="37">
        <f>SUMIF('BK TB '!$R:$R,'BK P&amp;L'!$A67,'BK TB '!D:D)</f>
        <v/>
      </c>
      <c r="Q67" s="37">
        <f>SUMIF('BK TB '!$R:$R,'BK P&amp;L'!$A67,'BK TB '!E:E)</f>
        <v/>
      </c>
      <c r="R67" s="37">
        <f>SUMIF('BK TB '!$R:$R,'BK P&amp;L'!$A67,'BK TB '!F:F)</f>
        <v/>
      </c>
      <c r="S67" s="37">
        <f>SUMIF('BK TB '!$R:$R,'BK P&amp;L'!$A67,'BK TB '!G:G)</f>
        <v/>
      </c>
      <c r="T67" s="37">
        <f>SUMIF('BK TB '!$R:$R,'BK P&amp;L'!$A67,'BK TB '!H:H)</f>
        <v/>
      </c>
      <c r="U67" s="37">
        <f>SUMIF('BK TB '!$R:$R,'BK P&amp;L'!$A67,'BK TB '!I:I)</f>
        <v/>
      </c>
      <c r="V67" s="38" t="n">
        <v>0</v>
      </c>
      <c r="W67" s="38" t="n">
        <v>0</v>
      </c>
      <c r="X67" s="38" t="n">
        <v>0</v>
      </c>
      <c r="Y67" s="38" t="n">
        <v>0</v>
      </c>
      <c r="Z67" s="38" t="n">
        <v>0</v>
      </c>
      <c r="AA67" s="36">
        <f>SUM(O67:U67)</f>
        <v/>
      </c>
      <c r="AB67" s="36">
        <f>SUM(O67:Z67)</f>
        <v/>
      </c>
      <c r="AC67" s="38" t="n">
        <v>0</v>
      </c>
      <c r="AD67" s="38" t="n">
        <v>0</v>
      </c>
      <c r="AE67" s="38" t="n">
        <v>0</v>
      </c>
      <c r="AF67" s="38" t="n">
        <v>0</v>
      </c>
      <c r="AG67" s="38" t="n">
        <v>0</v>
      </c>
      <c r="AH67" s="38" t="n">
        <v>0</v>
      </c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SUMIF('BK TB '!$R:$R,'BK P&amp;L'!$A68,'BK TB '!C:C)</f>
        <v/>
      </c>
      <c r="P68" s="37">
        <f>SUMIF('BK TB '!$R:$R,'BK P&amp;L'!$A68,'BK TB '!D:D)</f>
        <v/>
      </c>
      <c r="Q68" s="37">
        <f>SUMIF('BK TB '!$R:$R,'BK P&amp;L'!$A68,'BK TB '!E:E)</f>
        <v/>
      </c>
      <c r="R68" s="37">
        <f>SUMIF('BK TB '!$R:$R,'BK P&amp;L'!$A68,'BK TB '!F:F)</f>
        <v/>
      </c>
      <c r="S68" s="37">
        <f>SUMIF('BK TB '!$R:$R,'BK P&amp;L'!$A68,'BK TB '!G:G)</f>
        <v/>
      </c>
      <c r="T68" s="37">
        <f>SUMIF('BK TB '!$R:$R,'BK P&amp;L'!$A68,'BK TB '!H:H)</f>
        <v/>
      </c>
      <c r="U68" s="37">
        <f>SUMIF('BK TB '!$R:$R,'BK P&amp;L'!$A68,'BK TB '!I:I)</f>
        <v/>
      </c>
      <c r="V68" s="38" t="n">
        <v>0</v>
      </c>
      <c r="W68" s="38" t="n">
        <v>0</v>
      </c>
      <c r="X68" s="38" t="n">
        <v>0</v>
      </c>
      <c r="Y68" s="38" t="n">
        <v>0</v>
      </c>
      <c r="Z68" s="38" t="n">
        <v>0</v>
      </c>
      <c r="AA68" s="36">
        <f>SUM(O68:U68)</f>
        <v/>
      </c>
      <c r="AB68" s="36">
        <f>SUM(O68:Z68)</f>
        <v/>
      </c>
      <c r="AC68" s="38" t="n">
        <v>0</v>
      </c>
      <c r="AD68" s="38" t="n">
        <v>0</v>
      </c>
      <c r="AE68" s="38" t="n">
        <v>0</v>
      </c>
      <c r="AF68" s="38" t="n">
        <v>0</v>
      </c>
      <c r="AG68" s="38" t="n">
        <v>0</v>
      </c>
      <c r="AH68" s="38" t="n">
        <v>0</v>
      </c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347.78</v>
      </c>
      <c r="C69" s="42" t="n">
        <v>306.58</v>
      </c>
      <c r="D69" s="42" t="n">
        <v>238.58</v>
      </c>
      <c r="E69" s="42" t="n">
        <v>281.72</v>
      </c>
      <c r="F69" s="42" t="n">
        <v>232.15</v>
      </c>
      <c r="G69" s="42" t="n">
        <v>372.18</v>
      </c>
      <c r="H69" s="42" t="n">
        <v>275.92</v>
      </c>
      <c r="I69" s="42" t="n">
        <v>201.98</v>
      </c>
      <c r="J69" s="42" t="n">
        <v>203.18</v>
      </c>
      <c r="K69" s="42" t="n">
        <v>459.45</v>
      </c>
      <c r="L69" s="42" t="n">
        <v>245.24</v>
      </c>
      <c r="M69" s="42" t="n">
        <v>297</v>
      </c>
      <c r="N69" s="43">
        <f>SUM(B69:M69)</f>
        <v/>
      </c>
      <c r="O69" s="44">
        <f>SUM(O53:O68)</f>
        <v/>
      </c>
      <c r="P69" s="44">
        <f>SUM(P53:P68)</f>
        <v/>
      </c>
      <c r="Q69" s="44">
        <f>SUM(Q53:Q68)</f>
        <v/>
      </c>
      <c r="R69" s="44">
        <f>SUM(R53:R68)</f>
        <v/>
      </c>
      <c r="S69" s="44">
        <f>SUM(S53:S68)</f>
        <v/>
      </c>
      <c r="T69" s="44">
        <f>SUM(T53:T68)</f>
        <v/>
      </c>
      <c r="U69" s="44">
        <f>SUM(U53:U68)</f>
        <v/>
      </c>
      <c r="V69" s="45">
        <f>SUM(V53:V68)</f>
        <v/>
      </c>
      <c r="W69" s="45">
        <f>SUM(W53:W68)</f>
        <v/>
      </c>
      <c r="X69" s="45">
        <f>SUM(X53:X68)</f>
        <v/>
      </c>
      <c r="Y69" s="45">
        <f>SUM(Y53:Y68)</f>
        <v/>
      </c>
      <c r="Z69" s="45">
        <f>SUM(Z53:Z68)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11278.46</v>
      </c>
      <c r="C70" s="55" t="n">
        <v>6705.210000000001</v>
      </c>
      <c r="D70" s="55" t="n">
        <v>35352.92</v>
      </c>
      <c r="E70" s="55" t="n">
        <v>14050.32000000001</v>
      </c>
      <c r="F70" s="55" t="n">
        <v>7344.560000000003</v>
      </c>
      <c r="G70" s="55" t="n">
        <v>17602.66</v>
      </c>
      <c r="H70" s="55" t="n">
        <v>24019.18</v>
      </c>
      <c r="I70" s="55" t="n">
        <v>62.99999999999957</v>
      </c>
      <c r="J70" s="55" t="n">
        <v>4252.330000000002</v>
      </c>
      <c r="K70" s="55" t="n">
        <v>4043.919999999996</v>
      </c>
      <c r="L70" s="55" t="n">
        <v>9091.809999999996</v>
      </c>
      <c r="M70" s="55" t="n">
        <v>17028.98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63" t="inlineStr">
        <is>
          <t>Memo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60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60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34" t="inlineStr">
        <is>
          <t>Direct - Sales</t>
        </is>
      </c>
      <c r="B73" s="18" t="n">
        <v>37485.31</v>
      </c>
      <c r="C73" s="18" t="n">
        <v>36089.88</v>
      </c>
      <c r="D73" s="18" t="n">
        <v>65326.28</v>
      </c>
      <c r="E73" s="18" t="n">
        <v>46048.91</v>
      </c>
      <c r="F73" s="18" t="n">
        <v>39015.19</v>
      </c>
      <c r="G73" s="18" t="n">
        <v>48602.76</v>
      </c>
      <c r="H73" s="18" t="n">
        <v>56552.03</v>
      </c>
      <c r="I73" s="18" t="n">
        <v>31860.92</v>
      </c>
      <c r="J73" s="18" t="n">
        <v>36736.97</v>
      </c>
      <c r="K73" s="18" t="n">
        <v>35841.35</v>
      </c>
      <c r="L73" s="18" t="n">
        <v>37264.42</v>
      </c>
      <c r="M73" s="18" t="n">
        <v>47348.34</v>
      </c>
      <c r="N73" s="34">
        <f>SUM(B73:M73)</f>
        <v/>
      </c>
      <c r="O73" s="60">
        <f>-SUMIF('BK TB '!$T:$T,'BK P&amp;L'!$A73,'BK TB '!C:C)</f>
        <v/>
      </c>
      <c r="P73" s="60">
        <f>-SUMIF('BK TB '!$T:$T,'BK P&amp;L'!$A73,'BK TB '!D:D)</f>
        <v/>
      </c>
      <c r="Q73" s="60">
        <f>-SUMIF('BK TB '!$T:$T,'BK P&amp;L'!$A73,'BK TB '!E:E)</f>
        <v/>
      </c>
      <c r="R73" s="60">
        <f>-SUMIF('BK TB '!$T:$T,'BK P&amp;L'!$A73,'BK TB '!F:F)</f>
        <v/>
      </c>
      <c r="S73" s="60">
        <f>-SUMIF('BK TB '!$T:$T,'BK P&amp;L'!$A73,'BK TB '!G:G)</f>
        <v/>
      </c>
      <c r="T73" s="60">
        <f>-SUMIF('BK TB '!$T:$T,'BK P&amp;L'!$A73,'BK TB '!H:H)</f>
        <v/>
      </c>
      <c r="U73" s="60">
        <f>-SUMIF('BK TB '!$T:$T,'BK P&amp;L'!$A73,'BK TB '!I:I)</f>
        <v/>
      </c>
      <c r="V73" s="20" t="n"/>
      <c r="W73" s="20" t="n"/>
      <c r="X73" s="20" t="n"/>
      <c r="Y73" s="20" t="n"/>
      <c r="Z73" s="20" t="n"/>
      <c r="AA73" s="34">
        <f>SUM(O73:T73)</f>
        <v/>
      </c>
      <c r="AB73" s="56" t="n"/>
      <c r="AC73" s="20" t="n"/>
      <c r="AD73" s="20" t="n"/>
      <c r="AE73" s="20" t="n"/>
      <c r="AF73" s="20" t="n"/>
      <c r="AG73" s="20" t="n"/>
      <c r="AH73" s="20" t="n"/>
      <c r="AI73" s="8" t="n"/>
      <c r="AJ73" s="59" t="inlineStr">
        <is>
          <t>Model assumptions 2027:</t>
        </is>
      </c>
      <c r="AK73" s="8" t="n"/>
      <c r="AL73" s="8" t="n"/>
      <c r="AM73" s="8" t="n"/>
      <c r="AN73" s="34" t="n"/>
      <c r="AO73" s="34" t="n"/>
      <c r="AP73" s="34" t="n"/>
    </row>
    <row r="74">
      <c r="A74" s="34" t="inlineStr">
        <is>
          <t>Direct - Staff Cost</t>
        </is>
      </c>
      <c r="B74" s="18" t="n">
        <v>-19745.57</v>
      </c>
      <c r="C74" s="18" t="n">
        <v>-19496.37</v>
      </c>
      <c r="D74" s="18" t="n">
        <v>-22214.65</v>
      </c>
      <c r="E74" s="18" t="n">
        <v>-25290.2</v>
      </c>
      <c r="F74" s="18" t="n">
        <v>-25692.01</v>
      </c>
      <c r="G74" s="18" t="n">
        <v>-27229.87</v>
      </c>
      <c r="H74" s="18" t="n">
        <v>-26832.04</v>
      </c>
      <c r="I74" s="18" t="n">
        <v>-27070.77</v>
      </c>
      <c r="J74" s="18" t="n">
        <v>-27475.83</v>
      </c>
      <c r="K74" s="18" t="n">
        <v>-26487.3</v>
      </c>
      <c r="L74" s="18" t="n">
        <v>-23007.22</v>
      </c>
      <c r="M74" s="18" t="n">
        <v>-25733.51</v>
      </c>
      <c r="N74" s="34">
        <f>SUM(B74:M74)</f>
        <v/>
      </c>
      <c r="O74" s="60">
        <f>-SUMIF('BK TB '!$T:$T,'BK P&amp;L'!$A74,'BK TB '!C:C)</f>
        <v/>
      </c>
      <c r="P74" s="60">
        <f>-SUMIF('BK TB '!$T:$T,'BK P&amp;L'!$A74,'BK TB '!D:D)</f>
        <v/>
      </c>
      <c r="Q74" s="60">
        <f>-SUMIF('BK TB '!$T:$T,'BK P&amp;L'!$A74,'BK TB '!E:E)</f>
        <v/>
      </c>
      <c r="R74" s="60">
        <f>-SUMIF('BK TB '!$T:$T,'BK P&amp;L'!$A74,'BK TB '!F:F)</f>
        <v/>
      </c>
      <c r="S74" s="60">
        <f>-SUMIF('BK TB '!$T:$T,'BK P&amp;L'!$A74,'BK TB '!G:G)</f>
        <v/>
      </c>
      <c r="T74" s="60">
        <f>-SUMIF('BK TB '!$T:$T,'BK P&amp;L'!$A74,'BK TB '!H:H)</f>
        <v/>
      </c>
      <c r="U74" s="60">
        <f>-SUMIF('BK TB '!$T:$T,'BK P&amp;L'!$A74,'BK TB '!I:I)</f>
        <v/>
      </c>
      <c r="V74" s="20" t="n"/>
      <c r="W74" s="20" t="n"/>
      <c r="X74" s="20" t="n"/>
      <c r="Y74" s="20" t="n"/>
      <c r="Z74" s="20" t="n"/>
      <c r="AA74" s="34">
        <f>SUM(O74:T74)</f>
        <v/>
      </c>
      <c r="AB74" s="8" t="n"/>
      <c r="AC74" s="20" t="n"/>
      <c r="AD74" s="20" t="n"/>
      <c r="AE74" s="20" t="n"/>
      <c r="AF74" s="20" t="n"/>
      <c r="AG74" s="20" t="n"/>
      <c r="AH74" s="20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34" t="n"/>
      <c r="AO74" s="34" t="n"/>
      <c r="AP74" s="34" t="n"/>
    </row>
    <row r="75">
      <c r="A75" s="60" t="inlineStr">
        <is>
          <t>Direct - Childcare Cost</t>
        </is>
      </c>
      <c r="B75" s="18" t="n">
        <v>-1410.45</v>
      </c>
      <c r="C75" s="18" t="n">
        <v>-1438.49</v>
      </c>
      <c r="D75" s="18" t="n">
        <v>-1592.41</v>
      </c>
      <c r="E75" s="18" t="n">
        <v>-1168.83</v>
      </c>
      <c r="F75" s="18" t="n">
        <v>-1228.61</v>
      </c>
      <c r="G75" s="18" t="n">
        <v>-1436.12</v>
      </c>
      <c r="H75" s="18" t="n">
        <v>-1427.65</v>
      </c>
      <c r="I75" s="18" t="n">
        <v>-1493.46</v>
      </c>
      <c r="J75" s="18" t="n">
        <v>-2341.3</v>
      </c>
      <c r="K75" s="18" t="n">
        <v>-1648.7</v>
      </c>
      <c r="L75" s="18" t="n">
        <v>-2334.43</v>
      </c>
      <c r="M75" s="18" t="n">
        <v>-1598.23</v>
      </c>
      <c r="N75" s="34">
        <f>SUM(B75:M75)</f>
        <v/>
      </c>
      <c r="O75" s="60">
        <f>-SUMIF('BK TB '!$T:$T,'BK P&amp;L'!$A75,'BK TB '!C:C)</f>
        <v/>
      </c>
      <c r="P75" s="60">
        <f>-SUMIF('BK TB '!$T:$T,'BK P&amp;L'!$A75,'BK TB '!D:D)</f>
        <v/>
      </c>
      <c r="Q75" s="60">
        <f>-SUMIF('BK TB '!$T:$T,'BK P&amp;L'!$A75,'BK TB '!E:E)</f>
        <v/>
      </c>
      <c r="R75" s="60">
        <f>-SUMIF('BK TB '!$T:$T,'BK P&amp;L'!$A75,'BK TB '!F:F)</f>
        <v/>
      </c>
      <c r="S75" s="60">
        <f>-SUMIF('BK TB '!$T:$T,'BK P&amp;L'!$A75,'BK TB '!G:G)</f>
        <v/>
      </c>
      <c r="T75" s="60">
        <f>-SUMIF('BK TB '!$T:$T,'BK P&amp;L'!$A75,'BK TB '!H:H)</f>
        <v/>
      </c>
      <c r="U75" s="60">
        <f>-SUMIF('BK TB '!$T:$T,'BK P&amp;L'!$A75,'BK TB '!I:I)</f>
        <v/>
      </c>
      <c r="V75" s="20" t="n"/>
      <c r="W75" s="20" t="n"/>
      <c r="X75" s="20" t="n"/>
      <c r="Y75" s="20" t="n"/>
      <c r="Z75" s="20" t="n"/>
      <c r="AA75" s="34">
        <f>SUM(O75:T75)</f>
        <v/>
      </c>
      <c r="AB75" s="8" t="n"/>
      <c r="AC75" s="20" t="n"/>
      <c r="AD75" s="20" t="n"/>
      <c r="AE75" s="20" t="n"/>
      <c r="AF75" s="20" t="n"/>
      <c r="AG75" s="20" t="n"/>
      <c r="AH75" s="20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34" t="n"/>
      <c r="AO75" s="34" t="n"/>
      <c r="AP75" s="34" t="n"/>
    </row>
    <row r="76">
      <c r="A76" s="60" t="inlineStr">
        <is>
          <t>Direct - Premises &amp; Admin</t>
        </is>
      </c>
      <c r="B76" s="18" t="n">
        <v>-4703.05</v>
      </c>
      <c r="C76" s="18" t="n">
        <v>-8143.23</v>
      </c>
      <c r="D76" s="18" t="n">
        <v>-5927.719999999999</v>
      </c>
      <c r="E76" s="18" t="n">
        <v>-5257.84</v>
      </c>
      <c r="F76" s="18" t="n">
        <v>-4517.860000000001</v>
      </c>
      <c r="G76" s="18" t="n">
        <v>-1961.93</v>
      </c>
      <c r="H76" s="18" t="n">
        <v>-3997.24</v>
      </c>
      <c r="I76" s="18" t="n">
        <v>-3031.71</v>
      </c>
      <c r="J76" s="18" t="n">
        <v>-2464.33</v>
      </c>
      <c r="K76" s="18" t="n">
        <v>-3201.98</v>
      </c>
      <c r="L76" s="18" t="n">
        <v>-2585.72</v>
      </c>
      <c r="M76" s="18" t="n">
        <v>-2690.62</v>
      </c>
      <c r="N76" s="8">
        <f>SUM(B76:M76)</f>
        <v/>
      </c>
      <c r="O76" s="60">
        <f>-SUMIF('BK TB '!$T:$T,'BK P&amp;L'!$A76,'BK TB '!C:C)</f>
        <v/>
      </c>
      <c r="P76" s="60">
        <f>-SUMIF('BK TB '!$T:$T,'BK P&amp;L'!$A76,'BK TB '!D:D)</f>
        <v/>
      </c>
      <c r="Q76" s="60">
        <f>-SUMIF('BK TB '!$T:$T,'BK P&amp;L'!$A76,'BK TB '!E:E)</f>
        <v/>
      </c>
      <c r="R76" s="60">
        <f>-SUMIF('BK TB '!$T:$T,'BK P&amp;L'!$A76,'BK TB '!F:F)</f>
        <v/>
      </c>
      <c r="S76" s="60">
        <f>-SUMIF('BK TB '!$T:$T,'BK P&amp;L'!$A76,'BK TB '!G:G)</f>
        <v/>
      </c>
      <c r="T76" s="60">
        <f>-SUMIF('BK TB '!$T:$T,'BK P&amp;L'!$A76,'BK TB '!H:H)</f>
        <v/>
      </c>
      <c r="U76" s="60">
        <f>-SUMIF('BK TB '!$T:$T,'BK P&amp;L'!$A76,'BK TB '!I:I)</f>
        <v/>
      </c>
      <c r="V76" s="20" t="n"/>
      <c r="W76" s="20" t="n"/>
      <c r="X76" s="20" t="n"/>
      <c r="Y76" s="20" t="n"/>
      <c r="Z76" s="20" t="n"/>
      <c r="AA76" s="8">
        <f>SUM(O76:T76)</f>
        <v/>
      </c>
      <c r="AB76" s="8" t="n"/>
      <c r="AC76" s="20" t="n"/>
      <c r="AD76" s="20" t="n"/>
      <c r="AE76" s="20" t="n"/>
      <c r="AF76" s="20" t="n"/>
      <c r="AG76" s="20" t="n"/>
      <c r="AH76" s="20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>
      <c r="A77" s="60" t="inlineStr">
        <is>
          <t>In-Direct - Staff Cost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  <c r="G77" s="18" t="n">
        <v>0</v>
      </c>
      <c r="H77" s="18" t="n">
        <v>0</v>
      </c>
      <c r="I77" s="18" t="n">
        <v>0</v>
      </c>
      <c r="J77" s="18" t="n">
        <v>0</v>
      </c>
      <c r="K77" s="18" t="n">
        <v>0</v>
      </c>
      <c r="L77" s="18" t="n">
        <v>0</v>
      </c>
      <c r="M77" s="18" t="n">
        <v>0</v>
      </c>
      <c r="N77" s="8">
        <f>SUM(B77:M77)</f>
        <v/>
      </c>
      <c r="O77" s="60">
        <f>-SUMIF('BK TB '!$T:$T,'BK P&amp;L'!$A77,'BK TB '!C:C)</f>
        <v/>
      </c>
      <c r="P77" s="60">
        <f>-SUMIF('BK TB '!$T:$T,'BK P&amp;L'!$A77,'BK TB '!D:D)</f>
        <v/>
      </c>
      <c r="Q77" s="60">
        <f>-SUMIF('BK TB '!$T:$T,'BK P&amp;L'!$A77,'BK TB '!E:E)</f>
        <v/>
      </c>
      <c r="R77" s="60">
        <f>-SUMIF('BK TB '!$T:$T,'BK P&amp;L'!$A77,'BK TB '!F:F)</f>
        <v/>
      </c>
      <c r="S77" s="60">
        <f>-SUMIF('BK TB '!$T:$T,'BK P&amp;L'!$A77,'BK TB '!G:G)</f>
        <v/>
      </c>
      <c r="T77" s="60">
        <f>-SUMIF('BK TB '!$T:$T,'BK P&amp;L'!$A77,'BK TB '!H:H)</f>
        <v/>
      </c>
      <c r="U77" s="60">
        <f>-SUMIF('BK TB '!$T:$T,'BK P&amp;L'!$A77,'BK TB '!I:I)</f>
        <v/>
      </c>
      <c r="V77" s="20" t="n"/>
      <c r="W77" s="20" t="n"/>
      <c r="X77" s="20" t="n"/>
      <c r="Y77" s="20" t="n"/>
      <c r="Z77" s="20" t="n"/>
      <c r="AA77" s="8">
        <f>SUM(O77:T77)</f>
        <v/>
      </c>
      <c r="AB77" s="8" t="n"/>
      <c r="AC77" s="20" t="n"/>
      <c r="AD77" s="20" t="n"/>
      <c r="AE77" s="20" t="n"/>
      <c r="AF77" s="20" t="n"/>
      <c r="AG77" s="20" t="n"/>
      <c r="AH77" s="20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>
      <c r="A78" s="60" t="inlineStr">
        <is>
          <t>In-Direct - Overheads</t>
        </is>
      </c>
      <c r="B78" s="18" t="n">
        <v>-347.78</v>
      </c>
      <c r="C78" s="18" t="n">
        <v>-306.58</v>
      </c>
      <c r="D78" s="18" t="n">
        <v>-238.58</v>
      </c>
      <c r="E78" s="18" t="n">
        <v>-281.72</v>
      </c>
      <c r="F78" s="18" t="n">
        <v>-232.15</v>
      </c>
      <c r="G78" s="18" t="n">
        <v>-372.18</v>
      </c>
      <c r="H78" s="18" t="n">
        <v>-275.92</v>
      </c>
      <c r="I78" s="18" t="n">
        <v>-201.98</v>
      </c>
      <c r="J78" s="18" t="n">
        <v>-203.18</v>
      </c>
      <c r="K78" s="18" t="n">
        <v>-459.45</v>
      </c>
      <c r="L78" s="18" t="n">
        <v>-245.24</v>
      </c>
      <c r="M78" s="18" t="n">
        <v>-297</v>
      </c>
      <c r="N78" s="8">
        <f>SUM(B78:M78)</f>
        <v/>
      </c>
      <c r="O78" s="60">
        <f>-SUMIF('BK TB '!$T:$T,'BK P&amp;L'!$A78,'BK TB '!C:C)</f>
        <v/>
      </c>
      <c r="P78" s="60">
        <f>-SUMIF('BK TB '!$T:$T,'BK P&amp;L'!$A78,'BK TB '!D:D)</f>
        <v/>
      </c>
      <c r="Q78" s="60">
        <f>-SUMIF('BK TB '!$T:$T,'BK P&amp;L'!$A78,'BK TB '!E:E)</f>
        <v/>
      </c>
      <c r="R78" s="60">
        <f>-SUMIF('BK TB '!$T:$T,'BK P&amp;L'!$A78,'BK TB '!F:F)</f>
        <v/>
      </c>
      <c r="S78" s="60">
        <f>-SUMIF('BK TB '!$T:$T,'BK P&amp;L'!$A78,'BK TB '!G:G)</f>
        <v/>
      </c>
      <c r="T78" s="60">
        <f>-SUMIF('BK TB '!$T:$T,'BK P&amp;L'!$A78,'BK TB '!H:H)</f>
        <v/>
      </c>
      <c r="U78" s="60">
        <f>-SUMIF('BK TB '!$T:$T,'BK P&amp;L'!$A78,'BK TB '!I:I)</f>
        <v/>
      </c>
      <c r="V78" s="20" t="n"/>
      <c r="W78" s="20" t="n"/>
      <c r="X78" s="20" t="n"/>
      <c r="Y78" s="20" t="n"/>
      <c r="Z78" s="20" t="n"/>
      <c r="AA78" s="8">
        <f>SUM(O78:T78)</f>
        <v/>
      </c>
      <c r="AB78" s="8" t="n"/>
      <c r="AC78" s="20" t="n"/>
      <c r="AD78" s="20" t="n"/>
      <c r="AE78" s="20" t="n"/>
      <c r="AF78" s="20" t="n"/>
      <c r="AG78" s="20" t="n"/>
      <c r="AH78" s="20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 ht="15.75" customHeight="1">
      <c r="A79" s="8" t="n"/>
      <c r="B79" s="67" t="n">
        <v>11278.46</v>
      </c>
      <c r="C79" s="67" t="n">
        <v>6705.209999999999</v>
      </c>
      <c r="D79" s="67" t="n">
        <v>35352.91999999999</v>
      </c>
      <c r="E79" s="67" t="n">
        <v>14050.32000000001</v>
      </c>
      <c r="F79" s="67" t="n">
        <v>7344.560000000003</v>
      </c>
      <c r="G79" s="67" t="n">
        <v>17602.66</v>
      </c>
      <c r="H79" s="67" t="n">
        <v>24019.18</v>
      </c>
      <c r="I79" s="67" t="n">
        <v>62.9999999999973</v>
      </c>
      <c r="J79" s="67" t="n">
        <v>4252.329999999999</v>
      </c>
      <c r="K79" s="67" t="n">
        <v>4043.919999999996</v>
      </c>
      <c r="L79" s="67" t="n">
        <v>9091.809999999996</v>
      </c>
      <c r="M79" s="67" t="n">
        <v>17028.98</v>
      </c>
      <c r="N79" s="8">
        <f>SUM(B79:M79)</f>
        <v/>
      </c>
      <c r="O79" s="64">
        <f>SUM(O73:O78)</f>
        <v/>
      </c>
      <c r="P79" s="64">
        <f>SUM(P73:P78)</f>
        <v/>
      </c>
      <c r="Q79" s="64">
        <f>SUM(Q73:Q78)</f>
        <v/>
      </c>
      <c r="R79" s="64">
        <f>SUM(R73:R78)</f>
        <v/>
      </c>
      <c r="S79" s="64">
        <f>SUM(S73:S78)</f>
        <v/>
      </c>
      <c r="T79" s="64">
        <f>SUM(T73:T78)</f>
        <v/>
      </c>
      <c r="U79" s="64">
        <f>SUM(U73:U78)</f>
        <v/>
      </c>
      <c r="V79" s="68" t="n"/>
      <c r="W79" s="68" t="n"/>
      <c r="X79" s="68" t="n"/>
      <c r="Y79" s="68" t="n"/>
      <c r="Z79" s="68" t="n"/>
      <c r="AA79" s="8">
        <f>SUM(O79:T79)</f>
        <v/>
      </c>
      <c r="AB79" s="8" t="n"/>
      <c r="AC79" s="68" t="n"/>
      <c r="AD79" s="68" t="n"/>
      <c r="AE79" s="68" t="n"/>
      <c r="AF79" s="68" t="n"/>
      <c r="AG79" s="68" t="n"/>
      <c r="AH79" s="6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 ht="15.75" customHeight="1">
      <c r="A80" s="8" t="n"/>
      <c r="B80" s="18" t="n">
        <v>0</v>
      </c>
      <c r="C80" s="18" t="n">
        <v>0</v>
      </c>
      <c r="D80" s="18" t="n">
        <v>0</v>
      </c>
      <c r="E80" s="18" t="n">
        <v>0</v>
      </c>
      <c r="F80" s="18" t="n">
        <v>0</v>
      </c>
      <c r="G80" s="18" t="n">
        <v>0</v>
      </c>
      <c r="H80" s="18" t="n">
        <v>0</v>
      </c>
      <c r="I80" s="18" t="n">
        <v>2.273736754432321e-12</v>
      </c>
      <c r="J80" s="18" t="n">
        <v>0</v>
      </c>
      <c r="K80" s="18" t="n">
        <v>0</v>
      </c>
      <c r="L80" s="18" t="n">
        <v>0</v>
      </c>
      <c r="M80" s="18" t="n">
        <v>0</v>
      </c>
      <c r="N80" s="60">
        <f>SUM(B80:M80)</f>
        <v/>
      </c>
      <c r="O80" s="60">
        <f>+O70-O79</f>
        <v/>
      </c>
      <c r="P80" s="60">
        <f>+P70-P79</f>
        <v/>
      </c>
      <c r="Q80" s="60">
        <f>+Q70-Q79</f>
        <v/>
      </c>
      <c r="R80" s="60">
        <f>+R70-R79</f>
        <v/>
      </c>
      <c r="S80" s="60">
        <f>+S70-S79</f>
        <v/>
      </c>
      <c r="T80" s="60">
        <f>+T70-T79</f>
        <v/>
      </c>
      <c r="U80" s="60">
        <f>+U70-U79</f>
        <v/>
      </c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69" t="inlineStr">
        <is>
          <t>CHECK TO TB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0</v>
      </c>
      <c r="I82" s="18" t="n">
        <v>-3.460343123151688e-12</v>
      </c>
      <c r="J82" s="18" t="n">
        <v>0</v>
      </c>
      <c r="K82" s="18" t="n">
        <v>0</v>
      </c>
      <c r="L82" s="18" t="n">
        <v>0</v>
      </c>
      <c r="M82" s="18" t="n"/>
      <c r="N82" s="65" t="n"/>
      <c r="O82" s="65">
        <f>O79+O83</f>
        <v/>
      </c>
      <c r="P82" s="65">
        <f>P79+P83</f>
        <v/>
      </c>
      <c r="Q82" s="65">
        <f>Q79+Q83</f>
        <v/>
      </c>
      <c r="R82" s="65">
        <f>R79+R83</f>
        <v/>
      </c>
      <c r="S82" s="65">
        <f>S79+S83</f>
        <v/>
      </c>
      <c r="T82" s="65">
        <f>T79+T83</f>
        <v/>
      </c>
      <c r="U82" s="65">
        <f>U79+U83</f>
        <v/>
      </c>
      <c r="V82" s="65">
        <f>V79+V83</f>
        <v/>
      </c>
      <c r="W82" s="65">
        <f>W79+W83</f>
        <v/>
      </c>
      <c r="X82" s="65">
        <f>X79+X83</f>
        <v/>
      </c>
      <c r="Y82" s="65">
        <f>Y79+Y83</f>
        <v/>
      </c>
      <c r="Z82" s="65">
        <f>Z79+Z83</f>
        <v/>
      </c>
      <c r="AA82" s="65" t="n"/>
      <c r="AB82" s="8" t="n"/>
      <c r="AC82" s="65" t="n"/>
      <c r="AD82" s="65" t="n"/>
      <c r="AE82" s="65" t="n"/>
      <c r="AF82" s="65" t="n"/>
      <c r="AG82" s="65" t="n"/>
      <c r="AH82" s="65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65" t="n"/>
      <c r="B83" s="65" t="n">
        <v>-11278.46</v>
      </c>
      <c r="C83" s="65" t="n">
        <v>-6705.21</v>
      </c>
      <c r="D83" s="65" t="n">
        <v>-35352.92</v>
      </c>
      <c r="E83" s="65" t="n">
        <v>-14050.32000000001</v>
      </c>
      <c r="F83" s="65" t="n">
        <v>-7344.56</v>
      </c>
      <c r="G83" s="65" t="n">
        <v>-17602.66</v>
      </c>
      <c r="H83" s="65" t="n">
        <v>-24019.17999999999</v>
      </c>
      <c r="I83" s="65" t="n">
        <v>-63.00000000000076</v>
      </c>
      <c r="J83" s="65" t="n">
        <v>-4252.330000000001</v>
      </c>
      <c r="K83" s="65" t="n">
        <v>-4043.919999999996</v>
      </c>
      <c r="L83" s="65" t="n">
        <v>-9091.809999999998</v>
      </c>
      <c r="M83" s="65" t="n"/>
      <c r="N83" s="65" t="n"/>
      <c r="O83" s="65">
        <f>SUM('BK TB '!C2:C44)</f>
        <v/>
      </c>
      <c r="P83" s="65">
        <f>SUM('BK TB '!D2:D44)</f>
        <v/>
      </c>
      <c r="Q83" s="65">
        <f>SUM('BK TB '!E2:E44)</f>
        <v/>
      </c>
      <c r="R83" s="65">
        <f>SUM('BK TB '!F2:F44)</f>
        <v/>
      </c>
      <c r="S83" s="65">
        <f>SUM('BK TB '!G2:G44)</f>
        <v/>
      </c>
      <c r="T83" s="65">
        <f>SUM('BK TB '!H2:H44)</f>
        <v/>
      </c>
      <c r="U83" s="65">
        <f>SUM('BK TB '!I2:I44)</f>
        <v/>
      </c>
      <c r="V83" s="65">
        <f>SUM('BK TB '!J2:J44)</f>
        <v/>
      </c>
      <c r="W83" s="65">
        <f>SUM('BK TB '!K2:K44)</f>
        <v/>
      </c>
      <c r="X83" s="65">
        <f>SUM('BK TB '!L2:L44)</f>
        <v/>
      </c>
      <c r="Y83" s="65">
        <f>SUM('BK TB '!M2:M44)</f>
        <v/>
      </c>
      <c r="Z83" s="65">
        <f>SUM('BK TB '!N2:N44)</f>
        <v/>
      </c>
      <c r="AA83" s="65" t="n"/>
      <c r="AB83" s="8" t="n"/>
      <c r="AC83" s="65" t="n"/>
      <c r="AD83" s="65" t="n"/>
      <c r="AE83" s="65" t="n"/>
      <c r="AF83" s="65" t="n"/>
      <c r="AG83" s="65" t="n"/>
      <c r="AH83" s="65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pane xSplit="19" ySplit="32" topLeftCell="T3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12.85546875" customWidth="1" min="27" max="27"/>
    <col width="13.140625" customWidth="1" min="28" max="28"/>
    <col width="13.28515625" customWidth="1" min="29" max="29"/>
    <col width="7.42578125" customWidth="1" min="35" max="35"/>
    <col width="12" customWidth="1" min="36" max="36"/>
    <col width="5.7109375" customWidth="1" min="40" max="40"/>
    <col width="12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Bramleywood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n"/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5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122156.52</v>
      </c>
      <c r="C8" s="35" t="n">
        <v>106947.36</v>
      </c>
      <c r="D8" s="35" t="n">
        <v>128166.24</v>
      </c>
      <c r="E8" s="35" t="n">
        <v>139357.58</v>
      </c>
      <c r="F8" s="35" t="n">
        <v>114644.73</v>
      </c>
      <c r="G8" s="35" t="n">
        <v>108480.27</v>
      </c>
      <c r="H8" s="35" t="n">
        <v>145137.16</v>
      </c>
      <c r="I8" s="35" t="n">
        <v>119462.05</v>
      </c>
      <c r="J8" s="35" t="n">
        <v>97287.09</v>
      </c>
      <c r="K8" s="35" t="n">
        <v>96101.48</v>
      </c>
      <c r="L8" s="35" t="n">
        <v>84850.06000000001</v>
      </c>
      <c r="M8" s="35" t="n">
        <v>119634.28</v>
      </c>
      <c r="N8" s="36">
        <f>SUM(B8:M8)</f>
        <v/>
      </c>
      <c r="O8" s="37">
        <f>-SUMIF('BW TB'!$R:$R,'BW P&amp;L'!$A8,'BW TB'!C:C)</f>
        <v/>
      </c>
      <c r="P8" s="37">
        <f>-SUMIF('BW TB'!$R:$R,'BW P&amp;L'!$A8,'BW TB'!D:D)</f>
        <v/>
      </c>
      <c r="Q8" s="37">
        <f>-SUMIF('BW TB'!$R:$R,'BW P&amp;L'!$A8,'BW TB'!E:E)</f>
        <v/>
      </c>
      <c r="R8" s="37">
        <f>-SUMIF('BW TB'!$R:$R,'BW P&amp;L'!$A8,'BW TB'!F:F)</f>
        <v/>
      </c>
      <c r="S8" s="37">
        <f>-SUMIF('BW TB'!$R:$R,'BW P&amp;L'!$A8,'BW TB'!G:G)</f>
        <v/>
      </c>
      <c r="T8" s="37">
        <f>-SUMIF('BW TB'!$R:$R,'BW P&amp;L'!$A8,'BW TB'!H:H)</f>
        <v/>
      </c>
      <c r="U8" s="37">
        <f>-SUMIF('BW TB'!$R:$R,'BW P&amp;L'!$A8,'BW TB'!I:I)</f>
        <v/>
      </c>
      <c r="V8" s="38" t="n">
        <v>113672.68</v>
      </c>
      <c r="W8" s="38" t="n">
        <v>79799</v>
      </c>
      <c r="X8" s="38" t="n">
        <v>72350</v>
      </c>
      <c r="Y8" s="38" t="n">
        <v>69625</v>
      </c>
      <c r="Z8" s="38" t="n">
        <v>102181</v>
      </c>
      <c r="AA8" s="36">
        <f>SUM(O8:U8)</f>
        <v/>
      </c>
      <c r="AB8" s="36">
        <f>SUM(O8:Z8)</f>
        <v/>
      </c>
      <c r="AC8" s="38" t="n">
        <v>144535.68</v>
      </c>
      <c r="AD8" s="38" t="n">
        <v>132031.1</v>
      </c>
      <c r="AE8" s="38" t="n">
        <v>158165.89</v>
      </c>
      <c r="AF8" s="38" t="n">
        <v>141527.16</v>
      </c>
      <c r="AG8" s="38" t="n">
        <v>148240.86</v>
      </c>
      <c r="AH8" s="38" t="n">
        <v>153396.96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33585.45</v>
      </c>
      <c r="C9" s="35" t="n">
        <v>66581.12</v>
      </c>
      <c r="D9" s="35" t="n">
        <v>66581.12</v>
      </c>
      <c r="E9" s="35" t="n">
        <v>28706.8</v>
      </c>
      <c r="F9" s="35" t="n">
        <v>28706.8</v>
      </c>
      <c r="G9" s="35" t="n">
        <v>67317.07000000001</v>
      </c>
      <c r="H9" s="35" t="n">
        <v>67317.05</v>
      </c>
      <c r="I9" s="35" t="n">
        <v>0</v>
      </c>
      <c r="J9" s="35" t="n">
        <v>35210.21</v>
      </c>
      <c r="K9" s="35" t="n">
        <v>33827.21</v>
      </c>
      <c r="L9" s="35" t="n">
        <v>97735.45</v>
      </c>
      <c r="M9" s="35" t="n">
        <v>101444.41</v>
      </c>
      <c r="N9" s="36">
        <f>SUM(B9:M9)</f>
        <v/>
      </c>
      <c r="O9" s="37">
        <f>-SUMIF('BW TB'!$R:$R,'BW P&amp;L'!$A9,'BW TB'!C:C)</f>
        <v/>
      </c>
      <c r="P9" s="37">
        <f>-SUMIF('BW TB'!$R:$R,'BW P&amp;L'!$A9,'BW TB'!D:D)</f>
        <v/>
      </c>
      <c r="Q9" s="37">
        <f>-SUMIF('BW TB'!$R:$R,'BW P&amp;L'!$A9,'BW TB'!E:E)</f>
        <v/>
      </c>
      <c r="R9" s="37">
        <f>-SUMIF('BW TB'!$R:$R,'BW P&amp;L'!$A9,'BW TB'!F:F)</f>
        <v/>
      </c>
      <c r="S9" s="37">
        <f>-SUMIF('BW TB'!$R:$R,'BW P&amp;L'!$A9,'BW TB'!G:G)</f>
        <v/>
      </c>
      <c r="T9" s="37">
        <f>-SUMIF('BW TB'!$R:$R,'BW P&amp;L'!$A9,'BW TB'!H:H)</f>
        <v/>
      </c>
      <c r="U9" s="37">
        <f>-SUMIF('BW TB'!$R:$R,'BW P&amp;L'!$A9,'BW TB'!I:I)</f>
        <v/>
      </c>
      <c r="V9" s="38" t="n"/>
      <c r="W9" s="38" t="n">
        <v>64770</v>
      </c>
      <c r="X9" s="38" t="n">
        <v>75327</v>
      </c>
      <c r="Y9" s="38" t="n">
        <v>72680</v>
      </c>
      <c r="Z9" s="38" t="n">
        <v>31680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200</v>
      </c>
      <c r="C10" s="35" t="n">
        <v>200</v>
      </c>
      <c r="D10" s="35" t="n">
        <v>250</v>
      </c>
      <c r="E10" s="35" t="n">
        <v>150</v>
      </c>
      <c r="F10" s="35" t="n">
        <v>150</v>
      </c>
      <c r="G10" s="35" t="n">
        <v>150</v>
      </c>
      <c r="H10" s="35" t="n">
        <v>150</v>
      </c>
      <c r="I10" s="35" t="n">
        <v>12901.66</v>
      </c>
      <c r="J10" s="35" t="n">
        <v>150</v>
      </c>
      <c r="K10" s="35" t="n">
        <v>150</v>
      </c>
      <c r="L10" s="35" t="n">
        <v>150</v>
      </c>
      <c r="M10" s="35" t="n">
        <v>150</v>
      </c>
      <c r="N10" s="36">
        <f>SUM(B10:M10)</f>
        <v/>
      </c>
      <c r="O10" s="37">
        <f>-SUMIF('BW TB'!$R:$R,'BW P&amp;L'!$A10,'BW TB'!C:C)</f>
        <v/>
      </c>
      <c r="P10" s="37">
        <f>-SUMIF('BW TB'!$R:$R,'BW P&amp;L'!$A10,'BW TB'!D:D)</f>
        <v/>
      </c>
      <c r="Q10" s="37">
        <f>-SUMIF('BW TB'!$R:$R,'BW P&amp;L'!$A10,'BW TB'!E:E)</f>
        <v/>
      </c>
      <c r="R10" s="37">
        <f>-SUMIF('BW TB'!$R:$R,'BW P&amp;L'!$A10,'BW TB'!F:F)</f>
        <v/>
      </c>
      <c r="S10" s="37">
        <f>-SUMIF('BW TB'!$R:$R,'BW P&amp;L'!$A10,'BW TB'!G:G)</f>
        <v/>
      </c>
      <c r="T10" s="37">
        <f>-SUMIF('BW TB'!$R:$R,'BW P&amp;L'!$A10,'BW TB'!H:H)</f>
        <v/>
      </c>
      <c r="U10" s="37">
        <f>-SUMIF('BW TB'!$R:$R,'BW P&amp;L'!$A10,'BW TB'!I:I)</f>
        <v/>
      </c>
      <c r="V10" s="38" t="n"/>
      <c r="W10" s="38" t="n">
        <v>0</v>
      </c>
      <c r="X10" s="38" t="n">
        <v>0</v>
      </c>
      <c r="Y10" s="38" t="n">
        <v>0</v>
      </c>
      <c r="Z10" s="38" t="n">
        <v>0</v>
      </c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155941.97</v>
      </c>
      <c r="C11" s="42" t="n">
        <v>173728.48</v>
      </c>
      <c r="D11" s="42" t="n">
        <v>194997.36</v>
      </c>
      <c r="E11" s="42" t="n">
        <v>168214.38</v>
      </c>
      <c r="F11" s="42" t="n">
        <v>143501.53</v>
      </c>
      <c r="G11" s="42" t="n">
        <v>175947.34</v>
      </c>
      <c r="H11" s="42" t="n">
        <v>212604.21</v>
      </c>
      <c r="I11" s="42" t="n">
        <v>132363.71</v>
      </c>
      <c r="J11" s="42" t="n">
        <v>132647.3</v>
      </c>
      <c r="K11" s="42" t="n">
        <v>130078.69</v>
      </c>
      <c r="L11" s="42" t="n">
        <v>182735.51</v>
      </c>
      <c r="M11" s="42" t="n">
        <v>221228.69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68586.24000000001</v>
      </c>
      <c r="C16" s="35" t="n">
        <v>60676.75</v>
      </c>
      <c r="D16" s="35" t="n">
        <v>61011.57</v>
      </c>
      <c r="E16" s="35" t="n">
        <v>67443.19</v>
      </c>
      <c r="F16" s="35" t="n">
        <v>72917.98</v>
      </c>
      <c r="G16" s="35" t="n">
        <v>67825.41</v>
      </c>
      <c r="H16" s="35" t="n">
        <v>75334.7</v>
      </c>
      <c r="I16" s="35" t="n">
        <v>72777.63</v>
      </c>
      <c r="J16" s="35" t="n">
        <v>80807.62</v>
      </c>
      <c r="K16" s="35" t="n">
        <v>70161.91</v>
      </c>
      <c r="L16" s="35" t="n">
        <v>67160.5</v>
      </c>
      <c r="M16" s="35" t="n">
        <v>64917.87</v>
      </c>
      <c r="N16" s="36">
        <f>SUM(B16:M16)</f>
        <v/>
      </c>
      <c r="O16" s="37">
        <f>SUMIF('BW TB'!$R:$R,'BW P&amp;L'!$A16,'BW TB'!C:C)</f>
        <v/>
      </c>
      <c r="P16" s="37">
        <f>SUMIF('BW TB'!$R:$R,'BW P&amp;L'!$A16,'BW TB'!D:D)</f>
        <v/>
      </c>
      <c r="Q16" s="37">
        <f>SUMIF('BW TB'!$R:$R,'BW P&amp;L'!$A16,'BW TB'!E:E)</f>
        <v/>
      </c>
      <c r="R16" s="37">
        <f>SUMIF('BW TB'!$R:$R,'BW P&amp;L'!$A16,'BW TB'!F:F)</f>
        <v/>
      </c>
      <c r="S16" s="37">
        <f>SUMIF('BW TB'!$R:$R,'BW P&amp;L'!$A16,'BW TB'!G:G)</f>
        <v/>
      </c>
      <c r="T16" s="37">
        <f>SUMIF('BW TB'!$R:$R,'BW P&amp;L'!$A16,'BW TB'!H:H)</f>
        <v/>
      </c>
      <c r="U16" s="37">
        <f>SUMIF('BW TB'!$R:$R,'BW P&amp;L'!$A16,'BW TB'!I:I)</f>
        <v/>
      </c>
      <c r="V16" s="38" t="n">
        <v>67043.3</v>
      </c>
      <c r="W16" s="38" t="n">
        <v>67043.3</v>
      </c>
      <c r="X16" s="38" t="n">
        <v>67043.3</v>
      </c>
      <c r="Y16" s="38" t="n">
        <v>67043.3</v>
      </c>
      <c r="Z16" s="38" t="n">
        <v>67043.3</v>
      </c>
      <c r="AA16" s="36">
        <f>SUM(O16:U16)</f>
        <v/>
      </c>
      <c r="AB16" s="36">
        <f>SUM(O16:Z16)</f>
        <v/>
      </c>
      <c r="AC16" s="38" t="n">
        <v>67043.3</v>
      </c>
      <c r="AD16" s="38" t="n">
        <v>67043.3</v>
      </c>
      <c r="AE16" s="38" t="n">
        <v>67043.3</v>
      </c>
      <c r="AF16" s="38" t="n">
        <v>67043.3</v>
      </c>
      <c r="AG16" s="38" t="n">
        <v>67043.3</v>
      </c>
      <c r="AH16" s="38" t="n">
        <v>67043.3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5300.22</v>
      </c>
      <c r="C17" s="35" t="n">
        <v>4463.01</v>
      </c>
      <c r="D17" s="35" t="n">
        <v>4517.4</v>
      </c>
      <c r="E17" s="35" t="n">
        <v>6985.94</v>
      </c>
      <c r="F17" s="35" t="n">
        <v>7294.24</v>
      </c>
      <c r="G17" s="35" t="n">
        <v>6627.99</v>
      </c>
      <c r="H17" s="35" t="n">
        <v>7346.36</v>
      </c>
      <c r="I17" s="35" t="n">
        <v>7134.49</v>
      </c>
      <c r="J17" s="35" t="n">
        <v>9821.09</v>
      </c>
      <c r="K17" s="35" t="n">
        <v>6696.34</v>
      </c>
      <c r="L17" s="35" t="n">
        <v>6289.94</v>
      </c>
      <c r="M17" s="35" t="n">
        <v>6024.82</v>
      </c>
      <c r="N17" s="36">
        <f>SUM(B17:M17)</f>
        <v/>
      </c>
      <c r="O17" s="37">
        <f>SUMIF('BW TB'!$R:$R,'BW P&amp;L'!$A17,'BW TB'!C:C)</f>
        <v/>
      </c>
      <c r="P17" s="37">
        <f>SUMIF('BW TB'!$R:$R,'BW P&amp;L'!$A17,'BW TB'!D:D)</f>
        <v/>
      </c>
      <c r="Q17" s="37">
        <f>SUMIF('BW TB'!$R:$R,'BW P&amp;L'!$A17,'BW TB'!E:E)</f>
        <v/>
      </c>
      <c r="R17" s="37">
        <f>SUMIF('BW TB'!$R:$R,'BW P&amp;L'!$A17,'BW TB'!F:F)</f>
        <v/>
      </c>
      <c r="S17" s="37">
        <f>SUMIF('BW TB'!$R:$R,'BW P&amp;L'!$A17,'BW TB'!G:G)</f>
        <v/>
      </c>
      <c r="T17" s="37">
        <f>SUMIF('BW TB'!$R:$R,'BW P&amp;L'!$A17,'BW TB'!H:H)</f>
        <v/>
      </c>
      <c r="U17" s="37">
        <f>SUMIF('BW TB'!$R:$R,'BW P&amp;L'!$A17,'BW TB'!I:I)</f>
        <v/>
      </c>
      <c r="V17" s="38" t="n">
        <v>6517.08</v>
      </c>
      <c r="W17" s="38" t="n">
        <v>6517.08</v>
      </c>
      <c r="X17" s="38" t="n">
        <v>6517.08</v>
      </c>
      <c r="Y17" s="38" t="n">
        <v>6517.08</v>
      </c>
      <c r="Z17" s="38" t="n">
        <v>6517.08</v>
      </c>
      <c r="AA17" s="36">
        <f>SUM(O17:U17)</f>
        <v/>
      </c>
      <c r="AB17" s="36">
        <f>SUM(O17:Z17)</f>
        <v/>
      </c>
      <c r="AC17" s="38" t="n">
        <v>6517.08</v>
      </c>
      <c r="AD17" s="38" t="n">
        <v>6517.08</v>
      </c>
      <c r="AE17" s="38" t="n">
        <v>6517.08</v>
      </c>
      <c r="AF17" s="38" t="n">
        <v>6517.08</v>
      </c>
      <c r="AG17" s="38" t="n">
        <v>6517.08</v>
      </c>
      <c r="AH17" s="38" t="n">
        <v>6517.08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1186.64</v>
      </c>
      <c r="C18" s="35" t="n">
        <v>1102.67</v>
      </c>
      <c r="D18" s="35" t="n">
        <v>1084.37</v>
      </c>
      <c r="E18" s="35" t="n">
        <v>1172.06</v>
      </c>
      <c r="F18" s="35" t="n">
        <v>1236.3</v>
      </c>
      <c r="G18" s="35" t="n">
        <v>1145.18</v>
      </c>
      <c r="H18" s="35" t="n">
        <v>1293.63</v>
      </c>
      <c r="I18" s="35" t="n">
        <v>1252.61</v>
      </c>
      <c r="J18" s="35" t="n">
        <v>1273.7</v>
      </c>
      <c r="K18" s="35" t="n">
        <v>1200.38</v>
      </c>
      <c r="L18" s="35" t="n">
        <v>1188.64</v>
      </c>
      <c r="M18" s="35" t="n">
        <v>1124.16</v>
      </c>
      <c r="N18" s="36">
        <f>SUM(B18:M18)</f>
        <v/>
      </c>
      <c r="O18" s="37">
        <f>SUMIF('BW TB'!$R:$R,'BW P&amp;L'!$A18,'BW TB'!C:C)</f>
        <v/>
      </c>
      <c r="P18" s="37">
        <f>SUMIF('BW TB'!$R:$R,'BW P&amp;L'!$A18,'BW TB'!D:D)</f>
        <v/>
      </c>
      <c r="Q18" s="37">
        <f>SUMIF('BW TB'!$R:$R,'BW P&amp;L'!$A18,'BW TB'!E:E)</f>
        <v/>
      </c>
      <c r="R18" s="37">
        <f>SUMIF('BW TB'!$R:$R,'BW P&amp;L'!$A18,'BW TB'!F:F)</f>
        <v/>
      </c>
      <c r="S18" s="37">
        <f>SUMIF('BW TB'!$R:$R,'BW P&amp;L'!$A18,'BW TB'!G:G)</f>
        <v/>
      </c>
      <c r="T18" s="37">
        <f>SUMIF('BW TB'!$R:$R,'BW P&amp;L'!$A18,'BW TB'!H:H)</f>
        <v/>
      </c>
      <c r="U18" s="37">
        <f>SUMIF('BW TB'!$R:$R,'BW P&amp;L'!$A18,'BW TB'!I:I)</f>
        <v/>
      </c>
      <c r="V18" s="38" t="n">
        <v>1087.65</v>
      </c>
      <c r="W18" s="38" t="n">
        <v>1087.65</v>
      </c>
      <c r="X18" s="38" t="n">
        <v>1087.65</v>
      </c>
      <c r="Y18" s="38" t="n">
        <v>1087.65</v>
      </c>
      <c r="Z18" s="38" t="n">
        <v>1087.65</v>
      </c>
      <c r="AA18" s="36">
        <f>SUM(O18:U18)</f>
        <v/>
      </c>
      <c r="AB18" s="36">
        <f>SUM(O18:Z18)</f>
        <v/>
      </c>
      <c r="AC18" s="38" t="n">
        <v>1087.65</v>
      </c>
      <c r="AD18" s="38" t="n">
        <v>1087.65</v>
      </c>
      <c r="AE18" s="38" t="n">
        <v>1087.65</v>
      </c>
      <c r="AF18" s="38" t="n">
        <v>1087.65</v>
      </c>
      <c r="AG18" s="38" t="n">
        <v>1087.65</v>
      </c>
      <c r="AH18" s="38" t="n">
        <v>1087.65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149.22</v>
      </c>
      <c r="C19" s="35" t="n">
        <v>0</v>
      </c>
      <c r="D19" s="35" t="n">
        <v>79.08</v>
      </c>
      <c r="E19" s="35" t="n">
        <v>0</v>
      </c>
      <c r="F19" s="35" t="n">
        <v>0</v>
      </c>
      <c r="G19" s="35" t="n">
        <v>350.58</v>
      </c>
      <c r="H19" s="35" t="n">
        <v>0</v>
      </c>
      <c r="I19" s="35" t="n">
        <v>0</v>
      </c>
      <c r="J19" s="35" t="n">
        <v>0</v>
      </c>
      <c r="K19" s="35" t="n">
        <v>0</v>
      </c>
      <c r="L19" s="35" t="n">
        <v>77.22</v>
      </c>
      <c r="M19" s="35" t="n">
        <v>1091.59</v>
      </c>
      <c r="N19" s="36">
        <f>SUM(B19:M19)</f>
        <v/>
      </c>
      <c r="O19" s="37">
        <f>SUMIF('BW TB'!$R:$R,'BW P&amp;L'!$A19,'BW TB'!C:C)</f>
        <v/>
      </c>
      <c r="P19" s="37">
        <f>SUMIF('BW TB'!$R:$R,'BW P&amp;L'!$A19,'BW TB'!D:D)</f>
        <v/>
      </c>
      <c r="Q19" s="37">
        <f>SUMIF('BW TB'!$R:$R,'BW P&amp;L'!$A19,'BW TB'!E:E)</f>
        <v/>
      </c>
      <c r="R19" s="37">
        <f>SUMIF('BW TB'!$R:$R,'BW P&amp;L'!$A19,'BW TB'!F:F)</f>
        <v/>
      </c>
      <c r="S19" s="37">
        <f>SUMIF('BW TB'!$R:$R,'BW P&amp;L'!$A19,'BW TB'!G:G)</f>
        <v/>
      </c>
      <c r="T19" s="37">
        <f>SUMIF('BW TB'!$R:$R,'BW P&amp;L'!$A19,'BW TB'!H:H)</f>
        <v/>
      </c>
      <c r="U19" s="37">
        <f>SUMIF('BW TB'!$R:$R,'BW P&amp;L'!$A19,'BW TB'!I:I)</f>
        <v/>
      </c>
      <c r="V19" s="38" t="n">
        <v>176</v>
      </c>
      <c r="W19" s="38" t="n">
        <v>176</v>
      </c>
      <c r="X19" s="38" t="n">
        <v>176</v>
      </c>
      <c r="Y19" s="38" t="n">
        <v>176</v>
      </c>
      <c r="Z19" s="38" t="n">
        <v>176</v>
      </c>
      <c r="AA19" s="36">
        <f>SUM(O19:U19)</f>
        <v/>
      </c>
      <c r="AB19" s="36">
        <f>SUM(O19:Z19)</f>
        <v/>
      </c>
      <c r="AC19" s="38" t="n">
        <v>176</v>
      </c>
      <c r="AD19" s="38" t="n">
        <v>176</v>
      </c>
      <c r="AE19" s="38" t="n">
        <v>176</v>
      </c>
      <c r="AF19" s="38" t="n">
        <v>176</v>
      </c>
      <c r="AG19" s="38" t="n">
        <v>176</v>
      </c>
      <c r="AH19" s="38" t="n">
        <v>176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0</v>
      </c>
      <c r="C20" s="35" t="n">
        <v>30</v>
      </c>
      <c r="D20" s="35" t="n">
        <v>480</v>
      </c>
      <c r="E20" s="35" t="n">
        <v>0</v>
      </c>
      <c r="F20" s="35" t="n">
        <v>18</v>
      </c>
      <c r="G20" s="35" t="n">
        <v>540</v>
      </c>
      <c r="H20" s="35" t="n">
        <v>189.28</v>
      </c>
      <c r="I20" s="35" t="n">
        <v>0</v>
      </c>
      <c r="J20" s="35" t="n">
        <v>0</v>
      </c>
      <c r="K20" s="35" t="n">
        <v>384</v>
      </c>
      <c r="L20" s="35" t="n">
        <v>50</v>
      </c>
      <c r="M20" s="35" t="n">
        <v>-156</v>
      </c>
      <c r="N20" s="36">
        <f>SUM(B20:M20)</f>
        <v/>
      </c>
      <c r="O20" s="37">
        <f>SUMIF('BW TB'!$R:$R,'BW P&amp;L'!$A20,'BW TB'!C:C)</f>
        <v/>
      </c>
      <c r="P20" s="37">
        <f>SUMIF('BW TB'!$R:$R,'BW P&amp;L'!$A20,'BW TB'!D:D)</f>
        <v/>
      </c>
      <c r="Q20" s="37">
        <f>SUMIF('BW TB'!$R:$R,'BW P&amp;L'!$A20,'BW TB'!E:E)</f>
        <v/>
      </c>
      <c r="R20" s="37">
        <f>SUMIF('BW TB'!$R:$R,'BW P&amp;L'!$A20,'BW TB'!F:F)</f>
        <v/>
      </c>
      <c r="S20" s="37">
        <f>SUMIF('BW TB'!$R:$R,'BW P&amp;L'!$A20,'BW TB'!G:G)</f>
        <v/>
      </c>
      <c r="T20" s="37">
        <f>SUMIF('BW TB'!$R:$R,'BW P&amp;L'!$A20,'BW TB'!H:H)</f>
        <v/>
      </c>
      <c r="U20" s="37">
        <f>SUMIF('BW TB'!$R:$R,'BW P&amp;L'!$A20,'BW TB'!I:I)</f>
        <v/>
      </c>
      <c r="V20" s="38" t="n">
        <v>500</v>
      </c>
      <c r="W20" s="38" t="n">
        <v>500</v>
      </c>
      <c r="X20" s="38" t="n">
        <v>500</v>
      </c>
      <c r="Y20" s="38" t="n">
        <v>500</v>
      </c>
      <c r="Z20" s="38" t="n">
        <v>500</v>
      </c>
      <c r="AA20" s="36">
        <f>SUM(O20:U20)</f>
        <v/>
      </c>
      <c r="AB20" s="36">
        <f>SUM(O20:Z20)</f>
        <v/>
      </c>
      <c r="AC20" s="38" t="n">
        <v>500</v>
      </c>
      <c r="AD20" s="38" t="n">
        <v>500</v>
      </c>
      <c r="AE20" s="38" t="n">
        <v>500</v>
      </c>
      <c r="AF20" s="38" t="n">
        <v>500</v>
      </c>
      <c r="AG20" s="38" t="n">
        <v>500</v>
      </c>
      <c r="AH20" s="38" t="n">
        <v>500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292.56</v>
      </c>
      <c r="C21" s="35" t="n">
        <v>327.49</v>
      </c>
      <c r="D21" s="35" t="n">
        <v>190</v>
      </c>
      <c r="E21" s="35" t="n">
        <v>238.69</v>
      </c>
      <c r="F21" s="35" t="n">
        <v>147.43</v>
      </c>
      <c r="G21" s="35" t="n">
        <v>436.17</v>
      </c>
      <c r="H21" s="35" t="n">
        <v>265.44</v>
      </c>
      <c r="I21" s="35" t="n">
        <v>187.74</v>
      </c>
      <c r="J21" s="35" t="n">
        <v>173.74</v>
      </c>
      <c r="K21" s="35" t="n">
        <v>173.74</v>
      </c>
      <c r="L21" s="35" t="n">
        <v>327.78</v>
      </c>
      <c r="M21" s="35" t="n">
        <v>302.37</v>
      </c>
      <c r="N21" s="36">
        <f>SUM(B21:M21)</f>
        <v/>
      </c>
      <c r="O21" s="37">
        <f>SUMIF('BW TB'!$R:$R,'BW P&amp;L'!$A21,'BW TB'!C:C)</f>
        <v/>
      </c>
      <c r="P21" s="37">
        <f>SUMIF('BW TB'!$R:$R,'BW P&amp;L'!$A21,'BW TB'!D:D)</f>
        <v/>
      </c>
      <c r="Q21" s="37">
        <f>SUMIF('BW TB'!$R:$R,'BW P&amp;L'!$A21,'BW TB'!E:E)</f>
        <v/>
      </c>
      <c r="R21" s="37">
        <f>SUMIF('BW TB'!$R:$R,'BW P&amp;L'!$A21,'BW TB'!F:F)</f>
        <v/>
      </c>
      <c r="S21" s="37">
        <f>SUMIF('BW TB'!$R:$R,'BW P&amp;L'!$A21,'BW TB'!G:G)</f>
        <v/>
      </c>
      <c r="T21" s="37">
        <f>SUMIF('BW TB'!$R:$R,'BW P&amp;L'!$A21,'BW TB'!H:H)</f>
        <v/>
      </c>
      <c r="U21" s="37">
        <f>SUMIF('BW TB'!$R:$R,'BW P&amp;L'!$A21,'BW TB'!I:I)</f>
        <v/>
      </c>
      <c r="V21" s="38" t="n">
        <v>360</v>
      </c>
      <c r="W21" s="38" t="n">
        <v>360</v>
      </c>
      <c r="X21" s="38" t="n">
        <v>360</v>
      </c>
      <c r="Y21" s="38" t="n">
        <v>360</v>
      </c>
      <c r="Z21" s="38" t="n">
        <v>360</v>
      </c>
      <c r="AA21" s="36">
        <f>SUM(O21:U21)</f>
        <v/>
      </c>
      <c r="AB21" s="36">
        <f>SUM(O21:Z21)</f>
        <v/>
      </c>
      <c r="AC21" s="38" t="n">
        <v>360</v>
      </c>
      <c r="AD21" s="38" t="n">
        <v>360</v>
      </c>
      <c r="AE21" s="38" t="n">
        <v>360</v>
      </c>
      <c r="AF21" s="38" t="n">
        <v>360</v>
      </c>
      <c r="AG21" s="38" t="n">
        <v>360</v>
      </c>
      <c r="AH21" s="38" t="n">
        <v>360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64.8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SUMIF('BW TB'!$R:$R,'BW P&amp;L'!$A22,'BW TB'!C:C)</f>
        <v/>
      </c>
      <c r="P22" s="37">
        <f>SUMIF('BW TB'!$R:$R,'BW P&amp;L'!$A22,'BW TB'!D:D)</f>
        <v/>
      </c>
      <c r="Q22" s="37">
        <f>SUMIF('BW TB'!$R:$R,'BW P&amp;L'!$A22,'BW TB'!E:E)</f>
        <v/>
      </c>
      <c r="R22" s="37">
        <f>SUMIF('BW TB'!$R:$R,'BW P&amp;L'!$A22,'BW TB'!F:F)</f>
        <v/>
      </c>
      <c r="S22" s="37">
        <f>SUMIF('BW TB'!$R:$R,'BW P&amp;L'!$A22,'BW TB'!G:G)</f>
        <v/>
      </c>
      <c r="T22" s="37">
        <f>SUMIF('BW TB'!$R:$R,'BW P&amp;L'!$A22,'BW TB'!H:H)</f>
        <v/>
      </c>
      <c r="U22" s="37">
        <f>SUMIF('BW TB'!$R:$R,'BW P&amp;L'!$A22,'BW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47.96</v>
      </c>
      <c r="L23" s="35" t="n">
        <v>101.16</v>
      </c>
      <c r="M23" s="35" t="n">
        <v>0</v>
      </c>
      <c r="N23" s="36">
        <f>SUM(B23:M23)</f>
        <v/>
      </c>
      <c r="O23" s="37">
        <f>SUMIF('BW TB'!$R:$R,'BW P&amp;L'!$A23,'BW TB'!C:C)</f>
        <v/>
      </c>
      <c r="P23" s="37">
        <f>SUMIF('BW TB'!$R:$R,'BW P&amp;L'!$A23,'BW TB'!D:D)</f>
        <v/>
      </c>
      <c r="Q23" s="37">
        <f>SUMIF('BW TB'!$R:$R,'BW P&amp;L'!$A23,'BW TB'!E:E)</f>
        <v/>
      </c>
      <c r="R23" s="37">
        <f>SUMIF('BW TB'!$R:$R,'BW P&amp;L'!$A23,'BW TB'!F:F)</f>
        <v/>
      </c>
      <c r="S23" s="37">
        <f>SUMIF('BW TB'!$R:$R,'BW P&amp;L'!$A23,'BW TB'!G:G)</f>
        <v/>
      </c>
      <c r="T23" s="37">
        <f>SUMIF('BW TB'!$R:$R,'BW P&amp;L'!$A23,'BW TB'!H:H)</f>
        <v/>
      </c>
      <c r="U23" s="37">
        <f>SUMIF('BW TB'!$R:$R,'BW P&amp;L'!$A23,'BW TB'!I:I)</f>
        <v/>
      </c>
      <c r="V23" s="38" t="n">
        <v>150</v>
      </c>
      <c r="W23" s="38" t="n">
        <v>150</v>
      </c>
      <c r="X23" s="38" t="n">
        <v>150</v>
      </c>
      <c r="Y23" s="38" t="n">
        <v>150</v>
      </c>
      <c r="Z23" s="38" t="n">
        <v>150</v>
      </c>
      <c r="AA23" s="36">
        <f>SUM(O23:U23)</f>
        <v/>
      </c>
      <c r="AB23" s="36">
        <f>SUM(O23:Z23)</f>
        <v/>
      </c>
      <c r="AC23" s="38" t="n">
        <v>150</v>
      </c>
      <c r="AD23" s="38" t="n">
        <v>150</v>
      </c>
      <c r="AE23" s="38" t="n">
        <v>150</v>
      </c>
      <c r="AF23" s="38" t="n">
        <v>150</v>
      </c>
      <c r="AG23" s="38" t="n">
        <v>150</v>
      </c>
      <c r="AH23" s="38" t="n">
        <v>150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SUMIF('BW TB'!$R:$R,'BW P&amp;L'!$A24,'BW TB'!C:C)</f>
        <v/>
      </c>
      <c r="P24" s="37">
        <f>SUMIF('BW TB'!$R:$R,'BW P&amp;L'!$A24,'BW TB'!D:D)</f>
        <v/>
      </c>
      <c r="Q24" s="37">
        <f>SUMIF('BW TB'!$R:$R,'BW P&amp;L'!$A24,'BW TB'!E:E)</f>
        <v/>
      </c>
      <c r="R24" s="37">
        <f>SUMIF('BW TB'!$R:$R,'BW P&amp;L'!$A24,'BW TB'!F:F)</f>
        <v/>
      </c>
      <c r="S24" s="37">
        <f>SUMIF('BW TB'!$R:$R,'BW P&amp;L'!$A24,'BW TB'!G:G)</f>
        <v/>
      </c>
      <c r="T24" s="37">
        <f>SUMIF('BW TB'!$R:$R,'BW P&amp;L'!$A24,'BW TB'!H:H)</f>
        <v/>
      </c>
      <c r="U24" s="37">
        <f>SUMIF('BW TB'!$R:$R,'BW P&amp;L'!$A24,'BW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75514.88</v>
      </c>
      <c r="C25" s="42" t="n">
        <v>66664.72000000002</v>
      </c>
      <c r="D25" s="42" t="n">
        <v>67362.42</v>
      </c>
      <c r="E25" s="42" t="n">
        <v>75839.88</v>
      </c>
      <c r="F25" s="42" t="n">
        <v>81613.95</v>
      </c>
      <c r="G25" s="42" t="n">
        <v>76925.33</v>
      </c>
      <c r="H25" s="42" t="n">
        <v>84429.41</v>
      </c>
      <c r="I25" s="42" t="n">
        <v>81352.47000000002</v>
      </c>
      <c r="J25" s="42" t="n">
        <v>92076.14999999999</v>
      </c>
      <c r="K25" s="42" t="n">
        <v>78664.33000000002</v>
      </c>
      <c r="L25" s="42" t="n">
        <v>75195.24000000001</v>
      </c>
      <c r="M25" s="42" t="n">
        <v>73304.81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3976.44</v>
      </c>
      <c r="C27" s="35" t="n">
        <v>5535.73</v>
      </c>
      <c r="D27" s="35" t="n">
        <v>5538.81</v>
      </c>
      <c r="E27" s="35" t="n">
        <v>4291.04</v>
      </c>
      <c r="F27" s="35" t="n">
        <v>4795.09</v>
      </c>
      <c r="G27" s="35" t="n">
        <v>4504.63</v>
      </c>
      <c r="H27" s="35" t="n">
        <v>4768.150000000001</v>
      </c>
      <c r="I27" s="35" t="n">
        <v>4288.04</v>
      </c>
      <c r="J27" s="35" t="n">
        <v>4177.65</v>
      </c>
      <c r="K27" s="35" t="n">
        <v>4478.409999999999</v>
      </c>
      <c r="L27" s="35" t="n">
        <v>5151.79</v>
      </c>
      <c r="M27" s="35" t="n">
        <v>3622.1</v>
      </c>
      <c r="N27" s="36">
        <f>SUM(B27:M27)</f>
        <v/>
      </c>
      <c r="O27" s="37">
        <f>SUMIF('BW TB'!$R:$R,'BW P&amp;L'!$A27,'BW TB'!C:C)</f>
        <v/>
      </c>
      <c r="P27" s="37">
        <f>SUMIF('BW TB'!$R:$R,'BW P&amp;L'!$A27,'BW TB'!D:D)</f>
        <v/>
      </c>
      <c r="Q27" s="37">
        <f>SUMIF('BW TB'!$R:$R,'BW P&amp;L'!$A27,'BW TB'!E:E)</f>
        <v/>
      </c>
      <c r="R27" s="37">
        <f>SUMIF('BW TB'!$R:$R,'BW P&amp;L'!$A27,'BW TB'!F:F)</f>
        <v/>
      </c>
      <c r="S27" s="37">
        <f>SUMIF('BW TB'!$R:$R,'BW P&amp;L'!$A27,'BW TB'!G:G)</f>
        <v/>
      </c>
      <c r="T27" s="37">
        <f>SUMIF('BW TB'!$R:$R,'BW P&amp;L'!$A27,'BW TB'!H:H)</f>
        <v/>
      </c>
      <c r="U27" s="37">
        <f>SUMIF('BW TB'!$R:$R,'BW P&amp;L'!$A27,'BW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330.13</v>
      </c>
      <c r="C28" s="35" t="n">
        <v>1111.29</v>
      </c>
      <c r="D28" s="35" t="n">
        <v>135.72</v>
      </c>
      <c r="E28" s="35" t="n">
        <v>172.74</v>
      </c>
      <c r="F28" s="35" t="n">
        <v>1014.7</v>
      </c>
      <c r="G28" s="35" t="n">
        <v>1919.79</v>
      </c>
      <c r="H28" s="35" t="n">
        <v>265.47</v>
      </c>
      <c r="I28" s="35" t="n">
        <v>171.34</v>
      </c>
      <c r="J28" s="35" t="n">
        <v>0</v>
      </c>
      <c r="K28" s="35" t="n">
        <v>183.06</v>
      </c>
      <c r="L28" s="35" t="n">
        <v>257.43</v>
      </c>
      <c r="M28" s="35" t="n">
        <v>59.92</v>
      </c>
      <c r="N28" s="36">
        <f>SUM(B28:M28)</f>
        <v/>
      </c>
      <c r="O28" s="37">
        <f>SUMIF('BW TB'!$R:$R,'BW P&amp;L'!$A28,'BW TB'!C:C)</f>
        <v/>
      </c>
      <c r="P28" s="37">
        <f>SUMIF('BW TB'!$R:$R,'BW P&amp;L'!$A28,'BW TB'!D:D)</f>
        <v/>
      </c>
      <c r="Q28" s="37">
        <f>SUMIF('BW TB'!$R:$R,'BW P&amp;L'!$A28,'BW TB'!E:E)</f>
        <v/>
      </c>
      <c r="R28" s="37">
        <f>SUMIF('BW TB'!$R:$R,'BW P&amp;L'!$A28,'BW TB'!F:F)</f>
        <v/>
      </c>
      <c r="S28" s="37">
        <f>SUMIF('BW TB'!$R:$R,'BW P&amp;L'!$A28,'BW TB'!G:G)</f>
        <v/>
      </c>
      <c r="T28" s="37">
        <f>SUMIF('BW TB'!$R:$R,'BW P&amp;L'!$A28,'BW TB'!H:H)</f>
        <v/>
      </c>
      <c r="U28" s="37">
        <f>SUMIF('BW TB'!$R:$R,'BW P&amp;L'!$A28,'BW TB'!I:I)</f>
        <v/>
      </c>
      <c r="V28" s="38" t="n">
        <v>100</v>
      </c>
      <c r="W28" s="38" t="n">
        <v>100</v>
      </c>
      <c r="X28" s="38" t="n">
        <v>100</v>
      </c>
      <c r="Y28" s="38" t="n">
        <v>100</v>
      </c>
      <c r="Z28" s="38" t="n">
        <v>100</v>
      </c>
      <c r="AA28" s="36">
        <f>SUM(O28:U28)</f>
        <v/>
      </c>
      <c r="AB28" s="36">
        <f>SUM(O28:Z28)</f>
        <v/>
      </c>
      <c r="AC28" s="38" t="n">
        <v>100</v>
      </c>
      <c r="AD28" s="38" t="n">
        <v>100</v>
      </c>
      <c r="AE28" s="38" t="n">
        <v>100</v>
      </c>
      <c r="AF28" s="38" t="n">
        <v>100</v>
      </c>
      <c r="AG28" s="38" t="n">
        <v>100</v>
      </c>
      <c r="AH28" s="38" t="n">
        <v>100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254.49</v>
      </c>
      <c r="C29" s="35" t="n">
        <v>156.01</v>
      </c>
      <c r="D29" s="35" t="n">
        <v>409.77</v>
      </c>
      <c r="E29" s="35" t="n">
        <v>42.94</v>
      </c>
      <c r="F29" s="35" t="n">
        <v>33.34</v>
      </c>
      <c r="G29" s="35" t="n">
        <v>272.97</v>
      </c>
      <c r="H29" s="35" t="n">
        <v>83.72</v>
      </c>
      <c r="I29" s="35" t="n">
        <v>57.63</v>
      </c>
      <c r="J29" s="35" t="n">
        <v>102.12</v>
      </c>
      <c r="K29" s="35" t="n">
        <v>759.96</v>
      </c>
      <c r="L29" s="35" t="n">
        <v>355.62</v>
      </c>
      <c r="M29" s="35" t="n">
        <v>390.02</v>
      </c>
      <c r="N29" s="36">
        <f>SUM(B29:M29)</f>
        <v/>
      </c>
      <c r="O29" s="37">
        <f>SUMIF('BW TB'!$R:$R,'BW P&amp;L'!$A29,'BW TB'!C:C)</f>
        <v/>
      </c>
      <c r="P29" s="37">
        <f>SUMIF('BW TB'!$R:$R,'BW P&amp;L'!$A29,'BW TB'!D:D)</f>
        <v/>
      </c>
      <c r="Q29" s="37">
        <f>SUMIF('BW TB'!$R:$R,'BW P&amp;L'!$A29,'BW TB'!E:E)</f>
        <v/>
      </c>
      <c r="R29" s="37">
        <f>SUMIF('BW TB'!$R:$R,'BW P&amp;L'!$A29,'BW TB'!F:F)</f>
        <v/>
      </c>
      <c r="S29" s="37">
        <f>SUMIF('BW TB'!$R:$R,'BW P&amp;L'!$A29,'BW TB'!G:G)</f>
        <v/>
      </c>
      <c r="T29" s="37">
        <f>SUMIF('BW TB'!$R:$R,'BW P&amp;L'!$A29,'BW TB'!H:H)</f>
        <v/>
      </c>
      <c r="U29" s="37">
        <f>SUMIF('BW TB'!$R:$R,'BW P&amp;L'!$A29,'BW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0.00208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15</v>
      </c>
      <c r="C30" s="35" t="n">
        <v>63.01</v>
      </c>
      <c r="D30" s="35" t="n">
        <v>61.27</v>
      </c>
      <c r="E30" s="35" t="n">
        <v>3.06</v>
      </c>
      <c r="F30" s="35" t="n">
        <v>1.38</v>
      </c>
      <c r="G30" s="35" t="n">
        <v>44.8</v>
      </c>
      <c r="H30" s="35" t="n">
        <v>112.74</v>
      </c>
      <c r="I30" s="35" t="n">
        <v>0</v>
      </c>
      <c r="J30" s="35" t="n">
        <v>104.18</v>
      </c>
      <c r="K30" s="35" t="n">
        <v>88.44</v>
      </c>
      <c r="L30" s="35" t="n">
        <v>41.01</v>
      </c>
      <c r="M30" s="35" t="n">
        <v>38.29</v>
      </c>
      <c r="N30" s="36">
        <f>SUM(B30:M30)</f>
        <v/>
      </c>
      <c r="O30" s="37">
        <f>SUMIF('BW TB'!$R:$R,'BW P&amp;L'!$A30,'BW TB'!C:C)</f>
        <v/>
      </c>
      <c r="P30" s="37">
        <f>SUMIF('BW TB'!$R:$R,'BW P&amp;L'!$A30,'BW TB'!D:D)</f>
        <v/>
      </c>
      <c r="Q30" s="37">
        <f>SUMIF('BW TB'!$R:$R,'BW P&amp;L'!$A30,'BW TB'!E:E)</f>
        <v/>
      </c>
      <c r="R30" s="37">
        <f>SUMIF('BW TB'!$R:$R,'BW P&amp;L'!$A30,'BW TB'!F:F)</f>
        <v/>
      </c>
      <c r="S30" s="37">
        <f>SUMIF('BW TB'!$R:$R,'BW P&amp;L'!$A30,'BW TB'!G:G)</f>
        <v/>
      </c>
      <c r="T30" s="37">
        <f>SUMIF('BW TB'!$R:$R,'BW P&amp;L'!$A30,'BW TB'!H:H)</f>
        <v/>
      </c>
      <c r="U30" s="37">
        <f>SUMIF('BW TB'!$R:$R,'BW P&amp;L'!$A30,'BW TB'!I:I)</f>
        <v/>
      </c>
      <c r="V30" s="38" t="n">
        <v>278</v>
      </c>
      <c r="W30" s="38" t="n">
        <v>278</v>
      </c>
      <c r="X30" s="38" t="n">
        <v>278</v>
      </c>
      <c r="Y30" s="38" t="n">
        <v>278</v>
      </c>
      <c r="Z30" s="38" t="n">
        <v>278</v>
      </c>
      <c r="AA30" s="36">
        <f>SUM(O30:U30)</f>
        <v/>
      </c>
      <c r="AB30" s="36">
        <f>SUM(O30:Z30)</f>
        <v/>
      </c>
      <c r="AC30" s="38" t="n">
        <v>278</v>
      </c>
      <c r="AD30" s="38" t="n">
        <v>278</v>
      </c>
      <c r="AE30" s="38" t="n">
        <v>278</v>
      </c>
      <c r="AF30" s="38" t="n">
        <v>278</v>
      </c>
      <c r="AG30" s="38" t="n">
        <v>278</v>
      </c>
      <c r="AH30" s="38" t="n">
        <v>278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134.83</v>
      </c>
      <c r="C31" s="35" t="n">
        <v>92.94</v>
      </c>
      <c r="D31" s="35" t="n">
        <v>339.69</v>
      </c>
      <c r="E31" s="35" t="n">
        <v>63.56</v>
      </c>
      <c r="F31" s="35" t="n">
        <v>390.09</v>
      </c>
      <c r="G31" s="35" t="n">
        <v>775.99</v>
      </c>
      <c r="H31" s="35" t="n">
        <v>63.76</v>
      </c>
      <c r="I31" s="35" t="n">
        <v>35.62</v>
      </c>
      <c r="J31" s="35" t="n">
        <v>45.98</v>
      </c>
      <c r="K31" s="35" t="n">
        <v>380.46</v>
      </c>
      <c r="L31" s="35" t="n">
        <v>86.03999999999999</v>
      </c>
      <c r="M31" s="35" t="n">
        <v>54.77</v>
      </c>
      <c r="N31" s="36">
        <f>SUM(B31:M31)</f>
        <v/>
      </c>
      <c r="O31" s="37">
        <f>SUMIF('BW TB'!$R:$R,'BW P&amp;L'!$A31,'BW TB'!C:C)</f>
        <v/>
      </c>
      <c r="P31" s="37">
        <f>SUMIF('BW TB'!$R:$R,'BW P&amp;L'!$A31,'BW TB'!D:D)</f>
        <v/>
      </c>
      <c r="Q31" s="37">
        <f>SUMIF('BW TB'!$R:$R,'BW P&amp;L'!$A31,'BW TB'!E:E)</f>
        <v/>
      </c>
      <c r="R31" s="37">
        <f>SUMIF('BW TB'!$R:$R,'BW P&amp;L'!$A31,'BW TB'!F:F)</f>
        <v/>
      </c>
      <c r="S31" s="37">
        <f>SUMIF('BW TB'!$R:$R,'BW P&amp;L'!$A31,'BW TB'!G:G)</f>
        <v/>
      </c>
      <c r="T31" s="37">
        <f>SUMIF('BW TB'!$R:$R,'BW P&amp;L'!$A31,'BW TB'!H:H)</f>
        <v/>
      </c>
      <c r="U31" s="37">
        <f>SUMIF('BW TB'!$R:$R,'BW P&amp;L'!$A31,'BW TB'!I:I)</f>
        <v/>
      </c>
      <c r="V31" s="38" t="n">
        <v>100</v>
      </c>
      <c r="W31" s="38" t="n">
        <v>100</v>
      </c>
      <c r="X31" s="38" t="n">
        <v>100</v>
      </c>
      <c r="Y31" s="38" t="n">
        <v>100</v>
      </c>
      <c r="Z31" s="38" t="n">
        <v>100</v>
      </c>
      <c r="AA31" s="36">
        <f>SUM(O31:U31)</f>
        <v/>
      </c>
      <c r="AB31" s="36">
        <f>SUM(O31:Z31)</f>
        <v/>
      </c>
      <c r="AC31" s="38" t="n">
        <v>100</v>
      </c>
      <c r="AD31" s="38" t="n">
        <v>100</v>
      </c>
      <c r="AE31" s="38" t="n">
        <v>100</v>
      </c>
      <c r="AF31" s="38" t="n">
        <v>100</v>
      </c>
      <c r="AG31" s="38" t="n">
        <v>100</v>
      </c>
      <c r="AH31" s="38" t="n">
        <v>100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613.9399999999999</v>
      </c>
      <c r="C32" s="35" t="n">
        <v>594.12</v>
      </c>
      <c r="D32" s="35" t="n">
        <v>559.58</v>
      </c>
      <c r="E32" s="35" t="n">
        <v>836.4699999999999</v>
      </c>
      <c r="F32" s="35" t="n">
        <v>1013.37</v>
      </c>
      <c r="G32" s="35" t="n">
        <v>899.1799999999999</v>
      </c>
      <c r="H32" s="35" t="n">
        <v>727.6099999999999</v>
      </c>
      <c r="I32" s="35" t="n">
        <v>927.6</v>
      </c>
      <c r="J32" s="35" t="n">
        <v>674.42</v>
      </c>
      <c r="K32" s="35" t="n">
        <v>746.21</v>
      </c>
      <c r="L32" s="35" t="n">
        <v>746.59</v>
      </c>
      <c r="M32" s="35" t="n">
        <v>1042.1</v>
      </c>
      <c r="N32" s="36">
        <f>SUM(B32:M32)</f>
        <v/>
      </c>
      <c r="O32" s="37">
        <f>SUMIF('BW TB'!$R:$R,'BW P&amp;L'!$A32,'BW TB'!C:C)</f>
        <v/>
      </c>
      <c r="P32" s="37">
        <f>SUMIF('BW TB'!$R:$R,'BW P&amp;L'!$A32,'BW TB'!D:D)</f>
        <v/>
      </c>
      <c r="Q32" s="37">
        <f>SUMIF('BW TB'!$R:$R,'BW P&amp;L'!$A32,'BW TB'!E:E)</f>
        <v/>
      </c>
      <c r="R32" s="37">
        <f>SUMIF('BW TB'!$R:$R,'BW P&amp;L'!$A32,'BW TB'!F:F)</f>
        <v/>
      </c>
      <c r="S32" s="37">
        <f>SUMIF('BW TB'!$R:$R,'BW P&amp;L'!$A32,'BW TB'!G:G)</f>
        <v/>
      </c>
      <c r="T32" s="37">
        <f>SUMIF('BW TB'!$R:$R,'BW P&amp;L'!$A32,'BW TB'!H:H)</f>
        <v/>
      </c>
      <c r="U32" s="37">
        <f>SUMIF('BW TB'!$R:$R,'BW P&amp;L'!$A32,'BW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0.004160000000000001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SUMIF('BW TB'!$R:$R,'BW P&amp;L'!$A33,'BW TB'!C:C)</f>
        <v/>
      </c>
      <c r="P33" s="37">
        <f>SUMIF('BW TB'!$R:$R,'BW P&amp;L'!$A33,'BW TB'!D:D)</f>
        <v/>
      </c>
      <c r="Q33" s="37">
        <f>SUMIF('BW TB'!$R:$R,'BW P&amp;L'!$A33,'BW TB'!E:E)</f>
        <v/>
      </c>
      <c r="R33" s="37">
        <f>SUMIF('BW TB'!$R:$R,'BW P&amp;L'!$A33,'BW TB'!F:F)</f>
        <v/>
      </c>
      <c r="S33" s="37">
        <f>SUMIF('BW TB'!$R:$R,'BW P&amp;L'!$A33,'BW TB'!G:G)</f>
        <v/>
      </c>
      <c r="T33" s="37">
        <f>SUMIF('BW TB'!$R:$R,'BW P&amp;L'!$A33,'BW TB'!H:H)</f>
        <v/>
      </c>
      <c r="U33" s="37">
        <f>SUMIF('BW TB'!$R:$R,'BW P&amp;L'!$A33,'BW TB'!I:I)</f>
        <v/>
      </c>
      <c r="V33" s="38" t="n">
        <v>0</v>
      </c>
      <c r="W33" s="38" t="n">
        <v>0</v>
      </c>
      <c r="X33" s="38" t="n">
        <v>0</v>
      </c>
      <c r="Y33" s="38" t="n">
        <v>0</v>
      </c>
      <c r="Z33" s="38" t="n">
        <v>0</v>
      </c>
      <c r="AA33" s="36">
        <f>SUM(O33:U33)</f>
        <v/>
      </c>
      <c r="AB33" s="36">
        <f>SUM(O33:Z33)</f>
        <v/>
      </c>
      <c r="AC33" s="38" t="n">
        <v>0</v>
      </c>
      <c r="AD33" s="38" t="n">
        <v>0</v>
      </c>
      <c r="AE33" s="38" t="n">
        <v>0</v>
      </c>
      <c r="AF33" s="38" t="n">
        <v>0</v>
      </c>
      <c r="AG33" s="38" t="n">
        <v>0</v>
      </c>
      <c r="AH33" s="38" t="n">
        <v>0</v>
      </c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5324.829999999999</v>
      </c>
      <c r="C34" s="42" t="n">
        <v>7553.1</v>
      </c>
      <c r="D34" s="42" t="n">
        <v>7044.840000000001</v>
      </c>
      <c r="E34" s="42" t="n">
        <v>5409.81</v>
      </c>
      <c r="F34" s="42" t="n">
        <v>7247.97</v>
      </c>
      <c r="G34" s="42" t="n">
        <v>8417.360000000001</v>
      </c>
      <c r="H34" s="42" t="n">
        <v>6021.450000000001</v>
      </c>
      <c r="I34" s="42" t="n">
        <v>5480.23</v>
      </c>
      <c r="J34" s="42" t="n">
        <v>5104.349999999999</v>
      </c>
      <c r="K34" s="42" t="n">
        <v>6636.539999999999</v>
      </c>
      <c r="L34" s="42" t="n">
        <v>6638.48</v>
      </c>
      <c r="M34" s="42" t="n">
        <v>5207.200000000001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SUMIF('BW TB'!$R:$R,'BW P&amp;L'!$A36,'BW TB'!C:C)</f>
        <v/>
      </c>
      <c r="P36" s="37">
        <f>SUMIF('BW TB'!$R:$R,'BW P&amp;L'!$A36,'BW TB'!D:D)</f>
        <v/>
      </c>
      <c r="Q36" s="37">
        <f>SUMIF('BW TB'!$R:$R,'BW P&amp;L'!$A36,'BW TB'!E:E)</f>
        <v/>
      </c>
      <c r="R36" s="37">
        <f>SUMIF('BW TB'!$R:$R,'BW P&amp;L'!$A36,'BW TB'!F:F)</f>
        <v/>
      </c>
      <c r="S36" s="37">
        <f>SUMIF('BW TB'!$R:$R,'BW P&amp;L'!$A36,'BW TB'!G:G)</f>
        <v/>
      </c>
      <c r="T36" s="37">
        <f>SUMIF('BW TB'!$R:$R,'BW P&amp;L'!$A36,'BW TB'!H:H)</f>
        <v/>
      </c>
      <c r="U36" s="37">
        <f>SUMIF('BW TB'!$R:$R,'BW P&amp;L'!$A36,'BW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3025.75</v>
      </c>
      <c r="C37" s="35" t="n">
        <v>3025.75</v>
      </c>
      <c r="D37" s="35" t="n">
        <v>3025.75</v>
      </c>
      <c r="E37" s="35" t="n">
        <v>3075.63</v>
      </c>
      <c r="F37" s="35" t="n">
        <v>3075.63</v>
      </c>
      <c r="G37" s="35" t="n">
        <v>3075.63</v>
      </c>
      <c r="H37" s="35" t="n">
        <v>3075.63</v>
      </c>
      <c r="I37" s="35" t="n">
        <v>3075.63</v>
      </c>
      <c r="J37" s="35" t="n">
        <v>3075.63</v>
      </c>
      <c r="K37" s="35" t="n">
        <v>3075.63</v>
      </c>
      <c r="L37" s="35" t="n">
        <v>3075.63</v>
      </c>
      <c r="M37" s="35" t="n">
        <v>3075.63</v>
      </c>
      <c r="N37" s="36">
        <f>SUM(B37:M37)</f>
        <v/>
      </c>
      <c r="O37" s="37">
        <f>SUMIF('BW TB'!$R:$R,'BW P&amp;L'!$A37,'BW TB'!C:C)</f>
        <v/>
      </c>
      <c r="P37" s="37">
        <f>SUMIF('BW TB'!$R:$R,'BW P&amp;L'!$A37,'BW TB'!D:D)</f>
        <v/>
      </c>
      <c r="Q37" s="37">
        <f>SUMIF('BW TB'!$R:$R,'BW P&amp;L'!$A37,'BW TB'!E:E)</f>
        <v/>
      </c>
      <c r="R37" s="37">
        <f>SUMIF('BW TB'!$R:$R,'BW P&amp;L'!$A37,'BW TB'!F:F)</f>
        <v/>
      </c>
      <c r="S37" s="37">
        <f>SUMIF('BW TB'!$R:$R,'BW P&amp;L'!$A37,'BW TB'!G:G)</f>
        <v/>
      </c>
      <c r="T37" s="37">
        <f>SUMIF('BW TB'!$R:$R,'BW P&amp;L'!$A37,'BW TB'!H:H)</f>
        <v/>
      </c>
      <c r="U37" s="37">
        <f>SUMIF('BW TB'!$R:$R,'BW P&amp;L'!$A37,'BW TB'!I:I)</f>
        <v/>
      </c>
      <c r="V37" s="38" t="n">
        <v>3123.75</v>
      </c>
      <c r="W37" s="38" t="n">
        <v>3123.75</v>
      </c>
      <c r="X37" s="38" t="n">
        <v>3123.75</v>
      </c>
      <c r="Y37" s="38" t="n">
        <v>3123.75</v>
      </c>
      <c r="Z37" s="38" t="n">
        <v>3123.75</v>
      </c>
      <c r="AA37" s="36">
        <f>SUM(O37:U37)</f>
        <v/>
      </c>
      <c r="AB37" s="36">
        <f>SUM(O37:Z37)</f>
        <v/>
      </c>
      <c r="AC37" s="38" t="n">
        <v>3123.75</v>
      </c>
      <c r="AD37" s="38" t="n">
        <v>3123.75</v>
      </c>
      <c r="AE37" s="38" t="n">
        <v>3123.75</v>
      </c>
      <c r="AF37" s="38" t="n">
        <v>3123.75</v>
      </c>
      <c r="AG37" s="38" t="n">
        <v>3123.75</v>
      </c>
      <c r="AH37" s="38" t="n">
        <v>3123.75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2790.8</v>
      </c>
      <c r="C38" s="35" t="n">
        <v>2628.84</v>
      </c>
      <c r="D38" s="35" t="n">
        <v>4292.94</v>
      </c>
      <c r="E38" s="35" t="n">
        <v>5529.950000000001</v>
      </c>
      <c r="F38" s="35" t="n">
        <v>1656.64</v>
      </c>
      <c r="G38" s="35" t="n">
        <v>2428.37</v>
      </c>
      <c r="H38" s="35" t="n">
        <v>1773.3</v>
      </c>
      <c r="I38" s="35" t="n">
        <v>1422.35</v>
      </c>
      <c r="J38" s="35" t="n">
        <v>2223.76</v>
      </c>
      <c r="K38" s="35" t="n">
        <v>3805.35</v>
      </c>
      <c r="L38" s="35" t="n">
        <v>3193.73</v>
      </c>
      <c r="M38" s="35" t="n">
        <v>3368.92</v>
      </c>
      <c r="N38" s="36">
        <f>SUM(B38:M38)</f>
        <v/>
      </c>
      <c r="O38" s="37">
        <f>SUMIF('BW TB'!$R:$R,'BW P&amp;L'!$A38,'BW TB'!C:C)</f>
        <v/>
      </c>
      <c r="P38" s="37">
        <f>SUMIF('BW TB'!$R:$R,'BW P&amp;L'!$A38,'BW TB'!D:D)</f>
        <v/>
      </c>
      <c r="Q38" s="37">
        <f>SUMIF('BW TB'!$R:$R,'BW P&amp;L'!$A38,'BW TB'!E:E)</f>
        <v/>
      </c>
      <c r="R38" s="37">
        <f>SUMIF('BW TB'!$R:$R,'BW P&amp;L'!$A38,'BW TB'!F:F)</f>
        <v/>
      </c>
      <c r="S38" s="37">
        <f>SUMIF('BW TB'!$R:$R,'BW P&amp;L'!$A38,'BW TB'!G:G)</f>
        <v/>
      </c>
      <c r="T38" s="37">
        <f>SUMIF('BW TB'!$R:$R,'BW P&amp;L'!$A38,'BW TB'!H:H)</f>
        <v/>
      </c>
      <c r="U38" s="37">
        <f>SUMIF('BW TB'!$R:$R,'BW P&amp;L'!$A38,'BW TB'!I:I)</f>
        <v/>
      </c>
      <c r="V38" s="38" t="n">
        <v>3138</v>
      </c>
      <c r="W38" s="38" t="n">
        <v>3138</v>
      </c>
      <c r="X38" s="38" t="n">
        <v>3138</v>
      </c>
      <c r="Y38" s="38" t="n">
        <v>3138</v>
      </c>
      <c r="Z38" s="38" t="n">
        <v>3138</v>
      </c>
      <c r="AA38" s="36">
        <f>SUM(O38:U38)</f>
        <v/>
      </c>
      <c r="AB38" s="36">
        <f>SUM(O38:Z38)</f>
        <v/>
      </c>
      <c r="AC38" s="38" t="n">
        <v>3138</v>
      </c>
      <c r="AD38" s="38" t="n">
        <v>3138</v>
      </c>
      <c r="AE38" s="38" t="n">
        <v>3138</v>
      </c>
      <c r="AF38" s="38" t="n">
        <v>3138</v>
      </c>
      <c r="AG38" s="38" t="n">
        <v>3138</v>
      </c>
      <c r="AH38" s="38" t="n">
        <v>3138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924.6799999999999</v>
      </c>
      <c r="C39" s="35" t="n">
        <v>752.58</v>
      </c>
      <c r="D39" s="35" t="n">
        <v>409.33</v>
      </c>
      <c r="E39" s="35" t="n">
        <v>1010.79</v>
      </c>
      <c r="F39" s="35" t="n">
        <v>213.72</v>
      </c>
      <c r="G39" s="35" t="n">
        <v>535.9799999999999</v>
      </c>
      <c r="H39" s="35" t="n">
        <v>2248.4</v>
      </c>
      <c r="I39" s="35" t="n">
        <v>2709.69</v>
      </c>
      <c r="J39" s="35" t="n">
        <v>912.3100000000001</v>
      </c>
      <c r="K39" s="35" t="n">
        <v>1226.69</v>
      </c>
      <c r="L39" s="35" t="n">
        <v>65.19</v>
      </c>
      <c r="M39" s="35" t="n">
        <v>192.39</v>
      </c>
      <c r="N39" s="36">
        <f>SUM(B39:M39)</f>
        <v/>
      </c>
      <c r="O39" s="37">
        <f>SUMIF('BW TB'!$R:$R,'BW P&amp;L'!$A39,'BW TB'!C:C)</f>
        <v/>
      </c>
      <c r="P39" s="37">
        <f>SUMIF('BW TB'!$R:$R,'BW P&amp;L'!$A39,'BW TB'!D:D)</f>
        <v/>
      </c>
      <c r="Q39" s="37">
        <f>SUMIF('BW TB'!$R:$R,'BW P&amp;L'!$A39,'BW TB'!E:E)</f>
        <v/>
      </c>
      <c r="R39" s="37">
        <f>SUMIF('BW TB'!$R:$R,'BW P&amp;L'!$A39,'BW TB'!F:F)</f>
        <v/>
      </c>
      <c r="S39" s="37">
        <f>SUMIF('BW TB'!$R:$R,'BW P&amp;L'!$A39,'BW TB'!G:G)</f>
        <v/>
      </c>
      <c r="T39" s="37">
        <f>SUMIF('BW TB'!$R:$R,'BW P&amp;L'!$A39,'BW TB'!H:H)</f>
        <v/>
      </c>
      <c r="U39" s="37">
        <f>SUMIF('BW TB'!$R:$R,'BW P&amp;L'!$A39,'BW TB'!I:I)</f>
        <v/>
      </c>
      <c r="V39" s="38" t="n">
        <v>1500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3992.33</v>
      </c>
      <c r="C40" s="35" t="n">
        <v>3985.5</v>
      </c>
      <c r="D40" s="35" t="n">
        <v>3876.24</v>
      </c>
      <c r="E40" s="35" t="n">
        <v>4757.82</v>
      </c>
      <c r="F40" s="35" t="n">
        <v>3752.54</v>
      </c>
      <c r="G40" s="35" t="n">
        <v>3993.33</v>
      </c>
      <c r="H40" s="35" t="n">
        <v>4752.64</v>
      </c>
      <c r="I40" s="35" t="n">
        <v>8059.97</v>
      </c>
      <c r="J40" s="35" t="n">
        <v>4609.84</v>
      </c>
      <c r="K40" s="35" t="n">
        <v>755.6900000000001</v>
      </c>
      <c r="L40" s="35" t="n">
        <v>4164.74</v>
      </c>
      <c r="M40" s="35" t="n">
        <v>4041.48</v>
      </c>
      <c r="N40" s="36">
        <f>SUM(B40:M40)</f>
        <v/>
      </c>
      <c r="O40" s="37">
        <f>SUMIF('BW TB'!$R:$R,'BW P&amp;L'!$A40,'BW TB'!C:C)</f>
        <v/>
      </c>
      <c r="P40" s="37">
        <f>SUMIF('BW TB'!$R:$R,'BW P&amp;L'!$A40,'BW TB'!D:D)</f>
        <v/>
      </c>
      <c r="Q40" s="37">
        <f>SUMIF('BW TB'!$R:$R,'BW P&amp;L'!$A40,'BW TB'!E:E)</f>
        <v/>
      </c>
      <c r="R40" s="37">
        <f>SUMIF('BW TB'!$R:$R,'BW P&amp;L'!$A40,'BW TB'!F:F)</f>
        <v/>
      </c>
      <c r="S40" s="37">
        <f>SUMIF('BW TB'!$R:$R,'BW P&amp;L'!$A40,'BW TB'!G:G)</f>
        <v/>
      </c>
      <c r="T40" s="37">
        <f>SUMIF('BW TB'!$R:$R,'BW P&amp;L'!$A40,'BW TB'!H:H)</f>
        <v/>
      </c>
      <c r="U40" s="37">
        <f>SUMIF('BW TB'!$R:$R,'BW P&amp;L'!$A40,'BW TB'!I:I)</f>
        <v/>
      </c>
      <c r="V40" s="38" t="n">
        <v>4300</v>
      </c>
      <c r="W40" s="38" t="n">
        <v>4300</v>
      </c>
      <c r="X40" s="38" t="n">
        <v>4300</v>
      </c>
      <c r="Y40" s="38" t="n">
        <v>4300</v>
      </c>
      <c r="Z40" s="38" t="n">
        <v>4300</v>
      </c>
      <c r="AA40" s="36">
        <f>SUM(O40:U40)</f>
        <v/>
      </c>
      <c r="AB40" s="36">
        <f>SUM(O40:Z40)</f>
        <v/>
      </c>
      <c r="AC40" s="38" t="n">
        <v>4300</v>
      </c>
      <c r="AD40" s="38" t="n">
        <v>4300</v>
      </c>
      <c r="AE40" s="38" t="n">
        <v>4300</v>
      </c>
      <c r="AF40" s="38" t="n">
        <v>4300</v>
      </c>
      <c r="AG40" s="38" t="n">
        <v>4300</v>
      </c>
      <c r="AH40" s="38" t="n">
        <v>4300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623.08</v>
      </c>
      <c r="C41" s="35" t="n">
        <v>831.76</v>
      </c>
      <c r="D41" s="35" t="n">
        <v>836.49</v>
      </c>
      <c r="E41" s="35" t="n">
        <v>747.74</v>
      </c>
      <c r="F41" s="35" t="n">
        <v>481.62</v>
      </c>
      <c r="G41" s="35" t="n">
        <v>810.6499999999999</v>
      </c>
      <c r="H41" s="35" t="n">
        <v>662.91</v>
      </c>
      <c r="I41" s="35" t="n">
        <v>701.49</v>
      </c>
      <c r="J41" s="35" t="n">
        <v>1035.73</v>
      </c>
      <c r="K41" s="35" t="n">
        <v>720.8</v>
      </c>
      <c r="L41" s="35" t="n">
        <v>715.36</v>
      </c>
      <c r="M41" s="35" t="n">
        <v>834.1999999999999</v>
      </c>
      <c r="N41" s="36">
        <f>SUM(B41:M41)</f>
        <v/>
      </c>
      <c r="O41" s="37">
        <f>SUMIF('BW TB'!$R:$R,'BW P&amp;L'!$A41,'BW TB'!C:C)</f>
        <v/>
      </c>
      <c r="P41" s="37">
        <f>SUMIF('BW TB'!$R:$R,'BW P&amp;L'!$A41,'BW TB'!D:D)</f>
        <v/>
      </c>
      <c r="Q41" s="37">
        <f>SUMIF('BW TB'!$R:$R,'BW P&amp;L'!$A41,'BW TB'!E:E)</f>
        <v/>
      </c>
      <c r="R41" s="37">
        <f>SUMIF('BW TB'!$R:$R,'BW P&amp;L'!$A41,'BW TB'!F:F)</f>
        <v/>
      </c>
      <c r="S41" s="37">
        <f>SUMIF('BW TB'!$R:$R,'BW P&amp;L'!$A41,'BW TB'!G:G)</f>
        <v/>
      </c>
      <c r="T41" s="37">
        <f>SUMIF('BW TB'!$R:$R,'BW P&amp;L'!$A41,'BW TB'!H:H)</f>
        <v/>
      </c>
      <c r="U41" s="37">
        <f>SUMIF('BW TB'!$R:$R,'BW P&amp;L'!$A41,'BW TB'!I:I)</f>
        <v/>
      </c>
      <c r="V41" s="38" t="n">
        <v>746</v>
      </c>
      <c r="W41" s="38" t="n">
        <v>746</v>
      </c>
      <c r="X41" s="38" t="n">
        <v>746</v>
      </c>
      <c r="Y41" s="38" t="n">
        <v>746</v>
      </c>
      <c r="Z41" s="38" t="n">
        <v>746</v>
      </c>
      <c r="AA41" s="36">
        <f>SUM(O41:U41)</f>
        <v/>
      </c>
      <c r="AB41" s="36">
        <f>SUM(O41:Z41)</f>
        <v/>
      </c>
      <c r="AC41" s="38" t="n">
        <v>746</v>
      </c>
      <c r="AD41" s="38" t="n">
        <v>746</v>
      </c>
      <c r="AE41" s="38" t="n">
        <v>746</v>
      </c>
      <c r="AF41" s="38" t="n">
        <v>746</v>
      </c>
      <c r="AG41" s="38" t="n">
        <v>746</v>
      </c>
      <c r="AH41" s="38" t="n">
        <v>746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72.16</v>
      </c>
      <c r="C42" s="35" t="n">
        <v>108.21</v>
      </c>
      <c r="D42" s="35" t="n">
        <v>93.42</v>
      </c>
      <c r="E42" s="35" t="n">
        <v>86.88</v>
      </c>
      <c r="F42" s="35" t="n">
        <v>91.48</v>
      </c>
      <c r="G42" s="35" t="n">
        <v>133.56</v>
      </c>
      <c r="H42" s="35" t="n">
        <v>135.07</v>
      </c>
      <c r="I42" s="35" t="n">
        <v>63.11</v>
      </c>
      <c r="J42" s="35" t="n">
        <v>156.44</v>
      </c>
      <c r="K42" s="35" t="n">
        <v>93.01000000000001</v>
      </c>
      <c r="L42" s="35" t="n">
        <v>12.84</v>
      </c>
      <c r="M42" s="35" t="n">
        <v>72.92</v>
      </c>
      <c r="N42" s="36">
        <f>SUM(B42:M42)</f>
        <v/>
      </c>
      <c r="O42" s="37">
        <f>SUMIF('BW TB'!$R:$R,'BW P&amp;L'!$A42,'BW TB'!C:C)</f>
        <v/>
      </c>
      <c r="P42" s="37">
        <f>SUMIF('BW TB'!$R:$R,'BW P&amp;L'!$A42,'BW TB'!D:D)</f>
        <v/>
      </c>
      <c r="Q42" s="37">
        <f>SUMIF('BW TB'!$R:$R,'BW P&amp;L'!$A42,'BW TB'!E:E)</f>
        <v/>
      </c>
      <c r="R42" s="37">
        <f>SUMIF('BW TB'!$R:$R,'BW P&amp;L'!$A42,'BW TB'!F:F)</f>
        <v/>
      </c>
      <c r="S42" s="37">
        <f>SUMIF('BW TB'!$R:$R,'BW P&amp;L'!$A42,'BW TB'!G:G)</f>
        <v/>
      </c>
      <c r="T42" s="37">
        <f>SUMIF('BW TB'!$R:$R,'BW P&amp;L'!$A42,'BW TB'!H:H)</f>
        <v/>
      </c>
      <c r="U42" s="37">
        <f>SUMIF('BW TB'!$R:$R,'BW P&amp;L'!$A42,'BW TB'!I:I)</f>
        <v/>
      </c>
      <c r="V42" s="38" t="n">
        <v>150</v>
      </c>
      <c r="W42" s="38" t="n">
        <v>150</v>
      </c>
      <c r="X42" s="38" t="n">
        <v>150</v>
      </c>
      <c r="Y42" s="38" t="n">
        <v>150</v>
      </c>
      <c r="Z42" s="38" t="n">
        <v>150</v>
      </c>
      <c r="AA42" s="36">
        <f>SUM(O42:U42)</f>
        <v/>
      </c>
      <c r="AB42" s="36">
        <f>SUM(O42:Z42)</f>
        <v/>
      </c>
      <c r="AC42" s="38" t="n">
        <v>150</v>
      </c>
      <c r="AD42" s="38" t="n">
        <v>150</v>
      </c>
      <c r="AE42" s="38" t="n">
        <v>150</v>
      </c>
      <c r="AF42" s="38" t="n">
        <v>150</v>
      </c>
      <c r="AG42" s="38" t="n">
        <v>150</v>
      </c>
      <c r="AH42" s="38" t="n">
        <v>150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SUMIF('BW TB'!$R:$R,'BW P&amp;L'!$A43,'BW TB'!C:C)</f>
        <v/>
      </c>
      <c r="P43" s="37">
        <f>SUMIF('BW TB'!$R:$R,'BW P&amp;L'!$A43,'BW TB'!D:D)</f>
        <v/>
      </c>
      <c r="Q43" s="37">
        <f>SUMIF('BW TB'!$R:$R,'BW P&amp;L'!$A43,'BW TB'!E:E)</f>
        <v/>
      </c>
      <c r="R43" s="37">
        <f>SUMIF('BW TB'!$R:$R,'BW P&amp;L'!$A43,'BW TB'!F:F)</f>
        <v/>
      </c>
      <c r="S43" s="37">
        <f>SUMIF('BW TB'!$R:$R,'BW P&amp;L'!$A43,'BW TB'!G:G)</f>
        <v/>
      </c>
      <c r="T43" s="37">
        <f>SUMIF('BW TB'!$R:$R,'BW P&amp;L'!$A43,'BW TB'!H:H)</f>
        <v/>
      </c>
      <c r="U43" s="37">
        <f>SUMIF('BW TB'!$R:$R,'BW P&amp;L'!$A43,'BW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SUMIF('BW TB'!$R:$R,'BW P&amp;L'!$A44,'BW TB'!C:C)</f>
        <v/>
      </c>
      <c r="P44" s="37">
        <f>SUMIF('BW TB'!$R:$R,'BW P&amp;L'!$A44,'BW TB'!D:D)</f>
        <v/>
      </c>
      <c r="Q44" s="37">
        <f>SUMIF('BW TB'!$R:$R,'BW P&amp;L'!$A44,'BW TB'!E:E)</f>
        <v/>
      </c>
      <c r="R44" s="37">
        <f>SUMIF('BW TB'!$R:$R,'BW P&amp;L'!$A44,'BW TB'!F:F)</f>
        <v/>
      </c>
      <c r="S44" s="37">
        <f>SUMIF('BW TB'!$R:$R,'BW P&amp;L'!$A44,'BW TB'!G:G)</f>
        <v/>
      </c>
      <c r="T44" s="37">
        <f>SUMIF('BW TB'!$R:$R,'BW P&amp;L'!$A44,'BW TB'!H:H)</f>
        <v/>
      </c>
      <c r="U44" s="37">
        <f>SUMIF('BW TB'!$R:$R,'BW P&amp;L'!$A44,'BW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64.8</v>
      </c>
      <c r="D45" s="35" t="n">
        <v>345.62</v>
      </c>
      <c r="E45" s="35" t="n">
        <v>0</v>
      </c>
      <c r="F45" s="35" t="n">
        <v>129.6</v>
      </c>
      <c r="G45" s="35" t="n">
        <v>45</v>
      </c>
      <c r="H45" s="35" t="n">
        <v>0</v>
      </c>
      <c r="I45" s="35" t="n">
        <v>90</v>
      </c>
      <c r="J45" s="35" t="n">
        <v>0</v>
      </c>
      <c r="K45" s="35" t="n">
        <v>0</v>
      </c>
      <c r="L45" s="35" t="n">
        <v>220</v>
      </c>
      <c r="M45" s="35" t="n">
        <v>0</v>
      </c>
      <c r="N45" s="36">
        <f>SUM(B45:M45)</f>
        <v/>
      </c>
      <c r="O45" s="37">
        <f>SUMIF('BW TB'!$R:$R,'BW P&amp;L'!$A45,'BW TB'!C:C)</f>
        <v/>
      </c>
      <c r="P45" s="37">
        <f>SUMIF('BW TB'!$R:$R,'BW P&amp;L'!$A45,'BW TB'!D:D)</f>
        <v/>
      </c>
      <c r="Q45" s="37">
        <f>SUMIF('BW TB'!$R:$R,'BW P&amp;L'!$A45,'BW TB'!E:E)</f>
        <v/>
      </c>
      <c r="R45" s="37">
        <f>SUMIF('BW TB'!$R:$R,'BW P&amp;L'!$A45,'BW TB'!F:F)</f>
        <v/>
      </c>
      <c r="S45" s="37">
        <f>SUMIF('BW TB'!$R:$R,'BW P&amp;L'!$A45,'BW TB'!G:G)</f>
        <v/>
      </c>
      <c r="T45" s="37">
        <f>SUMIF('BW TB'!$R:$R,'BW P&amp;L'!$A45,'BW TB'!H:H)</f>
        <v/>
      </c>
      <c r="U45" s="37">
        <f>SUMIF('BW TB'!$R:$R,'BW P&amp;L'!$A45,'BW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SUMIF('BW TB'!$R:$R,'BW P&amp;L'!$A46,'BW TB'!C:C)</f>
        <v/>
      </c>
      <c r="P46" s="37">
        <f>SUMIF('BW TB'!$R:$R,'BW P&amp;L'!$A46,'BW TB'!D:D)</f>
        <v/>
      </c>
      <c r="Q46" s="37">
        <f>SUMIF('BW TB'!$R:$R,'BW P&amp;L'!$A46,'BW TB'!E:E)</f>
        <v/>
      </c>
      <c r="R46" s="37">
        <f>SUMIF('BW TB'!$R:$R,'BW P&amp;L'!$A46,'BW TB'!F:F)</f>
        <v/>
      </c>
      <c r="S46" s="37">
        <f>SUMIF('BW TB'!$R:$R,'BW P&amp;L'!$A46,'BW TB'!G:G)</f>
        <v/>
      </c>
      <c r="T46" s="37">
        <f>SUMIF('BW TB'!$R:$R,'BW P&amp;L'!$A46,'BW TB'!H:H)</f>
        <v/>
      </c>
      <c r="U46" s="37">
        <f>SUMIF('BW TB'!$R:$R,'BW P&amp;L'!$A46,'BW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11428.8</v>
      </c>
      <c r="C47" s="42" t="n">
        <v>11397.44</v>
      </c>
      <c r="D47" s="42" t="n">
        <v>12879.79</v>
      </c>
      <c r="E47" s="42" t="n">
        <v>15208.81</v>
      </c>
      <c r="F47" s="42" t="n">
        <v>9401.230000000001</v>
      </c>
      <c r="G47" s="42" t="n">
        <v>11022.52</v>
      </c>
      <c r="H47" s="42" t="n">
        <v>12647.95</v>
      </c>
      <c r="I47" s="42" t="n">
        <v>16122.24</v>
      </c>
      <c r="J47" s="42" t="n">
        <v>12013.71</v>
      </c>
      <c r="K47" s="42" t="n">
        <v>9677.17</v>
      </c>
      <c r="L47" s="42" t="n">
        <v>11447.49</v>
      </c>
      <c r="M47" s="42" t="n">
        <v>11585.54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92268.51000000001</v>
      </c>
      <c r="C48" s="23" t="n">
        <v>85615.26000000001</v>
      </c>
      <c r="D48" s="23" t="n">
        <v>87287.04999999999</v>
      </c>
      <c r="E48" s="23" t="n">
        <v>96458.5</v>
      </c>
      <c r="F48" s="23" t="n">
        <v>98263.14999999999</v>
      </c>
      <c r="G48" s="23" t="n">
        <v>96365.21000000001</v>
      </c>
      <c r="H48" s="23" t="n">
        <v>103098.81</v>
      </c>
      <c r="I48" s="23" t="n">
        <v>102954.94</v>
      </c>
      <c r="J48" s="23" t="n">
        <v>109194.21</v>
      </c>
      <c r="K48" s="23" t="n">
        <v>94978.04000000001</v>
      </c>
      <c r="L48" s="23" t="n">
        <v>93281.21000000001</v>
      </c>
      <c r="M48" s="23" t="n">
        <v>90097.54999999999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63673.45999999999</v>
      </c>
      <c r="C50" s="55" t="n">
        <v>88113.21999999997</v>
      </c>
      <c r="D50" s="55" t="n">
        <v>107710.31</v>
      </c>
      <c r="E50" s="55" t="n">
        <v>71755.87999999998</v>
      </c>
      <c r="F50" s="55" t="n">
        <v>45238.38</v>
      </c>
      <c r="G50" s="55" t="n">
        <v>79582.13000000002</v>
      </c>
      <c r="H50" s="55" t="n">
        <v>109505.4</v>
      </c>
      <c r="I50" s="55" t="n">
        <v>29408.76999999997</v>
      </c>
      <c r="J50" s="55" t="n">
        <v>23453.08999999998</v>
      </c>
      <c r="K50" s="55" t="n">
        <v>35100.64999999999</v>
      </c>
      <c r="L50" s="55" t="n">
        <v>89454.3</v>
      </c>
      <c r="M50" s="55" t="n">
        <v>131131.14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SUMIF('BW TB'!$R:$R,'BW P&amp;L'!$A53,'BW TB'!C:C)</f>
        <v/>
      </c>
      <c r="P53" s="37">
        <f>SUMIF('BW TB'!$R:$R,'BW P&amp;L'!$A53,'BW TB'!D:D)</f>
        <v/>
      </c>
      <c r="Q53" s="37">
        <f>SUMIF('BW TB'!$R:$R,'BW P&amp;L'!$A53,'BW TB'!E:E)</f>
        <v/>
      </c>
      <c r="R53" s="37">
        <f>SUMIF('BW TB'!$R:$R,'BW P&amp;L'!$A53,'BW TB'!F:F)</f>
        <v/>
      </c>
      <c r="S53" s="37">
        <f>SUMIF('BW TB'!$R:$R,'BW P&amp;L'!$A53,'BW TB'!G:G)</f>
        <v/>
      </c>
      <c r="T53" s="37">
        <f>SUMIF('BW TB'!$R:$R,'BW P&amp;L'!$A53,'BW TB'!H:H)</f>
        <v/>
      </c>
      <c r="U53" s="37">
        <f>SUMIF('BW TB'!$R:$R,'BW P&amp;L'!$A53,'BW TB'!I:I)</f>
        <v/>
      </c>
      <c r="V53" s="38" t="n">
        <v>0</v>
      </c>
      <c r="W53" s="38" t="n">
        <v>0</v>
      </c>
      <c r="X53" s="38" t="n">
        <v>0</v>
      </c>
      <c r="Y53" s="38" t="n">
        <v>0</v>
      </c>
      <c r="Z53" s="38" t="n">
        <v>0</v>
      </c>
      <c r="AA53" s="36">
        <f>SUM(O53:U53)</f>
        <v/>
      </c>
      <c r="AB53" s="36">
        <f>SUM(O53:Z53)</f>
        <v/>
      </c>
      <c r="AC53" s="38" t="n">
        <v>0</v>
      </c>
      <c r="AD53" s="38" t="n">
        <v>0</v>
      </c>
      <c r="AE53" s="38" t="n">
        <v>0</v>
      </c>
      <c r="AF53" s="38" t="n">
        <v>0</v>
      </c>
      <c r="AG53" s="38" t="n">
        <v>0</v>
      </c>
      <c r="AH53" s="38" t="n">
        <v>0</v>
      </c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SUMIF('BW TB'!$R:$R,'BW P&amp;L'!$A54,'BW TB'!C:C)</f>
        <v/>
      </c>
      <c r="P54" s="37">
        <f>SUMIF('BW TB'!$R:$R,'BW P&amp;L'!$A54,'BW TB'!D:D)</f>
        <v/>
      </c>
      <c r="Q54" s="37">
        <f>SUMIF('BW TB'!$R:$R,'BW P&amp;L'!$A54,'BW TB'!E:E)</f>
        <v/>
      </c>
      <c r="R54" s="37">
        <f>SUMIF('BW TB'!$R:$R,'BW P&amp;L'!$A54,'BW TB'!F:F)</f>
        <v/>
      </c>
      <c r="S54" s="37">
        <f>SUMIF('BW TB'!$R:$R,'BW P&amp;L'!$A54,'BW TB'!G:G)</f>
        <v/>
      </c>
      <c r="T54" s="37">
        <f>SUMIF('BW TB'!$R:$R,'BW P&amp;L'!$A54,'BW TB'!H:H)</f>
        <v/>
      </c>
      <c r="U54" s="37">
        <f>SUMIF('BW TB'!$R:$R,'BW P&amp;L'!$A54,'BW TB'!I:I)</f>
        <v/>
      </c>
      <c r="V54" s="38" t="n">
        <v>0</v>
      </c>
      <c r="W54" s="38" t="n">
        <v>0</v>
      </c>
      <c r="X54" s="38" t="n">
        <v>0</v>
      </c>
      <c r="Y54" s="38" t="n">
        <v>0</v>
      </c>
      <c r="Z54" s="38" t="n">
        <v>0</v>
      </c>
      <c r="AA54" s="36">
        <f>SUM(O54:U54)</f>
        <v/>
      </c>
      <c r="AB54" s="36">
        <f>SUM(O54:Z54)</f>
        <v/>
      </c>
      <c r="AC54" s="38" t="n">
        <v>0</v>
      </c>
      <c r="AD54" s="38" t="n">
        <v>0</v>
      </c>
      <c r="AE54" s="38" t="n">
        <v>0</v>
      </c>
      <c r="AF54" s="38" t="n">
        <v>0</v>
      </c>
      <c r="AG54" s="38" t="n">
        <v>0</v>
      </c>
      <c r="AH54" s="38" t="n">
        <v>0</v>
      </c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SUMIF('BW TB'!$R:$R,'BW P&amp;L'!$A55,'BW TB'!C:C)</f>
        <v/>
      </c>
      <c r="P55" s="37">
        <f>SUMIF('BW TB'!$R:$R,'BW P&amp;L'!$A55,'BW TB'!D:D)</f>
        <v/>
      </c>
      <c r="Q55" s="37">
        <f>SUMIF('BW TB'!$R:$R,'BW P&amp;L'!$A55,'BW TB'!E:E)</f>
        <v/>
      </c>
      <c r="R55" s="37">
        <f>SUMIF('BW TB'!$R:$R,'BW P&amp;L'!$A55,'BW TB'!F:F)</f>
        <v/>
      </c>
      <c r="S55" s="37">
        <f>SUMIF('BW TB'!$R:$R,'BW P&amp;L'!$A55,'BW TB'!G:G)</f>
        <v/>
      </c>
      <c r="T55" s="37">
        <f>SUMIF('BW TB'!$R:$R,'BW P&amp;L'!$A55,'BW TB'!H:H)</f>
        <v/>
      </c>
      <c r="U55" s="37">
        <f>SUMIF('BW TB'!$R:$R,'BW P&amp;L'!$A55,'BW TB'!I:I)</f>
        <v/>
      </c>
      <c r="V55" s="38" t="n">
        <v>0</v>
      </c>
      <c r="W55" s="38" t="n">
        <v>0</v>
      </c>
      <c r="X55" s="38" t="n">
        <v>0</v>
      </c>
      <c r="Y55" s="38" t="n">
        <v>0</v>
      </c>
      <c r="Z55" s="38" t="n">
        <v>0</v>
      </c>
      <c r="AA55" s="36">
        <f>SUM(O55:U55)</f>
        <v/>
      </c>
      <c r="AB55" s="36">
        <f>SUM(O55:Z55)</f>
        <v/>
      </c>
      <c r="AC55" s="38" t="n">
        <v>0</v>
      </c>
      <c r="AD55" s="38" t="n">
        <v>0</v>
      </c>
      <c r="AE55" s="38" t="n">
        <v>0</v>
      </c>
      <c r="AF55" s="38" t="n">
        <v>0</v>
      </c>
      <c r="AG55" s="38" t="n">
        <v>0</v>
      </c>
      <c r="AH55" s="38" t="n">
        <v>0</v>
      </c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SUMIF('BW TB'!$R:$R,'BW P&amp;L'!$A56,'BW TB'!C:C)</f>
        <v/>
      </c>
      <c r="P56" s="37">
        <f>SUMIF('BW TB'!$R:$R,'BW P&amp;L'!$A56,'BW TB'!D:D)</f>
        <v/>
      </c>
      <c r="Q56" s="37">
        <f>SUMIF('BW TB'!$R:$R,'BW P&amp;L'!$A56,'BW TB'!E:E)</f>
        <v/>
      </c>
      <c r="R56" s="37">
        <f>SUMIF('BW TB'!$R:$R,'BW P&amp;L'!$A56,'BW TB'!F:F)</f>
        <v/>
      </c>
      <c r="S56" s="37">
        <f>SUMIF('BW TB'!$R:$R,'BW P&amp;L'!$A56,'BW TB'!G:G)</f>
        <v/>
      </c>
      <c r="T56" s="37">
        <f>SUMIF('BW TB'!$R:$R,'BW P&amp;L'!$A56,'BW TB'!H:H)</f>
        <v/>
      </c>
      <c r="U56" s="37">
        <f>SUMIF('BW TB'!$R:$R,'BW P&amp;L'!$A56,'BW TB'!I:I)</f>
        <v/>
      </c>
      <c r="V56" s="38" t="n">
        <v>0</v>
      </c>
      <c r="W56" s="38" t="n">
        <v>0</v>
      </c>
      <c r="X56" s="38" t="n">
        <v>0</v>
      </c>
      <c r="Y56" s="38" t="n">
        <v>0</v>
      </c>
      <c r="Z56" s="38" t="n">
        <v>0</v>
      </c>
      <c r="AA56" s="36">
        <f>SUM(O56:U56)</f>
        <v/>
      </c>
      <c r="AB56" s="36">
        <f>SUM(O56:Z56)</f>
        <v/>
      </c>
      <c r="AC56" s="38" t="n">
        <v>0</v>
      </c>
      <c r="AD56" s="38" t="n">
        <v>0</v>
      </c>
      <c r="AE56" s="38" t="n">
        <v>0</v>
      </c>
      <c r="AF56" s="38" t="n">
        <v>0</v>
      </c>
      <c r="AG56" s="38" t="n">
        <v>0</v>
      </c>
      <c r="AH56" s="38" t="n">
        <v>0</v>
      </c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310</v>
      </c>
      <c r="M57" s="35" t="n">
        <v>0</v>
      </c>
      <c r="N57" s="36">
        <f>SUM(B57:M57)</f>
        <v/>
      </c>
      <c r="O57" s="37">
        <f>SUMIF('BW TB'!$R:$R,'BW P&amp;L'!$A57,'BW TB'!C:C)</f>
        <v/>
      </c>
      <c r="P57" s="37">
        <f>SUMIF('BW TB'!$R:$R,'BW P&amp;L'!$A57,'BW TB'!D:D)</f>
        <v/>
      </c>
      <c r="Q57" s="37">
        <f>SUMIF('BW TB'!$R:$R,'BW P&amp;L'!$A57,'BW TB'!E:E)</f>
        <v/>
      </c>
      <c r="R57" s="37">
        <f>SUMIF('BW TB'!$R:$R,'BW P&amp;L'!$A57,'BW TB'!F:F)</f>
        <v/>
      </c>
      <c r="S57" s="37">
        <f>SUMIF('BW TB'!$R:$R,'BW P&amp;L'!$A57,'BW TB'!G:G)</f>
        <v/>
      </c>
      <c r="T57" s="37">
        <f>SUMIF('BW TB'!$R:$R,'BW P&amp;L'!$A57,'BW TB'!H:H)</f>
        <v/>
      </c>
      <c r="U57" s="37">
        <f>SUMIF('BW TB'!$R:$R,'BW P&amp;L'!$A57,'BW TB'!I:I)</f>
        <v/>
      </c>
      <c r="V57" s="38" t="n">
        <v>0</v>
      </c>
      <c r="W57" s="38" t="n">
        <v>0</v>
      </c>
      <c r="X57" s="38" t="n">
        <v>0</v>
      </c>
      <c r="Y57" s="38" t="n">
        <v>0</v>
      </c>
      <c r="Z57" s="38">
        <f>36*30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SUMIF('BW TB'!$R:$R,'BW P&amp;L'!$A58,'BW TB'!C:C)</f>
        <v/>
      </c>
      <c r="P58" s="37">
        <f>SUMIF('BW TB'!$R:$R,'BW P&amp;L'!$A58,'BW TB'!D:D)</f>
        <v/>
      </c>
      <c r="Q58" s="37">
        <f>SUMIF('BW TB'!$R:$R,'BW P&amp;L'!$A58,'BW TB'!E:E)</f>
        <v/>
      </c>
      <c r="R58" s="37">
        <f>SUMIF('BW TB'!$R:$R,'BW P&amp;L'!$A58,'BW TB'!F:F)</f>
        <v/>
      </c>
      <c r="S58" s="37">
        <f>SUMIF('BW TB'!$R:$R,'BW P&amp;L'!$A58,'BW TB'!G:G)</f>
        <v/>
      </c>
      <c r="T58" s="37">
        <f>SUMIF('BW TB'!$R:$R,'BW P&amp;L'!$A58,'BW TB'!H:H)</f>
        <v/>
      </c>
      <c r="U58" s="37">
        <f>SUMIF('BW TB'!$R:$R,'BW P&amp;L'!$A58,'BW TB'!I:I)</f>
        <v/>
      </c>
      <c r="V58" s="38" t="n">
        <v>0</v>
      </c>
      <c r="W58" s="38" t="n">
        <v>0</v>
      </c>
      <c r="X58" s="38" t="n">
        <v>0</v>
      </c>
      <c r="Y58" s="38" t="n">
        <v>0</v>
      </c>
      <c r="Z58" s="38" t="n">
        <v>0</v>
      </c>
      <c r="AA58" s="36">
        <f>SUM(O58:U58)</f>
        <v/>
      </c>
      <c r="AB58" s="36">
        <f>SUM(O58:Z58)</f>
        <v/>
      </c>
      <c r="AC58" s="38" t="n">
        <v>0</v>
      </c>
      <c r="AD58" s="38" t="n">
        <v>0</v>
      </c>
      <c r="AE58" s="38" t="n">
        <v>0</v>
      </c>
      <c r="AF58" s="38" t="n">
        <v>0</v>
      </c>
      <c r="AG58" s="38" t="n">
        <v>0</v>
      </c>
      <c r="AH58" s="38" t="n">
        <v>0</v>
      </c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296.28</v>
      </c>
      <c r="N59" s="36">
        <f>SUM(B59:M59)</f>
        <v/>
      </c>
      <c r="O59" s="37">
        <f>SUMIF('BW TB'!$R:$R,'BW P&amp;L'!$A59,'BW TB'!C:C)</f>
        <v/>
      </c>
      <c r="P59" s="37">
        <f>SUMIF('BW TB'!$R:$R,'BW P&amp;L'!$A59,'BW TB'!D:D)</f>
        <v/>
      </c>
      <c r="Q59" s="37">
        <f>SUMIF('BW TB'!$R:$R,'BW P&amp;L'!$A59,'BW TB'!E:E)</f>
        <v/>
      </c>
      <c r="R59" s="37">
        <f>SUMIF('BW TB'!$R:$R,'BW P&amp;L'!$A59,'BW TB'!F:F)</f>
        <v/>
      </c>
      <c r="S59" s="37">
        <f>SUMIF('BW TB'!$R:$R,'BW P&amp;L'!$A59,'BW TB'!G:G)</f>
        <v/>
      </c>
      <c r="T59" s="37">
        <f>SUMIF('BW TB'!$R:$R,'BW P&amp;L'!$A59,'BW TB'!H:H)</f>
        <v/>
      </c>
      <c r="U59" s="37">
        <f>SUMIF('BW TB'!$R:$R,'BW P&amp;L'!$A59,'BW TB'!I:I)</f>
        <v/>
      </c>
      <c r="V59" s="38" t="n">
        <v>214.8</v>
      </c>
      <c r="W59" s="38" t="n">
        <v>214.8</v>
      </c>
      <c r="X59" s="38" t="n">
        <v>214.8</v>
      </c>
      <c r="Y59" s="38" t="n">
        <v>214.8</v>
      </c>
      <c r="Z59" s="38" t="n">
        <v>214.8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8.399999999999999</v>
      </c>
      <c r="C60" s="35" t="n">
        <v>8.399999999999999</v>
      </c>
      <c r="D60" s="35" t="n">
        <v>8.4</v>
      </c>
      <c r="E60" s="35" t="n">
        <v>7.2</v>
      </c>
      <c r="F60" s="35" t="n">
        <v>7.2</v>
      </c>
      <c r="G60" s="35" t="n">
        <v>7.799999999999999</v>
      </c>
      <c r="H60" s="35" t="n">
        <v>9</v>
      </c>
      <c r="I60" s="35" t="n">
        <v>7.800000000000001</v>
      </c>
      <c r="J60" s="35" t="n">
        <v>5.4</v>
      </c>
      <c r="K60" s="35" t="n">
        <v>73</v>
      </c>
      <c r="L60" s="35" t="n">
        <v>4.2</v>
      </c>
      <c r="M60" s="35" t="n">
        <v>4.2</v>
      </c>
      <c r="N60" s="36">
        <f>SUM(B60:M60)</f>
        <v/>
      </c>
      <c r="O60" s="37">
        <f>SUMIF('BW TB'!$R:$R,'BW P&amp;L'!$A60,'BW TB'!C:C)</f>
        <v/>
      </c>
      <c r="P60" s="37">
        <f>SUMIF('BW TB'!$R:$R,'BW P&amp;L'!$A60,'BW TB'!D:D)</f>
        <v/>
      </c>
      <c r="Q60" s="37">
        <f>SUMIF('BW TB'!$R:$R,'BW P&amp;L'!$A60,'BW TB'!E:E)</f>
        <v/>
      </c>
      <c r="R60" s="37">
        <f>SUMIF('BW TB'!$R:$R,'BW P&amp;L'!$A60,'BW TB'!F:F)</f>
        <v/>
      </c>
      <c r="S60" s="37">
        <f>SUMIF('BW TB'!$R:$R,'BW P&amp;L'!$A60,'BW TB'!G:G)</f>
        <v/>
      </c>
      <c r="T60" s="37">
        <f>SUMIF('BW TB'!$R:$R,'BW P&amp;L'!$A60,'BW TB'!H:H)</f>
        <v/>
      </c>
      <c r="U60" s="37">
        <f>SUMIF('BW TB'!$R:$R,'BW P&amp;L'!$A60,'BW TB'!I:I)</f>
        <v/>
      </c>
      <c r="V60" s="38" t="n">
        <v>3.6</v>
      </c>
      <c r="W60" s="38" t="n">
        <v>3.6</v>
      </c>
      <c r="X60" s="38" t="n">
        <v>3.6</v>
      </c>
      <c r="Y60" s="38" t="n">
        <v>3.6</v>
      </c>
      <c r="Z60" s="38" t="n">
        <v>3.6</v>
      </c>
      <c r="AA60" s="36">
        <f>SUM(O60:U60)</f>
        <v/>
      </c>
      <c r="AB60" s="36">
        <f>SUM(O60:Z60)</f>
        <v/>
      </c>
      <c r="AC60" s="38" t="n">
        <v>3.6</v>
      </c>
      <c r="AD60" s="38" t="n">
        <v>3.6</v>
      </c>
      <c r="AE60" s="38" t="n">
        <v>3.6</v>
      </c>
      <c r="AF60" s="38" t="n">
        <v>3.6</v>
      </c>
      <c r="AG60" s="38" t="n">
        <v>3.6</v>
      </c>
      <c r="AH60" s="38" t="n">
        <v>3.6</v>
      </c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20.17</v>
      </c>
      <c r="C61" s="35" t="n">
        <v>52.95</v>
      </c>
      <c r="D61" s="35" t="n">
        <v>830.5</v>
      </c>
      <c r="E61" s="35" t="n">
        <v>0</v>
      </c>
      <c r="F61" s="35" t="n">
        <v>98.28</v>
      </c>
      <c r="G61" s="35" t="n">
        <v>571.5899999999999</v>
      </c>
      <c r="H61" s="35" t="n">
        <v>155.06</v>
      </c>
      <c r="I61" s="35" t="n">
        <v>54.99</v>
      </c>
      <c r="J61" s="35" t="n">
        <v>0</v>
      </c>
      <c r="K61" s="35" t="n">
        <v>51.66</v>
      </c>
      <c r="L61" s="35" t="n">
        <v>133.75</v>
      </c>
      <c r="M61" s="35" t="n">
        <v>0</v>
      </c>
      <c r="N61" s="36">
        <f>SUM(B61:M61)</f>
        <v/>
      </c>
      <c r="O61" s="37">
        <f>SUMIF('BW TB'!$R:$R,'BW P&amp;L'!$A61,'BW TB'!C:C)</f>
        <v/>
      </c>
      <c r="P61" s="37">
        <f>SUMIF('BW TB'!$R:$R,'BW P&amp;L'!$A61,'BW TB'!D:D)</f>
        <v/>
      </c>
      <c r="Q61" s="37">
        <f>SUMIF('BW TB'!$R:$R,'BW P&amp;L'!$A61,'BW TB'!E:E)</f>
        <v/>
      </c>
      <c r="R61" s="37">
        <f>SUMIF('BW TB'!$R:$R,'BW P&amp;L'!$A61,'BW TB'!F:F)</f>
        <v/>
      </c>
      <c r="S61" s="37">
        <f>SUMIF('BW TB'!$R:$R,'BW P&amp;L'!$A61,'BW TB'!G:G)</f>
        <v/>
      </c>
      <c r="T61" s="37">
        <f>SUMIF('BW TB'!$R:$R,'BW P&amp;L'!$A61,'BW TB'!H:H)</f>
        <v/>
      </c>
      <c r="U61" s="37">
        <f>SUMIF('BW TB'!$R:$R,'BW P&amp;L'!$A61,'BW TB'!I:I)</f>
        <v/>
      </c>
      <c r="V61" s="38" t="n">
        <v>0</v>
      </c>
      <c r="W61" s="38" t="n">
        <v>0</v>
      </c>
      <c r="X61" s="38" t="n">
        <v>0</v>
      </c>
      <c r="Y61" s="38" t="n">
        <v>0</v>
      </c>
      <c r="Z61" s="38" t="n">
        <v>0</v>
      </c>
      <c r="AA61" s="36">
        <f>SUM(O61:U61)</f>
        <v/>
      </c>
      <c r="AB61" s="36">
        <f>SUM(O61:Z61)</f>
        <v/>
      </c>
      <c r="AC61" s="38" t="n">
        <v>0</v>
      </c>
      <c r="AD61" s="38" t="n">
        <v>0</v>
      </c>
      <c r="AE61" s="38" t="n">
        <v>0</v>
      </c>
      <c r="AF61" s="38" t="n">
        <v>0</v>
      </c>
      <c r="AG61" s="38" t="n">
        <v>0</v>
      </c>
      <c r="AH61" s="38" t="n">
        <v>0</v>
      </c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25</v>
      </c>
      <c r="C62" s="35" t="n">
        <v>139</v>
      </c>
      <c r="D62" s="35" t="n">
        <v>186</v>
      </c>
      <c r="E62" s="35" t="n">
        <v>100</v>
      </c>
      <c r="F62" s="35" t="n">
        <v>204</v>
      </c>
      <c r="G62" s="35" t="n">
        <v>294</v>
      </c>
      <c r="H62" s="35" t="n">
        <v>397</v>
      </c>
      <c r="I62" s="35" t="n">
        <v>418</v>
      </c>
      <c r="J62" s="35" t="n">
        <v>436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>
        <f>SUMIF('BW TB'!$R:$R,'BW P&amp;L'!$A62,'BW TB'!C:C)</f>
        <v/>
      </c>
      <c r="P62" s="37">
        <f>SUMIF('BW TB'!$R:$R,'BW P&amp;L'!$A62,'BW TB'!D:D)</f>
        <v/>
      </c>
      <c r="Q62" s="37">
        <f>SUMIF('BW TB'!$R:$R,'BW P&amp;L'!$A62,'BW TB'!E:E)</f>
        <v/>
      </c>
      <c r="R62" s="37">
        <f>SUMIF('BW TB'!$R:$R,'BW P&amp;L'!$A62,'BW TB'!F:F)</f>
        <v/>
      </c>
      <c r="S62" s="37">
        <f>SUMIF('BW TB'!$R:$R,'BW P&amp;L'!$A62,'BW TB'!G:G)</f>
        <v/>
      </c>
      <c r="T62" s="37">
        <f>SUMIF('BW TB'!$R:$R,'BW P&amp;L'!$A62,'BW TB'!H:H)</f>
        <v/>
      </c>
      <c r="U62" s="37">
        <f>SUMIF('BW TB'!$R:$R,'BW P&amp;L'!$A62,'BW TB'!I:I)</f>
        <v/>
      </c>
      <c r="V62" s="38" t="n">
        <v>0</v>
      </c>
      <c r="W62" s="38" t="n">
        <v>0</v>
      </c>
      <c r="X62" s="38" t="n">
        <v>0</v>
      </c>
      <c r="Y62" s="38" t="n">
        <v>0</v>
      </c>
      <c r="Z62" s="38" t="n">
        <v>0</v>
      </c>
      <c r="AA62" s="36">
        <f>SUM(O62:U62)</f>
        <v/>
      </c>
      <c r="AB62" s="36">
        <f>SUM(O62:Z62)</f>
        <v/>
      </c>
      <c r="AC62" s="38" t="n">
        <v>0</v>
      </c>
      <c r="AD62" s="38" t="n">
        <v>0</v>
      </c>
      <c r="AE62" s="38" t="n">
        <v>0</v>
      </c>
      <c r="AF62" s="38" t="n">
        <v>0</v>
      </c>
      <c r="AG62" s="38" t="n">
        <v>0</v>
      </c>
      <c r="AH62" s="38" t="n">
        <v>0</v>
      </c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SUMIF('BW TB'!$R:$R,'BW P&amp;L'!$A63,'BW TB'!C:C)</f>
        <v/>
      </c>
      <c r="P63" s="37">
        <f>SUMIF('BW TB'!$R:$R,'BW P&amp;L'!$A63,'BW TB'!D:D)</f>
        <v/>
      </c>
      <c r="Q63" s="37">
        <f>SUMIF('BW TB'!$R:$R,'BW P&amp;L'!$A63,'BW TB'!E:E)</f>
        <v/>
      </c>
      <c r="R63" s="37">
        <f>SUMIF('BW TB'!$R:$R,'BW P&amp;L'!$A63,'BW TB'!F:F)</f>
        <v/>
      </c>
      <c r="S63" s="37">
        <f>SUMIF('BW TB'!$R:$R,'BW P&amp;L'!$A63,'BW TB'!G:G)</f>
        <v/>
      </c>
      <c r="T63" s="37">
        <f>SUMIF('BW TB'!$R:$R,'BW P&amp;L'!$A63,'BW TB'!H:H)</f>
        <v/>
      </c>
      <c r="U63" s="37">
        <f>SUMIF('BW TB'!$R:$R,'BW P&amp;L'!$A63,'BW TB'!I:I)</f>
        <v/>
      </c>
      <c r="V63" s="38" t="n">
        <v>0</v>
      </c>
      <c r="W63" s="38" t="n">
        <v>0</v>
      </c>
      <c r="X63" s="38" t="n">
        <v>0</v>
      </c>
      <c r="Y63" s="38" t="n">
        <v>0</v>
      </c>
      <c r="Z63" s="38" t="n">
        <v>0</v>
      </c>
      <c r="AA63" s="36">
        <f>SUM(O63:U63)</f>
        <v/>
      </c>
      <c r="AB63" s="36">
        <f>SUM(O63:Z63)</f>
        <v/>
      </c>
      <c r="AC63" s="38" t="n">
        <v>0</v>
      </c>
      <c r="AD63" s="38" t="n">
        <v>0</v>
      </c>
      <c r="AE63" s="38" t="n">
        <v>0</v>
      </c>
      <c r="AF63" s="38" t="n">
        <v>0</v>
      </c>
      <c r="AG63" s="38" t="n">
        <v>0</v>
      </c>
      <c r="AH63" s="38" t="n">
        <v>0</v>
      </c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SUMIF('BW TB'!$R:$R,'BW P&amp;L'!$A64,'BW TB'!C:C)</f>
        <v/>
      </c>
      <c r="P64" s="37">
        <f>SUMIF('BW TB'!$R:$R,'BW P&amp;L'!$A64,'BW TB'!D:D)</f>
        <v/>
      </c>
      <c r="Q64" s="37">
        <f>SUMIF('BW TB'!$R:$R,'BW P&amp;L'!$A64,'BW TB'!E:E)</f>
        <v/>
      </c>
      <c r="R64" s="37">
        <f>SUMIF('BW TB'!$R:$R,'BW P&amp;L'!$A64,'BW TB'!F:F)</f>
        <v/>
      </c>
      <c r="S64" s="37">
        <f>SUMIF('BW TB'!$R:$R,'BW P&amp;L'!$A64,'BW TB'!G:G)</f>
        <v/>
      </c>
      <c r="T64" s="37">
        <f>SUMIF('BW TB'!$R:$R,'BW P&amp;L'!$A64,'BW TB'!H:H)</f>
        <v/>
      </c>
      <c r="U64" s="37">
        <f>SUMIF('BW TB'!$R:$R,'BW P&amp;L'!$A64,'BW TB'!I:I)</f>
        <v/>
      </c>
      <c r="V64" s="38" t="n">
        <v>0</v>
      </c>
      <c r="W64" s="38" t="n">
        <v>0</v>
      </c>
      <c r="X64" s="38" t="n">
        <v>0</v>
      </c>
      <c r="Y64" s="38" t="n">
        <v>0</v>
      </c>
      <c r="Z64" s="38" t="n">
        <v>0</v>
      </c>
      <c r="AA64" s="36">
        <f>SUM(O64:U64)</f>
        <v/>
      </c>
      <c r="AB64" s="36">
        <f>SUM(O64:Z64)</f>
        <v/>
      </c>
      <c r="AC64" s="38" t="n">
        <v>0</v>
      </c>
      <c r="AD64" s="38" t="n">
        <v>0</v>
      </c>
      <c r="AE64" s="38" t="n">
        <v>0</v>
      </c>
      <c r="AF64" s="38" t="n">
        <v>0</v>
      </c>
      <c r="AG64" s="38" t="n">
        <v>0</v>
      </c>
      <c r="AH64" s="38" t="n">
        <v>0</v>
      </c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SUMIF('BW TB'!$R:$R,'BW P&amp;L'!$A65,'BW TB'!C:C)</f>
        <v/>
      </c>
      <c r="P65" s="37">
        <f>SUMIF('BW TB'!$R:$R,'BW P&amp;L'!$A65,'BW TB'!D:D)</f>
        <v/>
      </c>
      <c r="Q65" s="37">
        <f>SUMIF('BW TB'!$R:$R,'BW P&amp;L'!$A65,'BW TB'!E:E)</f>
        <v/>
      </c>
      <c r="R65" s="37">
        <f>SUMIF('BW TB'!$R:$R,'BW P&amp;L'!$A65,'BW TB'!F:F)</f>
        <v/>
      </c>
      <c r="S65" s="37">
        <f>SUMIF('BW TB'!$R:$R,'BW P&amp;L'!$A65,'BW TB'!G:G)</f>
        <v/>
      </c>
      <c r="T65" s="37">
        <f>SUMIF('BW TB'!$R:$R,'BW P&amp;L'!$A65,'BW TB'!H:H)</f>
        <v/>
      </c>
      <c r="U65" s="37">
        <f>SUMIF('BW TB'!$R:$R,'BW P&amp;L'!$A65,'BW TB'!I:I)</f>
        <v/>
      </c>
      <c r="V65" s="38" t="n">
        <v>0</v>
      </c>
      <c r="W65" s="38" t="n">
        <v>0</v>
      </c>
      <c r="X65" s="38" t="n">
        <v>0</v>
      </c>
      <c r="Y65" s="38" t="n">
        <v>0</v>
      </c>
      <c r="Z65" s="38" t="n">
        <v>0</v>
      </c>
      <c r="AA65" s="36">
        <f>SUM(O65:U65)</f>
        <v/>
      </c>
      <c r="AB65" s="36">
        <f>SUM(O65:Z65)</f>
        <v/>
      </c>
      <c r="AC65" s="38" t="n">
        <v>0</v>
      </c>
      <c r="AD65" s="38" t="n">
        <v>0</v>
      </c>
      <c r="AE65" s="38" t="n">
        <v>0</v>
      </c>
      <c r="AF65" s="38" t="n">
        <v>0</v>
      </c>
      <c r="AG65" s="38" t="n">
        <v>0</v>
      </c>
      <c r="AH65" s="38" t="n">
        <v>0</v>
      </c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SUMIF('BW TB'!$R:$R,'BW P&amp;L'!$A66,'BW TB'!C:C)</f>
        <v/>
      </c>
      <c r="P66" s="37">
        <f>SUMIF('BW TB'!$R:$R,'BW P&amp;L'!$A66,'BW TB'!D:D)</f>
        <v/>
      </c>
      <c r="Q66" s="37">
        <f>SUMIF('BW TB'!$R:$R,'BW P&amp;L'!$A66,'BW TB'!E:E)</f>
        <v/>
      </c>
      <c r="R66" s="37">
        <f>SUMIF('BW TB'!$R:$R,'BW P&amp;L'!$A66,'BW TB'!F:F)</f>
        <v/>
      </c>
      <c r="S66" s="37">
        <f>SUMIF('BW TB'!$R:$R,'BW P&amp;L'!$A66,'BW TB'!G:G)</f>
        <v/>
      </c>
      <c r="T66" s="37">
        <f>SUMIF('BW TB'!$R:$R,'BW P&amp;L'!$A66,'BW TB'!H:H)</f>
        <v/>
      </c>
      <c r="U66" s="37">
        <f>SUMIF('BW TB'!$R:$R,'BW P&amp;L'!$A66,'BW TB'!I:I)</f>
        <v/>
      </c>
      <c r="V66" s="38" t="n">
        <v>0</v>
      </c>
      <c r="W66" s="38" t="n">
        <v>0</v>
      </c>
      <c r="X66" s="38" t="n">
        <v>0</v>
      </c>
      <c r="Y66" s="38" t="n">
        <v>0</v>
      </c>
      <c r="Z66" s="38" t="n">
        <v>0</v>
      </c>
      <c r="AA66" s="36">
        <f>SUM(O66:U66)</f>
        <v/>
      </c>
      <c r="AB66" s="36">
        <f>SUM(O66:Z66)</f>
        <v/>
      </c>
      <c r="AC66" s="38" t="n">
        <v>0</v>
      </c>
      <c r="AD66" s="38" t="n">
        <v>0</v>
      </c>
      <c r="AE66" s="38" t="n">
        <v>0</v>
      </c>
      <c r="AF66" s="38" t="n">
        <v>0</v>
      </c>
      <c r="AG66" s="38" t="n">
        <v>0</v>
      </c>
      <c r="AH66" s="38" t="n">
        <v>0</v>
      </c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SUMIF('BW TB'!$R:$R,'BW P&amp;L'!$A67,'BW TB'!C:C)</f>
        <v/>
      </c>
      <c r="P67" s="37">
        <f>SUMIF('BW TB'!$R:$R,'BW P&amp;L'!$A67,'BW TB'!D:D)</f>
        <v/>
      </c>
      <c r="Q67" s="37">
        <f>SUMIF('BW TB'!$R:$R,'BW P&amp;L'!$A67,'BW TB'!E:E)</f>
        <v/>
      </c>
      <c r="R67" s="37">
        <f>SUMIF('BW TB'!$R:$R,'BW P&amp;L'!$A67,'BW TB'!F:F)</f>
        <v/>
      </c>
      <c r="S67" s="37">
        <f>SUMIF('BW TB'!$R:$R,'BW P&amp;L'!$A67,'BW TB'!G:G)</f>
        <v/>
      </c>
      <c r="T67" s="37">
        <f>SUMIF('BW TB'!$R:$R,'BW P&amp;L'!$A67,'BW TB'!H:H)</f>
        <v/>
      </c>
      <c r="U67" s="37">
        <f>SUMIF('BW TB'!$R:$R,'BW P&amp;L'!$A67,'BW TB'!I:I)</f>
        <v/>
      </c>
      <c r="V67" s="38" t="n">
        <v>0</v>
      </c>
      <c r="W67" s="38" t="n">
        <v>0</v>
      </c>
      <c r="X67" s="38" t="n">
        <v>0</v>
      </c>
      <c r="Y67" s="38" t="n">
        <v>0</v>
      </c>
      <c r="Z67" s="38" t="n">
        <v>0</v>
      </c>
      <c r="AA67" s="36">
        <f>SUM(O67:U67)</f>
        <v/>
      </c>
      <c r="AB67" s="36">
        <f>SUM(O67:Z67)</f>
        <v/>
      </c>
      <c r="AC67" s="38" t="n">
        <v>0</v>
      </c>
      <c r="AD67" s="38" t="n">
        <v>0</v>
      </c>
      <c r="AE67" s="38" t="n">
        <v>0</v>
      </c>
      <c r="AF67" s="38" t="n">
        <v>0</v>
      </c>
      <c r="AG67" s="38" t="n">
        <v>0</v>
      </c>
      <c r="AH67" s="38" t="n">
        <v>0</v>
      </c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SUMIF('BW TB'!$R:$R,'BW P&amp;L'!$A68,'BW TB'!C:C)</f>
        <v/>
      </c>
      <c r="P68" s="37">
        <f>SUMIF('BW TB'!$R:$R,'BW P&amp;L'!$A68,'BW TB'!D:D)</f>
        <v/>
      </c>
      <c r="Q68" s="37">
        <f>SUMIF('BW TB'!$R:$R,'BW P&amp;L'!$A68,'BW TB'!E:E)</f>
        <v/>
      </c>
      <c r="R68" s="37">
        <f>SUMIF('BW TB'!$R:$R,'BW P&amp;L'!$A68,'BW TB'!F:F)</f>
        <v/>
      </c>
      <c r="S68" s="37">
        <f>SUMIF('BW TB'!$R:$R,'BW P&amp;L'!$A68,'BW TB'!G:G)</f>
        <v/>
      </c>
      <c r="T68" s="37">
        <f>SUMIF('BW TB'!$R:$R,'BW P&amp;L'!$A68,'BW TB'!H:H)</f>
        <v/>
      </c>
      <c r="U68" s="37">
        <f>SUMIF('BW TB'!$R:$R,'BW P&amp;L'!$A68,'BW TB'!I:I)</f>
        <v/>
      </c>
      <c r="V68" s="38" t="n">
        <v>0</v>
      </c>
      <c r="W68" s="38" t="n">
        <v>0</v>
      </c>
      <c r="X68" s="38" t="n">
        <v>0</v>
      </c>
      <c r="Y68" s="38" t="n">
        <v>0</v>
      </c>
      <c r="Z68" s="38" t="n">
        <v>0</v>
      </c>
      <c r="AA68" s="36">
        <f>SUM(O68:U68)</f>
        <v/>
      </c>
      <c r="AB68" s="36">
        <f>SUM(O68:Z68)</f>
        <v/>
      </c>
      <c r="AC68" s="38" t="n">
        <v>0</v>
      </c>
      <c r="AD68" s="38" t="n">
        <v>0</v>
      </c>
      <c r="AE68" s="38" t="n">
        <v>0</v>
      </c>
      <c r="AF68" s="38" t="n">
        <v>0</v>
      </c>
      <c r="AG68" s="38" t="n">
        <v>0</v>
      </c>
      <c r="AH68" s="38" t="n">
        <v>0</v>
      </c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254.95</v>
      </c>
      <c r="C69" s="42" t="n">
        <v>401.73</v>
      </c>
      <c r="D69" s="42" t="n">
        <v>1226.28</v>
      </c>
      <c r="E69" s="42" t="n">
        <v>308.58</v>
      </c>
      <c r="F69" s="42" t="n">
        <v>510.86</v>
      </c>
      <c r="G69" s="42" t="n">
        <v>1074.77</v>
      </c>
      <c r="H69" s="42" t="n">
        <v>762.4400000000001</v>
      </c>
      <c r="I69" s="42" t="n">
        <v>682.1700000000001</v>
      </c>
      <c r="J69" s="42" t="n">
        <v>642.78</v>
      </c>
      <c r="K69" s="42" t="n">
        <v>339.46</v>
      </c>
      <c r="L69" s="42" t="n">
        <v>662.75</v>
      </c>
      <c r="M69" s="42" t="n">
        <v>300.48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63418.50999999999</v>
      </c>
      <c r="C70" s="55" t="n">
        <v>87711.48999999998</v>
      </c>
      <c r="D70" s="55" t="n">
        <v>106484.03</v>
      </c>
      <c r="E70" s="55" t="n">
        <v>71447.29999999997</v>
      </c>
      <c r="F70" s="55" t="n">
        <v>44727.52</v>
      </c>
      <c r="G70" s="55" t="n">
        <v>78507.36000000002</v>
      </c>
      <c r="H70" s="55" t="n">
        <v>108742.96</v>
      </c>
      <c r="I70" s="55" t="n">
        <v>28726.59999999998</v>
      </c>
      <c r="J70" s="55" t="n">
        <v>22810.30999999998</v>
      </c>
      <c r="K70" s="55" t="n">
        <v>34761.19</v>
      </c>
      <c r="L70" s="55" t="n">
        <v>88791.55</v>
      </c>
      <c r="M70" s="55" t="n">
        <v>130830.66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56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2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60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56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22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60">
        <f>SUM(B73:M73)</f>
        <v/>
      </c>
      <c r="O73" s="8" t="n"/>
      <c r="P73" s="8" t="n"/>
      <c r="Q73" s="8" t="n"/>
      <c r="R73" s="8" t="n"/>
      <c r="S73" s="8" t="n"/>
      <c r="T73" s="8" t="n"/>
      <c r="U73" s="8" t="n"/>
      <c r="V73" s="20" t="n"/>
      <c r="W73" s="20" t="n"/>
      <c r="X73" s="20" t="n"/>
      <c r="Y73" s="20" t="n"/>
      <c r="Z73" s="20" t="n"/>
      <c r="AA73" s="56">
        <f>SUM(O73:T73)</f>
        <v/>
      </c>
      <c r="AB73" s="56" t="n"/>
      <c r="AC73" s="20" t="n"/>
      <c r="AD73" s="20" t="n"/>
      <c r="AE73" s="20" t="n"/>
      <c r="AF73" s="20" t="n"/>
      <c r="AG73" s="20" t="n"/>
      <c r="AH73" s="20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60">
        <f>SUM(B74:M74)</f>
        <v/>
      </c>
      <c r="O74" s="8" t="n"/>
      <c r="P74" s="8" t="n"/>
      <c r="Q74" s="8" t="n"/>
      <c r="R74" s="8" t="n"/>
      <c r="S74" s="8" t="n"/>
      <c r="T74" s="8" t="n"/>
      <c r="U74" s="8" t="n"/>
      <c r="V74" s="20" t="n"/>
      <c r="W74" s="20" t="n"/>
      <c r="X74" s="20" t="n"/>
      <c r="Y74" s="20" t="n"/>
      <c r="Z74" s="20" t="n"/>
      <c r="AA74" s="60">
        <f>SUM(O74:T74)</f>
        <v/>
      </c>
      <c r="AB74" s="8" t="n"/>
      <c r="AC74" s="20" t="n"/>
      <c r="AD74" s="20" t="n"/>
      <c r="AE74" s="20" t="n"/>
      <c r="AF74" s="20" t="n"/>
      <c r="AG74" s="20" t="n"/>
      <c r="AH74" s="20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60">
        <f>SUM(B75:M75)</f>
        <v/>
      </c>
      <c r="O75" s="8" t="n"/>
      <c r="P75" s="8" t="n"/>
      <c r="Q75" s="8" t="n"/>
      <c r="R75" s="8" t="n"/>
      <c r="S75" s="8" t="n"/>
      <c r="T75" s="8" t="n"/>
      <c r="U75" s="8" t="n"/>
      <c r="V75" s="20" t="n"/>
      <c r="W75" s="20" t="n"/>
      <c r="X75" s="20" t="n"/>
      <c r="Y75" s="20" t="n"/>
      <c r="Z75" s="20" t="n"/>
      <c r="AA75" s="60">
        <f>SUM(O75:T75)</f>
        <v/>
      </c>
      <c r="AB75" s="8" t="n"/>
      <c r="AC75" s="20" t="n"/>
      <c r="AD75" s="20" t="n"/>
      <c r="AE75" s="20" t="n"/>
      <c r="AF75" s="20" t="n"/>
      <c r="AG75" s="20" t="n"/>
      <c r="AH75" s="20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8" t="n"/>
      <c r="AP75" s="8" t="n"/>
    </row>
    <row r="76">
      <c r="A76" s="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60">
        <f>SUM(B76:M76)</f>
        <v/>
      </c>
      <c r="O76" s="8" t="n"/>
      <c r="P76" s="8" t="n"/>
      <c r="Q76" s="8" t="n"/>
      <c r="R76" s="8" t="n"/>
      <c r="S76" s="8" t="n"/>
      <c r="T76" s="8" t="n"/>
      <c r="U76" s="8" t="n"/>
      <c r="V76" s="20" t="n"/>
      <c r="W76" s="20" t="n"/>
      <c r="X76" s="20" t="n"/>
      <c r="Y76" s="20" t="n"/>
      <c r="Z76" s="20" t="n"/>
      <c r="AA76" s="60">
        <f>SUM(O76:T76)</f>
        <v/>
      </c>
      <c r="AB76" s="8" t="n"/>
      <c r="AC76" s="20" t="n"/>
      <c r="AD76" s="20" t="n"/>
      <c r="AE76" s="20" t="n"/>
      <c r="AF76" s="20" t="n"/>
      <c r="AG76" s="20" t="n"/>
      <c r="AH76" s="20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>
      <c r="A77" s="22" t="inlineStr">
        <is>
          <t>Memo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8" t="n"/>
      <c r="N77" s="60">
        <f>SUM(B77:M77)</f>
        <v/>
      </c>
      <c r="O77" s="8" t="n"/>
      <c r="P77" s="8" t="n"/>
      <c r="Q77" s="8" t="n"/>
      <c r="R77" s="8" t="n"/>
      <c r="S77" s="8" t="n"/>
      <c r="T77" s="8" t="n"/>
      <c r="U77" s="8" t="n"/>
      <c r="V77" s="20" t="n"/>
      <c r="W77" s="20" t="n"/>
      <c r="X77" s="20" t="n"/>
      <c r="Y77" s="20" t="n"/>
      <c r="Z77" s="20" t="n"/>
      <c r="AA77" s="60">
        <f>SUM(O77:T77)</f>
        <v/>
      </c>
      <c r="AB77" s="8" t="n"/>
      <c r="AC77" s="20" t="n"/>
      <c r="AD77" s="20" t="n"/>
      <c r="AE77" s="20" t="n"/>
      <c r="AF77" s="20" t="n"/>
      <c r="AG77" s="20" t="n"/>
      <c r="AH77" s="20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>
      <c r="A78" s="34" t="inlineStr">
        <is>
          <t>Direct - Sales</t>
        </is>
      </c>
      <c r="B78" s="18" t="n">
        <v>155941.97</v>
      </c>
      <c r="C78" s="18" t="n">
        <v>173728.48</v>
      </c>
      <c r="D78" s="18" t="n">
        <v>194997.36</v>
      </c>
      <c r="E78" s="18" t="n">
        <v>168214.38</v>
      </c>
      <c r="F78" s="18" t="n">
        <v>143501.53</v>
      </c>
      <c r="G78" s="18" t="n">
        <v>175947.34</v>
      </c>
      <c r="H78" s="18" t="n">
        <v>212604.21</v>
      </c>
      <c r="I78" s="18" t="n">
        <v>132363.71</v>
      </c>
      <c r="J78" s="18" t="n">
        <v>132647.3</v>
      </c>
      <c r="K78" s="18" t="n">
        <v>130078.69</v>
      </c>
      <c r="L78" s="18" t="n">
        <v>182735.51</v>
      </c>
      <c r="M78" s="18" t="n">
        <v>221228.69</v>
      </c>
      <c r="N78" s="60">
        <f>SUM(B78:M78)</f>
        <v/>
      </c>
      <c r="O78" s="60">
        <f>-SUMIF('BW TB'!$T:$T,'BW P&amp;L'!$A78,'BW TB'!C:C)</f>
        <v/>
      </c>
      <c r="P78" s="60">
        <f>-SUMIF('BW TB'!$T:$T,'BW P&amp;L'!$A78,'BW TB'!D:D)</f>
        <v/>
      </c>
      <c r="Q78" s="60">
        <f>-SUMIF('BW TB'!$T:$T,'BW P&amp;L'!$A78,'BW TB'!E:E)</f>
        <v/>
      </c>
      <c r="R78" s="60">
        <f>-SUMIF('BW TB'!$T:$T,'BW P&amp;L'!$A78,'BW TB'!F:F)</f>
        <v/>
      </c>
      <c r="S78" s="60">
        <f>-SUMIF('BW TB'!$T:$T,'BW P&amp;L'!$A78,'BW TB'!G:G)</f>
        <v/>
      </c>
      <c r="T78" s="60">
        <f>-SUMIF('BW TB'!$T:$T,'BW P&amp;L'!$A78,'BW TB'!H:H)</f>
        <v/>
      </c>
      <c r="U78" s="60">
        <f>-SUMIF('BW TB'!$T:$T,'BW P&amp;L'!$A78,'BW TB'!I:I)</f>
        <v/>
      </c>
      <c r="V78" s="20" t="n"/>
      <c r="W78" s="20" t="n"/>
      <c r="X78" s="20" t="n"/>
      <c r="Y78" s="20" t="n"/>
      <c r="Z78" s="20" t="n"/>
      <c r="AA78" s="60">
        <f>SUM(O78:T78)</f>
        <v/>
      </c>
      <c r="AB78" s="8" t="n"/>
      <c r="AC78" s="20" t="n"/>
      <c r="AD78" s="20" t="n"/>
      <c r="AE78" s="20" t="n"/>
      <c r="AF78" s="20" t="n"/>
      <c r="AG78" s="20" t="n"/>
      <c r="AH78" s="20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34" t="inlineStr">
        <is>
          <t>Direct - Staff Cost</t>
        </is>
      </c>
      <c r="B79" s="18" t="n">
        <v>-75514.88</v>
      </c>
      <c r="C79" s="18" t="n">
        <v>-66664.72000000002</v>
      </c>
      <c r="D79" s="18" t="n">
        <v>-67362.42</v>
      </c>
      <c r="E79" s="18" t="n">
        <v>-75839.88</v>
      </c>
      <c r="F79" s="18" t="n">
        <v>-81613.95</v>
      </c>
      <c r="G79" s="18" t="n">
        <v>-76925.33</v>
      </c>
      <c r="H79" s="18" t="n">
        <v>-84429.41</v>
      </c>
      <c r="I79" s="18" t="n">
        <v>-81352.47000000002</v>
      </c>
      <c r="J79" s="18" t="n">
        <v>-92076.14999999999</v>
      </c>
      <c r="K79" s="18" t="n">
        <v>-78664.33000000002</v>
      </c>
      <c r="L79" s="18" t="n">
        <v>-75195.24000000001</v>
      </c>
      <c r="M79" s="18" t="n">
        <v>-73304.81</v>
      </c>
      <c r="N79" s="60">
        <f>SUM(B79:M79)</f>
        <v/>
      </c>
      <c r="O79" s="60">
        <f>-SUMIF('BW TB'!$T:$T,'BW P&amp;L'!$A79,'BW TB'!C:C)</f>
        <v/>
      </c>
      <c r="P79" s="60">
        <f>-SUMIF('BW TB'!$T:$T,'BW P&amp;L'!$A79,'BW TB'!D:D)</f>
        <v/>
      </c>
      <c r="Q79" s="60">
        <f>-SUMIF('BW TB'!$T:$T,'BW P&amp;L'!$A79,'BW TB'!E:E)</f>
        <v/>
      </c>
      <c r="R79" s="60">
        <f>-SUMIF('BW TB'!$T:$T,'BW P&amp;L'!$A79,'BW TB'!F:F)</f>
        <v/>
      </c>
      <c r="S79" s="60">
        <f>-SUMIF('BW TB'!$T:$T,'BW P&amp;L'!$A79,'BW TB'!G:G)</f>
        <v/>
      </c>
      <c r="T79" s="60">
        <f>-SUMIF('BW TB'!$T:$T,'BW P&amp;L'!$A79,'BW TB'!H:H)</f>
        <v/>
      </c>
      <c r="U79" s="60">
        <f>-SUMIF('BW TB'!$T:$T,'BW P&amp;L'!$A79,'BW TB'!I:I)</f>
        <v/>
      </c>
      <c r="V79" s="20" t="n"/>
      <c r="W79" s="20" t="n"/>
      <c r="X79" s="20" t="n"/>
      <c r="Y79" s="20" t="n"/>
      <c r="Z79" s="20" t="n"/>
      <c r="AA79" s="60">
        <f>SUM(O79:T79)</f>
        <v/>
      </c>
      <c r="AB79" s="8" t="n"/>
      <c r="AC79" s="20" t="n"/>
      <c r="AD79" s="20" t="n"/>
      <c r="AE79" s="20" t="n"/>
      <c r="AF79" s="20" t="n"/>
      <c r="AG79" s="20" t="n"/>
      <c r="AH79" s="20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>
      <c r="A80" s="60" t="inlineStr">
        <is>
          <t>Direct - Childcare Cost</t>
        </is>
      </c>
      <c r="B80" s="18" t="n">
        <v>-5324.83</v>
      </c>
      <c r="C80" s="18" t="n">
        <v>-7553.1</v>
      </c>
      <c r="D80" s="18" t="n">
        <v>-7044.840000000001</v>
      </c>
      <c r="E80" s="18" t="n">
        <v>-5409.81</v>
      </c>
      <c r="F80" s="18" t="n">
        <v>-7247.970000000001</v>
      </c>
      <c r="G80" s="18" t="n">
        <v>-8417.360000000001</v>
      </c>
      <c r="H80" s="18" t="n">
        <v>-6021.450000000002</v>
      </c>
      <c r="I80" s="18" t="n">
        <v>-5480.23</v>
      </c>
      <c r="J80" s="18" t="n">
        <v>-5104.349999999999</v>
      </c>
      <c r="K80" s="18" t="n">
        <v>-6636.539999999999</v>
      </c>
      <c r="L80" s="18" t="n">
        <v>-6638.48</v>
      </c>
      <c r="M80" s="18" t="n">
        <v>-5207.200000000001</v>
      </c>
      <c r="N80" s="60">
        <f>SUM(B80:M80)</f>
        <v/>
      </c>
      <c r="O80" s="60">
        <f>-SUMIF('BW TB'!$T:$T,'BW P&amp;L'!$A80,'BW TB'!C:C)</f>
        <v/>
      </c>
      <c r="P80" s="60">
        <f>-SUMIF('BW TB'!$T:$T,'BW P&amp;L'!$A80,'BW TB'!D:D)</f>
        <v/>
      </c>
      <c r="Q80" s="60">
        <f>-SUMIF('BW TB'!$T:$T,'BW P&amp;L'!$A80,'BW TB'!E:E)</f>
        <v/>
      </c>
      <c r="R80" s="60">
        <f>-SUMIF('BW TB'!$T:$T,'BW P&amp;L'!$A80,'BW TB'!F:F)</f>
        <v/>
      </c>
      <c r="S80" s="60">
        <f>-SUMIF('BW TB'!$T:$T,'BW P&amp;L'!$A80,'BW TB'!G:G)</f>
        <v/>
      </c>
      <c r="T80" s="60">
        <f>-SUMIF('BW TB'!$T:$T,'BW P&amp;L'!$A80,'BW TB'!H:H)</f>
        <v/>
      </c>
      <c r="U80" s="60">
        <f>-SUMIF('BW TB'!$T:$T,'BW P&amp;L'!$A80,'BW TB'!I:I)</f>
        <v/>
      </c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60" t="inlineStr">
        <is>
          <t>Direct - Premises &amp; Admin</t>
        </is>
      </c>
      <c r="B81" s="60" t="n">
        <v>-11428.8</v>
      </c>
      <c r="C81" s="60" t="n">
        <v>-11397.44</v>
      </c>
      <c r="D81" s="60" t="n">
        <v>-12879.79</v>
      </c>
      <c r="E81" s="60" t="n">
        <v>-15208.81</v>
      </c>
      <c r="F81" s="60" t="n">
        <v>-9401.230000000001</v>
      </c>
      <c r="G81" s="60" t="n">
        <v>-11022.52</v>
      </c>
      <c r="H81" s="60" t="n">
        <v>-12647.95</v>
      </c>
      <c r="I81" s="60" t="n">
        <v>-16122.24</v>
      </c>
      <c r="J81" s="60" t="n">
        <v>-12013.71</v>
      </c>
      <c r="K81" s="60" t="n">
        <v>-9677.17</v>
      </c>
      <c r="L81" s="60" t="n">
        <v>-11447.49</v>
      </c>
      <c r="M81" s="60" t="n">
        <v>-11585.54</v>
      </c>
      <c r="N81" s="60">
        <f>SUM(B81:M81)</f>
        <v/>
      </c>
      <c r="O81" s="60">
        <f>-SUMIF('BW TB'!$T:$T,'BW P&amp;L'!$A81,'BW TB'!C:C)</f>
        <v/>
      </c>
      <c r="P81" s="60">
        <f>-SUMIF('BW TB'!$T:$T,'BW P&amp;L'!$A81,'BW TB'!D:D)</f>
        <v/>
      </c>
      <c r="Q81" s="60">
        <f>-SUMIF('BW TB'!$T:$T,'BW P&amp;L'!$A81,'BW TB'!E:E)</f>
        <v/>
      </c>
      <c r="R81" s="60">
        <f>-SUMIF('BW TB'!$T:$T,'BW P&amp;L'!$A81,'BW TB'!F:F)</f>
        <v/>
      </c>
      <c r="S81" s="60">
        <f>-SUMIF('BW TB'!$T:$T,'BW P&amp;L'!$A81,'BW TB'!G:G)</f>
        <v/>
      </c>
      <c r="T81" s="60">
        <f>-SUMIF('BW TB'!$T:$T,'BW P&amp;L'!$A81,'BW TB'!H:H)</f>
        <v/>
      </c>
      <c r="U81" s="60">
        <f>-SUMIF('BW TB'!$T:$T,'BW P&amp;L'!$A81,'BW TB'!I:I)</f>
        <v/>
      </c>
      <c r="V81" s="60">
        <f>-SUMIF('BW TB'!$T:$T,'BW P&amp;L'!$A81,'BW TB'!J:J)</f>
        <v/>
      </c>
      <c r="W81" s="60">
        <f>-SUMIF('BW TB'!$T:$T,'BW P&amp;L'!$A81,'BW TB'!K:K)</f>
        <v/>
      </c>
      <c r="X81" s="60">
        <f>-SUMIF('BW TB'!$T:$T,'BW P&amp;L'!$A81,'BW TB'!L:L)</f>
        <v/>
      </c>
      <c r="Y81" s="60">
        <f>-SUMIF('BW TB'!$T:$T,'BW P&amp;L'!$A81,'BW TB'!M:M)</f>
        <v/>
      </c>
      <c r="Z81" s="60">
        <f>-SUMIF('BW TB'!$T:$T,'BW P&amp;L'!$A81,'BW TB'!N:N)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60" t="inlineStr">
        <is>
          <t>In-Direct - Staff Cost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0</v>
      </c>
      <c r="I82" s="18" t="n">
        <v>0</v>
      </c>
      <c r="J82" s="18" t="n">
        <v>0</v>
      </c>
      <c r="K82" s="18" t="n">
        <v>0</v>
      </c>
      <c r="L82" s="18" t="n">
        <v>0</v>
      </c>
      <c r="M82" s="18" t="n"/>
      <c r="N82" s="8" t="n"/>
      <c r="O82" s="60">
        <f>-SUMIF('BW TB'!$T:$T,'BW P&amp;L'!$A82,'BW TB'!C:C)</f>
        <v/>
      </c>
      <c r="P82" s="60">
        <f>-SUMIF('BW TB'!$T:$T,'BW P&amp;L'!$A82,'BW TB'!D:D)</f>
        <v/>
      </c>
      <c r="Q82" s="60">
        <f>-SUMIF('BW TB'!$T:$T,'BW P&amp;L'!$A82,'BW TB'!E:E)</f>
        <v/>
      </c>
      <c r="R82" s="60">
        <f>-SUMIF('BW TB'!$T:$T,'BW P&amp;L'!$A82,'BW TB'!F:F)</f>
        <v/>
      </c>
      <c r="S82" s="60">
        <f>-SUMIF('BW TB'!$T:$T,'BW P&amp;L'!$A82,'BW TB'!G:G)</f>
        <v/>
      </c>
      <c r="T82" s="60">
        <f>-SUMIF('BW TB'!$T:$T,'BW P&amp;L'!$A82,'BW TB'!H:H)</f>
        <v/>
      </c>
      <c r="U82" s="60">
        <f>-SUMIF('BW TB'!$T:$T,'BW P&amp;L'!$A82,'BW TB'!I:I)</f>
        <v/>
      </c>
      <c r="V82" s="60">
        <f>-SUMIF('BW TB'!$T:$T,'BW P&amp;L'!$A82,'BW TB'!J:J)</f>
        <v/>
      </c>
      <c r="W82" s="60">
        <f>-SUMIF('BW TB'!$T:$T,'BW P&amp;L'!$A82,'BW TB'!K:K)</f>
        <v/>
      </c>
      <c r="X82" s="60">
        <f>-SUMIF('BW TB'!$T:$T,'BW P&amp;L'!$A82,'BW TB'!L:L)</f>
        <v/>
      </c>
      <c r="Y82" s="60">
        <f>-SUMIF('BW TB'!$T:$T,'BW P&amp;L'!$A82,'BW TB'!M:M)</f>
        <v/>
      </c>
      <c r="Z82" s="60">
        <f>-SUMIF('BW TB'!$T:$T,'BW P&amp;L'!$A82,'BW TB'!N:N)</f>
        <v/>
      </c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60" t="inlineStr">
        <is>
          <t>In-Direct - Overheads</t>
        </is>
      </c>
      <c r="B83" s="60" t="n">
        <v>-254.95</v>
      </c>
      <c r="C83" s="60" t="n">
        <v>-401.73</v>
      </c>
      <c r="D83" s="60" t="n">
        <v>-1226.28</v>
      </c>
      <c r="E83" s="60" t="n">
        <v>-308.58</v>
      </c>
      <c r="F83" s="60" t="n">
        <v>-510.86</v>
      </c>
      <c r="G83" s="60" t="n">
        <v>-1074.77</v>
      </c>
      <c r="H83" s="60" t="n">
        <v>-762.4400000000001</v>
      </c>
      <c r="I83" s="60" t="n">
        <v>-682.1700000000001</v>
      </c>
      <c r="J83" s="60" t="n">
        <v>-642.78</v>
      </c>
      <c r="K83" s="60" t="n">
        <v>-339.46</v>
      </c>
      <c r="L83" s="60" t="n">
        <v>-662.75</v>
      </c>
      <c r="M83" s="8" t="n"/>
      <c r="N83" s="8" t="n"/>
      <c r="O83" s="60">
        <f>-SUMIF('BW TB'!$T:$T,'BW P&amp;L'!$A83,'BW TB'!C:C)</f>
        <v/>
      </c>
      <c r="P83" s="60">
        <f>-SUMIF('BW TB'!$T:$T,'BW P&amp;L'!$A83,'BW TB'!D:D)</f>
        <v/>
      </c>
      <c r="Q83" s="60">
        <f>-SUMIF('BW TB'!$T:$T,'BW P&amp;L'!$A83,'BW TB'!E:E)</f>
        <v/>
      </c>
      <c r="R83" s="60">
        <f>-SUMIF('BW TB'!$T:$T,'BW P&amp;L'!$A83,'BW TB'!F:F)</f>
        <v/>
      </c>
      <c r="S83" s="60">
        <f>-SUMIF('BW TB'!$T:$T,'BW P&amp;L'!$A83,'BW TB'!G:G)</f>
        <v/>
      </c>
      <c r="T83" s="60">
        <f>-SUMIF('BW TB'!$T:$T,'BW P&amp;L'!$A83,'BW TB'!H:H)</f>
        <v/>
      </c>
      <c r="U83" s="60">
        <f>-SUMIF('BW TB'!$T:$T,'BW P&amp;L'!$A83,'BW TB'!I:I)</f>
        <v/>
      </c>
      <c r="V83" s="60">
        <f>-SUMIF('BW TB'!$T:$T,'BW P&amp;L'!$A83,'BW TB'!J:J)</f>
        <v/>
      </c>
      <c r="W83" s="60">
        <f>-SUMIF('BW TB'!$T:$T,'BW P&amp;L'!$A83,'BW TB'!K:K)</f>
        <v/>
      </c>
      <c r="X83" s="60">
        <f>-SUMIF('BW TB'!$T:$T,'BW P&amp;L'!$A83,'BW TB'!L:L)</f>
        <v/>
      </c>
      <c r="Y83" s="60">
        <f>-SUMIF('BW TB'!$T:$T,'BW P&amp;L'!$A83,'BW TB'!M:M)</f>
        <v/>
      </c>
      <c r="Z83" s="60">
        <f>-SUMIF('BW TB'!$T:$T,'BW P&amp;L'!$A83,'BW TB'!N:N)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 ht="15.75" customHeight="1">
      <c r="A84" s="64" t="n"/>
      <c r="B84" s="64" t="n">
        <v>63418.51</v>
      </c>
      <c r="C84" s="64" t="n">
        <v>87711.48999999996</v>
      </c>
      <c r="D84" s="64" t="n">
        <v>106484.03</v>
      </c>
      <c r="E84" s="64" t="n">
        <v>71447.29999999997</v>
      </c>
      <c r="F84" s="64" t="n">
        <v>44727.52</v>
      </c>
      <c r="G84" s="64" t="n">
        <v>78507.36000000002</v>
      </c>
      <c r="H84" s="64" t="n">
        <v>108742.96</v>
      </c>
      <c r="I84" s="64" t="n">
        <v>28726.59999999998</v>
      </c>
      <c r="J84" s="64" t="n">
        <v>22810.31</v>
      </c>
      <c r="K84" s="64" t="n">
        <v>34761.18999999999</v>
      </c>
      <c r="L84" s="64" t="n">
        <v>88791.55</v>
      </c>
      <c r="M84" s="64" t="n"/>
      <c r="N84" s="64" t="n"/>
      <c r="O84" s="64">
        <f>SUM(O78:O83)</f>
        <v/>
      </c>
      <c r="P84" s="64">
        <f>SUM(P78:P83)</f>
        <v/>
      </c>
      <c r="Q84" s="64">
        <f>SUM(Q78:Q83)</f>
        <v/>
      </c>
      <c r="R84" s="64">
        <f>SUM(R78:R83)</f>
        <v/>
      </c>
      <c r="S84" s="64">
        <f>SUM(S78:S83)</f>
        <v/>
      </c>
      <c r="T84" s="64">
        <f>SUM(T78:T83)</f>
        <v/>
      </c>
      <c r="U84" s="64">
        <f>SUM(U78:U83)</f>
        <v/>
      </c>
      <c r="V84" s="64">
        <f>SUM(V78:V83)</f>
        <v/>
      </c>
      <c r="W84" s="64">
        <f>SUM(W78:W83)</f>
        <v/>
      </c>
      <c r="X84" s="64">
        <f>SUM(X78:X83)</f>
        <v/>
      </c>
      <c r="Y84" s="64">
        <f>SUM(Y78:Y83)</f>
        <v/>
      </c>
      <c r="Z84" s="64">
        <f>SUM(Z78:Z83)</f>
        <v/>
      </c>
      <c r="AA84" s="8" t="n"/>
      <c r="AB84" s="8" t="n"/>
      <c r="AC84" s="64" t="n"/>
      <c r="AD84" s="64" t="n"/>
      <c r="AE84" s="64" t="n"/>
      <c r="AF84" s="64" t="n"/>
      <c r="AG84" s="64" t="n"/>
      <c r="AH84" s="64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 ht="15.75" customHeight="1">
      <c r="A85" s="8" t="n"/>
      <c r="B85" s="18" t="n">
        <v>0</v>
      </c>
      <c r="C85" s="18" t="n">
        <v>0</v>
      </c>
      <c r="D85" s="18" t="n">
        <v>0</v>
      </c>
      <c r="E85" s="18" t="n">
        <v>0</v>
      </c>
      <c r="F85" s="18" t="n">
        <v>0</v>
      </c>
      <c r="G85" s="18" t="n">
        <v>0</v>
      </c>
      <c r="H85" s="18" t="n">
        <v>0</v>
      </c>
      <c r="I85" s="18" t="n">
        <v>0</v>
      </c>
      <c r="J85" s="18" t="n">
        <v>0</v>
      </c>
      <c r="K85" s="18" t="n">
        <v>0</v>
      </c>
      <c r="L85" s="18" t="n">
        <v>0</v>
      </c>
      <c r="M85" s="18" t="n"/>
      <c r="N85" s="8" t="n"/>
      <c r="O85" s="60">
        <f>+O70-O84</f>
        <v/>
      </c>
      <c r="P85" s="60">
        <f>+P70-P84</f>
        <v/>
      </c>
      <c r="Q85" s="60">
        <f>+Q70-Q84</f>
        <v/>
      </c>
      <c r="R85" s="60">
        <f>+R70-R84</f>
        <v/>
      </c>
      <c r="S85" s="60">
        <f>+S70-S84</f>
        <v/>
      </c>
      <c r="T85" s="60">
        <f>+T70-T84</f>
        <v/>
      </c>
      <c r="U85" s="60">
        <f>+U70-U84</f>
        <v/>
      </c>
      <c r="V85" s="60">
        <f>+V70-V84</f>
        <v/>
      </c>
      <c r="W85" s="60">
        <f>+W70-W84</f>
        <v/>
      </c>
      <c r="X85" s="60">
        <f>+X70-X84</f>
        <v/>
      </c>
      <c r="Y85" s="60">
        <f>+Y70-Y84</f>
        <v/>
      </c>
      <c r="Z85" s="60">
        <f>+Z70-Z84</f>
        <v/>
      </c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60" t="n">
        <v>0</v>
      </c>
      <c r="C87" s="60" t="n">
        <v>0</v>
      </c>
      <c r="D87" s="60" t="n">
        <v>0</v>
      </c>
      <c r="E87" s="60" t="n">
        <v>0</v>
      </c>
      <c r="F87" s="60" t="n">
        <v>0</v>
      </c>
      <c r="G87" s="60" t="n">
        <v>0</v>
      </c>
      <c r="H87" s="60" t="n">
        <v>0</v>
      </c>
      <c r="I87" s="60" t="n">
        <v>0</v>
      </c>
      <c r="J87" s="60" t="n">
        <v>0</v>
      </c>
      <c r="K87" s="8" t="n"/>
      <c r="L87" s="8" t="n"/>
      <c r="M87" s="8" t="n"/>
      <c r="N87" s="8" t="n"/>
      <c r="O87" s="60">
        <f>O84+O88</f>
        <v/>
      </c>
      <c r="P87" s="60">
        <f>P84+P88</f>
        <v/>
      </c>
      <c r="Q87" s="60">
        <f>Q84+Q88</f>
        <v/>
      </c>
      <c r="R87" s="60">
        <f>R84+R88</f>
        <v/>
      </c>
      <c r="S87" s="60">
        <f>S84+S88</f>
        <v/>
      </c>
      <c r="T87" s="60">
        <f>T84+T88</f>
        <v/>
      </c>
      <c r="U87" s="60">
        <f>U84+U88</f>
        <v/>
      </c>
      <c r="V87" s="60">
        <f>V84+V88</f>
        <v/>
      </c>
      <c r="W87" s="60">
        <f>W84+W88</f>
        <v/>
      </c>
      <c r="X87" s="60">
        <f>X84+X88</f>
        <v/>
      </c>
      <c r="Y87" s="60">
        <f>Y84+Y88</f>
        <v/>
      </c>
      <c r="Z87" s="60">
        <f>Z84+Z88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8" t="n"/>
      <c r="B88" s="18" t="n">
        <v>-63418.50999999998</v>
      </c>
      <c r="C88" s="18" t="n">
        <v>-87711.49000000001</v>
      </c>
      <c r="D88" s="18" t="n">
        <v>-106484.03</v>
      </c>
      <c r="E88" s="18" t="n">
        <v>-71447.29999999996</v>
      </c>
      <c r="F88" s="18" t="n">
        <v>-44727.52000000003</v>
      </c>
      <c r="G88" s="18" t="n">
        <v>-78507.36000000003</v>
      </c>
      <c r="H88" s="18" t="n">
        <v>-108742.96</v>
      </c>
      <c r="I88" s="18" t="n">
        <v>-28726.59999999998</v>
      </c>
      <c r="J88" s="18" t="n">
        <v>-22810.30999999999</v>
      </c>
      <c r="K88" s="18" t="n"/>
      <c r="L88" s="18" t="n"/>
      <c r="M88" s="18" t="n"/>
      <c r="N88" s="8" t="n"/>
      <c r="O88" s="60">
        <f>SUM('BW TB'!C2:C47)</f>
        <v/>
      </c>
      <c r="P88" s="60">
        <f>SUM('BW TB'!D2:D47)</f>
        <v/>
      </c>
      <c r="Q88" s="60">
        <f>SUM('BW TB'!E2:E47)</f>
        <v/>
      </c>
      <c r="R88" s="60">
        <f>SUM('BW TB'!F2:F47)</f>
        <v/>
      </c>
      <c r="S88" s="60">
        <f>SUM('BW TB'!G2:G47)</f>
        <v/>
      </c>
      <c r="T88" s="60">
        <f>SUM('BW TB'!H2:H47)</f>
        <v/>
      </c>
      <c r="U88" s="60">
        <f>SUM('BW TB'!I2:I47)</f>
        <v/>
      </c>
      <c r="V88" s="60">
        <f>SUM('BW TB'!J2:J47)</f>
        <v/>
      </c>
      <c r="W88" s="60">
        <f>SUM('BW TB'!K2:K47)</f>
        <v/>
      </c>
      <c r="X88" s="60">
        <f>SUM('BW TB'!L2:L47)</f>
        <v/>
      </c>
      <c r="Y88" s="60">
        <f>SUM('BW TB'!M2:M47)</f>
        <v/>
      </c>
      <c r="Z88" s="60">
        <f>SUM('BW TB'!N2:N47)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570312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Cedars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n"/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23814.44</v>
      </c>
      <c r="C8" s="35" t="n">
        <v>20657.57</v>
      </c>
      <c r="D8" s="35" t="n">
        <v>26472.4</v>
      </c>
      <c r="E8" s="35" t="n">
        <v>28682.3</v>
      </c>
      <c r="F8" s="35" t="n">
        <v>21069.85</v>
      </c>
      <c r="G8" s="35" t="n">
        <v>21588.68</v>
      </c>
      <c r="H8" s="35" t="n">
        <v>29637.32</v>
      </c>
      <c r="I8" s="35" t="n">
        <v>22500.55</v>
      </c>
      <c r="J8" s="35" t="n">
        <v>19945.64</v>
      </c>
      <c r="K8" s="35" t="n">
        <v>19659.5</v>
      </c>
      <c r="L8" s="35" t="n">
        <v>18229.14</v>
      </c>
      <c r="M8" s="35" t="n">
        <v>23118.77</v>
      </c>
      <c r="N8" s="36">
        <f>SUM(B8:M8)</f>
        <v/>
      </c>
      <c r="O8" s="37">
        <f>-SUMIF('CED TB'!$R:$R,'CED P&amp;L'!$A8,'CED TB'!C:C)</f>
        <v/>
      </c>
      <c r="P8" s="37">
        <f>-SUMIF('CED TB'!$R:$R,'CED P&amp;L'!$A8,'CED TB'!D:D)</f>
        <v/>
      </c>
      <c r="Q8" s="37">
        <f>-SUMIF('CED TB'!$R:$R,'CED P&amp;L'!$A8,'CED TB'!E:E)</f>
        <v/>
      </c>
      <c r="R8" s="37">
        <f>-SUMIF('CED TB'!$R:$R,'CED P&amp;L'!$A8,'CED TB'!F:F)</f>
        <v/>
      </c>
      <c r="S8" s="37">
        <f>-SUMIF('CED TB'!$R:$R,'CED P&amp;L'!$A8,'CED TB'!G:G)</f>
        <v/>
      </c>
      <c r="T8" s="37">
        <f>-SUMIF('CED TB'!$R:$R,'CED P&amp;L'!$A8,'CED TB'!H:H)</f>
        <v/>
      </c>
      <c r="U8" s="37">
        <f>-SUMIF('CED TB'!$R:$R,'CED P&amp;L'!$A8,'CED TB'!I:I)</f>
        <v/>
      </c>
      <c r="V8" s="38" t="n">
        <v>18654</v>
      </c>
      <c r="W8" s="38" t="n">
        <v>11835</v>
      </c>
      <c r="X8" s="38" t="n">
        <v>12126</v>
      </c>
      <c r="Y8" s="38" t="n">
        <v>14161</v>
      </c>
      <c r="Z8" s="38" t="n">
        <v>21018</v>
      </c>
      <c r="AA8" s="36">
        <f>SUM(O8:U8)</f>
        <v/>
      </c>
      <c r="AB8" s="36">
        <f>SUM(O8:Z8)</f>
        <v/>
      </c>
      <c r="AC8" s="38" t="n">
        <v>28315.98</v>
      </c>
      <c r="AD8" s="38" t="n">
        <v>26840.28</v>
      </c>
      <c r="AE8" s="38" t="n">
        <v>31507.8</v>
      </c>
      <c r="AF8" s="38" t="n">
        <v>30543.59</v>
      </c>
      <c r="AG8" s="38" t="n">
        <v>30885.6</v>
      </c>
      <c r="AH8" s="38" t="n">
        <v>33002.04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5791.72</v>
      </c>
      <c r="C9" s="35" t="n">
        <v>14479.3</v>
      </c>
      <c r="D9" s="35" t="n">
        <v>15684.58</v>
      </c>
      <c r="E9" s="35" t="n">
        <v>5185.26</v>
      </c>
      <c r="F9" s="35" t="n">
        <v>5185.26</v>
      </c>
      <c r="G9" s="35" t="n">
        <v>15608.08</v>
      </c>
      <c r="H9" s="35" t="n">
        <v>13375.26</v>
      </c>
      <c r="I9" s="35" t="n">
        <v>0</v>
      </c>
      <c r="J9" s="35" t="n">
        <v>5986.21</v>
      </c>
      <c r="K9" s="35" t="n">
        <v>12205.6</v>
      </c>
      <c r="L9" s="35" t="n">
        <v>12205.6</v>
      </c>
      <c r="M9" s="35" t="n">
        <v>16957.76</v>
      </c>
      <c r="N9" s="36">
        <f>SUM(B9:M9)</f>
        <v/>
      </c>
      <c r="O9" s="37">
        <f>-SUMIF('CED TB'!$R:$R,'CED P&amp;L'!$A9,'CED TB'!C:C)</f>
        <v/>
      </c>
      <c r="P9" s="37">
        <f>-SUMIF('CED TB'!$R:$R,'CED P&amp;L'!$A9,'CED TB'!D:D)</f>
        <v/>
      </c>
      <c r="Q9" s="37">
        <f>-SUMIF('CED TB'!$R:$R,'CED P&amp;L'!$A9,'CED TB'!E:E)</f>
        <v/>
      </c>
      <c r="R9" s="37">
        <f>-SUMIF('CED TB'!$R:$R,'CED P&amp;L'!$A9,'CED TB'!F:F)</f>
        <v/>
      </c>
      <c r="S9" s="37">
        <f>-SUMIF('CED TB'!$R:$R,'CED P&amp;L'!$A9,'CED TB'!G:G)</f>
        <v/>
      </c>
      <c r="T9" s="37">
        <f>-SUMIF('CED TB'!$R:$R,'CED P&amp;L'!$A9,'CED TB'!H:H)</f>
        <v/>
      </c>
      <c r="U9" s="37">
        <f>-SUMIF('CED TB'!$R:$R,'CED P&amp;L'!$A9,'CED TB'!I:I)</f>
        <v/>
      </c>
      <c r="V9" s="38" t="n"/>
      <c r="W9" s="38" t="n">
        <v>8499</v>
      </c>
      <c r="X9" s="38" t="n">
        <v>9777</v>
      </c>
      <c r="Y9" s="38" t="n">
        <v>10656</v>
      </c>
      <c r="Z9" s="38" t="n">
        <v>6058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6.5" customHeight="1">
      <c r="A10" s="34" t="inlineStr">
        <is>
          <t>Other Income</t>
        </is>
      </c>
      <c r="B10" s="35" t="n">
        <v>200</v>
      </c>
      <c r="C10" s="35" t="n">
        <v>200</v>
      </c>
      <c r="D10" s="35" t="n">
        <v>300</v>
      </c>
      <c r="E10" s="35" t="n">
        <v>0</v>
      </c>
      <c r="F10" s="35" t="n">
        <v>300</v>
      </c>
      <c r="G10" s="35" t="n">
        <v>300</v>
      </c>
      <c r="H10" s="35" t="n">
        <v>150</v>
      </c>
      <c r="I10" s="35" t="n">
        <v>0</v>
      </c>
      <c r="J10" s="35" t="n">
        <v>0</v>
      </c>
      <c r="K10" s="35" t="n">
        <v>150</v>
      </c>
      <c r="L10" s="35" t="n">
        <v>150</v>
      </c>
      <c r="M10" s="35" t="n">
        <v>150</v>
      </c>
      <c r="N10" s="36">
        <f>SUM(B10:M10)</f>
        <v/>
      </c>
      <c r="O10" s="37">
        <f>-SUMIF('CED TB'!$R:$R,'CED P&amp;L'!$A10,'CED TB'!C:C)</f>
        <v/>
      </c>
      <c r="P10" s="37">
        <f>-SUMIF('CED TB'!$R:$R,'CED P&amp;L'!$A10,'CED TB'!D:D)</f>
        <v/>
      </c>
      <c r="Q10" s="37">
        <f>-SUMIF('CED TB'!$R:$R,'CED P&amp;L'!$A10,'CED TB'!E:E)</f>
        <v/>
      </c>
      <c r="R10" s="37">
        <f>-SUMIF('CED TB'!$R:$R,'CED P&amp;L'!$A10,'CED TB'!F:F)</f>
        <v/>
      </c>
      <c r="S10" s="37">
        <f>-SUMIF('CED TB'!$R:$R,'CED P&amp;L'!$A10,'CED TB'!G:G)</f>
        <v/>
      </c>
      <c r="T10" s="37">
        <f>-SUMIF('CED TB'!$R:$R,'CED P&amp;L'!$A10,'CED TB'!H:H)</f>
        <v/>
      </c>
      <c r="U10" s="37">
        <f>-SUMIF('CED TB'!$R:$R,'CED P&amp;L'!$A10,'CED TB'!I:I)</f>
        <v/>
      </c>
      <c r="V10" s="38" t="n"/>
      <c r="W10" s="38" t="n">
        <v>0</v>
      </c>
      <c r="X10" s="38" t="n">
        <v>0</v>
      </c>
      <c r="Y10" s="38" t="n">
        <v>0</v>
      </c>
      <c r="Z10" s="38" t="n">
        <v>0</v>
      </c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6.5" customHeight="1">
      <c r="A11" s="41" t="inlineStr">
        <is>
          <t>Total Income</t>
        </is>
      </c>
      <c r="B11" s="42" t="n">
        <v>29806.16</v>
      </c>
      <c r="C11" s="42" t="n">
        <v>35336.87</v>
      </c>
      <c r="D11" s="42" t="n">
        <v>42456.98</v>
      </c>
      <c r="E11" s="42" t="n">
        <v>33867.56</v>
      </c>
      <c r="F11" s="42" t="n">
        <v>26555.11</v>
      </c>
      <c r="G11" s="42" t="n">
        <v>37496.76</v>
      </c>
      <c r="H11" s="42" t="n">
        <v>43162.58</v>
      </c>
      <c r="I11" s="42" t="n">
        <v>22500.55</v>
      </c>
      <c r="J11" s="42" t="n">
        <v>25931.85</v>
      </c>
      <c r="K11" s="42" t="n">
        <v>32015.1</v>
      </c>
      <c r="L11" s="42" t="n">
        <v>30584.74</v>
      </c>
      <c r="M11" s="42" t="n">
        <v>40226.53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15964.89</v>
      </c>
      <c r="C16" s="35" t="n">
        <v>15432.95</v>
      </c>
      <c r="D16" s="35" t="n">
        <v>16980.77</v>
      </c>
      <c r="E16" s="35" t="n">
        <v>19492.28</v>
      </c>
      <c r="F16" s="35" t="n">
        <v>19492.07</v>
      </c>
      <c r="G16" s="35" t="n">
        <v>16093.17</v>
      </c>
      <c r="H16" s="35" t="n">
        <v>19196.5</v>
      </c>
      <c r="I16" s="35" t="n">
        <v>14959.37</v>
      </c>
      <c r="J16" s="35" t="n">
        <v>19873.92</v>
      </c>
      <c r="K16" s="35" t="n">
        <v>18038.34</v>
      </c>
      <c r="L16" s="35" t="n">
        <v>18266.77</v>
      </c>
      <c r="M16" s="35" t="n">
        <v>21533.17</v>
      </c>
      <c r="N16" s="36">
        <f>SUM(B16:M16)</f>
        <v/>
      </c>
      <c r="O16" s="37">
        <f>SUMIF('CED TB'!$R:$R,'CED P&amp;L'!$A16,'CED TB'!C:C)</f>
        <v/>
      </c>
      <c r="P16" s="37">
        <f>SUMIF('CED TB'!$R:$R,'CED P&amp;L'!$A16,'CED TB'!D:D)</f>
        <v/>
      </c>
      <c r="Q16" s="37">
        <f>SUMIF('CED TB'!$R:$R,'CED P&amp;L'!$A16,'CED TB'!E:E)</f>
        <v/>
      </c>
      <c r="R16" s="37">
        <f>SUMIF('CED TB'!$R:$R,'CED P&amp;L'!$A16,'CED TB'!F:F)</f>
        <v/>
      </c>
      <c r="S16" s="37">
        <f>SUMIF('CED TB'!$R:$R,'CED P&amp;L'!$A16,'CED TB'!G:G)</f>
        <v/>
      </c>
      <c r="T16" s="37">
        <f>SUMIF('CED TB'!$R:$R,'CED P&amp;L'!$A16,'CED TB'!H:H)</f>
        <v/>
      </c>
      <c r="U16" s="37">
        <f>SUMIF('CED TB'!$R:$R,'CED P&amp;L'!$A16,'CED TB'!I:I)</f>
        <v/>
      </c>
      <c r="V16" s="38" t="n">
        <v>22510.48</v>
      </c>
      <c r="W16" s="38" t="n">
        <v>22510.48</v>
      </c>
      <c r="X16" s="38" t="n">
        <v>22510.48</v>
      </c>
      <c r="Y16" s="38" t="n">
        <v>22510.48</v>
      </c>
      <c r="Z16" s="38" t="n">
        <v>22510.48</v>
      </c>
      <c r="AA16" s="36">
        <f>SUM(O16:U16)</f>
        <v/>
      </c>
      <c r="AB16" s="36">
        <f>SUM(O16:Z16)</f>
        <v/>
      </c>
      <c r="AC16" s="38" t="n">
        <v>22510.48</v>
      </c>
      <c r="AD16" s="38" t="n">
        <v>22510.48</v>
      </c>
      <c r="AE16" s="38" t="n">
        <v>22510.48</v>
      </c>
      <c r="AF16" s="38" t="n">
        <v>22510.48</v>
      </c>
      <c r="AG16" s="38" t="n">
        <v>22510.48</v>
      </c>
      <c r="AH16" s="38" t="n">
        <v>22510.48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1212.08</v>
      </c>
      <c r="C17" s="35" t="n">
        <v>1115.32</v>
      </c>
      <c r="D17" s="35" t="n">
        <v>1300.33</v>
      </c>
      <c r="E17" s="35" t="n">
        <v>2055.72</v>
      </c>
      <c r="F17" s="35" t="n">
        <v>1957.17</v>
      </c>
      <c r="G17" s="35" t="n">
        <v>1471.56</v>
      </c>
      <c r="H17" s="35" t="n">
        <v>1976.99</v>
      </c>
      <c r="I17" s="35" t="n">
        <v>1386.1</v>
      </c>
      <c r="J17" s="35" t="n">
        <v>2097.99</v>
      </c>
      <c r="K17" s="35" t="n">
        <v>1993.75</v>
      </c>
      <c r="L17" s="35" t="n">
        <v>1962.85</v>
      </c>
      <c r="M17" s="35" t="n">
        <v>2264.02</v>
      </c>
      <c r="N17" s="36">
        <f>SUM(B17:M17)</f>
        <v/>
      </c>
      <c r="O17" s="37">
        <f>SUMIF('CED TB'!$R:$R,'CED P&amp;L'!$A17,'CED TB'!C:C)</f>
        <v/>
      </c>
      <c r="P17" s="37">
        <f>SUMIF('CED TB'!$R:$R,'CED P&amp;L'!$A17,'CED TB'!D:D)</f>
        <v/>
      </c>
      <c r="Q17" s="37">
        <f>SUMIF('CED TB'!$R:$R,'CED P&amp;L'!$A17,'CED TB'!E:E)</f>
        <v/>
      </c>
      <c r="R17" s="37">
        <f>SUMIF('CED TB'!$R:$R,'CED P&amp;L'!$A17,'CED TB'!F:F)</f>
        <v/>
      </c>
      <c r="S17" s="37">
        <f>SUMIF('CED TB'!$R:$R,'CED P&amp;L'!$A17,'CED TB'!G:G)</f>
        <v/>
      </c>
      <c r="T17" s="37">
        <f>SUMIF('CED TB'!$R:$R,'CED P&amp;L'!$A17,'CED TB'!H:H)</f>
        <v/>
      </c>
      <c r="U17" s="37">
        <f>SUMIF('CED TB'!$R:$R,'CED P&amp;L'!$A17,'CED TB'!I:I)</f>
        <v/>
      </c>
      <c r="V17" s="38" t="n">
        <v>2763.77</v>
      </c>
      <c r="W17" s="38" t="n">
        <v>2763.77</v>
      </c>
      <c r="X17" s="38" t="n">
        <v>2763.77</v>
      </c>
      <c r="Y17" s="38" t="n">
        <v>2763.77</v>
      </c>
      <c r="Z17" s="38" t="n">
        <v>2763.77</v>
      </c>
      <c r="AA17" s="36">
        <f>SUM(O17:U17)</f>
        <v/>
      </c>
      <c r="AB17" s="36">
        <f>SUM(O17:Z17)</f>
        <v/>
      </c>
      <c r="AC17" s="38" t="n">
        <v>2763.77</v>
      </c>
      <c r="AD17" s="38" t="n">
        <v>2763.77</v>
      </c>
      <c r="AE17" s="38" t="n">
        <v>2763.77</v>
      </c>
      <c r="AF17" s="38" t="n">
        <v>2763.77</v>
      </c>
      <c r="AG17" s="38" t="n">
        <v>2763.77</v>
      </c>
      <c r="AH17" s="38" t="n">
        <v>2763.77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216.18</v>
      </c>
      <c r="C18" s="35" t="n">
        <v>203.88</v>
      </c>
      <c r="D18" s="35" t="n">
        <v>196.57</v>
      </c>
      <c r="E18" s="35" t="n">
        <v>233.26</v>
      </c>
      <c r="F18" s="35" t="n">
        <v>228.75</v>
      </c>
      <c r="G18" s="35" t="n">
        <v>190.93</v>
      </c>
      <c r="H18" s="35" t="n">
        <v>276.28</v>
      </c>
      <c r="I18" s="35" t="n">
        <v>243.1</v>
      </c>
      <c r="J18" s="35" t="n">
        <v>298.73</v>
      </c>
      <c r="K18" s="35" t="n">
        <v>272.53</v>
      </c>
      <c r="L18" s="35" t="n">
        <v>352.17</v>
      </c>
      <c r="M18" s="35" t="n">
        <v>373.97</v>
      </c>
      <c r="N18" s="36">
        <f>SUM(B18:M18)</f>
        <v/>
      </c>
      <c r="O18" s="37">
        <f>SUMIF('CED TB'!$R:$R,'CED P&amp;L'!$A18,'CED TB'!C:C)</f>
        <v/>
      </c>
      <c r="P18" s="37">
        <f>SUMIF('CED TB'!$R:$R,'CED P&amp;L'!$A18,'CED TB'!D:D)</f>
        <v/>
      </c>
      <c r="Q18" s="37">
        <f>SUMIF('CED TB'!$R:$R,'CED P&amp;L'!$A18,'CED TB'!E:E)</f>
        <v/>
      </c>
      <c r="R18" s="37">
        <f>SUMIF('CED TB'!$R:$R,'CED P&amp;L'!$A18,'CED TB'!F:F)</f>
        <v/>
      </c>
      <c r="S18" s="37">
        <f>SUMIF('CED TB'!$R:$R,'CED P&amp;L'!$A18,'CED TB'!G:G)</f>
        <v/>
      </c>
      <c r="T18" s="37">
        <f>SUMIF('CED TB'!$R:$R,'CED P&amp;L'!$A18,'CED TB'!H:H)</f>
        <v/>
      </c>
      <c r="U18" s="37">
        <f>SUMIF('CED TB'!$R:$R,'CED P&amp;L'!$A18,'CED TB'!I:I)</f>
        <v/>
      </c>
      <c r="V18" s="38" t="n">
        <v>478.22</v>
      </c>
      <c r="W18" s="38" t="n">
        <v>478.22</v>
      </c>
      <c r="X18" s="38" t="n">
        <v>478.22</v>
      </c>
      <c r="Y18" s="38" t="n">
        <v>478.22</v>
      </c>
      <c r="Z18" s="38" t="n">
        <v>478.22</v>
      </c>
      <c r="AA18" s="36">
        <f>SUM(O18:U18)</f>
        <v/>
      </c>
      <c r="AB18" s="36">
        <f>SUM(O18:Z18)</f>
        <v/>
      </c>
      <c r="AC18" s="38" t="n">
        <v>478.22</v>
      </c>
      <c r="AD18" s="38" t="n">
        <v>478.22</v>
      </c>
      <c r="AE18" s="38" t="n">
        <v>478.22</v>
      </c>
      <c r="AF18" s="38" t="n">
        <v>478.22</v>
      </c>
      <c r="AG18" s="38" t="n">
        <v>478.22</v>
      </c>
      <c r="AH18" s="38" t="n">
        <v>478.22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524.28</v>
      </c>
      <c r="D19" s="35" t="n">
        <v>0</v>
      </c>
      <c r="E19" s="35" t="n">
        <v>0</v>
      </c>
      <c r="F19" s="35" t="n">
        <v>100.14</v>
      </c>
      <c r="G19" s="35" t="n">
        <v>100.14</v>
      </c>
      <c r="H19" s="35" t="n">
        <v>0</v>
      </c>
      <c r="I19" s="35" t="n">
        <v>0</v>
      </c>
      <c r="J19" s="35" t="n">
        <v>262.56</v>
      </c>
      <c r="K19" s="35" t="n">
        <v>0</v>
      </c>
      <c r="L19" s="35" t="n">
        <v>0</v>
      </c>
      <c r="M19" s="35" t="n">
        <v>100.14</v>
      </c>
      <c r="N19" s="36">
        <f>SUM(B19:M19)</f>
        <v/>
      </c>
      <c r="O19" s="37">
        <f>SUMIF('CED TB'!$R:$R,'CED P&amp;L'!$A19,'CED TB'!C:C)</f>
        <v/>
      </c>
      <c r="P19" s="37">
        <f>SUMIF('CED TB'!$R:$R,'CED P&amp;L'!$A19,'CED TB'!D:D)</f>
        <v/>
      </c>
      <c r="Q19" s="37">
        <f>SUMIF('CED TB'!$R:$R,'CED P&amp;L'!$A19,'CED TB'!E:E)</f>
        <v/>
      </c>
      <c r="R19" s="37">
        <f>SUMIF('CED TB'!$R:$R,'CED P&amp;L'!$A19,'CED TB'!F:F)</f>
        <v/>
      </c>
      <c r="S19" s="37">
        <f>SUMIF('CED TB'!$R:$R,'CED P&amp;L'!$A19,'CED TB'!G:G)</f>
        <v/>
      </c>
      <c r="T19" s="37">
        <f>SUMIF('CED TB'!$R:$R,'CED P&amp;L'!$A19,'CED TB'!H:H)</f>
        <v/>
      </c>
      <c r="U19" s="37">
        <f>SUMIF('CED TB'!$R:$R,'CED P&amp;L'!$A19,'CED TB'!I:I)</f>
        <v/>
      </c>
      <c r="V19" s="38" t="n">
        <v>6.99</v>
      </c>
      <c r="W19" s="38" t="n">
        <v>6.99</v>
      </c>
      <c r="X19" s="38" t="n">
        <v>6.99</v>
      </c>
      <c r="Y19" s="38" t="n">
        <v>6.99</v>
      </c>
      <c r="Z19" s="38" t="n">
        <v>6.99</v>
      </c>
      <c r="AA19" s="36">
        <f>SUM(O19:U19)</f>
        <v/>
      </c>
      <c r="AB19" s="36">
        <f>SUM(O19:Z19)</f>
        <v/>
      </c>
      <c r="AC19" s="38" t="n">
        <v>6.99</v>
      </c>
      <c r="AD19" s="38" t="n">
        <v>6.99</v>
      </c>
      <c r="AE19" s="38" t="n">
        <v>6.99</v>
      </c>
      <c r="AF19" s="38" t="n">
        <v>6.99</v>
      </c>
      <c r="AG19" s="38" t="n">
        <v>6.99</v>
      </c>
      <c r="AH19" s="38" t="n">
        <v>6.99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48</v>
      </c>
      <c r="C20" s="35" t="n">
        <v>78</v>
      </c>
      <c r="D20" s="35" t="n">
        <v>0</v>
      </c>
      <c r="E20" s="35" t="n">
        <v>0</v>
      </c>
      <c r="F20" s="35" t="n">
        <v>0</v>
      </c>
      <c r="G20" s="35" t="n">
        <v>72</v>
      </c>
      <c r="H20" s="35" t="n">
        <v>0</v>
      </c>
      <c r="I20" s="35" t="n">
        <v>0</v>
      </c>
      <c r="J20" s="35" t="n">
        <v>216</v>
      </c>
      <c r="K20" s="35" t="n">
        <v>916</v>
      </c>
      <c r="L20" s="35" t="n">
        <v>10</v>
      </c>
      <c r="M20" s="35" t="n">
        <v>686.49</v>
      </c>
      <c r="N20" s="36">
        <f>SUM(B20:M20)</f>
        <v/>
      </c>
      <c r="O20" s="37">
        <f>SUMIF('CED TB'!$R:$R,'CED P&amp;L'!$A20,'CED TB'!C:C)</f>
        <v/>
      </c>
      <c r="P20" s="37">
        <f>SUMIF('CED TB'!$R:$R,'CED P&amp;L'!$A20,'CED TB'!D:D)</f>
        <v/>
      </c>
      <c r="Q20" s="37">
        <f>SUMIF('CED TB'!$R:$R,'CED P&amp;L'!$A20,'CED TB'!E:E)</f>
        <v/>
      </c>
      <c r="R20" s="37">
        <f>SUMIF('CED TB'!$R:$R,'CED P&amp;L'!$A20,'CED TB'!F:F)</f>
        <v/>
      </c>
      <c r="S20" s="37">
        <f>SUMIF('CED TB'!$R:$R,'CED P&amp;L'!$A20,'CED TB'!G:G)</f>
        <v/>
      </c>
      <c r="T20" s="37">
        <f>SUMIF('CED TB'!$R:$R,'CED P&amp;L'!$A20,'CED TB'!H:H)</f>
        <v/>
      </c>
      <c r="U20" s="37">
        <f>SUMIF('CED TB'!$R:$R,'CED P&amp;L'!$A20,'CED TB'!I:I)</f>
        <v/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10</v>
      </c>
      <c r="C21" s="35" t="n">
        <v>108.63</v>
      </c>
      <c r="D21" s="35" t="n">
        <v>61.08</v>
      </c>
      <c r="E21" s="35" t="n">
        <v>109.86</v>
      </c>
      <c r="F21" s="35" t="n">
        <v>137.21</v>
      </c>
      <c r="G21" s="35" t="n">
        <v>52.06</v>
      </c>
      <c r="H21" s="35" t="n">
        <v>92.56999999999999</v>
      </c>
      <c r="I21" s="35" t="n">
        <v>92.28</v>
      </c>
      <c r="J21" s="35" t="n">
        <v>92.52</v>
      </c>
      <c r="K21" s="35" t="n">
        <v>68.13</v>
      </c>
      <c r="L21" s="35" t="n">
        <v>161.98</v>
      </c>
      <c r="M21" s="35" t="n">
        <v>194.07</v>
      </c>
      <c r="N21" s="36">
        <f>SUM(B21:M21)</f>
        <v/>
      </c>
      <c r="O21" s="37">
        <f>SUMIF('CED TB'!$R:$R,'CED P&amp;L'!$A21,'CED TB'!C:C)</f>
        <v/>
      </c>
      <c r="P21" s="37">
        <f>SUMIF('CED TB'!$R:$R,'CED P&amp;L'!$A21,'CED TB'!D:D)</f>
        <v/>
      </c>
      <c r="Q21" s="37">
        <f>SUMIF('CED TB'!$R:$R,'CED P&amp;L'!$A21,'CED TB'!E:E)</f>
        <v/>
      </c>
      <c r="R21" s="37">
        <f>SUMIF('CED TB'!$R:$R,'CED P&amp;L'!$A21,'CED TB'!F:F)</f>
        <v/>
      </c>
      <c r="S21" s="37">
        <f>SUMIF('CED TB'!$R:$R,'CED P&amp;L'!$A21,'CED TB'!G:G)</f>
        <v/>
      </c>
      <c r="T21" s="37">
        <f>SUMIF('CED TB'!$R:$R,'CED P&amp;L'!$A21,'CED TB'!H:H)</f>
        <v/>
      </c>
      <c r="U21" s="37">
        <f>SUMIF('CED TB'!$R:$R,'CED P&amp;L'!$A21,'CED TB'!I:I)</f>
        <v/>
      </c>
      <c r="V21" s="38" t="n">
        <v>150</v>
      </c>
      <c r="W21" s="38" t="n">
        <v>150</v>
      </c>
      <c r="X21" s="38" t="n">
        <v>150</v>
      </c>
      <c r="Y21" s="38" t="n">
        <v>150</v>
      </c>
      <c r="Z21" s="38" t="n">
        <v>150</v>
      </c>
      <c r="AA21" s="36">
        <f>SUM(O21:U21)</f>
        <v/>
      </c>
      <c r="AB21" s="36">
        <f>SUM(O21:Z21)</f>
        <v/>
      </c>
      <c r="AC21" s="38" t="n">
        <v>150</v>
      </c>
      <c r="AD21" s="38" t="n">
        <v>150</v>
      </c>
      <c r="AE21" s="38" t="n">
        <v>150</v>
      </c>
      <c r="AF21" s="38" t="n">
        <v>150</v>
      </c>
      <c r="AG21" s="38" t="n">
        <v>150</v>
      </c>
      <c r="AH21" s="38" t="n">
        <v>150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5040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3650.4</v>
      </c>
      <c r="N22" s="36">
        <f>SUM(B22:M22)</f>
        <v/>
      </c>
      <c r="O22" s="37">
        <f>SUMIF('CED TB'!$R:$R,'CED P&amp;L'!$A22,'CED TB'!C:C)</f>
        <v/>
      </c>
      <c r="P22" s="37">
        <f>SUMIF('CED TB'!$R:$R,'CED P&amp;L'!$A22,'CED TB'!D:D)</f>
        <v/>
      </c>
      <c r="Q22" s="37">
        <f>SUMIF('CED TB'!$R:$R,'CED P&amp;L'!$A22,'CED TB'!E:E)</f>
        <v/>
      </c>
      <c r="R22" s="37">
        <f>SUMIF('CED TB'!$R:$R,'CED P&amp;L'!$A22,'CED TB'!F:F)</f>
        <v/>
      </c>
      <c r="S22" s="37">
        <f>SUMIF('CED TB'!$R:$R,'CED P&amp;L'!$A22,'CED TB'!G:G)</f>
        <v/>
      </c>
      <c r="T22" s="37">
        <f>SUMIF('CED TB'!$R:$R,'CED P&amp;L'!$A22,'CED TB'!H:H)</f>
        <v/>
      </c>
      <c r="U22" s="37">
        <f>SUMIF('CED TB'!$R:$R,'CED P&amp;L'!$A22,'CED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10</v>
      </c>
      <c r="I23" s="35" t="n">
        <v>10</v>
      </c>
      <c r="J23" s="35" t="n">
        <v>0</v>
      </c>
      <c r="K23" s="35" t="n">
        <v>0</v>
      </c>
      <c r="L23" s="35" t="n">
        <v>0</v>
      </c>
      <c r="M23" s="35" t="n">
        <v>12.99</v>
      </c>
      <c r="N23" s="36">
        <f>SUM(B23:M23)</f>
        <v/>
      </c>
      <c r="O23" s="37">
        <f>SUMIF('CED TB'!$R:$R,'CED P&amp;L'!$A23,'CED TB'!C:C)</f>
        <v/>
      </c>
      <c r="P23" s="37">
        <f>SUMIF('CED TB'!$R:$R,'CED P&amp;L'!$A23,'CED TB'!D:D)</f>
        <v/>
      </c>
      <c r="Q23" s="37">
        <f>SUMIF('CED TB'!$R:$R,'CED P&amp;L'!$A23,'CED TB'!E:E)</f>
        <v/>
      </c>
      <c r="R23" s="37">
        <f>SUMIF('CED TB'!$R:$R,'CED P&amp;L'!$A23,'CED TB'!F:F)</f>
        <v/>
      </c>
      <c r="S23" s="37">
        <f>SUMIF('CED TB'!$R:$R,'CED P&amp;L'!$A23,'CED TB'!G:G)</f>
        <v/>
      </c>
      <c r="T23" s="37">
        <f>SUMIF('CED TB'!$R:$R,'CED P&amp;L'!$A23,'CED TB'!H:H)</f>
        <v/>
      </c>
      <c r="U23" s="37">
        <f>SUMIF('CED TB'!$R:$R,'CED P&amp;L'!$A23,'CED TB'!I:I)</f>
        <v/>
      </c>
      <c r="V23" s="38" t="n">
        <v>42</v>
      </c>
      <c r="W23" s="38" t="n">
        <v>42</v>
      </c>
      <c r="X23" s="38" t="n">
        <v>42</v>
      </c>
      <c r="Y23" s="38" t="n">
        <v>42</v>
      </c>
      <c r="Z23" s="38" t="n">
        <v>42</v>
      </c>
      <c r="AA23" s="36">
        <f>SUM(O23:U23)</f>
        <v/>
      </c>
      <c r="AB23" s="36">
        <f>SUM(O23:Z23)</f>
        <v/>
      </c>
      <c r="AC23" s="38" t="n">
        <v>42</v>
      </c>
      <c r="AD23" s="38" t="n">
        <v>42</v>
      </c>
      <c r="AE23" s="38" t="n">
        <v>42</v>
      </c>
      <c r="AF23" s="38" t="n">
        <v>42</v>
      </c>
      <c r="AG23" s="38" t="n">
        <v>42</v>
      </c>
      <c r="AH23" s="38" t="n">
        <v>42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SUMIF('CED TB'!$R:$R,'CED P&amp;L'!$A24,'CED TB'!C:C)</f>
        <v/>
      </c>
      <c r="P24" s="37">
        <f>SUMIF('CED TB'!$R:$R,'CED P&amp;L'!$A24,'CED TB'!D:D)</f>
        <v/>
      </c>
      <c r="Q24" s="37">
        <f>SUMIF('CED TB'!$R:$R,'CED P&amp;L'!$A24,'CED TB'!E:E)</f>
        <v/>
      </c>
      <c r="R24" s="37">
        <f>SUMIF('CED TB'!$R:$R,'CED P&amp;L'!$A24,'CED TB'!F:F)</f>
        <v/>
      </c>
      <c r="S24" s="37">
        <f>SUMIF('CED TB'!$R:$R,'CED P&amp;L'!$A24,'CED TB'!G:G)</f>
        <v/>
      </c>
      <c r="T24" s="37">
        <f>SUMIF('CED TB'!$R:$R,'CED P&amp;L'!$A24,'CED TB'!H:H)</f>
        <v/>
      </c>
      <c r="U24" s="37">
        <f>SUMIF('CED TB'!$R:$R,'CED P&amp;L'!$A24,'CED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17451.15</v>
      </c>
      <c r="C25" s="42" t="n">
        <v>22503.06</v>
      </c>
      <c r="D25" s="42" t="n">
        <v>18538.75</v>
      </c>
      <c r="E25" s="42" t="n">
        <v>21891.12</v>
      </c>
      <c r="F25" s="42" t="n">
        <v>21915.34</v>
      </c>
      <c r="G25" s="42" t="n">
        <v>17979.86</v>
      </c>
      <c r="H25" s="42" t="n">
        <v>21552.34</v>
      </c>
      <c r="I25" s="42" t="n">
        <v>16690.85</v>
      </c>
      <c r="J25" s="42" t="n">
        <v>22841.72</v>
      </c>
      <c r="K25" s="42" t="n">
        <v>21288.75</v>
      </c>
      <c r="L25" s="42" t="n">
        <v>20753.77</v>
      </c>
      <c r="M25" s="42" t="n">
        <v>28815.25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859.26</v>
      </c>
      <c r="C27" s="35" t="n">
        <v>893.4</v>
      </c>
      <c r="D27" s="35" t="n">
        <v>921.17</v>
      </c>
      <c r="E27" s="35" t="n">
        <v>956.59</v>
      </c>
      <c r="F27" s="35" t="n">
        <v>1358.48</v>
      </c>
      <c r="G27" s="35" t="n">
        <v>1340.98</v>
      </c>
      <c r="H27" s="35" t="n">
        <v>1025.84</v>
      </c>
      <c r="I27" s="35" t="n">
        <v>1548.48</v>
      </c>
      <c r="J27" s="35" t="n">
        <v>1219.43</v>
      </c>
      <c r="K27" s="35" t="n">
        <v>1491.26</v>
      </c>
      <c r="L27" s="35" t="n">
        <v>1275.79</v>
      </c>
      <c r="M27" s="35" t="n">
        <v>904</v>
      </c>
      <c r="N27" s="36">
        <f>SUM(B27:M27)</f>
        <v/>
      </c>
      <c r="O27" s="37">
        <f>SUMIF('CED TB'!$R:$R,'CED P&amp;L'!$A27,'CED TB'!C:C)</f>
        <v/>
      </c>
      <c r="P27" s="37">
        <f>SUMIF('CED TB'!$R:$R,'CED P&amp;L'!$A27,'CED TB'!D:D)</f>
        <v/>
      </c>
      <c r="Q27" s="37">
        <f>SUMIF('CED TB'!$R:$R,'CED P&amp;L'!$A27,'CED TB'!E:E)</f>
        <v/>
      </c>
      <c r="R27" s="37">
        <f>SUMIF('CED TB'!$R:$R,'CED P&amp;L'!$A27,'CED TB'!F:F)</f>
        <v/>
      </c>
      <c r="S27" s="37">
        <f>SUMIF('CED TB'!$R:$R,'CED P&amp;L'!$A27,'CED TB'!G:G)</f>
        <v/>
      </c>
      <c r="T27" s="37">
        <f>SUMIF('CED TB'!$R:$R,'CED P&amp;L'!$A27,'CED TB'!H:H)</f>
        <v/>
      </c>
      <c r="U27" s="37">
        <f>SUMIF('CED TB'!$R:$R,'CED P&amp;L'!$A27,'CED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183.52</v>
      </c>
      <c r="C28" s="35" t="n">
        <v>90.92999999999999</v>
      </c>
      <c r="D28" s="35" t="n">
        <v>151.06</v>
      </c>
      <c r="E28" s="35" t="n">
        <v>177.29</v>
      </c>
      <c r="F28" s="35" t="n">
        <v>242.78</v>
      </c>
      <c r="G28" s="35" t="n">
        <v>1990.96</v>
      </c>
      <c r="H28" s="35" t="n">
        <v>406.66</v>
      </c>
      <c r="I28" s="35" t="n">
        <v>353.82</v>
      </c>
      <c r="J28" s="35" t="n">
        <v>175.28</v>
      </c>
      <c r="K28" s="35" t="n">
        <v>16.3</v>
      </c>
      <c r="L28" s="35" t="n">
        <v>60.14</v>
      </c>
      <c r="M28" s="35" t="n">
        <v>19.96</v>
      </c>
      <c r="N28" s="36">
        <f>SUM(B28:M28)</f>
        <v/>
      </c>
      <c r="O28" s="37">
        <f>SUMIF('CED TB'!$R:$R,'CED P&amp;L'!$A28,'CED TB'!C:C)</f>
        <v/>
      </c>
      <c r="P28" s="37">
        <f>SUMIF('CED TB'!$R:$R,'CED P&amp;L'!$A28,'CED TB'!D:D)</f>
        <v/>
      </c>
      <c r="Q28" s="37">
        <f>SUMIF('CED TB'!$R:$R,'CED P&amp;L'!$A28,'CED TB'!E:E)</f>
        <v/>
      </c>
      <c r="R28" s="37">
        <f>SUMIF('CED TB'!$R:$R,'CED P&amp;L'!$A28,'CED TB'!F:F)</f>
        <v/>
      </c>
      <c r="S28" s="37">
        <f>SUMIF('CED TB'!$R:$R,'CED P&amp;L'!$A28,'CED TB'!G:G)</f>
        <v/>
      </c>
      <c r="T28" s="37">
        <f>SUMIF('CED TB'!$R:$R,'CED P&amp;L'!$A28,'CED TB'!H:H)</f>
        <v/>
      </c>
      <c r="U28" s="37">
        <f>SUMIF('CED TB'!$R:$R,'CED P&amp;L'!$A28,'CED TB'!I:I)</f>
        <v/>
      </c>
      <c r="V28" s="38" t="n">
        <v>100</v>
      </c>
      <c r="W28" s="38" t="n">
        <v>100</v>
      </c>
      <c r="X28" s="38" t="n">
        <v>100</v>
      </c>
      <c r="Y28" s="38" t="n">
        <v>100</v>
      </c>
      <c r="Z28" s="38" t="n">
        <v>100</v>
      </c>
      <c r="AA28" s="36">
        <f>SUM(O28:U28)</f>
        <v/>
      </c>
      <c r="AB28" s="36">
        <f>SUM(O28:Z28)</f>
        <v/>
      </c>
      <c r="AC28" s="38" t="n">
        <v>100</v>
      </c>
      <c r="AD28" s="38" t="n">
        <v>100</v>
      </c>
      <c r="AE28" s="38" t="n">
        <v>100</v>
      </c>
      <c r="AF28" s="38" t="n">
        <v>100</v>
      </c>
      <c r="AG28" s="38" t="n">
        <v>100</v>
      </c>
      <c r="AH28" s="38" t="n">
        <v>100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172.86</v>
      </c>
      <c r="C29" s="35" t="n">
        <v>134.54</v>
      </c>
      <c r="D29" s="35" t="n">
        <v>126.09</v>
      </c>
      <c r="E29" s="35" t="n">
        <v>36.83</v>
      </c>
      <c r="F29" s="35" t="n">
        <v>9.5</v>
      </c>
      <c r="G29" s="35" t="n">
        <v>322.09</v>
      </c>
      <c r="H29" s="35" t="n">
        <v>49.24</v>
      </c>
      <c r="I29" s="35" t="n">
        <v>102.73</v>
      </c>
      <c r="J29" s="35" t="n">
        <v>5.39</v>
      </c>
      <c r="K29" s="35" t="n">
        <v>130.06</v>
      </c>
      <c r="L29" s="35" t="n">
        <v>207.13</v>
      </c>
      <c r="M29" s="35" t="n">
        <v>100.93</v>
      </c>
      <c r="N29" s="36">
        <f>SUM(B29:M29)</f>
        <v/>
      </c>
      <c r="O29" s="37">
        <f>SUMIF('CED TB'!$R:$R,'CED P&amp;L'!$A29,'CED TB'!C:C)</f>
        <v/>
      </c>
      <c r="P29" s="37">
        <f>SUMIF('CED TB'!$R:$R,'CED P&amp;L'!$A29,'CED TB'!D:D)</f>
        <v/>
      </c>
      <c r="Q29" s="37">
        <f>SUMIF('CED TB'!$R:$R,'CED P&amp;L'!$A29,'CED TB'!E:E)</f>
        <v/>
      </c>
      <c r="R29" s="37">
        <f>SUMIF('CED TB'!$R:$R,'CED P&amp;L'!$A29,'CED TB'!F:F)</f>
        <v/>
      </c>
      <c r="S29" s="37">
        <f>SUMIF('CED TB'!$R:$R,'CED P&amp;L'!$A29,'CED TB'!G:G)</f>
        <v/>
      </c>
      <c r="T29" s="37">
        <f>SUMIF('CED TB'!$R:$R,'CED P&amp;L'!$A29,'CED TB'!H:H)</f>
        <v/>
      </c>
      <c r="U29" s="37">
        <f>SUMIF('CED TB'!$R:$R,'CED P&amp;L'!$A29,'CED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0.003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92.48999999999999</v>
      </c>
      <c r="C30" s="35" t="n">
        <v>10.97</v>
      </c>
      <c r="D30" s="35" t="n">
        <v>0</v>
      </c>
      <c r="E30" s="35" t="n">
        <v>10.29</v>
      </c>
      <c r="F30" s="35" t="n">
        <v>45.52</v>
      </c>
      <c r="G30" s="35" t="n">
        <v>52.51000000000001</v>
      </c>
      <c r="H30" s="35" t="n">
        <v>31.85</v>
      </c>
      <c r="I30" s="35" t="n">
        <v>57.34</v>
      </c>
      <c r="J30" s="35" t="n">
        <v>65.91</v>
      </c>
      <c r="K30" s="35" t="n">
        <v>51.77</v>
      </c>
      <c r="L30" s="35" t="n">
        <v>20.32</v>
      </c>
      <c r="M30" s="35" t="n">
        <v>86.42</v>
      </c>
      <c r="N30" s="36">
        <f>SUM(B30:M30)</f>
        <v/>
      </c>
      <c r="O30" s="37">
        <f>SUMIF('CED TB'!$R:$R,'CED P&amp;L'!$A30,'CED TB'!C:C)</f>
        <v/>
      </c>
      <c r="P30" s="37">
        <f>SUMIF('CED TB'!$R:$R,'CED P&amp;L'!$A30,'CED TB'!D:D)</f>
        <v/>
      </c>
      <c r="Q30" s="37">
        <f>SUMIF('CED TB'!$R:$R,'CED P&amp;L'!$A30,'CED TB'!E:E)</f>
        <v/>
      </c>
      <c r="R30" s="37">
        <f>SUMIF('CED TB'!$R:$R,'CED P&amp;L'!$A30,'CED TB'!F:F)</f>
        <v/>
      </c>
      <c r="S30" s="37">
        <f>SUMIF('CED TB'!$R:$R,'CED P&amp;L'!$A30,'CED TB'!G:G)</f>
        <v/>
      </c>
      <c r="T30" s="37">
        <f>SUMIF('CED TB'!$R:$R,'CED P&amp;L'!$A30,'CED TB'!H:H)</f>
        <v/>
      </c>
      <c r="U30" s="37">
        <f>SUMIF('CED TB'!$R:$R,'CED P&amp;L'!$A30,'CED TB'!I:I)</f>
        <v/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243.75</v>
      </c>
      <c r="C31" s="35" t="n">
        <v>56.46000000000001</v>
      </c>
      <c r="D31" s="35" t="n">
        <v>68.98</v>
      </c>
      <c r="E31" s="35" t="n">
        <v>0</v>
      </c>
      <c r="F31" s="35" t="n">
        <v>446.65</v>
      </c>
      <c r="G31" s="35" t="n">
        <v>238.6</v>
      </c>
      <c r="H31" s="35" t="n">
        <v>206.36</v>
      </c>
      <c r="I31" s="35" t="n">
        <v>17.01</v>
      </c>
      <c r="J31" s="35" t="n">
        <v>146.95</v>
      </c>
      <c r="K31" s="35" t="n">
        <v>217.2</v>
      </c>
      <c r="L31" s="35" t="n">
        <v>103.41</v>
      </c>
      <c r="M31" s="35" t="n">
        <v>87.67999999999999</v>
      </c>
      <c r="N31" s="36">
        <f>SUM(B31:M31)</f>
        <v/>
      </c>
      <c r="O31" s="37">
        <f>SUMIF('CED TB'!$R:$R,'CED P&amp;L'!$A31,'CED TB'!C:C)</f>
        <v/>
      </c>
      <c r="P31" s="37">
        <f>SUMIF('CED TB'!$R:$R,'CED P&amp;L'!$A31,'CED TB'!D:D)</f>
        <v/>
      </c>
      <c r="Q31" s="37">
        <f>SUMIF('CED TB'!$R:$R,'CED P&amp;L'!$A31,'CED TB'!E:E)</f>
        <v/>
      </c>
      <c r="R31" s="37">
        <f>SUMIF('CED TB'!$R:$R,'CED P&amp;L'!$A31,'CED TB'!F:F)</f>
        <v/>
      </c>
      <c r="S31" s="37">
        <f>SUMIF('CED TB'!$R:$R,'CED P&amp;L'!$A31,'CED TB'!G:G)</f>
        <v/>
      </c>
      <c r="T31" s="37">
        <f>SUMIF('CED TB'!$R:$R,'CED P&amp;L'!$A31,'CED TB'!H:H)</f>
        <v/>
      </c>
      <c r="U31" s="37">
        <f>SUMIF('CED TB'!$R:$R,'CED P&amp;L'!$A31,'CED TB'!I:I)</f>
        <v/>
      </c>
      <c r="V31" s="38" t="n">
        <v>100</v>
      </c>
      <c r="W31" s="38" t="n">
        <v>100</v>
      </c>
      <c r="X31" s="38" t="n">
        <v>100</v>
      </c>
      <c r="Y31" s="38" t="n">
        <v>100</v>
      </c>
      <c r="Z31" s="38" t="n">
        <v>100</v>
      </c>
      <c r="AA31" s="36">
        <f>SUM(O31:U31)</f>
        <v/>
      </c>
      <c r="AB31" s="36">
        <f>SUM(O31:Z31)</f>
        <v/>
      </c>
      <c r="AC31" s="38" t="n">
        <v>100</v>
      </c>
      <c r="AD31" s="38" t="n">
        <v>100</v>
      </c>
      <c r="AE31" s="38" t="n">
        <v>100</v>
      </c>
      <c r="AF31" s="38" t="n">
        <v>100</v>
      </c>
      <c r="AG31" s="38" t="n">
        <v>100</v>
      </c>
      <c r="AH31" s="38" t="n">
        <v>100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199</v>
      </c>
      <c r="C32" s="35" t="n">
        <v>155.17</v>
      </c>
      <c r="D32" s="35" t="n">
        <v>155.48</v>
      </c>
      <c r="E32" s="35" t="n">
        <v>187.34</v>
      </c>
      <c r="F32" s="35" t="n">
        <v>78.37</v>
      </c>
      <c r="G32" s="35" t="n">
        <v>65.61</v>
      </c>
      <c r="H32" s="35" t="n">
        <v>513.23</v>
      </c>
      <c r="I32" s="35" t="n">
        <v>255.27</v>
      </c>
      <c r="J32" s="35" t="n">
        <v>0</v>
      </c>
      <c r="K32" s="35" t="n">
        <v>39.19</v>
      </c>
      <c r="L32" s="35" t="n">
        <v>0</v>
      </c>
      <c r="M32" s="35" t="n">
        <v>72.90000000000001</v>
      </c>
      <c r="N32" s="36">
        <f>SUM(B32:M32)</f>
        <v/>
      </c>
      <c r="O32" s="37">
        <f>SUMIF('CED TB'!$R:$R,'CED P&amp;L'!$A32,'CED TB'!C:C)</f>
        <v/>
      </c>
      <c r="P32" s="37">
        <f>SUMIF('CED TB'!$R:$R,'CED P&amp;L'!$A32,'CED TB'!D:D)</f>
        <v/>
      </c>
      <c r="Q32" s="37">
        <f>SUMIF('CED TB'!$R:$R,'CED P&amp;L'!$A32,'CED TB'!E:E)</f>
        <v/>
      </c>
      <c r="R32" s="37">
        <f>SUMIF('CED TB'!$R:$R,'CED P&amp;L'!$A32,'CED TB'!F:F)</f>
        <v/>
      </c>
      <c r="S32" s="37">
        <f>SUMIF('CED TB'!$R:$R,'CED P&amp;L'!$A32,'CED TB'!G:G)</f>
        <v/>
      </c>
      <c r="T32" s="37">
        <f>SUMIF('CED TB'!$R:$R,'CED P&amp;L'!$A32,'CED TB'!H:H)</f>
        <v/>
      </c>
      <c r="U32" s="37">
        <f>SUMIF('CED TB'!$R:$R,'CED P&amp;L'!$A32,'CED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0.005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SUMIF('CED TB'!$R:$R,'CED P&amp;L'!$A33,'CED TB'!C:C)</f>
        <v/>
      </c>
      <c r="P33" s="37">
        <f>SUMIF('CED TB'!$R:$R,'CED P&amp;L'!$A33,'CED TB'!D:D)</f>
        <v/>
      </c>
      <c r="Q33" s="37">
        <f>SUMIF('CED TB'!$R:$R,'CED P&amp;L'!$A33,'CED TB'!E:E)</f>
        <v/>
      </c>
      <c r="R33" s="37">
        <f>SUMIF('CED TB'!$R:$R,'CED P&amp;L'!$A33,'CED TB'!F:F)</f>
        <v/>
      </c>
      <c r="S33" s="37">
        <f>SUMIF('CED TB'!$R:$R,'CED P&amp;L'!$A33,'CED TB'!G:G)</f>
        <v/>
      </c>
      <c r="T33" s="37">
        <f>SUMIF('CED TB'!$R:$R,'CED P&amp;L'!$A33,'CED TB'!H:H)</f>
        <v/>
      </c>
      <c r="U33" s="37">
        <f>SUMIF('CED TB'!$R:$R,'CED P&amp;L'!$A33,'CED TB'!I:I)</f>
        <v/>
      </c>
      <c r="V33" s="38" t="n">
        <v>0</v>
      </c>
      <c r="W33" s="38" t="n">
        <v>0</v>
      </c>
      <c r="X33" s="38" t="n">
        <v>0</v>
      </c>
      <c r="Y33" s="38" t="n">
        <v>0</v>
      </c>
      <c r="Z33" s="38" t="n">
        <v>0</v>
      </c>
      <c r="AA33" s="36">
        <f>SUM(O33:U33)</f>
        <v/>
      </c>
      <c r="AB33" s="36">
        <f>SUM(O33:Z33)</f>
        <v/>
      </c>
      <c r="AC33" s="38" t="n">
        <v>0</v>
      </c>
      <c r="AD33" s="38" t="n">
        <v>0</v>
      </c>
      <c r="AE33" s="38" t="n">
        <v>0</v>
      </c>
      <c r="AF33" s="38" t="n">
        <v>0</v>
      </c>
      <c r="AG33" s="38" t="n">
        <v>0</v>
      </c>
      <c r="AH33" s="38" t="n">
        <v>0</v>
      </c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1750.88</v>
      </c>
      <c r="C34" s="42" t="n">
        <v>1341.47</v>
      </c>
      <c r="D34" s="42" t="n">
        <v>1422.78</v>
      </c>
      <c r="E34" s="42" t="n">
        <v>1368.34</v>
      </c>
      <c r="F34" s="42" t="n">
        <v>2181.3</v>
      </c>
      <c r="G34" s="42" t="n">
        <v>4010.75</v>
      </c>
      <c r="H34" s="42" t="n">
        <v>2233.18</v>
      </c>
      <c r="I34" s="42" t="n">
        <v>2334.650000000001</v>
      </c>
      <c r="J34" s="42" t="n">
        <v>1612.96</v>
      </c>
      <c r="K34" s="42" t="n">
        <v>1945.78</v>
      </c>
      <c r="L34" s="42" t="n">
        <v>1666.79</v>
      </c>
      <c r="M34" s="42" t="n">
        <v>1271.89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SUMIF('CED TB'!$R:$R,'CED P&amp;L'!$A36,'CED TB'!C:C)</f>
        <v/>
      </c>
      <c r="P36" s="37">
        <f>SUMIF('CED TB'!$R:$R,'CED P&amp;L'!$A36,'CED TB'!D:D)</f>
        <v/>
      </c>
      <c r="Q36" s="37">
        <f>SUMIF('CED TB'!$R:$R,'CED P&amp;L'!$A36,'CED TB'!E:E)</f>
        <v/>
      </c>
      <c r="R36" s="37">
        <f>SUMIF('CED TB'!$R:$R,'CED P&amp;L'!$A36,'CED TB'!F:F)</f>
        <v/>
      </c>
      <c r="S36" s="37">
        <f>SUMIF('CED TB'!$R:$R,'CED P&amp;L'!$A36,'CED TB'!G:G)</f>
        <v/>
      </c>
      <c r="T36" s="37">
        <f>SUMIF('CED TB'!$R:$R,'CED P&amp;L'!$A36,'CED TB'!H:H)</f>
        <v/>
      </c>
      <c r="U36" s="37">
        <f>SUMIF('CED TB'!$R:$R,'CED P&amp;L'!$A36,'CED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769.29</v>
      </c>
      <c r="C37" s="35" t="n">
        <v>769.29</v>
      </c>
      <c r="D37" s="35" t="n">
        <v>769.29</v>
      </c>
      <c r="E37" s="35" t="n">
        <v>769.29</v>
      </c>
      <c r="F37" s="35" t="n">
        <v>769.29</v>
      </c>
      <c r="G37" s="35" t="n">
        <v>769.29</v>
      </c>
      <c r="H37" s="35" t="n">
        <v>769.29</v>
      </c>
      <c r="I37" s="35" t="n">
        <v>769.29</v>
      </c>
      <c r="J37" s="35" t="n">
        <v>769.29</v>
      </c>
      <c r="K37" s="35" t="n">
        <v>769.29</v>
      </c>
      <c r="L37" s="35" t="n">
        <v>769.29</v>
      </c>
      <c r="M37" s="35" t="n">
        <v>769.29</v>
      </c>
      <c r="N37" s="36">
        <f>SUM(B37:M37)</f>
        <v/>
      </c>
      <c r="O37" s="37">
        <f>SUMIF('CED TB'!$R:$R,'CED P&amp;L'!$A37,'CED TB'!C:C)</f>
        <v/>
      </c>
      <c r="P37" s="37">
        <f>SUMIF('CED TB'!$R:$R,'CED P&amp;L'!$A37,'CED TB'!D:D)</f>
        <v/>
      </c>
      <c r="Q37" s="37">
        <f>SUMIF('CED TB'!$R:$R,'CED P&amp;L'!$A37,'CED TB'!E:E)</f>
        <v/>
      </c>
      <c r="R37" s="37">
        <f>SUMIF('CED TB'!$R:$R,'CED P&amp;L'!$A37,'CED TB'!F:F)</f>
        <v/>
      </c>
      <c r="S37" s="37">
        <f>SUMIF('CED TB'!$R:$R,'CED P&amp;L'!$A37,'CED TB'!G:G)</f>
        <v/>
      </c>
      <c r="T37" s="37">
        <f>SUMIF('CED TB'!$R:$R,'CED P&amp;L'!$A37,'CED TB'!H:H)</f>
        <v/>
      </c>
      <c r="U37" s="37">
        <f>SUMIF('CED TB'!$R:$R,'CED P&amp;L'!$A37,'CED TB'!I:I)</f>
        <v/>
      </c>
      <c r="V37" s="38" t="n">
        <v>736.67</v>
      </c>
      <c r="W37" s="38" t="n">
        <v>736.67</v>
      </c>
      <c r="X37" s="38" t="n">
        <v>736.67</v>
      </c>
      <c r="Y37" s="38" t="n">
        <v>736.67</v>
      </c>
      <c r="Z37" s="38" t="n">
        <v>736.67</v>
      </c>
      <c r="AA37" s="36">
        <f>SUM(O37:U37)</f>
        <v/>
      </c>
      <c r="AB37" s="36">
        <f>SUM(O37:Z37)</f>
        <v/>
      </c>
      <c r="AC37" s="38" t="n">
        <v>736.67</v>
      </c>
      <c r="AD37" s="38" t="n">
        <v>736.67</v>
      </c>
      <c r="AE37" s="38" t="n">
        <v>736.67</v>
      </c>
      <c r="AF37" s="38" t="n">
        <v>736.67</v>
      </c>
      <c r="AG37" s="38" t="n">
        <v>736.67</v>
      </c>
      <c r="AH37" s="38" t="n">
        <v>736.67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876.66</v>
      </c>
      <c r="C38" s="35" t="n">
        <v>427.76</v>
      </c>
      <c r="D38" s="35" t="n">
        <v>1456.67</v>
      </c>
      <c r="E38" s="35" t="n">
        <v>-952.9899999999998</v>
      </c>
      <c r="F38" s="35" t="n">
        <v>898.87</v>
      </c>
      <c r="G38" s="35" t="n">
        <v>314.48</v>
      </c>
      <c r="H38" s="35" t="n">
        <v>283.44</v>
      </c>
      <c r="I38" s="35" t="n">
        <v>288.93</v>
      </c>
      <c r="J38" s="35" t="n">
        <v>180.99</v>
      </c>
      <c r="K38" s="35" t="n">
        <v>399.17</v>
      </c>
      <c r="L38" s="35" t="n">
        <v>339.71</v>
      </c>
      <c r="M38" s="35" t="n">
        <v>38.67000000000002</v>
      </c>
      <c r="N38" s="36">
        <f>SUM(B38:M38)</f>
        <v/>
      </c>
      <c r="O38" s="37">
        <f>SUMIF('CED TB'!$R:$R,'CED P&amp;L'!$A38,'CED TB'!C:C)</f>
        <v/>
      </c>
      <c r="P38" s="37">
        <f>SUMIF('CED TB'!$R:$R,'CED P&amp;L'!$A38,'CED TB'!D:D)</f>
        <v/>
      </c>
      <c r="Q38" s="37">
        <f>SUMIF('CED TB'!$R:$R,'CED P&amp;L'!$A38,'CED TB'!E:E)</f>
        <v/>
      </c>
      <c r="R38" s="37">
        <f>SUMIF('CED TB'!$R:$R,'CED P&amp;L'!$A38,'CED TB'!F:F)</f>
        <v/>
      </c>
      <c r="S38" s="37">
        <f>SUMIF('CED TB'!$R:$R,'CED P&amp;L'!$A38,'CED TB'!G:G)</f>
        <v/>
      </c>
      <c r="T38" s="37">
        <f>SUMIF('CED TB'!$R:$R,'CED P&amp;L'!$A38,'CED TB'!H:H)</f>
        <v/>
      </c>
      <c r="U38" s="37">
        <f>SUMIF('CED TB'!$R:$R,'CED P&amp;L'!$A38,'CED TB'!I:I)</f>
        <v/>
      </c>
      <c r="V38" s="38" t="n">
        <v>448</v>
      </c>
      <c r="W38" s="38" t="n">
        <v>448</v>
      </c>
      <c r="X38" s="38" t="n">
        <v>448</v>
      </c>
      <c r="Y38" s="38" t="n">
        <v>448</v>
      </c>
      <c r="Z38" s="38" t="n">
        <v>448</v>
      </c>
      <c r="AA38" s="36">
        <f>SUM(O38:U38)</f>
        <v/>
      </c>
      <c r="AB38" s="36">
        <f>SUM(O38:Z38)</f>
        <v/>
      </c>
      <c r="AC38" s="38" t="n">
        <v>448</v>
      </c>
      <c r="AD38" s="38" t="n">
        <v>448</v>
      </c>
      <c r="AE38" s="38" t="n">
        <v>448</v>
      </c>
      <c r="AF38" s="38" t="n">
        <v>448</v>
      </c>
      <c r="AG38" s="38" t="n">
        <v>448</v>
      </c>
      <c r="AH38" s="38" t="n">
        <v>448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622.5700000000001</v>
      </c>
      <c r="C39" s="35" t="n">
        <v>29.99</v>
      </c>
      <c r="D39" s="35" t="n">
        <v>0</v>
      </c>
      <c r="E39" s="35" t="n">
        <v>0</v>
      </c>
      <c r="F39" s="35" t="n">
        <v>39.52</v>
      </c>
      <c r="G39" s="35" t="n">
        <v>38.49</v>
      </c>
      <c r="H39" s="35" t="n">
        <v>11.88</v>
      </c>
      <c r="I39" s="35" t="n">
        <v>4.99</v>
      </c>
      <c r="J39" s="35" t="n">
        <v>198.21</v>
      </c>
      <c r="K39" s="35" t="n">
        <v>11</v>
      </c>
      <c r="L39" s="35" t="n">
        <v>495.9599999999999</v>
      </c>
      <c r="M39" s="35" t="n">
        <v>747.47</v>
      </c>
      <c r="N39" s="36">
        <f>SUM(B39:M39)</f>
        <v/>
      </c>
      <c r="O39" s="37">
        <f>SUMIF('CED TB'!$R:$R,'CED P&amp;L'!$A39,'CED TB'!C:C)</f>
        <v/>
      </c>
      <c r="P39" s="37">
        <f>SUMIF('CED TB'!$R:$R,'CED P&amp;L'!$A39,'CED TB'!D:D)</f>
        <v/>
      </c>
      <c r="Q39" s="37">
        <f>SUMIF('CED TB'!$R:$R,'CED P&amp;L'!$A39,'CED TB'!E:E)</f>
        <v/>
      </c>
      <c r="R39" s="37">
        <f>SUMIF('CED TB'!$R:$R,'CED P&amp;L'!$A39,'CED TB'!F:F)</f>
        <v/>
      </c>
      <c r="S39" s="37">
        <f>SUMIF('CED TB'!$R:$R,'CED P&amp;L'!$A39,'CED TB'!G:G)</f>
        <v/>
      </c>
      <c r="T39" s="37">
        <f>SUMIF('CED TB'!$R:$R,'CED P&amp;L'!$A39,'CED TB'!H:H)</f>
        <v/>
      </c>
      <c r="U39" s="37">
        <f>SUMIF('CED TB'!$R:$R,'CED P&amp;L'!$A39,'CED TB'!I:I)</f>
        <v/>
      </c>
      <c r="V39" s="38" t="n">
        <v>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277.47</v>
      </c>
      <c r="C40" s="35" t="n">
        <v>312.04</v>
      </c>
      <c r="D40" s="35" t="n">
        <v>97.81999999999999</v>
      </c>
      <c r="E40" s="35" t="n">
        <v>304.23</v>
      </c>
      <c r="F40" s="35" t="n">
        <v>397.89</v>
      </c>
      <c r="G40" s="35" t="n">
        <v>132.94</v>
      </c>
      <c r="H40" s="35" t="n">
        <v>215.21</v>
      </c>
      <c r="I40" s="35" t="n">
        <v>111.14</v>
      </c>
      <c r="J40" s="35" t="n">
        <v>34.12</v>
      </c>
      <c r="K40" s="35" t="n">
        <v>237.1</v>
      </c>
      <c r="L40" s="35" t="n">
        <v>312.9</v>
      </c>
      <c r="M40" s="35" t="n">
        <v>226.92</v>
      </c>
      <c r="N40" s="36">
        <f>SUM(B40:M40)</f>
        <v/>
      </c>
      <c r="O40" s="37">
        <f>SUMIF('CED TB'!$R:$R,'CED P&amp;L'!$A40,'CED TB'!C:C)</f>
        <v/>
      </c>
      <c r="P40" s="37">
        <f>SUMIF('CED TB'!$R:$R,'CED P&amp;L'!$A40,'CED TB'!D:D)</f>
        <v/>
      </c>
      <c r="Q40" s="37">
        <f>SUMIF('CED TB'!$R:$R,'CED P&amp;L'!$A40,'CED TB'!E:E)</f>
        <v/>
      </c>
      <c r="R40" s="37">
        <f>SUMIF('CED TB'!$R:$R,'CED P&amp;L'!$A40,'CED TB'!F:F)</f>
        <v/>
      </c>
      <c r="S40" s="37">
        <f>SUMIF('CED TB'!$R:$R,'CED P&amp;L'!$A40,'CED TB'!G:G)</f>
        <v/>
      </c>
      <c r="T40" s="37">
        <f>SUMIF('CED TB'!$R:$R,'CED P&amp;L'!$A40,'CED TB'!H:H)</f>
        <v/>
      </c>
      <c r="U40" s="37">
        <f>SUMIF('CED TB'!$R:$R,'CED P&amp;L'!$A40,'CED TB'!I:I)</f>
        <v/>
      </c>
      <c r="V40" s="38" t="n">
        <v>210</v>
      </c>
      <c r="W40" s="38" t="n">
        <v>210</v>
      </c>
      <c r="X40" s="38" t="n">
        <v>210</v>
      </c>
      <c r="Y40" s="38" t="n">
        <v>210</v>
      </c>
      <c r="Z40" s="38" t="n">
        <v>210</v>
      </c>
      <c r="AA40" s="36">
        <f>SUM(O40:U40)</f>
        <v/>
      </c>
      <c r="AB40" s="36">
        <f>SUM(O40:Z40)</f>
        <v/>
      </c>
      <c r="AC40" s="38" t="n">
        <v>210</v>
      </c>
      <c r="AD40" s="38" t="n">
        <v>210</v>
      </c>
      <c r="AE40" s="38" t="n">
        <v>210</v>
      </c>
      <c r="AF40" s="38" t="n">
        <v>210</v>
      </c>
      <c r="AG40" s="38" t="n">
        <v>210</v>
      </c>
      <c r="AH40" s="38" t="n">
        <v>210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204</v>
      </c>
      <c r="C41" s="35" t="n">
        <v>377.46</v>
      </c>
      <c r="D41" s="35" t="n">
        <v>255</v>
      </c>
      <c r="E41" s="35" t="n">
        <v>398.32</v>
      </c>
      <c r="F41" s="35" t="n">
        <v>282.34</v>
      </c>
      <c r="G41" s="35" t="n">
        <v>296.99</v>
      </c>
      <c r="H41" s="35" t="n">
        <v>243.58</v>
      </c>
      <c r="I41" s="35" t="n">
        <v>243.58</v>
      </c>
      <c r="J41" s="35" t="n">
        <v>404.69</v>
      </c>
      <c r="K41" s="35" t="n">
        <v>243.58</v>
      </c>
      <c r="L41" s="35" t="n">
        <v>338.48</v>
      </c>
      <c r="M41" s="35" t="n">
        <v>391.89</v>
      </c>
      <c r="N41" s="36">
        <f>SUM(B41:M41)</f>
        <v/>
      </c>
      <c r="O41" s="37">
        <f>SUMIF('CED TB'!$R:$R,'CED P&amp;L'!$A41,'CED TB'!C:C)</f>
        <v/>
      </c>
      <c r="P41" s="37">
        <f>SUMIF('CED TB'!$R:$R,'CED P&amp;L'!$A41,'CED TB'!D:D)</f>
        <v/>
      </c>
      <c r="Q41" s="37">
        <f>SUMIF('CED TB'!$R:$R,'CED P&amp;L'!$A41,'CED TB'!E:E)</f>
        <v/>
      </c>
      <c r="R41" s="37">
        <f>SUMIF('CED TB'!$R:$R,'CED P&amp;L'!$A41,'CED TB'!F:F)</f>
        <v/>
      </c>
      <c r="S41" s="37">
        <f>SUMIF('CED TB'!$R:$R,'CED P&amp;L'!$A41,'CED TB'!G:G)</f>
        <v/>
      </c>
      <c r="T41" s="37">
        <f>SUMIF('CED TB'!$R:$R,'CED P&amp;L'!$A41,'CED TB'!H:H)</f>
        <v/>
      </c>
      <c r="U41" s="37">
        <f>SUMIF('CED TB'!$R:$R,'CED P&amp;L'!$A41,'CED TB'!I:I)</f>
        <v/>
      </c>
      <c r="V41" s="38" t="n">
        <v>300</v>
      </c>
      <c r="W41" s="38" t="n">
        <v>300</v>
      </c>
      <c r="X41" s="38" t="n">
        <v>300</v>
      </c>
      <c r="Y41" s="38" t="n">
        <v>300</v>
      </c>
      <c r="Z41" s="38" t="n">
        <v>300</v>
      </c>
      <c r="AA41" s="36">
        <f>SUM(O41:U41)</f>
        <v/>
      </c>
      <c r="AB41" s="36">
        <f>SUM(O41:Z41)</f>
        <v/>
      </c>
      <c r="AC41" s="38" t="n">
        <v>300</v>
      </c>
      <c r="AD41" s="38" t="n">
        <v>300</v>
      </c>
      <c r="AE41" s="38" t="n">
        <v>300</v>
      </c>
      <c r="AF41" s="38" t="n">
        <v>300</v>
      </c>
      <c r="AG41" s="38" t="n">
        <v>300</v>
      </c>
      <c r="AH41" s="38" t="n">
        <v>300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52.02</v>
      </c>
      <c r="C42" s="35" t="n">
        <v>41.97</v>
      </c>
      <c r="D42" s="35" t="n">
        <v>46.18</v>
      </c>
      <c r="E42" s="35" t="n">
        <v>47.3</v>
      </c>
      <c r="F42" s="35" t="n">
        <v>35.68</v>
      </c>
      <c r="G42" s="35" t="n">
        <v>66.40000000000001</v>
      </c>
      <c r="H42" s="35" t="n">
        <v>372.16</v>
      </c>
      <c r="I42" s="35" t="n">
        <v>41.5</v>
      </c>
      <c r="J42" s="35" t="n">
        <v>78.95</v>
      </c>
      <c r="K42" s="35" t="n">
        <v>83.34</v>
      </c>
      <c r="L42" s="35" t="n">
        <v>36.06</v>
      </c>
      <c r="M42" s="35" t="n">
        <v>79.34999999999999</v>
      </c>
      <c r="N42" s="36">
        <f>SUM(B42:M42)</f>
        <v/>
      </c>
      <c r="O42" s="37">
        <f>SUMIF('CED TB'!$R:$R,'CED P&amp;L'!$A42,'CED TB'!C:C)</f>
        <v/>
      </c>
      <c r="P42" s="37">
        <f>SUMIF('CED TB'!$R:$R,'CED P&amp;L'!$A42,'CED TB'!D:D)</f>
        <v/>
      </c>
      <c r="Q42" s="37">
        <f>SUMIF('CED TB'!$R:$R,'CED P&amp;L'!$A42,'CED TB'!E:E)</f>
        <v/>
      </c>
      <c r="R42" s="37">
        <f>SUMIF('CED TB'!$R:$R,'CED P&amp;L'!$A42,'CED TB'!F:F)</f>
        <v/>
      </c>
      <c r="S42" s="37">
        <f>SUMIF('CED TB'!$R:$R,'CED P&amp;L'!$A42,'CED TB'!G:G)</f>
        <v/>
      </c>
      <c r="T42" s="37">
        <f>SUMIF('CED TB'!$R:$R,'CED P&amp;L'!$A42,'CED TB'!H:H)</f>
        <v/>
      </c>
      <c r="U42" s="37">
        <f>SUMIF('CED TB'!$R:$R,'CED P&amp;L'!$A42,'CED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SUMIF('CED TB'!$R:$R,'CED P&amp;L'!$A43,'CED TB'!C:C)</f>
        <v/>
      </c>
      <c r="P43" s="37">
        <f>SUMIF('CED TB'!$R:$R,'CED P&amp;L'!$A43,'CED TB'!D:D)</f>
        <v/>
      </c>
      <c r="Q43" s="37">
        <f>SUMIF('CED TB'!$R:$R,'CED P&amp;L'!$A43,'CED TB'!E:E)</f>
        <v/>
      </c>
      <c r="R43" s="37">
        <f>SUMIF('CED TB'!$R:$R,'CED P&amp;L'!$A43,'CED TB'!F:F)</f>
        <v/>
      </c>
      <c r="S43" s="37">
        <f>SUMIF('CED TB'!$R:$R,'CED P&amp;L'!$A43,'CED TB'!G:G)</f>
        <v/>
      </c>
      <c r="T43" s="37">
        <f>SUMIF('CED TB'!$R:$R,'CED P&amp;L'!$A43,'CED TB'!H:H)</f>
        <v/>
      </c>
      <c r="U43" s="37">
        <f>SUMIF('CED TB'!$R:$R,'CED P&amp;L'!$A43,'CED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SUMIF('CED TB'!$R:$R,'CED P&amp;L'!$A44,'CED TB'!C:C)</f>
        <v/>
      </c>
      <c r="P44" s="37">
        <f>SUMIF('CED TB'!$R:$R,'CED P&amp;L'!$A44,'CED TB'!D:D)</f>
        <v/>
      </c>
      <c r="Q44" s="37">
        <f>SUMIF('CED TB'!$R:$R,'CED P&amp;L'!$A44,'CED TB'!E:E)</f>
        <v/>
      </c>
      <c r="R44" s="37">
        <f>SUMIF('CED TB'!$R:$R,'CED P&amp;L'!$A44,'CED TB'!F:F)</f>
        <v/>
      </c>
      <c r="S44" s="37">
        <f>SUMIF('CED TB'!$R:$R,'CED P&amp;L'!$A44,'CED TB'!G:G)</f>
        <v/>
      </c>
      <c r="T44" s="37">
        <f>SUMIF('CED TB'!$R:$R,'CED P&amp;L'!$A44,'CED TB'!H:H)</f>
        <v/>
      </c>
      <c r="U44" s="37">
        <f>SUMIF('CED TB'!$R:$R,'CED P&amp;L'!$A44,'CED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220</v>
      </c>
      <c r="D45" s="35" t="n">
        <v>0</v>
      </c>
      <c r="E45" s="35" t="n">
        <v>0</v>
      </c>
      <c r="F45" s="35" t="n">
        <v>0</v>
      </c>
      <c r="G45" s="35" t="n">
        <v>3.98</v>
      </c>
      <c r="H45" s="35" t="n">
        <v>3.75</v>
      </c>
      <c r="I45" s="35" t="n">
        <v>90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SUMIF('CED TB'!$R:$R,'CED P&amp;L'!$A45,'CED TB'!C:C)</f>
        <v/>
      </c>
      <c r="P45" s="37">
        <f>SUMIF('CED TB'!$R:$R,'CED P&amp;L'!$A45,'CED TB'!D:D)</f>
        <v/>
      </c>
      <c r="Q45" s="37">
        <f>SUMIF('CED TB'!$R:$R,'CED P&amp;L'!$A45,'CED TB'!E:E)</f>
        <v/>
      </c>
      <c r="R45" s="37">
        <f>SUMIF('CED TB'!$R:$R,'CED P&amp;L'!$A45,'CED TB'!F:F)</f>
        <v/>
      </c>
      <c r="S45" s="37">
        <f>SUMIF('CED TB'!$R:$R,'CED P&amp;L'!$A45,'CED TB'!G:G)</f>
        <v/>
      </c>
      <c r="T45" s="37">
        <f>SUMIF('CED TB'!$R:$R,'CED P&amp;L'!$A45,'CED TB'!H:H)</f>
        <v/>
      </c>
      <c r="U45" s="37">
        <f>SUMIF('CED TB'!$R:$R,'CED P&amp;L'!$A45,'CED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SUMIF('CED TB'!$R:$R,'CED P&amp;L'!$A46,'CED TB'!C:C)</f>
        <v/>
      </c>
      <c r="P46" s="37">
        <f>SUMIF('CED TB'!$R:$R,'CED P&amp;L'!$A46,'CED TB'!D:D)</f>
        <v/>
      </c>
      <c r="Q46" s="37">
        <f>SUMIF('CED TB'!$R:$R,'CED P&amp;L'!$A46,'CED TB'!E:E)</f>
        <v/>
      </c>
      <c r="R46" s="37">
        <f>SUMIF('CED TB'!$R:$R,'CED P&amp;L'!$A46,'CED TB'!F:F)</f>
        <v/>
      </c>
      <c r="S46" s="37">
        <f>SUMIF('CED TB'!$R:$R,'CED P&amp;L'!$A46,'CED TB'!G:G)</f>
        <v/>
      </c>
      <c r="T46" s="37">
        <f>SUMIF('CED TB'!$R:$R,'CED P&amp;L'!$A46,'CED TB'!H:H)</f>
        <v/>
      </c>
      <c r="U46" s="37">
        <f>SUMIF('CED TB'!$R:$R,'CED P&amp;L'!$A46,'CED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2802.01</v>
      </c>
      <c r="C47" s="42" t="n">
        <v>2178.51</v>
      </c>
      <c r="D47" s="42" t="n">
        <v>2624.96</v>
      </c>
      <c r="E47" s="42" t="n">
        <v>566.1500000000001</v>
      </c>
      <c r="F47" s="42" t="n">
        <v>2423.59</v>
      </c>
      <c r="G47" s="42" t="n">
        <v>1622.57</v>
      </c>
      <c r="H47" s="42" t="n">
        <v>1899.31</v>
      </c>
      <c r="I47" s="42" t="n">
        <v>1549.43</v>
      </c>
      <c r="J47" s="42" t="n">
        <v>1666.25</v>
      </c>
      <c r="K47" s="42" t="n">
        <v>1743.48</v>
      </c>
      <c r="L47" s="42" t="n">
        <v>2292.4</v>
      </c>
      <c r="M47" s="42" t="n">
        <v>2253.59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22004.04</v>
      </c>
      <c r="C48" s="23" t="n">
        <v>26023.04</v>
      </c>
      <c r="D48" s="23" t="n">
        <v>22586.49</v>
      </c>
      <c r="E48" s="23" t="n">
        <v>23825.61</v>
      </c>
      <c r="F48" s="23" t="n">
        <v>26520.23</v>
      </c>
      <c r="G48" s="23" t="n">
        <v>23613.18</v>
      </c>
      <c r="H48" s="23" t="n">
        <v>25684.83</v>
      </c>
      <c r="I48" s="23" t="n">
        <v>20574.93</v>
      </c>
      <c r="J48" s="23" t="n">
        <v>26120.93</v>
      </c>
      <c r="K48" s="23" t="n">
        <v>24978.01</v>
      </c>
      <c r="L48" s="23" t="n">
        <v>24712.96</v>
      </c>
      <c r="M48" s="23" t="n">
        <v>32340.73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7802.119999999999</v>
      </c>
      <c r="C50" s="55" t="n">
        <v>9313.829999999994</v>
      </c>
      <c r="D50" s="55" t="n">
        <v>19870.49000000001</v>
      </c>
      <c r="E50" s="55" t="n">
        <v>10041.95</v>
      </c>
      <c r="F50" s="55" t="n">
        <v>34.88000000000466</v>
      </c>
      <c r="G50" s="55" t="n">
        <v>13883.58</v>
      </c>
      <c r="H50" s="55" t="n">
        <v>17477.75</v>
      </c>
      <c r="I50" s="55" t="n">
        <v>1925.619999999999</v>
      </c>
      <c r="J50" s="55" t="n">
        <v>-189.0799999999981</v>
      </c>
      <c r="K50" s="55" t="n">
        <v>7037.09</v>
      </c>
      <c r="L50" s="55" t="n">
        <v>5871.779999999999</v>
      </c>
      <c r="M50" s="55" t="n">
        <v>7885.799999999996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SUMIF('CED TB'!$R:$R,'CED P&amp;L'!$A53,'CED TB'!C:C)</f>
        <v/>
      </c>
      <c r="P53" s="37">
        <f>SUMIF('CED TB'!$R:$R,'CED P&amp;L'!$A53,'CED TB'!D:D)</f>
        <v/>
      </c>
      <c r="Q53" s="37">
        <f>SUMIF('CED TB'!$R:$R,'CED P&amp;L'!$A53,'CED TB'!E:E)</f>
        <v/>
      </c>
      <c r="R53" s="37">
        <f>SUMIF('CED TB'!$R:$R,'CED P&amp;L'!$A53,'CED TB'!F:F)</f>
        <v/>
      </c>
      <c r="S53" s="37">
        <f>SUMIF('CED TB'!$R:$R,'CED P&amp;L'!$A53,'CED TB'!G:G)</f>
        <v/>
      </c>
      <c r="T53" s="37">
        <f>SUMIF('CED TB'!$R:$R,'CED P&amp;L'!$A53,'CED TB'!H:H)</f>
        <v/>
      </c>
      <c r="U53" s="37">
        <f>SUMIF('CED TB'!$R:$R,'CED P&amp;L'!$A53,'CED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SUMIF('CED TB'!$R:$R,'CED P&amp;L'!$A54,'CED TB'!C:C)</f>
        <v/>
      </c>
      <c r="P54" s="37">
        <f>SUMIF('CED TB'!$R:$R,'CED P&amp;L'!$A54,'CED TB'!D:D)</f>
        <v/>
      </c>
      <c r="Q54" s="37">
        <f>SUMIF('CED TB'!$R:$R,'CED P&amp;L'!$A54,'CED TB'!E:E)</f>
        <v/>
      </c>
      <c r="R54" s="37">
        <f>SUMIF('CED TB'!$R:$R,'CED P&amp;L'!$A54,'CED TB'!F:F)</f>
        <v/>
      </c>
      <c r="S54" s="37">
        <f>SUMIF('CED TB'!$R:$R,'CED P&amp;L'!$A54,'CED TB'!G:G)</f>
        <v/>
      </c>
      <c r="T54" s="37">
        <f>SUMIF('CED TB'!$R:$R,'CED P&amp;L'!$A54,'CED TB'!H:H)</f>
        <v/>
      </c>
      <c r="U54" s="37">
        <f>SUMIF('CED TB'!$R:$R,'CED P&amp;L'!$A54,'CED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SUMIF('CED TB'!$R:$R,'CED P&amp;L'!$A55,'CED TB'!C:C)</f>
        <v/>
      </c>
      <c r="P55" s="37">
        <f>SUMIF('CED TB'!$R:$R,'CED P&amp;L'!$A55,'CED TB'!D:D)</f>
        <v/>
      </c>
      <c r="Q55" s="37">
        <f>SUMIF('CED TB'!$R:$R,'CED P&amp;L'!$A55,'CED TB'!E:E)</f>
        <v/>
      </c>
      <c r="R55" s="37">
        <f>SUMIF('CED TB'!$R:$R,'CED P&amp;L'!$A55,'CED TB'!F:F)</f>
        <v/>
      </c>
      <c r="S55" s="37">
        <f>SUMIF('CED TB'!$R:$R,'CED P&amp;L'!$A55,'CED TB'!G:G)</f>
        <v/>
      </c>
      <c r="T55" s="37">
        <f>SUMIF('CED TB'!$R:$R,'CED P&amp;L'!$A55,'CED TB'!H:H)</f>
        <v/>
      </c>
      <c r="U55" s="37">
        <f>SUMIF('CED TB'!$R:$R,'CED P&amp;L'!$A55,'CED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SUMIF('CED TB'!$R:$R,'CED P&amp;L'!$A56,'CED TB'!C:C)</f>
        <v/>
      </c>
      <c r="P56" s="37">
        <f>SUMIF('CED TB'!$R:$R,'CED P&amp;L'!$A56,'CED TB'!D:D)</f>
        <v/>
      </c>
      <c r="Q56" s="37">
        <f>SUMIF('CED TB'!$R:$R,'CED P&amp;L'!$A56,'CED TB'!E:E)</f>
        <v/>
      </c>
      <c r="R56" s="37">
        <f>SUMIF('CED TB'!$R:$R,'CED P&amp;L'!$A56,'CED TB'!F:F)</f>
        <v/>
      </c>
      <c r="S56" s="37">
        <f>SUMIF('CED TB'!$R:$R,'CED P&amp;L'!$A56,'CED TB'!G:G)</f>
        <v/>
      </c>
      <c r="T56" s="37">
        <f>SUMIF('CED TB'!$R:$R,'CED P&amp;L'!$A56,'CED TB'!H:H)</f>
        <v/>
      </c>
      <c r="U56" s="37">
        <f>SUMIF('CED TB'!$R:$R,'CED P&amp;L'!$A56,'CED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0</v>
      </c>
      <c r="N57" s="36">
        <f>SUM(B57:M57)</f>
        <v/>
      </c>
      <c r="O57" s="37">
        <f>SUMIF('CED TB'!$R:$R,'CED P&amp;L'!$A57,'CED TB'!C:C)</f>
        <v/>
      </c>
      <c r="P57" s="37">
        <f>SUMIF('CED TB'!$R:$R,'CED P&amp;L'!$A57,'CED TB'!D:D)</f>
        <v/>
      </c>
      <c r="Q57" s="37">
        <f>SUMIF('CED TB'!$R:$R,'CED P&amp;L'!$A57,'CED TB'!E:E)</f>
        <v/>
      </c>
      <c r="R57" s="37">
        <f>SUMIF('CED TB'!$R:$R,'CED P&amp;L'!$A57,'CED TB'!F:F)</f>
        <v/>
      </c>
      <c r="S57" s="37">
        <f>SUMIF('CED TB'!$R:$R,'CED P&amp;L'!$A57,'CED TB'!G:G)</f>
        <v/>
      </c>
      <c r="T57" s="37">
        <f>SUMIF('CED TB'!$R:$R,'CED P&amp;L'!$A57,'CED TB'!H:H)</f>
        <v/>
      </c>
      <c r="U57" s="37">
        <f>SUMIF('CED TB'!$R:$R,'CED P&amp;L'!$A57,'CED TB'!I:I)</f>
        <v/>
      </c>
      <c r="V57" s="38" t="n"/>
      <c r="W57" s="38" t="n"/>
      <c r="X57" s="38" t="n"/>
      <c r="Y57" s="38" t="n"/>
      <c r="Z57" s="38">
        <f>30*10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SUMIF('CED TB'!$R:$R,'CED P&amp;L'!$A58,'CED TB'!C:C)</f>
        <v/>
      </c>
      <c r="P58" s="37">
        <f>SUMIF('CED TB'!$R:$R,'CED P&amp;L'!$A58,'CED TB'!D:D)</f>
        <v/>
      </c>
      <c r="Q58" s="37">
        <f>SUMIF('CED TB'!$R:$R,'CED P&amp;L'!$A58,'CED TB'!E:E)</f>
        <v/>
      </c>
      <c r="R58" s="37">
        <f>SUMIF('CED TB'!$R:$R,'CED P&amp;L'!$A58,'CED TB'!F:F)</f>
        <v/>
      </c>
      <c r="S58" s="37">
        <f>SUMIF('CED TB'!$R:$R,'CED P&amp;L'!$A58,'CED TB'!G:G)</f>
        <v/>
      </c>
      <c r="T58" s="37">
        <f>SUMIF('CED TB'!$R:$R,'CED P&amp;L'!$A58,'CED TB'!H:H)</f>
        <v/>
      </c>
      <c r="U58" s="37">
        <f>SUMIF('CED TB'!$R:$R,'CED P&amp;L'!$A58,'CED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SUMIF('CED TB'!$R:$R,'CED P&amp;L'!$A59,'CED TB'!C:C)</f>
        <v/>
      </c>
      <c r="P59" s="37">
        <f>SUMIF('CED TB'!$R:$R,'CED P&amp;L'!$A59,'CED TB'!D:D)</f>
        <v/>
      </c>
      <c r="Q59" s="37">
        <f>SUMIF('CED TB'!$R:$R,'CED P&amp;L'!$A59,'CED TB'!E:E)</f>
        <v/>
      </c>
      <c r="R59" s="37">
        <f>SUMIF('CED TB'!$R:$R,'CED P&amp;L'!$A59,'CED TB'!F:F)</f>
        <v/>
      </c>
      <c r="S59" s="37">
        <f>SUMIF('CED TB'!$R:$R,'CED P&amp;L'!$A59,'CED TB'!G:G)</f>
        <v/>
      </c>
      <c r="T59" s="37">
        <f>SUMIF('CED TB'!$R:$R,'CED P&amp;L'!$A59,'CED TB'!H:H)</f>
        <v/>
      </c>
      <c r="U59" s="37">
        <f>SUMIF('CED TB'!$R:$R,'CED P&amp;L'!$A59,'CED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0.6</v>
      </c>
      <c r="C60" s="35" t="n">
        <v>0.6</v>
      </c>
      <c r="D60" s="35" t="n">
        <v>1.2</v>
      </c>
      <c r="E60" s="35" t="n">
        <v>0.6</v>
      </c>
      <c r="F60" s="35" t="n">
        <v>0.6</v>
      </c>
      <c r="G60" s="35" t="n">
        <v>0.6</v>
      </c>
      <c r="H60" s="35" t="n">
        <v>0.6</v>
      </c>
      <c r="I60" s="35" t="n">
        <v>0.6</v>
      </c>
      <c r="J60" s="35" t="n">
        <v>1.8</v>
      </c>
      <c r="K60" s="35" t="n">
        <v>1.2</v>
      </c>
      <c r="L60" s="35" t="n">
        <v>1.2</v>
      </c>
      <c r="M60" s="35" t="n">
        <v>1.2</v>
      </c>
      <c r="N60" s="36">
        <f>SUM(B60:M60)</f>
        <v/>
      </c>
      <c r="O60" s="37">
        <f>SUMIF('CED TB'!$R:$R,'CED P&amp;L'!$A60,'CED TB'!C:C)</f>
        <v/>
      </c>
      <c r="P60" s="37">
        <f>SUMIF('CED TB'!$R:$R,'CED P&amp;L'!$A60,'CED TB'!D:D)</f>
        <v/>
      </c>
      <c r="Q60" s="37">
        <f>SUMIF('CED TB'!$R:$R,'CED P&amp;L'!$A60,'CED TB'!E:E)</f>
        <v/>
      </c>
      <c r="R60" s="37">
        <f>SUMIF('CED TB'!$R:$R,'CED P&amp;L'!$A60,'CED TB'!F:F)</f>
        <v/>
      </c>
      <c r="S60" s="37">
        <f>SUMIF('CED TB'!$R:$R,'CED P&amp;L'!$A60,'CED TB'!G:G)</f>
        <v/>
      </c>
      <c r="T60" s="37">
        <f>SUMIF('CED TB'!$R:$R,'CED P&amp;L'!$A60,'CED TB'!H:H)</f>
        <v/>
      </c>
      <c r="U60" s="37">
        <f>SUMIF('CED TB'!$R:$R,'CED P&amp;L'!$A60,'CED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20.98</v>
      </c>
      <c r="G61" s="35" t="n">
        <v>13.99</v>
      </c>
      <c r="H61" s="35" t="n">
        <v>131.51</v>
      </c>
      <c r="I61" s="35" t="n">
        <v>0</v>
      </c>
      <c r="J61" s="35" t="n">
        <v>0</v>
      </c>
      <c r="K61" s="35" t="n">
        <v>33.45</v>
      </c>
      <c r="L61" s="35" t="n">
        <v>31.84</v>
      </c>
      <c r="M61" s="35" t="n">
        <v>17.98</v>
      </c>
      <c r="N61" s="36">
        <f>SUM(B61:M61)</f>
        <v/>
      </c>
      <c r="O61" s="37">
        <f>SUMIF('CED TB'!$R:$R,'CED P&amp;L'!$A61,'CED TB'!C:C)</f>
        <v/>
      </c>
      <c r="P61" s="37">
        <f>SUMIF('CED TB'!$R:$R,'CED P&amp;L'!$A61,'CED TB'!D:D)</f>
        <v/>
      </c>
      <c r="Q61" s="37">
        <f>SUMIF('CED TB'!$R:$R,'CED P&amp;L'!$A61,'CED TB'!E:E)</f>
        <v/>
      </c>
      <c r="R61" s="37">
        <f>SUMIF('CED TB'!$R:$R,'CED P&amp;L'!$A61,'CED TB'!F:F)</f>
        <v/>
      </c>
      <c r="S61" s="37">
        <f>SUMIF('CED TB'!$R:$R,'CED P&amp;L'!$A61,'CED TB'!G:G)</f>
        <v/>
      </c>
      <c r="T61" s="37">
        <f>SUMIF('CED TB'!$R:$R,'CED P&amp;L'!$A61,'CED TB'!H:H)</f>
        <v/>
      </c>
      <c r="U61" s="37">
        <f>SUMIF('CED TB'!$R:$R,'CED P&amp;L'!$A61,'CED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130.6</v>
      </c>
      <c r="D62" s="35" t="n">
        <v>161</v>
      </c>
      <c r="E62" s="35" t="n">
        <v>250.71</v>
      </c>
      <c r="F62" s="35" t="n">
        <v>90</v>
      </c>
      <c r="G62" s="35" t="n">
        <v>658</v>
      </c>
      <c r="H62" s="35" t="n">
        <v>1946.8</v>
      </c>
      <c r="I62" s="35" t="n">
        <v>1638.66</v>
      </c>
      <c r="J62" s="35" t="n">
        <v>181</v>
      </c>
      <c r="K62" s="35" t="n">
        <v>0</v>
      </c>
      <c r="L62" s="35" t="n">
        <v>390</v>
      </c>
      <c r="M62" s="35" t="n">
        <v>240</v>
      </c>
      <c r="N62" s="36">
        <f>SUM(B62:M62)</f>
        <v/>
      </c>
      <c r="O62" s="37">
        <f>SUMIF('CED TB'!$R:$R,'CED P&amp;L'!$A62,'CED TB'!C:C)</f>
        <v/>
      </c>
      <c r="P62" s="37">
        <f>SUMIF('CED TB'!$R:$R,'CED P&amp;L'!$A62,'CED TB'!D:D)</f>
        <v/>
      </c>
      <c r="Q62" s="37">
        <f>SUMIF('CED TB'!$R:$R,'CED P&amp;L'!$A62,'CED TB'!E:E)</f>
        <v/>
      </c>
      <c r="R62" s="37">
        <f>SUMIF('CED TB'!$R:$R,'CED P&amp;L'!$A62,'CED TB'!F:F)</f>
        <v/>
      </c>
      <c r="S62" s="37">
        <f>SUMIF('CED TB'!$R:$R,'CED P&amp;L'!$A62,'CED TB'!G:G)</f>
        <v/>
      </c>
      <c r="T62" s="37">
        <f>SUMIF('CED TB'!$R:$R,'CED P&amp;L'!$A62,'CED TB'!H:H)</f>
        <v/>
      </c>
      <c r="U62" s="37">
        <f>SUMIF('CED TB'!$R:$R,'CED P&amp;L'!$A62,'CED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SUMIF('CED TB'!$R:$R,'CED P&amp;L'!$A63,'CED TB'!C:C)</f>
        <v/>
      </c>
      <c r="P63" s="37">
        <f>SUMIF('CED TB'!$R:$R,'CED P&amp;L'!$A63,'CED TB'!D:D)</f>
        <v/>
      </c>
      <c r="Q63" s="37">
        <f>SUMIF('CED TB'!$R:$R,'CED P&amp;L'!$A63,'CED TB'!E:E)</f>
        <v/>
      </c>
      <c r="R63" s="37">
        <f>SUMIF('CED TB'!$R:$R,'CED P&amp;L'!$A63,'CED TB'!F:F)</f>
        <v/>
      </c>
      <c r="S63" s="37">
        <f>SUMIF('CED TB'!$R:$R,'CED P&amp;L'!$A63,'CED TB'!G:G)</f>
        <v/>
      </c>
      <c r="T63" s="37">
        <f>SUMIF('CED TB'!$R:$R,'CED P&amp;L'!$A63,'CED TB'!H:H)</f>
        <v/>
      </c>
      <c r="U63" s="37">
        <f>SUMIF('CED TB'!$R:$R,'CED P&amp;L'!$A63,'CED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SUMIF('CED TB'!$R:$R,'CED P&amp;L'!$A64,'CED TB'!C:C)</f>
        <v/>
      </c>
      <c r="P64" s="37">
        <f>SUMIF('CED TB'!$R:$R,'CED P&amp;L'!$A64,'CED TB'!D:D)</f>
        <v/>
      </c>
      <c r="Q64" s="37">
        <f>SUMIF('CED TB'!$R:$R,'CED P&amp;L'!$A64,'CED TB'!E:E)</f>
        <v/>
      </c>
      <c r="R64" s="37">
        <f>SUMIF('CED TB'!$R:$R,'CED P&amp;L'!$A64,'CED TB'!F:F)</f>
        <v/>
      </c>
      <c r="S64" s="37">
        <f>SUMIF('CED TB'!$R:$R,'CED P&amp;L'!$A64,'CED TB'!G:G)</f>
        <v/>
      </c>
      <c r="T64" s="37">
        <f>SUMIF('CED TB'!$R:$R,'CED P&amp;L'!$A64,'CED TB'!H:H)</f>
        <v/>
      </c>
      <c r="U64" s="37">
        <f>SUMIF('CED TB'!$R:$R,'CED P&amp;L'!$A64,'CED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SUMIF('CED TB'!$R:$R,'CED P&amp;L'!$A65,'CED TB'!C:C)</f>
        <v/>
      </c>
      <c r="P65" s="37">
        <f>SUMIF('CED TB'!$R:$R,'CED P&amp;L'!$A65,'CED TB'!D:D)</f>
        <v/>
      </c>
      <c r="Q65" s="37">
        <f>SUMIF('CED TB'!$R:$R,'CED P&amp;L'!$A65,'CED TB'!E:E)</f>
        <v/>
      </c>
      <c r="R65" s="37">
        <f>SUMIF('CED TB'!$R:$R,'CED P&amp;L'!$A65,'CED TB'!F:F)</f>
        <v/>
      </c>
      <c r="S65" s="37">
        <f>SUMIF('CED TB'!$R:$R,'CED P&amp;L'!$A65,'CED TB'!G:G)</f>
        <v/>
      </c>
      <c r="T65" s="37">
        <f>SUMIF('CED TB'!$R:$R,'CED P&amp;L'!$A65,'CED TB'!H:H)</f>
        <v/>
      </c>
      <c r="U65" s="37">
        <f>SUMIF('CED TB'!$R:$R,'CED P&amp;L'!$A65,'CED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SUMIF('CED TB'!$R:$R,'CED P&amp;L'!$A66,'CED TB'!C:C)</f>
        <v/>
      </c>
      <c r="P66" s="37">
        <f>SUMIF('CED TB'!$R:$R,'CED P&amp;L'!$A66,'CED TB'!D:D)</f>
        <v/>
      </c>
      <c r="Q66" s="37">
        <f>SUMIF('CED TB'!$R:$R,'CED P&amp;L'!$A66,'CED TB'!E:E)</f>
        <v/>
      </c>
      <c r="R66" s="37">
        <f>SUMIF('CED TB'!$R:$R,'CED P&amp;L'!$A66,'CED TB'!F:F)</f>
        <v/>
      </c>
      <c r="S66" s="37">
        <f>SUMIF('CED TB'!$R:$R,'CED P&amp;L'!$A66,'CED TB'!G:G)</f>
        <v/>
      </c>
      <c r="T66" s="37">
        <f>SUMIF('CED TB'!$R:$R,'CED P&amp;L'!$A66,'CED TB'!H:H)</f>
        <v/>
      </c>
      <c r="U66" s="37">
        <f>SUMIF('CED TB'!$R:$R,'CED P&amp;L'!$A66,'CED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SUMIF('CED TB'!$R:$R,'CED P&amp;L'!$A67,'CED TB'!C:C)</f>
        <v/>
      </c>
      <c r="P67" s="37">
        <f>SUMIF('CED TB'!$R:$R,'CED P&amp;L'!$A67,'CED TB'!D:D)</f>
        <v/>
      </c>
      <c r="Q67" s="37">
        <f>SUMIF('CED TB'!$R:$R,'CED P&amp;L'!$A67,'CED TB'!E:E)</f>
        <v/>
      </c>
      <c r="R67" s="37">
        <f>SUMIF('CED TB'!$R:$R,'CED P&amp;L'!$A67,'CED TB'!F:F)</f>
        <v/>
      </c>
      <c r="S67" s="37">
        <f>SUMIF('CED TB'!$R:$R,'CED P&amp;L'!$A67,'CED TB'!G:G)</f>
        <v/>
      </c>
      <c r="T67" s="37">
        <f>SUMIF('CED TB'!$R:$R,'CED P&amp;L'!$A67,'CED TB'!H:H)</f>
        <v/>
      </c>
      <c r="U67" s="37">
        <f>SUMIF('CED TB'!$R:$R,'CED P&amp;L'!$A67,'CED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SUMIF('CED TB'!$R:$R,'CED P&amp;L'!$A68,'CED TB'!C:C)</f>
        <v/>
      </c>
      <c r="P68" s="37">
        <f>SUMIF('CED TB'!$R:$R,'CED P&amp;L'!$A68,'CED TB'!D:D)</f>
        <v/>
      </c>
      <c r="Q68" s="37">
        <f>SUMIF('CED TB'!$R:$R,'CED P&amp;L'!$A68,'CED TB'!E:E)</f>
        <v/>
      </c>
      <c r="R68" s="37">
        <f>SUMIF('CED TB'!$R:$R,'CED P&amp;L'!$A68,'CED TB'!F:F)</f>
        <v/>
      </c>
      <c r="S68" s="37">
        <f>SUMIF('CED TB'!$R:$R,'CED P&amp;L'!$A68,'CED TB'!G:G)</f>
        <v/>
      </c>
      <c r="T68" s="37">
        <f>SUMIF('CED TB'!$R:$R,'CED P&amp;L'!$A68,'CED TB'!H:H)</f>
        <v/>
      </c>
      <c r="U68" s="37">
        <f>SUMIF('CED TB'!$R:$R,'CED P&amp;L'!$A68,'CED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201.98</v>
      </c>
      <c r="C69" s="42" t="n">
        <v>332.58</v>
      </c>
      <c r="D69" s="42" t="n">
        <v>363.58</v>
      </c>
      <c r="E69" s="42" t="n">
        <v>452.6899999999999</v>
      </c>
      <c r="F69" s="42" t="n">
        <v>312.96</v>
      </c>
      <c r="G69" s="42" t="n">
        <v>873.97</v>
      </c>
      <c r="H69" s="42" t="n">
        <v>2280.29</v>
      </c>
      <c r="I69" s="42" t="n">
        <v>1840.64</v>
      </c>
      <c r="J69" s="42" t="n">
        <v>384.18</v>
      </c>
      <c r="K69" s="42" t="n">
        <v>249.45</v>
      </c>
      <c r="L69" s="42" t="n">
        <v>637.84</v>
      </c>
      <c r="M69" s="42" t="n">
        <v>473.98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7600.139999999999</v>
      </c>
      <c r="C70" s="55" t="n">
        <v>8981.249999999995</v>
      </c>
      <c r="D70" s="55" t="n">
        <v>19506.91</v>
      </c>
      <c r="E70" s="55" t="n">
        <v>9589.259999999997</v>
      </c>
      <c r="F70" s="55" t="n">
        <v>-278.0799999999953</v>
      </c>
      <c r="G70" s="55" t="n">
        <v>13009.61</v>
      </c>
      <c r="H70" s="55" t="n">
        <v>15197.46</v>
      </c>
      <c r="I70" s="55" t="n">
        <v>84.97999999999911</v>
      </c>
      <c r="J70" s="55" t="n">
        <v>-573.2599999999982</v>
      </c>
      <c r="K70" s="55" t="n">
        <v>6787.64</v>
      </c>
      <c r="L70" s="55" t="n">
        <v>5233.939999999999</v>
      </c>
      <c r="M70" s="55" t="n">
        <v>7411.819999999996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60" t="inlineStr">
        <is>
          <t>`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60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60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22" t="inlineStr">
        <is>
          <t>Memo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60">
        <f>SUM(B73:M73)</f>
        <v/>
      </c>
      <c r="O73" s="8" t="n"/>
      <c r="P73" s="8" t="n"/>
      <c r="Q73" s="8" t="n"/>
      <c r="R73" s="8" t="n"/>
      <c r="S73" s="8" t="n"/>
      <c r="T73" s="8" t="n"/>
      <c r="U73" s="8" t="n"/>
      <c r="V73" s="20" t="n"/>
      <c r="W73" s="20" t="n"/>
      <c r="X73" s="20" t="n"/>
      <c r="Y73" s="20" t="n"/>
      <c r="Z73" s="20" t="n"/>
      <c r="AA73" s="60">
        <f>SUM(O73:T73)</f>
        <v/>
      </c>
      <c r="AB73" s="56" t="n"/>
      <c r="AC73" s="20" t="n"/>
      <c r="AD73" s="20" t="n"/>
      <c r="AE73" s="20" t="n"/>
      <c r="AF73" s="20" t="n"/>
      <c r="AG73" s="20" t="n"/>
      <c r="AH73" s="20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34" t="inlineStr">
        <is>
          <t>Direct - Sales</t>
        </is>
      </c>
      <c r="B74" s="18" t="n">
        <v>29806.16</v>
      </c>
      <c r="C74" s="18" t="n">
        <v>35336.87</v>
      </c>
      <c r="D74" s="18" t="n">
        <v>42456.98</v>
      </c>
      <c r="E74" s="18" t="n">
        <v>33867.56</v>
      </c>
      <c r="F74" s="18" t="n">
        <v>26555.11</v>
      </c>
      <c r="G74" s="18" t="n">
        <v>37496.76</v>
      </c>
      <c r="H74" s="18" t="n">
        <v>43162.58</v>
      </c>
      <c r="I74" s="18" t="n">
        <v>22500.55</v>
      </c>
      <c r="J74" s="18" t="n">
        <v>25931.85</v>
      </c>
      <c r="K74" s="18" t="n">
        <v>32015.1</v>
      </c>
      <c r="L74" s="18" t="n">
        <v>30584.74</v>
      </c>
      <c r="M74" s="18" t="n">
        <v>40226.53</v>
      </c>
      <c r="N74" s="60">
        <f>SUM(B74:M74)</f>
        <v/>
      </c>
      <c r="O74" s="60">
        <f>-SUMIF('CED TB'!$T:$T,'CED P&amp;L'!$A74,'CED TB'!C:C)</f>
        <v/>
      </c>
      <c r="P74" s="60">
        <f>-SUMIF('CED TB'!$T:$T,'CED P&amp;L'!$A74,'CED TB'!D:D)</f>
        <v/>
      </c>
      <c r="Q74" s="60">
        <f>-SUMIF('CED TB'!$T:$T,'CED P&amp;L'!$A74,'CED TB'!E:E)</f>
        <v/>
      </c>
      <c r="R74" s="60">
        <f>-SUMIF('CED TB'!$T:$T,'CED P&amp;L'!$A74,'CED TB'!F:F)</f>
        <v/>
      </c>
      <c r="S74" s="60">
        <f>-SUMIF('CED TB'!$T:$T,'CED P&amp;L'!$A74,'CED TB'!G:G)</f>
        <v/>
      </c>
      <c r="T74" s="60">
        <f>-SUMIF('CED TB'!$T:$T,'CED P&amp;L'!$A74,'CED TB'!H:H)</f>
        <v/>
      </c>
      <c r="U74" s="60">
        <f>-SUMIF('CED TB'!$T:$T,'CED P&amp;L'!$A74,'CED TB'!I:I)</f>
        <v/>
      </c>
      <c r="V74" s="20" t="n"/>
      <c r="W74" s="20" t="n"/>
      <c r="X74" s="20" t="n"/>
      <c r="Y74" s="20" t="n"/>
      <c r="Z74" s="20" t="n"/>
      <c r="AA74" s="60">
        <f>SUM(O74:T74)</f>
        <v/>
      </c>
      <c r="AB74" s="8" t="n"/>
      <c r="AC74" s="20" t="n"/>
      <c r="AD74" s="20" t="n"/>
      <c r="AE74" s="20" t="n"/>
      <c r="AF74" s="20" t="n"/>
      <c r="AG74" s="20" t="n"/>
      <c r="AH74" s="20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34" t="inlineStr">
        <is>
          <t>Direct - Staff Cost</t>
        </is>
      </c>
      <c r="B75" s="18" t="n">
        <v>-17451.15</v>
      </c>
      <c r="C75" s="18" t="n">
        <v>-22503.06</v>
      </c>
      <c r="D75" s="18" t="n">
        <v>-18538.75</v>
      </c>
      <c r="E75" s="18" t="n">
        <v>-21891.12</v>
      </c>
      <c r="F75" s="18" t="n">
        <v>-21915.34</v>
      </c>
      <c r="G75" s="18" t="n">
        <v>-17979.86</v>
      </c>
      <c r="H75" s="18" t="n">
        <v>-21552.34</v>
      </c>
      <c r="I75" s="18" t="n">
        <v>-16690.85</v>
      </c>
      <c r="J75" s="18" t="n">
        <v>-22841.72</v>
      </c>
      <c r="K75" s="18" t="n">
        <v>-21288.75</v>
      </c>
      <c r="L75" s="18" t="n">
        <v>-20753.77</v>
      </c>
      <c r="M75" s="18" t="n">
        <v>-28815.25</v>
      </c>
      <c r="N75" s="60">
        <f>SUM(B75:M75)</f>
        <v/>
      </c>
      <c r="O75" s="60">
        <f>-SUMIF('CED TB'!$T:$T,'CED P&amp;L'!$A75,'CED TB'!C:C)</f>
        <v/>
      </c>
      <c r="P75" s="60">
        <f>-SUMIF('CED TB'!$T:$T,'CED P&amp;L'!$A75,'CED TB'!D:D)</f>
        <v/>
      </c>
      <c r="Q75" s="60">
        <f>-SUMIF('CED TB'!$T:$T,'CED P&amp;L'!$A75,'CED TB'!E:E)</f>
        <v/>
      </c>
      <c r="R75" s="60">
        <f>-SUMIF('CED TB'!$T:$T,'CED P&amp;L'!$A75,'CED TB'!F:F)</f>
        <v/>
      </c>
      <c r="S75" s="60">
        <f>-SUMIF('CED TB'!$T:$T,'CED P&amp;L'!$A75,'CED TB'!G:G)</f>
        <v/>
      </c>
      <c r="T75" s="60">
        <f>-SUMIF('CED TB'!$T:$T,'CED P&amp;L'!$A75,'CED TB'!H:H)</f>
        <v/>
      </c>
      <c r="U75" s="60">
        <f>-SUMIF('CED TB'!$T:$T,'CED P&amp;L'!$A75,'CED TB'!I:I)</f>
        <v/>
      </c>
      <c r="V75" s="20" t="n"/>
      <c r="W75" s="20" t="n"/>
      <c r="X75" s="20" t="n"/>
      <c r="Y75" s="20" t="n"/>
      <c r="Z75" s="20" t="n"/>
      <c r="AA75" s="60">
        <f>SUM(O75:T75)</f>
        <v/>
      </c>
      <c r="AB75" s="8" t="n"/>
      <c r="AC75" s="20" t="n"/>
      <c r="AD75" s="20" t="n"/>
      <c r="AE75" s="20" t="n"/>
      <c r="AF75" s="20" t="n"/>
      <c r="AG75" s="20" t="n"/>
      <c r="AH75" s="20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8" t="n"/>
      <c r="AP75" s="8" t="n"/>
    </row>
    <row r="76">
      <c r="A76" s="60" t="inlineStr">
        <is>
          <t>Direct - Childcare Cost</t>
        </is>
      </c>
      <c r="B76" s="18" t="n">
        <v>-1750.88</v>
      </c>
      <c r="C76" s="18" t="n">
        <v>-1341.47</v>
      </c>
      <c r="D76" s="18" t="n">
        <v>-1422.78</v>
      </c>
      <c r="E76" s="18" t="n">
        <v>-1368.34</v>
      </c>
      <c r="F76" s="18" t="n">
        <v>-2181.3</v>
      </c>
      <c r="G76" s="18" t="n">
        <v>-4010.75</v>
      </c>
      <c r="H76" s="18" t="n">
        <v>-2233.18</v>
      </c>
      <c r="I76" s="18" t="n">
        <v>-2334.650000000001</v>
      </c>
      <c r="J76" s="18" t="n">
        <v>-1612.96</v>
      </c>
      <c r="K76" s="18" t="n">
        <v>-1945.78</v>
      </c>
      <c r="L76" s="18" t="n">
        <v>-1666.79</v>
      </c>
      <c r="M76" s="18" t="n">
        <v>-1271.89</v>
      </c>
      <c r="N76" s="60">
        <f>SUM(B76:M76)</f>
        <v/>
      </c>
      <c r="O76" s="60">
        <f>-SUMIF('CED TB'!$T:$T,'CED P&amp;L'!$A76,'CED TB'!C:C)</f>
        <v/>
      </c>
      <c r="P76" s="60">
        <f>-SUMIF('CED TB'!$T:$T,'CED P&amp;L'!$A76,'CED TB'!D:D)</f>
        <v/>
      </c>
      <c r="Q76" s="60">
        <f>-SUMIF('CED TB'!$T:$T,'CED P&amp;L'!$A76,'CED TB'!E:E)</f>
        <v/>
      </c>
      <c r="R76" s="60">
        <f>-SUMIF('CED TB'!$T:$T,'CED P&amp;L'!$A76,'CED TB'!F:F)</f>
        <v/>
      </c>
      <c r="S76" s="60">
        <f>-SUMIF('CED TB'!$T:$T,'CED P&amp;L'!$A76,'CED TB'!G:G)</f>
        <v/>
      </c>
      <c r="T76" s="60">
        <f>-SUMIF('CED TB'!$T:$T,'CED P&amp;L'!$A76,'CED TB'!H:H)</f>
        <v/>
      </c>
      <c r="U76" s="60">
        <f>-SUMIF('CED TB'!$T:$T,'CED P&amp;L'!$A76,'CED TB'!I:I)</f>
        <v/>
      </c>
      <c r="V76" s="20" t="n"/>
      <c r="W76" s="20" t="n"/>
      <c r="X76" s="20" t="n"/>
      <c r="Y76" s="20" t="n"/>
      <c r="Z76" s="20" t="n"/>
      <c r="AA76" s="60">
        <f>SUM(O76:T76)</f>
        <v/>
      </c>
      <c r="AB76" s="8" t="n"/>
      <c r="AC76" s="20" t="n"/>
      <c r="AD76" s="20" t="n"/>
      <c r="AE76" s="20" t="n"/>
      <c r="AF76" s="20" t="n"/>
      <c r="AG76" s="20" t="n"/>
      <c r="AH76" s="20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>
      <c r="A77" s="60" t="inlineStr">
        <is>
          <t>Direct - Premises &amp; Admin</t>
        </is>
      </c>
      <c r="B77" s="18" t="n">
        <v>-2802.01</v>
      </c>
      <c r="C77" s="18" t="n">
        <v>-2178.51</v>
      </c>
      <c r="D77" s="18" t="n">
        <v>-2624.96</v>
      </c>
      <c r="E77" s="18" t="n">
        <v>-566.1500000000001</v>
      </c>
      <c r="F77" s="18" t="n">
        <v>-2423.59</v>
      </c>
      <c r="G77" s="18" t="n">
        <v>-1622.57</v>
      </c>
      <c r="H77" s="18" t="n">
        <v>-1899.31</v>
      </c>
      <c r="I77" s="18" t="n">
        <v>-1549.43</v>
      </c>
      <c r="J77" s="18" t="n">
        <v>-1666.25</v>
      </c>
      <c r="K77" s="18" t="n">
        <v>-1743.48</v>
      </c>
      <c r="L77" s="18" t="n">
        <v>-2292.4</v>
      </c>
      <c r="M77" s="18" t="n">
        <v>-2253.59</v>
      </c>
      <c r="N77" s="60">
        <f>SUM(B77:M77)</f>
        <v/>
      </c>
      <c r="O77" s="60">
        <f>-SUMIF('CED TB'!$T:$T,'CED P&amp;L'!$A77,'CED TB'!C:C)</f>
        <v/>
      </c>
      <c r="P77" s="60">
        <f>-SUMIF('CED TB'!$T:$T,'CED P&amp;L'!$A77,'CED TB'!D:D)</f>
        <v/>
      </c>
      <c r="Q77" s="60">
        <f>-SUMIF('CED TB'!$T:$T,'CED P&amp;L'!$A77,'CED TB'!E:E)</f>
        <v/>
      </c>
      <c r="R77" s="60">
        <f>-SUMIF('CED TB'!$T:$T,'CED P&amp;L'!$A77,'CED TB'!F:F)</f>
        <v/>
      </c>
      <c r="S77" s="60">
        <f>-SUMIF('CED TB'!$T:$T,'CED P&amp;L'!$A77,'CED TB'!G:G)</f>
        <v/>
      </c>
      <c r="T77" s="60">
        <f>-SUMIF('CED TB'!$T:$T,'CED P&amp;L'!$A77,'CED TB'!H:H)</f>
        <v/>
      </c>
      <c r="U77" s="60">
        <f>-SUMIF('CED TB'!$T:$T,'CED P&amp;L'!$A77,'CED TB'!I:I)</f>
        <v/>
      </c>
      <c r="V77" s="20" t="n"/>
      <c r="W77" s="20" t="n"/>
      <c r="X77" s="20" t="n"/>
      <c r="Y77" s="20" t="n"/>
      <c r="Z77" s="20" t="n"/>
      <c r="AA77" s="60">
        <f>SUM(O77:T77)</f>
        <v/>
      </c>
      <c r="AB77" s="8" t="n"/>
      <c r="AC77" s="20" t="n"/>
      <c r="AD77" s="20" t="n"/>
      <c r="AE77" s="20" t="n"/>
      <c r="AF77" s="20" t="n"/>
      <c r="AG77" s="20" t="n"/>
      <c r="AH77" s="20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60">
        <f>SUM(B78:M78)</f>
        <v/>
      </c>
      <c r="O78" s="60">
        <f>-SUMIF('CED TB'!$T:$T,'CED P&amp;L'!$A78,'CED TB'!C:C)</f>
        <v/>
      </c>
      <c r="P78" s="60">
        <f>-SUMIF('CED TB'!$T:$T,'CED P&amp;L'!$A78,'CED TB'!D:D)</f>
        <v/>
      </c>
      <c r="Q78" s="60">
        <f>-SUMIF('CED TB'!$T:$T,'CED P&amp;L'!$A78,'CED TB'!E:E)</f>
        <v/>
      </c>
      <c r="R78" s="60">
        <f>-SUMIF('CED TB'!$T:$T,'CED P&amp;L'!$A78,'CED TB'!F:F)</f>
        <v/>
      </c>
      <c r="S78" s="60">
        <f>-SUMIF('CED TB'!$T:$T,'CED P&amp;L'!$A78,'CED TB'!G:G)</f>
        <v/>
      </c>
      <c r="T78" s="60">
        <f>-SUMIF('CED TB'!$T:$T,'CED P&amp;L'!$A78,'CED TB'!H:H)</f>
        <v/>
      </c>
      <c r="U78" s="60">
        <f>-SUMIF('CED TB'!$T:$T,'CED P&amp;L'!$A78,'CED TB'!I:I)</f>
        <v/>
      </c>
      <c r="V78" s="20" t="n"/>
      <c r="W78" s="20" t="n"/>
      <c r="X78" s="20" t="n"/>
      <c r="Y78" s="20" t="n"/>
      <c r="Z78" s="20" t="n"/>
      <c r="AA78" s="60">
        <f>SUM(O78:T78)</f>
        <v/>
      </c>
      <c r="AB78" s="8" t="n"/>
      <c r="AC78" s="20" t="n"/>
      <c r="AD78" s="20" t="n"/>
      <c r="AE78" s="20" t="n"/>
      <c r="AF78" s="20" t="n"/>
      <c r="AG78" s="20" t="n"/>
      <c r="AH78" s="20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60" t="inlineStr">
        <is>
          <t>In-Direct - Overheads</t>
        </is>
      </c>
      <c r="B79" s="18" t="n">
        <v>-201.98</v>
      </c>
      <c r="C79" s="18" t="n">
        <v>-332.58</v>
      </c>
      <c r="D79" s="18" t="n">
        <v>-363.58</v>
      </c>
      <c r="E79" s="18" t="n">
        <v>-452.6899999999999</v>
      </c>
      <c r="F79" s="18" t="n">
        <v>-312.96</v>
      </c>
      <c r="G79" s="18" t="n">
        <v>-873.97</v>
      </c>
      <c r="H79" s="18" t="n">
        <v>-2280.29</v>
      </c>
      <c r="I79" s="18" t="n">
        <v>-1840.64</v>
      </c>
      <c r="J79" s="18" t="n">
        <v>-384.18</v>
      </c>
      <c r="K79" s="18" t="n">
        <v>-249.45</v>
      </c>
      <c r="L79" s="18" t="n">
        <v>-637.84</v>
      </c>
      <c r="M79" s="18" t="n">
        <v>-473.98</v>
      </c>
      <c r="N79" s="60">
        <f>SUM(B79:M79)</f>
        <v/>
      </c>
      <c r="O79" s="60">
        <f>-SUMIF('CED TB'!$T:$T,'CED P&amp;L'!$A79,'CED TB'!C:C)</f>
        <v/>
      </c>
      <c r="P79" s="60">
        <f>-SUMIF('CED TB'!$T:$T,'CED P&amp;L'!$A79,'CED TB'!D:D)</f>
        <v/>
      </c>
      <c r="Q79" s="60">
        <f>-SUMIF('CED TB'!$T:$T,'CED P&amp;L'!$A79,'CED TB'!E:E)</f>
        <v/>
      </c>
      <c r="R79" s="60">
        <f>-SUMIF('CED TB'!$T:$T,'CED P&amp;L'!$A79,'CED TB'!F:F)</f>
        <v/>
      </c>
      <c r="S79" s="60">
        <f>-SUMIF('CED TB'!$T:$T,'CED P&amp;L'!$A79,'CED TB'!G:G)</f>
        <v/>
      </c>
      <c r="T79" s="60">
        <f>-SUMIF('CED TB'!$T:$T,'CED P&amp;L'!$A79,'CED TB'!H:H)</f>
        <v/>
      </c>
      <c r="U79" s="60">
        <f>-SUMIF('CED TB'!$T:$T,'CED P&amp;L'!$A79,'CED TB'!I:I)</f>
        <v/>
      </c>
      <c r="V79" s="20" t="n"/>
      <c r="W79" s="20" t="n"/>
      <c r="X79" s="20" t="n"/>
      <c r="Y79" s="20" t="n"/>
      <c r="Z79" s="20" t="n"/>
      <c r="AA79" s="60">
        <f>SUM(O79:T79)</f>
        <v/>
      </c>
      <c r="AB79" s="8" t="n"/>
      <c r="AC79" s="20" t="n"/>
      <c r="AD79" s="20" t="n"/>
      <c r="AE79" s="20" t="n"/>
      <c r="AF79" s="20" t="n"/>
      <c r="AG79" s="20" t="n"/>
      <c r="AH79" s="20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 ht="15.75" customHeight="1">
      <c r="A80" s="8" t="n"/>
      <c r="B80" s="67" t="n">
        <v>7600.139999999999</v>
      </c>
      <c r="C80" s="67" t="n">
        <v>8981.249999999995</v>
      </c>
      <c r="D80" s="67" t="n">
        <v>19506.91</v>
      </c>
      <c r="E80" s="67" t="n">
        <v>9589.259999999998</v>
      </c>
      <c r="F80" s="67" t="n">
        <v>-278.0799999999958</v>
      </c>
      <c r="G80" s="67" t="n">
        <v>13009.61</v>
      </c>
      <c r="H80" s="67" t="n">
        <v>15197.46</v>
      </c>
      <c r="I80" s="67" t="n">
        <v>84.98000000000025</v>
      </c>
      <c r="J80" s="67" t="n">
        <v>-573.2599999999995</v>
      </c>
      <c r="K80" s="67" t="n">
        <v>6787.639999999999</v>
      </c>
      <c r="L80" s="67" t="n">
        <v>5233.940000000001</v>
      </c>
      <c r="M80" s="67" t="n">
        <v>7411.819999999996</v>
      </c>
      <c r="N80" s="64">
        <f>SUM(B80:M80)</f>
        <v/>
      </c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8" t="n"/>
      <c r="W80" s="68" t="n"/>
      <c r="X80" s="68" t="n"/>
      <c r="Y80" s="68" t="n"/>
      <c r="Z80" s="68" t="n"/>
      <c r="AA80" s="64">
        <f>SUM(O80:T80)</f>
        <v/>
      </c>
      <c r="AB80" s="8" t="n"/>
      <c r="AC80" s="68" t="n"/>
      <c r="AD80" s="68" t="n"/>
      <c r="AE80" s="68" t="n"/>
      <c r="AF80" s="68" t="n"/>
      <c r="AG80" s="68" t="n"/>
      <c r="AH80" s="68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 ht="15.75" customHeight="1">
      <c r="A81" s="8" t="n"/>
      <c r="B81" s="60" t="n">
        <v>0</v>
      </c>
      <c r="C81" s="60" t="n">
        <v>0</v>
      </c>
      <c r="D81" s="60" t="n">
        <v>0</v>
      </c>
      <c r="E81" s="60" t="n">
        <v>0</v>
      </c>
      <c r="F81" s="60" t="n">
        <v>4.547473508864641e-13</v>
      </c>
      <c r="G81" s="60" t="n">
        <v>0</v>
      </c>
      <c r="H81" s="60" t="n">
        <v>0</v>
      </c>
      <c r="I81" s="60" t="n">
        <v>-1.13686837721616e-12</v>
      </c>
      <c r="J81" s="60" t="n">
        <v>1.364242052659392e-12</v>
      </c>
      <c r="K81" s="60" t="n">
        <v>0</v>
      </c>
      <c r="L81" s="60" t="n">
        <v>0</v>
      </c>
      <c r="M81" s="60" t="n">
        <v>0</v>
      </c>
      <c r="N81" s="60">
        <f>SUM(B81:M81)</f>
        <v/>
      </c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60" t="n">
        <v>0</v>
      </c>
      <c r="C83" s="60" t="n">
        <v>0</v>
      </c>
      <c r="D83" s="60" t="n">
        <v>0</v>
      </c>
      <c r="E83" s="60" t="n">
        <v>0</v>
      </c>
      <c r="F83" s="60" t="n">
        <v>3.979039320256561e-12</v>
      </c>
      <c r="G83" s="60" t="n">
        <v>0</v>
      </c>
      <c r="H83" s="60" t="n">
        <v>0</v>
      </c>
      <c r="I83" s="60" t="n">
        <v>2.501110429875553e-12</v>
      </c>
      <c r="J83" s="60" t="n">
        <v>0</v>
      </c>
      <c r="K83" s="60" t="n">
        <v>0</v>
      </c>
      <c r="L83" s="60" t="n">
        <v>0</v>
      </c>
      <c r="M83" s="8" t="n"/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60" t="n">
        <v>-7600.139999999996</v>
      </c>
      <c r="C84" s="60" t="n">
        <v>-8981.249999999996</v>
      </c>
      <c r="D84" s="60" t="n">
        <v>-19506.91</v>
      </c>
      <c r="E84" s="60" t="n">
        <v>-9589.26</v>
      </c>
      <c r="F84" s="60" t="n">
        <v>278.0799999999998</v>
      </c>
      <c r="G84" s="60" t="n">
        <v>-13009.61000000001</v>
      </c>
      <c r="H84" s="60" t="n">
        <v>-15197.46</v>
      </c>
      <c r="I84" s="60" t="n">
        <v>-84.97999999999774</v>
      </c>
      <c r="J84" s="60" t="n">
        <v>573.2599999999998</v>
      </c>
      <c r="K84" s="60" t="n">
        <v>-6787.639999999998</v>
      </c>
      <c r="L84" s="60" t="n">
        <v>-5233.939999999998</v>
      </c>
      <c r="M84" s="8" t="n"/>
      <c r="N84" s="8" t="n"/>
      <c r="O84" s="60">
        <f>SUM('CED TB'!C2:C36)</f>
        <v/>
      </c>
      <c r="P84" s="60">
        <f>SUM('CED TB'!D2:D36)</f>
        <v/>
      </c>
      <c r="Q84" s="60">
        <f>SUM('CED TB'!E2:E36)</f>
        <v/>
      </c>
      <c r="R84" s="60">
        <f>SUM('CED TB'!F2:F36)</f>
        <v/>
      </c>
      <c r="S84" s="60">
        <f>SUM('CED TB'!G2:G36)</f>
        <v/>
      </c>
      <c r="T84" s="60">
        <f>SUM('CED TB'!H2:H36)</f>
        <v/>
      </c>
      <c r="U84" s="60">
        <f>SUM('CED TB'!I2:I36)</f>
        <v/>
      </c>
      <c r="V84" s="60">
        <f>SUM('CED TB'!J2:J36)</f>
        <v/>
      </c>
      <c r="W84" s="60">
        <f>SUM('CED TB'!K2:K36)</f>
        <v/>
      </c>
      <c r="X84" s="60">
        <f>SUM('CED TB'!L2:L36)</f>
        <v/>
      </c>
      <c r="Y84" s="60">
        <f>SUM('CED TB'!M2:M36)</f>
        <v/>
      </c>
      <c r="Z84" s="60">
        <f>SUM('CED TB'!N2:N36)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Boot Farm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22608.68</v>
      </c>
      <c r="C8" s="35" t="n">
        <v>22243.72</v>
      </c>
      <c r="D8" s="35" t="n">
        <v>27570.94</v>
      </c>
      <c r="E8" s="35" t="n">
        <v>32753.01</v>
      </c>
      <c r="F8" s="35" t="n">
        <v>29946.42</v>
      </c>
      <c r="G8" s="35" t="n">
        <v>32181.69</v>
      </c>
      <c r="H8" s="35" t="n">
        <v>44859.07</v>
      </c>
      <c r="I8" s="35" t="n">
        <v>41767.17</v>
      </c>
      <c r="J8" s="35" t="n">
        <v>32212.18</v>
      </c>
      <c r="K8" s="35" t="n">
        <v>31485.29</v>
      </c>
      <c r="L8" s="35" t="n">
        <v>27574.28</v>
      </c>
      <c r="M8" s="35" t="n">
        <v>37778.25</v>
      </c>
      <c r="N8" s="36">
        <f>SUM(B8:M8)</f>
        <v/>
      </c>
      <c r="O8" s="37">
        <f>-SUMIF('HAB TB'!$R:$R,'HAB P&amp;L'!$A8,'HAB TB'!C:C)</f>
        <v/>
      </c>
      <c r="P8" s="37">
        <f>-SUMIF('HAB TB'!$R:$R,'HAB P&amp;L'!$A8,'HAB TB'!D:D)</f>
        <v/>
      </c>
      <c r="Q8" s="37">
        <f>-SUMIF('HAB TB'!$R:$R,'HAB P&amp;L'!$A8,'HAB TB'!E:E)</f>
        <v/>
      </c>
      <c r="R8" s="37">
        <f>-SUMIF('HAB TB'!$R:$R,'HAB P&amp;L'!$A8,'HAB TB'!F:F)</f>
        <v/>
      </c>
      <c r="S8" s="37">
        <f>-SUMIF('HAB TB'!$R:$R,'HAB P&amp;L'!$A8,'HAB TB'!G:G)</f>
        <v/>
      </c>
      <c r="T8" s="37">
        <f>-SUMIF('HAB TB'!$R:$R,'HAB P&amp;L'!$A8,'HAB TB'!H:H)</f>
        <v/>
      </c>
      <c r="U8" s="37">
        <f>-SUMIF('HAB TB'!$R:$R,'HAB P&amp;L'!$A8,'HAB TB'!I:I)</f>
        <v/>
      </c>
      <c r="V8" s="38" t="n">
        <v>33555.29</v>
      </c>
      <c r="W8" s="38" t="n">
        <v>19742</v>
      </c>
      <c r="X8" s="38" t="n">
        <v>19733</v>
      </c>
      <c r="Y8" s="38" t="n">
        <v>19448</v>
      </c>
      <c r="Z8" s="38" t="n">
        <v>28969</v>
      </c>
      <c r="AA8" s="36">
        <f>SUM(O8:U8)</f>
        <v/>
      </c>
      <c r="AB8" s="36">
        <f>SUM(O8:Z8)</f>
        <v/>
      </c>
      <c r="AC8" s="38" t="n">
        <v>38106.5</v>
      </c>
      <c r="AD8" s="38" t="n">
        <v>35852.39</v>
      </c>
      <c r="AE8" s="38" t="n">
        <v>43430.94</v>
      </c>
      <c r="AF8" s="38" t="n">
        <v>32359.2</v>
      </c>
      <c r="AG8" s="38" t="n">
        <v>31981.84</v>
      </c>
      <c r="AH8" s="38" t="n">
        <v>34163.18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5242.38</v>
      </c>
      <c r="C9" s="35" t="n">
        <v>14026.65</v>
      </c>
      <c r="D9" s="35" t="n">
        <v>14026.65</v>
      </c>
      <c r="E9" s="35" t="n">
        <v>5098.36</v>
      </c>
      <c r="F9" s="35" t="n">
        <v>5098.36</v>
      </c>
      <c r="G9" s="35" t="n">
        <v>21148.51</v>
      </c>
      <c r="H9" s="35" t="n">
        <v>21148.51</v>
      </c>
      <c r="I9" s="35" t="n">
        <v>0</v>
      </c>
      <c r="J9" s="35" t="n">
        <v>7047.23</v>
      </c>
      <c r="K9" s="35" t="n">
        <v>18081.4</v>
      </c>
      <c r="L9" s="35" t="n">
        <v>18081.4</v>
      </c>
      <c r="M9" s="35" t="n">
        <v>22099.92</v>
      </c>
      <c r="N9" s="36">
        <f>SUM(B9:M9)</f>
        <v/>
      </c>
      <c r="O9" s="37">
        <f>-SUMIF('HAB TB'!$R:$R,'HAB P&amp;L'!$A9,'HAB TB'!C:C)</f>
        <v/>
      </c>
      <c r="P9" s="37">
        <f>-SUMIF('HAB TB'!$R:$R,'HAB P&amp;L'!$A9,'HAB TB'!D:D)</f>
        <v/>
      </c>
      <c r="Q9" s="37">
        <f>-SUMIF('HAB TB'!$R:$R,'HAB P&amp;L'!$A9,'HAB TB'!E:E)</f>
        <v/>
      </c>
      <c r="R9" s="37">
        <f>-SUMIF('HAB TB'!$R:$R,'HAB P&amp;L'!$A9,'HAB TB'!F:F)</f>
        <v/>
      </c>
      <c r="S9" s="37">
        <f>-SUMIF('HAB TB'!$R:$R,'HAB P&amp;L'!$A9,'HAB TB'!G:G)</f>
        <v/>
      </c>
      <c r="T9" s="37">
        <f>-SUMIF('HAB TB'!$R:$R,'HAB P&amp;L'!$A9,'HAB TB'!H:H)</f>
        <v/>
      </c>
      <c r="U9" s="37">
        <f>-SUMIF('HAB TB'!$R:$R,'HAB P&amp;L'!$A9,'HAB TB'!I:I)</f>
        <v/>
      </c>
      <c r="V9" s="38" t="n">
        <v>0</v>
      </c>
      <c r="W9" s="38" t="n">
        <v>15801</v>
      </c>
      <c r="X9" s="38" t="n">
        <v>19151</v>
      </c>
      <c r="Y9" s="38" t="n">
        <v>18857</v>
      </c>
      <c r="Z9" s="38" t="n">
        <v>8843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300</v>
      </c>
      <c r="F10" s="35" t="n">
        <v>150</v>
      </c>
      <c r="G10" s="35" t="n">
        <v>2213.27</v>
      </c>
      <c r="H10" s="35" t="n">
        <v>300</v>
      </c>
      <c r="I10" s="35" t="n">
        <v>300</v>
      </c>
      <c r="J10" s="35" t="n">
        <v>150</v>
      </c>
      <c r="K10" s="35" t="n">
        <v>230</v>
      </c>
      <c r="L10" s="35" t="n">
        <v>150</v>
      </c>
      <c r="M10" s="35" t="n">
        <v>150</v>
      </c>
      <c r="N10" s="36">
        <f>SUM(B10:M10)</f>
        <v/>
      </c>
      <c r="O10" s="37">
        <f>-SUMIF('HAB TB'!$R:$R,'HAB P&amp;L'!$A10,'HAB TB'!C:C)</f>
        <v/>
      </c>
      <c r="P10" s="37">
        <f>-SUMIF('HAB TB'!$R:$R,'HAB P&amp;L'!$A10,'HAB TB'!D:D)</f>
        <v/>
      </c>
      <c r="Q10" s="37">
        <f>-SUMIF('HAB TB'!$R:$R,'HAB P&amp;L'!$A10,'HAB TB'!E:E)</f>
        <v/>
      </c>
      <c r="R10" s="37">
        <f>-SUMIF('HAB TB'!$R:$R,'HAB P&amp;L'!$A10,'HAB TB'!F:F)</f>
        <v/>
      </c>
      <c r="S10" s="37">
        <f>-SUMIF('HAB TB'!$R:$R,'HAB P&amp;L'!$A10,'HAB TB'!G:G)</f>
        <v/>
      </c>
      <c r="T10" s="37">
        <f>-SUMIF('HAB TB'!$R:$R,'HAB P&amp;L'!$A10,'HAB TB'!H:H)</f>
        <v/>
      </c>
      <c r="U10" s="37">
        <f>-SUMIF('HAB TB'!$R:$R,'HAB P&amp;L'!$A10,'HAB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27851.06</v>
      </c>
      <c r="C11" s="42" t="n">
        <v>36270.37</v>
      </c>
      <c r="D11" s="42" t="n">
        <v>41597.59</v>
      </c>
      <c r="E11" s="42" t="n">
        <v>38151.37</v>
      </c>
      <c r="F11" s="42" t="n">
        <v>35194.78</v>
      </c>
      <c r="G11" s="42" t="n">
        <v>55543.46999999999</v>
      </c>
      <c r="H11" s="42" t="n">
        <v>66307.58</v>
      </c>
      <c r="I11" s="42" t="n">
        <v>42067.17</v>
      </c>
      <c r="J11" s="42" t="n">
        <v>39409.41</v>
      </c>
      <c r="K11" s="42" t="n">
        <v>49796.69</v>
      </c>
      <c r="L11" s="42" t="n">
        <v>45805.68</v>
      </c>
      <c r="M11" s="42" t="n">
        <v>60028.17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14028.96</v>
      </c>
      <c r="C16" s="35" t="n">
        <v>16418.51</v>
      </c>
      <c r="D16" s="35" t="n">
        <v>17522.64</v>
      </c>
      <c r="E16" s="35" t="n">
        <v>18482.09</v>
      </c>
      <c r="F16" s="35" t="n">
        <v>20020.2</v>
      </c>
      <c r="G16" s="35" t="n">
        <v>19124.39</v>
      </c>
      <c r="H16" s="35" t="n">
        <v>19993.06</v>
      </c>
      <c r="I16" s="35" t="n">
        <v>18672.65</v>
      </c>
      <c r="J16" s="35" t="n">
        <v>22682.26</v>
      </c>
      <c r="K16" s="35" t="n">
        <v>23747.06</v>
      </c>
      <c r="L16" s="35" t="n">
        <v>22885.49</v>
      </c>
      <c r="M16" s="35" t="n">
        <v>23532.82</v>
      </c>
      <c r="N16" s="36">
        <f>SUM(B16:M16)</f>
        <v/>
      </c>
      <c r="O16" s="37">
        <f>SUMIF('HAB TB'!$R:$R,'HAB P&amp;L'!$A16,'HAB TB'!C:C)</f>
        <v/>
      </c>
      <c r="P16" s="37">
        <f>SUMIF('HAB TB'!$R:$R,'HAB P&amp;L'!$A16,'HAB TB'!D:D)</f>
        <v/>
      </c>
      <c r="Q16" s="37">
        <f>SUMIF('HAB TB'!$R:$R,'HAB P&amp;L'!$A16,'HAB TB'!E:E)</f>
        <v/>
      </c>
      <c r="R16" s="37">
        <f>SUMIF('HAB TB'!$R:$R,'HAB P&amp;L'!$A16,'HAB TB'!F:F)</f>
        <v/>
      </c>
      <c r="S16" s="37">
        <f>SUMIF('HAB TB'!$R:$R,'HAB P&amp;L'!$A16,'HAB TB'!G:G)</f>
        <v/>
      </c>
      <c r="T16" s="37">
        <f>SUMIF('HAB TB'!$R:$R,'HAB P&amp;L'!$A16,'HAB TB'!H:H)</f>
        <v/>
      </c>
      <c r="U16" s="37">
        <f>SUMIF('HAB TB'!$R:$R,'HAB P&amp;L'!$A16,'HAB TB'!I:I)</f>
        <v/>
      </c>
      <c r="V16" s="38" t="n">
        <v>24045</v>
      </c>
      <c r="W16" s="38" t="n">
        <v>24045</v>
      </c>
      <c r="X16" s="38" t="n">
        <v>24045</v>
      </c>
      <c r="Y16" s="38" t="n">
        <v>24045</v>
      </c>
      <c r="Z16" s="38" t="n">
        <v>24045</v>
      </c>
      <c r="AA16" s="36">
        <f>SUM(O16:U16)</f>
        <v/>
      </c>
      <c r="AB16" s="36">
        <f>SUM(O16:Z16)</f>
        <v/>
      </c>
      <c r="AC16" s="38" t="n">
        <v>24045</v>
      </c>
      <c r="AD16" s="38" t="n">
        <v>24045</v>
      </c>
      <c r="AE16" s="38" t="n">
        <v>24045</v>
      </c>
      <c r="AF16" s="38" t="n">
        <v>24045</v>
      </c>
      <c r="AG16" s="38" t="n">
        <v>24045</v>
      </c>
      <c r="AH16" s="38" t="n">
        <v>24045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1203.75</v>
      </c>
      <c r="C17" s="35" t="n">
        <v>1428.91</v>
      </c>
      <c r="D17" s="35" t="n">
        <v>1476.68</v>
      </c>
      <c r="E17" s="35" t="n">
        <v>2209.36</v>
      </c>
      <c r="F17" s="35" t="n">
        <v>2440.06</v>
      </c>
      <c r="G17" s="35" t="n">
        <v>2305.71</v>
      </c>
      <c r="H17" s="35" t="n">
        <v>2435.99</v>
      </c>
      <c r="I17" s="35" t="n">
        <v>2237.92</v>
      </c>
      <c r="J17" s="35" t="n">
        <v>2496.6</v>
      </c>
      <c r="K17" s="35" t="n">
        <v>2529.67</v>
      </c>
      <c r="L17" s="35" t="n">
        <v>2509.06</v>
      </c>
      <c r="M17" s="35" t="n">
        <v>2620.8</v>
      </c>
      <c r="N17" s="36">
        <f>SUM(B17:M17)</f>
        <v/>
      </c>
      <c r="O17" s="37">
        <f>SUMIF('HAB TB'!$R:$R,'HAB P&amp;L'!$A17,'HAB TB'!C:C)</f>
        <v/>
      </c>
      <c r="P17" s="37">
        <f>SUMIF('HAB TB'!$R:$R,'HAB P&amp;L'!$A17,'HAB TB'!D:D)</f>
        <v/>
      </c>
      <c r="Q17" s="37">
        <f>SUMIF('HAB TB'!$R:$R,'HAB P&amp;L'!$A17,'HAB TB'!E:E)</f>
        <v/>
      </c>
      <c r="R17" s="37">
        <f>SUMIF('HAB TB'!$R:$R,'HAB P&amp;L'!$A17,'HAB TB'!F:F)</f>
        <v/>
      </c>
      <c r="S17" s="37">
        <f>SUMIF('HAB TB'!$R:$R,'HAB P&amp;L'!$A17,'HAB TB'!G:G)</f>
        <v/>
      </c>
      <c r="T17" s="37">
        <f>SUMIF('HAB TB'!$R:$R,'HAB P&amp;L'!$A17,'HAB TB'!H:H)</f>
        <v/>
      </c>
      <c r="U17" s="37">
        <f>SUMIF('HAB TB'!$R:$R,'HAB P&amp;L'!$A17,'HAB TB'!I:I)</f>
        <v/>
      </c>
      <c r="V17" s="38" t="n">
        <v>2713</v>
      </c>
      <c r="W17" s="38" t="n">
        <v>2713</v>
      </c>
      <c r="X17" s="38" t="n">
        <v>2713</v>
      </c>
      <c r="Y17" s="38" t="n">
        <v>2713</v>
      </c>
      <c r="Z17" s="38" t="n">
        <v>2713</v>
      </c>
      <c r="AA17" s="36">
        <f>SUM(O17:U17)</f>
        <v/>
      </c>
      <c r="AB17" s="36">
        <f>SUM(O17:Z17)</f>
        <v/>
      </c>
      <c r="AC17" s="38" t="n">
        <v>2713</v>
      </c>
      <c r="AD17" s="38" t="n">
        <v>2713</v>
      </c>
      <c r="AE17" s="38" t="n">
        <v>2713</v>
      </c>
      <c r="AF17" s="38" t="n">
        <v>2713</v>
      </c>
      <c r="AG17" s="38" t="n">
        <v>2713</v>
      </c>
      <c r="AH17" s="38" t="n">
        <v>2713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311.63</v>
      </c>
      <c r="C18" s="35" t="n">
        <v>367.72</v>
      </c>
      <c r="D18" s="35" t="n">
        <v>365.22</v>
      </c>
      <c r="E18" s="35" t="n">
        <v>382.57</v>
      </c>
      <c r="F18" s="35" t="n">
        <v>424.4</v>
      </c>
      <c r="G18" s="35" t="n">
        <v>305.58</v>
      </c>
      <c r="H18" s="35" t="n">
        <v>307.23</v>
      </c>
      <c r="I18" s="35" t="n">
        <v>283.62</v>
      </c>
      <c r="J18" s="35" t="n">
        <v>355.96</v>
      </c>
      <c r="K18" s="35" t="n">
        <v>382.65</v>
      </c>
      <c r="L18" s="35" t="n">
        <v>386.03</v>
      </c>
      <c r="M18" s="35" t="n">
        <v>392.32</v>
      </c>
      <c r="N18" s="36">
        <f>SUM(B18:M18)</f>
        <v/>
      </c>
      <c r="O18" s="37">
        <f>SUMIF('HAB TB'!$R:$R,'HAB P&amp;L'!$A18,'HAB TB'!C:C)</f>
        <v/>
      </c>
      <c r="P18" s="37">
        <f>SUMIF('HAB TB'!$R:$R,'HAB P&amp;L'!$A18,'HAB TB'!D:D)</f>
        <v/>
      </c>
      <c r="Q18" s="37">
        <f>SUMIF('HAB TB'!$R:$R,'HAB P&amp;L'!$A18,'HAB TB'!E:E)</f>
        <v/>
      </c>
      <c r="R18" s="37">
        <f>SUMIF('HAB TB'!$R:$R,'HAB P&amp;L'!$A18,'HAB TB'!F:F)</f>
        <v/>
      </c>
      <c r="S18" s="37">
        <f>SUMIF('HAB TB'!$R:$R,'HAB P&amp;L'!$A18,'HAB TB'!G:G)</f>
        <v/>
      </c>
      <c r="T18" s="37">
        <f>SUMIF('HAB TB'!$R:$R,'HAB P&amp;L'!$A18,'HAB TB'!H:H)</f>
        <v/>
      </c>
      <c r="U18" s="37">
        <f>SUMIF('HAB TB'!$R:$R,'HAB P&amp;L'!$A18,'HAB TB'!I:I)</f>
        <v/>
      </c>
      <c r="V18" s="38" t="n">
        <v>453</v>
      </c>
      <c r="W18" s="38" t="n">
        <v>453</v>
      </c>
      <c r="X18" s="38" t="n">
        <v>453</v>
      </c>
      <c r="Y18" s="38" t="n">
        <v>453</v>
      </c>
      <c r="Z18" s="38" t="n">
        <v>453</v>
      </c>
      <c r="AA18" s="36">
        <f>SUM(O18:U18)</f>
        <v/>
      </c>
      <c r="AB18" s="36">
        <f>SUM(O18:Z18)</f>
        <v/>
      </c>
      <c r="AC18" s="38" t="n">
        <v>453</v>
      </c>
      <c r="AD18" s="38" t="n">
        <v>453</v>
      </c>
      <c r="AE18" s="38" t="n">
        <v>453</v>
      </c>
      <c r="AF18" s="38" t="n">
        <v>453</v>
      </c>
      <c r="AG18" s="38" t="n">
        <v>453</v>
      </c>
      <c r="AH18" s="38" t="n">
        <v>453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166.92</v>
      </c>
      <c r="E19" s="35" t="n">
        <v>0</v>
      </c>
      <c r="F19" s="35" t="n">
        <v>0</v>
      </c>
      <c r="G19" s="35" t="n">
        <v>155.16</v>
      </c>
      <c r="H19" s="35" t="n">
        <v>0</v>
      </c>
      <c r="I19" s="35" t="n">
        <v>0</v>
      </c>
      <c r="J19" s="35" t="n">
        <v>274.38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>
        <f>SUMIF('HAB TB'!$R:$R,'HAB P&amp;L'!$A19,'HAB TB'!C:C)</f>
        <v/>
      </c>
      <c r="P19" s="37">
        <f>SUMIF('HAB TB'!$R:$R,'HAB P&amp;L'!$A19,'HAB TB'!D:D)</f>
        <v/>
      </c>
      <c r="Q19" s="37">
        <f>SUMIF('HAB TB'!$R:$R,'HAB P&amp;L'!$A19,'HAB TB'!E:E)</f>
        <v/>
      </c>
      <c r="R19" s="37">
        <f>SUMIF('HAB TB'!$R:$R,'HAB P&amp;L'!$A19,'HAB TB'!F:F)</f>
        <v/>
      </c>
      <c r="S19" s="37">
        <f>SUMIF('HAB TB'!$R:$R,'HAB P&amp;L'!$A19,'HAB TB'!G:G)</f>
        <v/>
      </c>
      <c r="T19" s="37">
        <f>SUMIF('HAB TB'!$R:$R,'HAB P&amp;L'!$A19,'HAB TB'!H:H)</f>
        <v/>
      </c>
      <c r="U19" s="37">
        <f>SUMIF('HAB TB'!$R:$R,'HAB P&amp;L'!$A19,'HAB TB'!I:I)</f>
        <v/>
      </c>
      <c r="V19" s="38" t="n">
        <v>49</v>
      </c>
      <c r="W19" s="38" t="n">
        <v>49</v>
      </c>
      <c r="X19" s="38" t="n">
        <v>49</v>
      </c>
      <c r="Y19" s="38" t="n">
        <v>49</v>
      </c>
      <c r="Z19" s="38" t="n">
        <v>49</v>
      </c>
      <c r="AA19" s="36">
        <f>SUM(O19:U19)</f>
        <v/>
      </c>
      <c r="AB19" s="36">
        <f>SUM(O19:Z19)</f>
        <v/>
      </c>
      <c r="AC19" s="38" t="n">
        <v>49</v>
      </c>
      <c r="AD19" s="38" t="n">
        <v>49</v>
      </c>
      <c r="AE19" s="38" t="n">
        <v>49</v>
      </c>
      <c r="AF19" s="38" t="n">
        <v>49</v>
      </c>
      <c r="AG19" s="38" t="n">
        <v>49</v>
      </c>
      <c r="AH19" s="38" t="n">
        <v>49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97.90000000000001</v>
      </c>
      <c r="C20" s="35" t="n">
        <v>24.95</v>
      </c>
      <c r="D20" s="35" t="n">
        <v>53.94</v>
      </c>
      <c r="E20" s="35" t="n">
        <v>109.2</v>
      </c>
      <c r="F20" s="35" t="n">
        <v>36</v>
      </c>
      <c r="G20" s="35" t="n">
        <v>29.94</v>
      </c>
      <c r="H20" s="35" t="n">
        <v>0</v>
      </c>
      <c r="I20" s="35" t="n">
        <v>74.40000000000001</v>
      </c>
      <c r="J20" s="35" t="n">
        <v>387.94</v>
      </c>
      <c r="K20" s="35" t="n">
        <v>115.2</v>
      </c>
      <c r="L20" s="35" t="n">
        <v>45</v>
      </c>
      <c r="M20" s="35" t="n">
        <v>636.5</v>
      </c>
      <c r="N20" s="36">
        <f>SUM(B20:M20)</f>
        <v/>
      </c>
      <c r="O20" s="37">
        <f>SUMIF('HAB TB'!$R:$R,'HAB P&amp;L'!$A20,'HAB TB'!C:C)</f>
        <v/>
      </c>
      <c r="P20" s="37">
        <f>SUMIF('HAB TB'!$R:$R,'HAB P&amp;L'!$A20,'HAB TB'!D:D)</f>
        <v/>
      </c>
      <c r="Q20" s="37">
        <f>SUMIF('HAB TB'!$R:$R,'HAB P&amp;L'!$A20,'HAB TB'!E:E)</f>
        <v/>
      </c>
      <c r="R20" s="37">
        <f>SUMIF('HAB TB'!$R:$R,'HAB P&amp;L'!$A20,'HAB TB'!F:F)</f>
        <v/>
      </c>
      <c r="S20" s="37">
        <f>SUMIF('HAB TB'!$R:$R,'HAB P&amp;L'!$A20,'HAB TB'!G:G)</f>
        <v/>
      </c>
      <c r="T20" s="37">
        <f>SUMIF('HAB TB'!$R:$R,'HAB P&amp;L'!$A20,'HAB TB'!H:H)</f>
        <v/>
      </c>
      <c r="U20" s="37">
        <f>SUMIF('HAB TB'!$R:$R,'HAB P&amp;L'!$A20,'HAB TB'!I:I)</f>
        <v/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6</v>
      </c>
      <c r="C21" s="35" t="n">
        <v>169.43</v>
      </c>
      <c r="D21" s="35" t="n">
        <v>78.2</v>
      </c>
      <c r="E21" s="35" t="n">
        <v>155.13</v>
      </c>
      <c r="F21" s="35" t="n">
        <v>174.31</v>
      </c>
      <c r="G21" s="35" t="n">
        <v>86.18000000000001</v>
      </c>
      <c r="H21" s="35" t="n">
        <v>68.59999999999999</v>
      </c>
      <c r="I21" s="35" t="n">
        <v>55.43</v>
      </c>
      <c r="J21" s="35" t="n">
        <v>96.39</v>
      </c>
      <c r="K21" s="35" t="n">
        <v>12.05</v>
      </c>
      <c r="L21" s="35" t="n">
        <v>77.67</v>
      </c>
      <c r="M21" s="35" t="n">
        <v>88.14</v>
      </c>
      <c r="N21" s="36">
        <f>SUM(B21:M21)</f>
        <v/>
      </c>
      <c r="O21" s="37">
        <f>SUMIF('HAB TB'!$R:$R,'HAB P&amp;L'!$A21,'HAB TB'!C:C)</f>
        <v/>
      </c>
      <c r="P21" s="37">
        <f>SUMIF('HAB TB'!$R:$R,'HAB P&amp;L'!$A21,'HAB TB'!D:D)</f>
        <v/>
      </c>
      <c r="Q21" s="37">
        <f>SUMIF('HAB TB'!$R:$R,'HAB P&amp;L'!$A21,'HAB TB'!E:E)</f>
        <v/>
      </c>
      <c r="R21" s="37">
        <f>SUMIF('HAB TB'!$R:$R,'HAB P&amp;L'!$A21,'HAB TB'!F:F)</f>
        <v/>
      </c>
      <c r="S21" s="37">
        <f>SUMIF('HAB TB'!$R:$R,'HAB P&amp;L'!$A21,'HAB TB'!G:G)</f>
        <v/>
      </c>
      <c r="T21" s="37">
        <f>SUMIF('HAB TB'!$R:$R,'HAB P&amp;L'!$A21,'HAB TB'!H:H)</f>
        <v/>
      </c>
      <c r="U21" s="37">
        <f>SUMIF('HAB TB'!$R:$R,'HAB P&amp;L'!$A21,'HAB TB'!I:I)</f>
        <v/>
      </c>
      <c r="V21" s="38" t="n">
        <v>100</v>
      </c>
      <c r="W21" s="38" t="n">
        <v>100</v>
      </c>
      <c r="X21" s="38" t="n">
        <v>100</v>
      </c>
      <c r="Y21" s="38" t="n">
        <v>100</v>
      </c>
      <c r="Z21" s="38" t="n">
        <v>100</v>
      </c>
      <c r="AA21" s="36">
        <f>SUM(O21:U21)</f>
        <v/>
      </c>
      <c r="AB21" s="36">
        <f>SUM(O21:Z21)</f>
        <v/>
      </c>
      <c r="AC21" s="38" t="n">
        <v>100</v>
      </c>
      <c r="AD21" s="38" t="n">
        <v>100</v>
      </c>
      <c r="AE21" s="38" t="n">
        <v>100</v>
      </c>
      <c r="AF21" s="38" t="n">
        <v>100</v>
      </c>
      <c r="AG21" s="38" t="n">
        <v>100</v>
      </c>
      <c r="AH21" s="38" t="n">
        <v>100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SUMIF('HAB TB'!$R:$R,'HAB P&amp;L'!$A22,'HAB TB'!C:C)</f>
        <v/>
      </c>
      <c r="P22" s="37">
        <f>SUMIF('HAB TB'!$R:$R,'HAB P&amp;L'!$A22,'HAB TB'!D:D)</f>
        <v/>
      </c>
      <c r="Q22" s="37">
        <f>SUMIF('HAB TB'!$R:$R,'HAB P&amp;L'!$A22,'HAB TB'!E:E)</f>
        <v/>
      </c>
      <c r="R22" s="37">
        <f>SUMIF('HAB TB'!$R:$R,'HAB P&amp;L'!$A22,'HAB TB'!F:F)</f>
        <v/>
      </c>
      <c r="S22" s="37">
        <f>SUMIF('HAB TB'!$R:$R,'HAB P&amp;L'!$A22,'HAB TB'!G:G)</f>
        <v/>
      </c>
      <c r="T22" s="37">
        <f>SUMIF('HAB TB'!$R:$R,'HAB P&amp;L'!$A22,'HAB TB'!H:H)</f>
        <v/>
      </c>
      <c r="U22" s="37">
        <f>SUMIF('HAB TB'!$R:$R,'HAB P&amp;L'!$A22,'HAB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45</v>
      </c>
      <c r="I23" s="35" t="n">
        <v>0</v>
      </c>
      <c r="J23" s="35" t="n">
        <v>62.98</v>
      </c>
      <c r="K23" s="35" t="n">
        <v>32.48</v>
      </c>
      <c r="L23" s="35" t="n">
        <v>14.88</v>
      </c>
      <c r="M23" s="35" t="n">
        <v>130.64</v>
      </c>
      <c r="N23" s="36">
        <f>SUM(B23:M23)</f>
        <v/>
      </c>
      <c r="O23" s="37">
        <f>SUMIF('HAB TB'!$R:$R,'HAB P&amp;L'!$A23,'HAB TB'!C:C)</f>
        <v/>
      </c>
      <c r="P23" s="37">
        <f>SUMIF('HAB TB'!$R:$R,'HAB P&amp;L'!$A23,'HAB TB'!D:D)</f>
        <v/>
      </c>
      <c r="Q23" s="37">
        <f>SUMIF('HAB TB'!$R:$R,'HAB P&amp;L'!$A23,'HAB TB'!E:E)</f>
        <v/>
      </c>
      <c r="R23" s="37">
        <f>SUMIF('HAB TB'!$R:$R,'HAB P&amp;L'!$A23,'HAB TB'!F:F)</f>
        <v/>
      </c>
      <c r="S23" s="37">
        <f>SUMIF('HAB TB'!$R:$R,'HAB P&amp;L'!$A23,'HAB TB'!G:G)</f>
        <v/>
      </c>
      <c r="T23" s="37">
        <f>SUMIF('HAB TB'!$R:$R,'HAB P&amp;L'!$A23,'HAB TB'!H:H)</f>
        <v/>
      </c>
      <c r="U23" s="37">
        <f>SUMIF('HAB TB'!$R:$R,'HAB P&amp;L'!$A23,'HAB TB'!I:I)</f>
        <v/>
      </c>
      <c r="V23" s="38" t="n">
        <v>42</v>
      </c>
      <c r="W23" s="38" t="n">
        <v>42</v>
      </c>
      <c r="X23" s="38" t="n">
        <v>42</v>
      </c>
      <c r="Y23" s="38" t="n">
        <v>42</v>
      </c>
      <c r="Z23" s="38" t="n">
        <v>42</v>
      </c>
      <c r="AA23" s="36">
        <f>SUM(O23:U23)</f>
        <v/>
      </c>
      <c r="AB23" s="36">
        <f>SUM(O23:Z23)</f>
        <v/>
      </c>
      <c r="AC23" s="38" t="n">
        <v>42</v>
      </c>
      <c r="AD23" s="38" t="n">
        <v>42</v>
      </c>
      <c r="AE23" s="38" t="n">
        <v>42</v>
      </c>
      <c r="AF23" s="38" t="n">
        <v>42</v>
      </c>
      <c r="AG23" s="38" t="n">
        <v>42</v>
      </c>
      <c r="AH23" s="38" t="n">
        <v>42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SUMIF('HAB TB'!$R:$R,'HAB P&amp;L'!$A24,'HAB TB'!C:C)</f>
        <v/>
      </c>
      <c r="P24" s="37">
        <f>SUMIF('HAB TB'!$R:$R,'HAB P&amp;L'!$A24,'HAB TB'!D:D)</f>
        <v/>
      </c>
      <c r="Q24" s="37">
        <f>SUMIF('HAB TB'!$R:$R,'HAB P&amp;L'!$A24,'HAB TB'!E:E)</f>
        <v/>
      </c>
      <c r="R24" s="37">
        <f>SUMIF('HAB TB'!$R:$R,'HAB P&amp;L'!$A24,'HAB TB'!F:F)</f>
        <v/>
      </c>
      <c r="S24" s="37">
        <f>SUMIF('HAB TB'!$R:$R,'HAB P&amp;L'!$A24,'HAB TB'!G:G)</f>
        <v/>
      </c>
      <c r="T24" s="37">
        <f>SUMIF('HAB TB'!$R:$R,'HAB P&amp;L'!$A24,'HAB TB'!H:H)</f>
        <v/>
      </c>
      <c r="U24" s="37">
        <f>SUMIF('HAB TB'!$R:$R,'HAB P&amp;L'!$A24,'HAB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15648.24</v>
      </c>
      <c r="C25" s="42" t="n">
        <v>18409.52</v>
      </c>
      <c r="D25" s="42" t="n">
        <v>19663.6</v>
      </c>
      <c r="E25" s="42" t="n">
        <v>21338.35</v>
      </c>
      <c r="F25" s="42" t="n">
        <v>23094.97</v>
      </c>
      <c r="G25" s="42" t="n">
        <v>22006.96</v>
      </c>
      <c r="H25" s="42" t="n">
        <v>22849.88</v>
      </c>
      <c r="I25" s="42" t="n">
        <v>21324.02</v>
      </c>
      <c r="J25" s="42" t="n">
        <v>26356.50999999999</v>
      </c>
      <c r="K25" s="42" t="n">
        <v>26819.11</v>
      </c>
      <c r="L25" s="42" t="n">
        <v>25918.13</v>
      </c>
      <c r="M25" s="42" t="n">
        <v>27401.22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1097.02</v>
      </c>
      <c r="C27" s="35" t="n">
        <v>959.28</v>
      </c>
      <c r="D27" s="35" t="n">
        <v>1015.65</v>
      </c>
      <c r="E27" s="35" t="n">
        <v>970.3099999999999</v>
      </c>
      <c r="F27" s="35" t="n">
        <v>1124.45</v>
      </c>
      <c r="G27" s="35" t="n">
        <v>1191.59</v>
      </c>
      <c r="H27" s="35" t="n">
        <v>1055.31</v>
      </c>
      <c r="I27" s="35" t="n">
        <v>1034.07</v>
      </c>
      <c r="J27" s="35" t="n">
        <v>1031.82</v>
      </c>
      <c r="K27" s="35" t="n">
        <v>1321.23</v>
      </c>
      <c r="L27" s="35" t="n">
        <v>1037.74</v>
      </c>
      <c r="M27" s="35" t="n">
        <v>885.5599999999999</v>
      </c>
      <c r="N27" s="36">
        <f>SUM(B27:M27)</f>
        <v/>
      </c>
      <c r="O27" s="37">
        <f>SUMIF('HAB TB'!$R:$R,'HAB P&amp;L'!$A27,'HAB TB'!C:C)</f>
        <v/>
      </c>
      <c r="P27" s="37">
        <f>SUMIF('HAB TB'!$R:$R,'HAB P&amp;L'!$A27,'HAB TB'!D:D)</f>
        <v/>
      </c>
      <c r="Q27" s="37">
        <f>SUMIF('HAB TB'!$R:$R,'HAB P&amp;L'!$A27,'HAB TB'!E:E)</f>
        <v/>
      </c>
      <c r="R27" s="37">
        <f>SUMIF('HAB TB'!$R:$R,'HAB P&amp;L'!$A27,'HAB TB'!F:F)</f>
        <v/>
      </c>
      <c r="S27" s="37">
        <f>SUMIF('HAB TB'!$R:$R,'HAB P&amp;L'!$A27,'HAB TB'!G:G)</f>
        <v/>
      </c>
      <c r="T27" s="37">
        <f>SUMIF('HAB TB'!$R:$R,'HAB P&amp;L'!$A27,'HAB TB'!H:H)</f>
        <v/>
      </c>
      <c r="U27" s="37">
        <f>SUMIF('HAB TB'!$R:$R,'HAB P&amp;L'!$A27,'HAB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683.49</v>
      </c>
      <c r="C28" s="35" t="n">
        <v>332.85</v>
      </c>
      <c r="D28" s="35" t="n">
        <v>213.47</v>
      </c>
      <c r="E28" s="35" t="n">
        <v>84.28999999999999</v>
      </c>
      <c r="F28" s="35" t="n">
        <v>1142.04</v>
      </c>
      <c r="G28" s="35" t="n">
        <v>347.81</v>
      </c>
      <c r="H28" s="35" t="n">
        <v>169.15</v>
      </c>
      <c r="I28" s="35" t="n">
        <v>231.52</v>
      </c>
      <c r="J28" s="35" t="n">
        <v>132.85</v>
      </c>
      <c r="K28" s="35" t="n">
        <v>444.81</v>
      </c>
      <c r="L28" s="35" t="n">
        <v>168.92</v>
      </c>
      <c r="M28" s="35" t="n">
        <v>104.22</v>
      </c>
      <c r="N28" s="36">
        <f>SUM(B28:M28)</f>
        <v/>
      </c>
      <c r="O28" s="37">
        <f>SUMIF('HAB TB'!$R:$R,'HAB P&amp;L'!$A28,'HAB TB'!C:C)</f>
        <v/>
      </c>
      <c r="P28" s="37">
        <f>SUMIF('HAB TB'!$R:$R,'HAB P&amp;L'!$A28,'HAB TB'!D:D)</f>
        <v/>
      </c>
      <c r="Q28" s="37">
        <f>SUMIF('HAB TB'!$R:$R,'HAB P&amp;L'!$A28,'HAB TB'!E:E)</f>
        <v/>
      </c>
      <c r="R28" s="37">
        <f>SUMIF('HAB TB'!$R:$R,'HAB P&amp;L'!$A28,'HAB TB'!F:F)</f>
        <v/>
      </c>
      <c r="S28" s="37">
        <f>SUMIF('HAB TB'!$R:$R,'HAB P&amp;L'!$A28,'HAB TB'!G:G)</f>
        <v/>
      </c>
      <c r="T28" s="37">
        <f>SUMIF('HAB TB'!$R:$R,'HAB P&amp;L'!$A28,'HAB TB'!H:H)</f>
        <v/>
      </c>
      <c r="U28" s="37">
        <f>SUMIF('HAB TB'!$R:$R,'HAB P&amp;L'!$A28,'HAB TB'!I:I)</f>
        <v/>
      </c>
      <c r="V28" s="38" t="n">
        <v>54</v>
      </c>
      <c r="W28" s="38" t="n">
        <v>55</v>
      </c>
      <c r="X28" s="38" t="n">
        <v>56</v>
      </c>
      <c r="Y28" s="38" t="n">
        <v>57</v>
      </c>
      <c r="Z28" s="38" t="n">
        <v>58</v>
      </c>
      <c r="AA28" s="36">
        <f>SUM(O28:U28)</f>
        <v/>
      </c>
      <c r="AB28" s="36">
        <f>SUM(O28:Z28)</f>
        <v/>
      </c>
      <c r="AC28" s="38" t="n">
        <v>58</v>
      </c>
      <c r="AD28" s="38" t="n">
        <v>58</v>
      </c>
      <c r="AE28" s="38" t="n">
        <v>58</v>
      </c>
      <c r="AF28" s="38" t="n">
        <v>58</v>
      </c>
      <c r="AG28" s="38" t="n">
        <v>58</v>
      </c>
      <c r="AH28" s="38" t="n">
        <v>58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267.01</v>
      </c>
      <c r="C29" s="35" t="n">
        <v>23.97</v>
      </c>
      <c r="D29" s="35" t="n">
        <v>136.51</v>
      </c>
      <c r="E29" s="35" t="n">
        <v>153.58</v>
      </c>
      <c r="F29" s="35" t="n">
        <v>103.75</v>
      </c>
      <c r="G29" s="35" t="n">
        <v>4.94</v>
      </c>
      <c r="H29" s="35" t="n">
        <v>159.68</v>
      </c>
      <c r="I29" s="35" t="n">
        <v>40.09</v>
      </c>
      <c r="J29" s="35" t="n">
        <v>0</v>
      </c>
      <c r="K29" s="35" t="n">
        <v>131.01</v>
      </c>
      <c r="L29" s="35" t="n">
        <v>45.15000000000001</v>
      </c>
      <c r="M29" s="35" t="n">
        <v>38.38</v>
      </c>
      <c r="N29" s="36">
        <f>SUM(B29:M29)</f>
        <v/>
      </c>
      <c r="O29" s="37">
        <f>SUMIF('HAB TB'!$R:$R,'HAB P&amp;L'!$A29,'HAB TB'!C:C)</f>
        <v/>
      </c>
      <c r="P29" s="37">
        <f>SUMIF('HAB TB'!$R:$R,'HAB P&amp;L'!$A29,'HAB TB'!D:D)</f>
        <v/>
      </c>
      <c r="Q29" s="37">
        <f>SUMIF('HAB TB'!$R:$R,'HAB P&amp;L'!$A29,'HAB TB'!E:E)</f>
        <v/>
      </c>
      <c r="R29" s="37">
        <f>SUMIF('HAB TB'!$R:$R,'HAB P&amp;L'!$A29,'HAB TB'!F:F)</f>
        <v/>
      </c>
      <c r="S29" s="37">
        <f>SUMIF('HAB TB'!$R:$R,'HAB P&amp;L'!$A29,'HAB TB'!G:G)</f>
        <v/>
      </c>
      <c r="T29" s="37">
        <f>SUMIF('HAB TB'!$R:$R,'HAB P&amp;L'!$A29,'HAB TB'!H:H)</f>
        <v/>
      </c>
      <c r="U29" s="37">
        <f>SUMIF('HAB TB'!$R:$R,'HAB P&amp;L'!$A29,'HAB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0.00312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69.2</v>
      </c>
      <c r="C30" s="35" t="n">
        <v>20.73</v>
      </c>
      <c r="D30" s="35" t="n">
        <v>82.73</v>
      </c>
      <c r="E30" s="35" t="n">
        <v>16.99</v>
      </c>
      <c r="F30" s="35" t="n">
        <v>110.64</v>
      </c>
      <c r="G30" s="35" t="n">
        <v>52.16</v>
      </c>
      <c r="H30" s="35" t="n">
        <v>63.11</v>
      </c>
      <c r="I30" s="35" t="n">
        <v>0</v>
      </c>
      <c r="J30" s="35" t="n">
        <v>167.04</v>
      </c>
      <c r="K30" s="35" t="n">
        <v>39.54</v>
      </c>
      <c r="L30" s="35" t="n">
        <v>92.5</v>
      </c>
      <c r="M30" s="35" t="n">
        <v>7.71</v>
      </c>
      <c r="N30" s="36">
        <f>SUM(B30:M30)</f>
        <v/>
      </c>
      <c r="O30" s="37">
        <f>SUMIF('HAB TB'!$R:$R,'HAB P&amp;L'!$A30,'HAB TB'!C:C)</f>
        <v/>
      </c>
      <c r="P30" s="37">
        <f>SUMIF('HAB TB'!$R:$R,'HAB P&amp;L'!$A30,'HAB TB'!D:D)</f>
        <v/>
      </c>
      <c r="Q30" s="37">
        <f>SUMIF('HAB TB'!$R:$R,'HAB P&amp;L'!$A30,'HAB TB'!E:E)</f>
        <v/>
      </c>
      <c r="R30" s="37">
        <f>SUMIF('HAB TB'!$R:$R,'HAB P&amp;L'!$A30,'HAB TB'!F:F)</f>
        <v/>
      </c>
      <c r="S30" s="37">
        <f>SUMIF('HAB TB'!$R:$R,'HAB P&amp;L'!$A30,'HAB TB'!G:G)</f>
        <v/>
      </c>
      <c r="T30" s="37">
        <f>SUMIF('HAB TB'!$R:$R,'HAB P&amp;L'!$A30,'HAB TB'!H:H)</f>
        <v/>
      </c>
      <c r="U30" s="37">
        <f>SUMIF('HAB TB'!$R:$R,'HAB P&amp;L'!$A30,'HAB TB'!I:I)</f>
        <v/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158.02</v>
      </c>
      <c r="C31" s="35" t="n">
        <v>184.27</v>
      </c>
      <c r="D31" s="35" t="n">
        <v>189.68</v>
      </c>
      <c r="E31" s="35" t="n">
        <v>63.74</v>
      </c>
      <c r="F31" s="35" t="n">
        <v>202.4</v>
      </c>
      <c r="G31" s="35" t="n">
        <v>267.82</v>
      </c>
      <c r="H31" s="35" t="n">
        <v>261.62</v>
      </c>
      <c r="I31" s="35" t="n">
        <v>42.89</v>
      </c>
      <c r="J31" s="35" t="n">
        <v>215.43</v>
      </c>
      <c r="K31" s="35" t="n">
        <v>821.3499999999999</v>
      </c>
      <c r="L31" s="35" t="n">
        <v>88.28</v>
      </c>
      <c r="M31" s="35" t="n">
        <v>254.5</v>
      </c>
      <c r="N31" s="36">
        <f>SUM(B31:M31)</f>
        <v/>
      </c>
      <c r="O31" s="37">
        <f>SUMIF('HAB TB'!$R:$R,'HAB P&amp;L'!$A31,'HAB TB'!C:C)</f>
        <v/>
      </c>
      <c r="P31" s="37">
        <f>SUMIF('HAB TB'!$R:$R,'HAB P&amp;L'!$A31,'HAB TB'!D:D)</f>
        <v/>
      </c>
      <c r="Q31" s="37">
        <f>SUMIF('HAB TB'!$R:$R,'HAB P&amp;L'!$A31,'HAB TB'!E:E)</f>
        <v/>
      </c>
      <c r="R31" s="37">
        <f>SUMIF('HAB TB'!$R:$R,'HAB P&amp;L'!$A31,'HAB TB'!F:F)</f>
        <v/>
      </c>
      <c r="S31" s="37">
        <f>SUMIF('HAB TB'!$R:$R,'HAB P&amp;L'!$A31,'HAB TB'!G:G)</f>
        <v/>
      </c>
      <c r="T31" s="37">
        <f>SUMIF('HAB TB'!$R:$R,'HAB P&amp;L'!$A31,'HAB TB'!H:H)</f>
        <v/>
      </c>
      <c r="U31" s="37">
        <f>SUMIF('HAB TB'!$R:$R,'HAB P&amp;L'!$A31,'HAB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46.88</v>
      </c>
      <c r="C32" s="35" t="n">
        <v>44.14</v>
      </c>
      <c r="D32" s="35" t="n">
        <v>0</v>
      </c>
      <c r="E32" s="35" t="n">
        <v>49.12</v>
      </c>
      <c r="F32" s="35" t="n">
        <v>164.65</v>
      </c>
      <c r="G32" s="35" t="n">
        <v>149.95</v>
      </c>
      <c r="H32" s="35" t="n">
        <v>186.56</v>
      </c>
      <c r="I32" s="35" t="n">
        <v>0</v>
      </c>
      <c r="J32" s="35" t="n">
        <v>102.28</v>
      </c>
      <c r="K32" s="35" t="n">
        <v>135.69</v>
      </c>
      <c r="L32" s="35" t="n">
        <v>165.15</v>
      </c>
      <c r="M32" s="35" t="n">
        <v>270.8</v>
      </c>
      <c r="N32" s="36">
        <f>SUM(B32:M32)</f>
        <v/>
      </c>
      <c r="O32" s="37">
        <f>SUMIF('HAB TB'!$R:$R,'HAB P&amp;L'!$A32,'HAB TB'!C:C)</f>
        <v/>
      </c>
      <c r="P32" s="37">
        <f>SUMIF('HAB TB'!$R:$R,'HAB P&amp;L'!$A32,'HAB TB'!D:D)</f>
        <v/>
      </c>
      <c r="Q32" s="37">
        <f>SUMIF('HAB TB'!$R:$R,'HAB P&amp;L'!$A32,'HAB TB'!E:E)</f>
        <v/>
      </c>
      <c r="R32" s="37">
        <f>SUMIF('HAB TB'!$R:$R,'HAB P&amp;L'!$A32,'HAB TB'!F:F)</f>
        <v/>
      </c>
      <c r="S32" s="37">
        <f>SUMIF('HAB TB'!$R:$R,'HAB P&amp;L'!$A32,'HAB TB'!G:G)</f>
        <v/>
      </c>
      <c r="T32" s="37">
        <f>SUMIF('HAB TB'!$R:$R,'HAB P&amp;L'!$A32,'HAB TB'!H:H)</f>
        <v/>
      </c>
      <c r="U32" s="37">
        <f>SUMIF('HAB TB'!$R:$R,'HAB P&amp;L'!$A32,'HAB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0.005200000000000001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SUMIF('HAB TB'!$R:$R,'HAB P&amp;L'!$A33,'HAB TB'!C:C)</f>
        <v/>
      </c>
      <c r="P33" s="37">
        <f>SUMIF('HAB TB'!$R:$R,'HAB P&amp;L'!$A33,'HAB TB'!D:D)</f>
        <v/>
      </c>
      <c r="Q33" s="37">
        <f>SUMIF('HAB TB'!$R:$R,'HAB P&amp;L'!$A33,'HAB TB'!E:E)</f>
        <v/>
      </c>
      <c r="R33" s="37">
        <f>SUMIF('HAB TB'!$R:$R,'HAB P&amp;L'!$A33,'HAB TB'!F:F)</f>
        <v/>
      </c>
      <c r="S33" s="37">
        <f>SUMIF('HAB TB'!$R:$R,'HAB P&amp;L'!$A33,'HAB TB'!G:G)</f>
        <v/>
      </c>
      <c r="T33" s="37">
        <f>SUMIF('HAB TB'!$R:$R,'HAB P&amp;L'!$A33,'HAB TB'!H:H)</f>
        <v/>
      </c>
      <c r="U33" s="37">
        <f>SUMIF('HAB TB'!$R:$R,'HAB P&amp;L'!$A33,'HAB TB'!I:I)</f>
        <v/>
      </c>
      <c r="V33" s="38" t="n">
        <v>4</v>
      </c>
      <c r="W33" s="38" t="n">
        <v>5</v>
      </c>
      <c r="X33" s="38" t="n">
        <v>6</v>
      </c>
      <c r="Y33" s="38" t="n">
        <v>7</v>
      </c>
      <c r="Z33" s="38" t="n">
        <v>8</v>
      </c>
      <c r="AA33" s="36">
        <f>SUM(O33:U33)</f>
        <v/>
      </c>
      <c r="AB33" s="36">
        <f>SUM(O33:Z33)</f>
        <v/>
      </c>
      <c r="AC33" s="38" t="n">
        <v>8</v>
      </c>
      <c r="AD33" s="38" t="n">
        <v>8</v>
      </c>
      <c r="AE33" s="38" t="n">
        <v>8</v>
      </c>
      <c r="AF33" s="38" t="n">
        <v>8</v>
      </c>
      <c r="AG33" s="38" t="n">
        <v>8</v>
      </c>
      <c r="AH33" s="38" t="n">
        <v>8</v>
      </c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2321.62</v>
      </c>
      <c r="C34" s="42" t="n">
        <v>1565.24</v>
      </c>
      <c r="D34" s="42" t="n">
        <v>1638.04</v>
      </c>
      <c r="E34" s="42" t="n">
        <v>1338.03</v>
      </c>
      <c r="F34" s="42" t="n">
        <v>2847.93</v>
      </c>
      <c r="G34" s="42" t="n">
        <v>2014.27</v>
      </c>
      <c r="H34" s="42" t="n">
        <v>1895.43</v>
      </c>
      <c r="I34" s="42" t="n">
        <v>1348.57</v>
      </c>
      <c r="J34" s="42" t="n">
        <v>1649.42</v>
      </c>
      <c r="K34" s="42" t="n">
        <v>2893.63</v>
      </c>
      <c r="L34" s="42" t="n">
        <v>1597.74</v>
      </c>
      <c r="M34" s="42" t="n">
        <v>1561.17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4000</v>
      </c>
      <c r="C36" s="35" t="n">
        <v>4000</v>
      </c>
      <c r="D36" s="35" t="n">
        <v>4000</v>
      </c>
      <c r="E36" s="35" t="n">
        <v>4000</v>
      </c>
      <c r="F36" s="35" t="n">
        <v>4000</v>
      </c>
      <c r="G36" s="35" t="n">
        <v>4000</v>
      </c>
      <c r="H36" s="35" t="n">
        <v>4000</v>
      </c>
      <c r="I36" s="35" t="n">
        <v>4000</v>
      </c>
      <c r="J36" s="35" t="n">
        <v>4000</v>
      </c>
      <c r="K36" s="35" t="n">
        <v>4000</v>
      </c>
      <c r="L36" s="35" t="n">
        <v>4000</v>
      </c>
      <c r="M36" s="35" t="n">
        <v>4000</v>
      </c>
      <c r="N36" s="36">
        <f>SUM(B36:M36)</f>
        <v/>
      </c>
      <c r="O36" s="37">
        <f>SUMIF('HAB TB'!$R:$R,'HAB P&amp;L'!$A36,'HAB TB'!C:C)</f>
        <v/>
      </c>
      <c r="P36" s="37">
        <f>SUMIF('HAB TB'!$R:$R,'HAB P&amp;L'!$A36,'HAB TB'!D:D)</f>
        <v/>
      </c>
      <c r="Q36" s="37">
        <f>SUMIF('HAB TB'!$R:$R,'HAB P&amp;L'!$A36,'HAB TB'!E:E)</f>
        <v/>
      </c>
      <c r="R36" s="37">
        <f>SUMIF('HAB TB'!$R:$R,'HAB P&amp;L'!$A36,'HAB TB'!F:F)</f>
        <v/>
      </c>
      <c r="S36" s="37">
        <f>SUMIF('HAB TB'!$R:$R,'HAB P&amp;L'!$A36,'HAB TB'!G:G)</f>
        <v/>
      </c>
      <c r="T36" s="37">
        <f>SUMIF('HAB TB'!$R:$R,'HAB P&amp;L'!$A36,'HAB TB'!H:H)</f>
        <v/>
      </c>
      <c r="U36" s="37">
        <f>SUMIF('HAB TB'!$R:$R,'HAB P&amp;L'!$A36,'HAB TB'!I:I)</f>
        <v/>
      </c>
      <c r="V36" s="38" t="n">
        <v>0</v>
      </c>
      <c r="W36" s="38" t="n">
        <v>0</v>
      </c>
      <c r="X36" s="38" t="n">
        <v>0</v>
      </c>
      <c r="Y36" s="38" t="n">
        <v>0</v>
      </c>
      <c r="Z36" s="38" t="n">
        <v>0</v>
      </c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288.13</v>
      </c>
      <c r="C37" s="35" t="n">
        <v>288.13</v>
      </c>
      <c r="D37" s="35" t="n">
        <v>288.13</v>
      </c>
      <c r="E37" s="35" t="n">
        <v>332.67</v>
      </c>
      <c r="F37" s="35" t="n">
        <v>332.66</v>
      </c>
      <c r="G37" s="35" t="n">
        <v>332.67</v>
      </c>
      <c r="H37" s="35" t="n">
        <v>332.67</v>
      </c>
      <c r="I37" s="35" t="n">
        <v>332.67</v>
      </c>
      <c r="J37" s="35" t="n">
        <v>332.67</v>
      </c>
      <c r="K37" s="35" t="n">
        <v>332.67</v>
      </c>
      <c r="L37" s="35" t="n">
        <v>332.67</v>
      </c>
      <c r="M37" s="35" t="n">
        <v>332.67</v>
      </c>
      <c r="N37" s="36">
        <f>SUM(B37:M37)</f>
        <v/>
      </c>
      <c r="O37" s="37">
        <f>SUMIF('HAB TB'!$R:$R,'HAB P&amp;L'!$A37,'HAB TB'!C:C)</f>
        <v/>
      </c>
      <c r="P37" s="37">
        <f>SUMIF('HAB TB'!$R:$R,'HAB P&amp;L'!$A37,'HAB TB'!D:D)</f>
        <v/>
      </c>
      <c r="Q37" s="37">
        <f>SUMIF('HAB TB'!$R:$R,'HAB P&amp;L'!$A37,'HAB TB'!E:E)</f>
        <v/>
      </c>
      <c r="R37" s="37">
        <f>SUMIF('HAB TB'!$R:$R,'HAB P&amp;L'!$A37,'HAB TB'!F:F)</f>
        <v/>
      </c>
      <c r="S37" s="37">
        <f>SUMIF('HAB TB'!$R:$R,'HAB P&amp;L'!$A37,'HAB TB'!G:G)</f>
        <v/>
      </c>
      <c r="T37" s="37">
        <f>SUMIF('HAB TB'!$R:$R,'HAB P&amp;L'!$A37,'HAB TB'!H:H)</f>
        <v/>
      </c>
      <c r="U37" s="37">
        <f>SUMIF('HAB TB'!$R:$R,'HAB P&amp;L'!$A37,'HAB TB'!I:I)</f>
        <v/>
      </c>
      <c r="V37" s="38" t="n">
        <v>567</v>
      </c>
      <c r="W37" s="38" t="n">
        <v>567</v>
      </c>
      <c r="X37" s="38" t="n">
        <v>567</v>
      </c>
      <c r="Y37" s="38" t="n">
        <v>567</v>
      </c>
      <c r="Z37" s="38" t="n">
        <v>567</v>
      </c>
      <c r="AA37" s="36">
        <f>SUM(O37:U37)</f>
        <v/>
      </c>
      <c r="AB37" s="36">
        <f>SUM(O37:Z37)</f>
        <v/>
      </c>
      <c r="AC37" s="38" t="n">
        <v>567</v>
      </c>
      <c r="AD37" s="38" t="n">
        <v>567</v>
      </c>
      <c r="AE37" s="38" t="n">
        <v>567</v>
      </c>
      <c r="AF37" s="38" t="n">
        <v>567</v>
      </c>
      <c r="AG37" s="38" t="n">
        <v>567</v>
      </c>
      <c r="AH37" s="38" t="n">
        <v>567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303.39</v>
      </c>
      <c r="C38" s="35" t="n">
        <v>600.05</v>
      </c>
      <c r="D38" s="35" t="n">
        <v>339.82</v>
      </c>
      <c r="E38" s="35" t="n">
        <v>1107.55</v>
      </c>
      <c r="F38" s="35" t="n">
        <v>191.41</v>
      </c>
      <c r="G38" s="35" t="n">
        <v>433.34</v>
      </c>
      <c r="H38" s="35" t="n">
        <v>13.48</v>
      </c>
      <c r="I38" s="35" t="n">
        <v>270.72</v>
      </c>
      <c r="J38" s="35" t="n">
        <v>252.23</v>
      </c>
      <c r="K38" s="35" t="n">
        <v>193.9</v>
      </c>
      <c r="L38" s="35" t="n">
        <v>265.24</v>
      </c>
      <c r="M38" s="35" t="n">
        <v>276.9</v>
      </c>
      <c r="N38" s="36">
        <f>SUM(B38:M38)</f>
        <v/>
      </c>
      <c r="O38" s="37">
        <f>SUMIF('HAB TB'!$R:$R,'HAB P&amp;L'!$A38,'HAB TB'!C:C)</f>
        <v/>
      </c>
      <c r="P38" s="37">
        <f>SUMIF('HAB TB'!$R:$R,'HAB P&amp;L'!$A38,'HAB TB'!D:D)</f>
        <v/>
      </c>
      <c r="Q38" s="37">
        <f>SUMIF('HAB TB'!$R:$R,'HAB P&amp;L'!$A38,'HAB TB'!E:E)</f>
        <v/>
      </c>
      <c r="R38" s="37">
        <f>SUMIF('HAB TB'!$R:$R,'HAB P&amp;L'!$A38,'HAB TB'!F:F)</f>
        <v/>
      </c>
      <c r="S38" s="37">
        <f>SUMIF('HAB TB'!$R:$R,'HAB P&amp;L'!$A38,'HAB TB'!G:G)</f>
        <v/>
      </c>
      <c r="T38" s="37">
        <f>SUMIF('HAB TB'!$R:$R,'HAB P&amp;L'!$A38,'HAB TB'!H:H)</f>
        <v/>
      </c>
      <c r="U38" s="37">
        <f>SUMIF('HAB TB'!$R:$R,'HAB P&amp;L'!$A38,'HAB TB'!I:I)</f>
        <v/>
      </c>
      <c r="V38" s="38" t="n">
        <v>370</v>
      </c>
      <c r="W38" s="38" t="n">
        <v>370</v>
      </c>
      <c r="X38" s="38" t="n">
        <v>370</v>
      </c>
      <c r="Y38" s="38" t="n">
        <v>370</v>
      </c>
      <c r="Z38" s="38" t="n">
        <v>370</v>
      </c>
      <c r="AA38" s="36">
        <f>SUM(O38:U38)</f>
        <v/>
      </c>
      <c r="AB38" s="36">
        <f>SUM(O38:Z38)</f>
        <v/>
      </c>
      <c r="AC38" s="38" t="n">
        <v>370</v>
      </c>
      <c r="AD38" s="38" t="n">
        <v>370</v>
      </c>
      <c r="AE38" s="38" t="n">
        <v>370</v>
      </c>
      <c r="AF38" s="38" t="n">
        <v>370</v>
      </c>
      <c r="AG38" s="38" t="n">
        <v>370</v>
      </c>
      <c r="AH38" s="38" t="n">
        <v>370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14.75</v>
      </c>
      <c r="C39" s="35" t="n">
        <v>860.16</v>
      </c>
      <c r="D39" s="35" t="n">
        <v>301.16</v>
      </c>
      <c r="E39" s="35" t="n">
        <v>135.95</v>
      </c>
      <c r="F39" s="35" t="n">
        <v>458.8600000000001</v>
      </c>
      <c r="G39" s="35" t="n">
        <v>143.28</v>
      </c>
      <c r="H39" s="35" t="n">
        <v>52.85</v>
      </c>
      <c r="I39" s="35" t="n">
        <v>0</v>
      </c>
      <c r="J39" s="35" t="n">
        <v>837.0300000000001</v>
      </c>
      <c r="K39" s="35" t="n">
        <v>0</v>
      </c>
      <c r="L39" s="35" t="n">
        <v>0</v>
      </c>
      <c r="M39" s="35" t="n">
        <v>0</v>
      </c>
      <c r="N39" s="36">
        <f>SUM(B39:M39)</f>
        <v/>
      </c>
      <c r="O39" s="37">
        <f>SUMIF('HAB TB'!$R:$R,'HAB P&amp;L'!$A39,'HAB TB'!C:C)</f>
        <v/>
      </c>
      <c r="P39" s="37">
        <f>SUMIF('HAB TB'!$R:$R,'HAB P&amp;L'!$A39,'HAB TB'!D:D)</f>
        <v/>
      </c>
      <c r="Q39" s="37">
        <f>SUMIF('HAB TB'!$R:$R,'HAB P&amp;L'!$A39,'HAB TB'!E:E)</f>
        <v/>
      </c>
      <c r="R39" s="37">
        <f>SUMIF('HAB TB'!$R:$R,'HAB P&amp;L'!$A39,'HAB TB'!F:F)</f>
        <v/>
      </c>
      <c r="S39" s="37">
        <f>SUMIF('HAB TB'!$R:$R,'HAB P&amp;L'!$A39,'HAB TB'!G:G)</f>
        <v/>
      </c>
      <c r="T39" s="37">
        <f>SUMIF('HAB TB'!$R:$R,'HAB P&amp;L'!$A39,'HAB TB'!H:H)</f>
        <v/>
      </c>
      <c r="U39" s="37">
        <f>SUMIF('HAB TB'!$R:$R,'HAB P&amp;L'!$A39,'HAB TB'!I:I)</f>
        <v/>
      </c>
      <c r="V39" s="38" t="n"/>
      <c r="W39" s="38" t="n">
        <v>2500</v>
      </c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241.17</v>
      </c>
      <c r="C40" s="35" t="n">
        <v>155.6</v>
      </c>
      <c r="D40" s="35" t="n">
        <v>234.59</v>
      </c>
      <c r="E40" s="35" t="n">
        <v>34.56</v>
      </c>
      <c r="F40" s="35" t="n">
        <v>327.88</v>
      </c>
      <c r="G40" s="35" t="n">
        <v>324.71</v>
      </c>
      <c r="H40" s="35" t="n">
        <v>295.5700000000001</v>
      </c>
      <c r="I40" s="35" t="n">
        <v>176.07</v>
      </c>
      <c r="J40" s="35" t="n">
        <v>356.1900000000001</v>
      </c>
      <c r="K40" s="35" t="n">
        <v>263.93</v>
      </c>
      <c r="L40" s="35" t="n">
        <v>133.32</v>
      </c>
      <c r="M40" s="35" t="n">
        <v>172.64</v>
      </c>
      <c r="N40" s="36">
        <f>SUM(B40:M40)</f>
        <v/>
      </c>
      <c r="O40" s="37">
        <f>SUMIF('HAB TB'!$R:$R,'HAB P&amp;L'!$A40,'HAB TB'!C:C)</f>
        <v/>
      </c>
      <c r="P40" s="37">
        <f>SUMIF('HAB TB'!$R:$R,'HAB P&amp;L'!$A40,'HAB TB'!D:D)</f>
        <v/>
      </c>
      <c r="Q40" s="37">
        <f>SUMIF('HAB TB'!$R:$R,'HAB P&amp;L'!$A40,'HAB TB'!E:E)</f>
        <v/>
      </c>
      <c r="R40" s="37">
        <f>SUMIF('HAB TB'!$R:$R,'HAB P&amp;L'!$A40,'HAB TB'!F:F)</f>
        <v/>
      </c>
      <c r="S40" s="37">
        <f>SUMIF('HAB TB'!$R:$R,'HAB P&amp;L'!$A40,'HAB TB'!G:G)</f>
        <v/>
      </c>
      <c r="T40" s="37">
        <f>SUMIF('HAB TB'!$R:$R,'HAB P&amp;L'!$A40,'HAB TB'!H:H)</f>
        <v/>
      </c>
      <c r="U40" s="37">
        <f>SUMIF('HAB TB'!$R:$R,'HAB P&amp;L'!$A40,'HAB TB'!I:I)</f>
        <v/>
      </c>
      <c r="V40" s="38" t="n">
        <v>240</v>
      </c>
      <c r="W40" s="38" t="n">
        <v>240</v>
      </c>
      <c r="X40" s="38" t="n">
        <v>240</v>
      </c>
      <c r="Y40" s="38" t="n">
        <v>240</v>
      </c>
      <c r="Z40" s="38" t="n">
        <v>240</v>
      </c>
      <c r="AA40" s="36">
        <f>SUM(O40:U40)</f>
        <v/>
      </c>
      <c r="AB40" s="36">
        <f>SUM(O40:Z40)</f>
        <v/>
      </c>
      <c r="AC40" s="38" t="n">
        <v>240</v>
      </c>
      <c r="AD40" s="38" t="n">
        <v>240</v>
      </c>
      <c r="AE40" s="38" t="n">
        <v>240</v>
      </c>
      <c r="AF40" s="38" t="n">
        <v>240</v>
      </c>
      <c r="AG40" s="38" t="n">
        <v>240</v>
      </c>
      <c r="AH40" s="38" t="n">
        <v>240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174</v>
      </c>
      <c r="C41" s="35" t="n">
        <v>430.4</v>
      </c>
      <c r="D41" s="35" t="n">
        <v>327.59</v>
      </c>
      <c r="E41" s="35" t="n">
        <v>331.37</v>
      </c>
      <c r="F41" s="35" t="n">
        <v>431.6</v>
      </c>
      <c r="G41" s="35" t="n">
        <v>420.67</v>
      </c>
      <c r="H41" s="35" t="n">
        <v>375.23</v>
      </c>
      <c r="I41" s="35" t="n">
        <v>402.05</v>
      </c>
      <c r="J41" s="35" t="n">
        <v>655.86</v>
      </c>
      <c r="K41" s="35" t="n">
        <v>402.05</v>
      </c>
      <c r="L41" s="35" t="n">
        <v>307.15</v>
      </c>
      <c r="M41" s="35" t="n">
        <v>360.56</v>
      </c>
      <c r="N41" s="36">
        <f>SUM(B41:M41)</f>
        <v/>
      </c>
      <c r="O41" s="37">
        <f>SUMIF('HAB TB'!$R:$R,'HAB P&amp;L'!$A41,'HAB TB'!C:C)</f>
        <v/>
      </c>
      <c r="P41" s="37">
        <f>SUMIF('HAB TB'!$R:$R,'HAB P&amp;L'!$A41,'HAB TB'!D:D)</f>
        <v/>
      </c>
      <c r="Q41" s="37">
        <f>SUMIF('HAB TB'!$R:$R,'HAB P&amp;L'!$A41,'HAB TB'!E:E)</f>
        <v/>
      </c>
      <c r="R41" s="37">
        <f>SUMIF('HAB TB'!$R:$R,'HAB P&amp;L'!$A41,'HAB TB'!F:F)</f>
        <v/>
      </c>
      <c r="S41" s="37">
        <f>SUMIF('HAB TB'!$R:$R,'HAB P&amp;L'!$A41,'HAB TB'!G:G)</f>
        <v/>
      </c>
      <c r="T41" s="37">
        <f>SUMIF('HAB TB'!$R:$R,'HAB P&amp;L'!$A41,'HAB TB'!H:H)</f>
        <v/>
      </c>
      <c r="U41" s="37">
        <f>SUMIF('HAB TB'!$R:$R,'HAB P&amp;L'!$A41,'HAB TB'!I:I)</f>
        <v/>
      </c>
      <c r="V41" s="38" t="n">
        <v>395</v>
      </c>
      <c r="W41" s="38" t="n">
        <v>395</v>
      </c>
      <c r="X41" s="38" t="n">
        <v>395</v>
      </c>
      <c r="Y41" s="38" t="n">
        <v>395</v>
      </c>
      <c r="Z41" s="38" t="n">
        <v>395</v>
      </c>
      <c r="AA41" s="36">
        <f>SUM(O41:U41)</f>
        <v/>
      </c>
      <c r="AB41" s="36">
        <f>SUM(O41:Z41)</f>
        <v/>
      </c>
      <c r="AC41" s="38" t="n">
        <v>395</v>
      </c>
      <c r="AD41" s="38" t="n">
        <v>395</v>
      </c>
      <c r="AE41" s="38" t="n">
        <v>395</v>
      </c>
      <c r="AF41" s="38" t="n">
        <v>395</v>
      </c>
      <c r="AG41" s="38" t="n">
        <v>395</v>
      </c>
      <c r="AH41" s="38" t="n">
        <v>395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57.7</v>
      </c>
      <c r="C42" s="35" t="n">
        <v>32.5</v>
      </c>
      <c r="D42" s="35" t="n">
        <v>46.08</v>
      </c>
      <c r="E42" s="35" t="n">
        <v>27.84</v>
      </c>
      <c r="F42" s="35" t="n">
        <v>46.06</v>
      </c>
      <c r="G42" s="35" t="n">
        <v>31.21</v>
      </c>
      <c r="H42" s="35" t="n">
        <v>278.14</v>
      </c>
      <c r="I42" s="35" t="n">
        <v>30.06</v>
      </c>
      <c r="J42" s="35" t="n">
        <v>26.83</v>
      </c>
      <c r="K42" s="35" t="n">
        <v>100.92</v>
      </c>
      <c r="L42" s="35" t="n">
        <v>34.91</v>
      </c>
      <c r="M42" s="35" t="n">
        <v>59.33000000000001</v>
      </c>
      <c r="N42" s="36">
        <f>SUM(B42:M42)</f>
        <v/>
      </c>
      <c r="O42" s="37">
        <f>SUMIF('HAB TB'!$R:$R,'HAB P&amp;L'!$A42,'HAB TB'!C:C)</f>
        <v/>
      </c>
      <c r="P42" s="37">
        <f>SUMIF('HAB TB'!$R:$R,'HAB P&amp;L'!$A42,'HAB TB'!D:D)</f>
        <v/>
      </c>
      <c r="Q42" s="37">
        <f>SUMIF('HAB TB'!$R:$R,'HAB P&amp;L'!$A42,'HAB TB'!E:E)</f>
        <v/>
      </c>
      <c r="R42" s="37">
        <f>SUMIF('HAB TB'!$R:$R,'HAB P&amp;L'!$A42,'HAB TB'!F:F)</f>
        <v/>
      </c>
      <c r="S42" s="37">
        <f>SUMIF('HAB TB'!$R:$R,'HAB P&amp;L'!$A42,'HAB TB'!G:G)</f>
        <v/>
      </c>
      <c r="T42" s="37">
        <f>SUMIF('HAB TB'!$R:$R,'HAB P&amp;L'!$A42,'HAB TB'!H:H)</f>
        <v/>
      </c>
      <c r="U42" s="37">
        <f>SUMIF('HAB TB'!$R:$R,'HAB P&amp;L'!$A42,'HAB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99.91</v>
      </c>
      <c r="C43" s="35" t="n">
        <v>98.52</v>
      </c>
      <c r="D43" s="35" t="n">
        <v>98.52</v>
      </c>
      <c r="E43" s="35" t="n">
        <v>99.91</v>
      </c>
      <c r="F43" s="35" t="n">
        <v>99.91</v>
      </c>
      <c r="G43" s="35" t="n">
        <v>99.91</v>
      </c>
      <c r="H43" s="35" t="n">
        <v>99.91</v>
      </c>
      <c r="I43" s="35" t="n">
        <v>99.91</v>
      </c>
      <c r="J43" s="35" t="n">
        <v>110.53</v>
      </c>
      <c r="K43" s="35" t="n">
        <v>7.5</v>
      </c>
      <c r="L43" s="35" t="n">
        <v>0</v>
      </c>
      <c r="M43" s="35" t="n">
        <v>7.5</v>
      </c>
      <c r="N43" s="36">
        <f>SUM(B43:M43)</f>
        <v/>
      </c>
      <c r="O43" s="37">
        <f>SUMIF('HAB TB'!$R:$R,'HAB P&amp;L'!$A43,'HAB TB'!C:C)</f>
        <v/>
      </c>
      <c r="P43" s="37">
        <f>SUMIF('HAB TB'!$R:$R,'HAB P&amp;L'!$A43,'HAB TB'!D:D)</f>
        <v/>
      </c>
      <c r="Q43" s="37">
        <f>SUMIF('HAB TB'!$R:$R,'HAB P&amp;L'!$A43,'HAB TB'!E:E)</f>
        <v/>
      </c>
      <c r="R43" s="37">
        <f>SUMIF('HAB TB'!$R:$R,'HAB P&amp;L'!$A43,'HAB TB'!F:F)</f>
        <v/>
      </c>
      <c r="S43" s="37">
        <f>SUMIF('HAB TB'!$R:$R,'HAB P&amp;L'!$A43,'HAB TB'!G:G)</f>
        <v/>
      </c>
      <c r="T43" s="37">
        <f>SUMIF('HAB TB'!$R:$R,'HAB P&amp;L'!$A43,'HAB TB'!H:H)</f>
        <v/>
      </c>
      <c r="U43" s="37">
        <f>SUMIF('HAB TB'!$R:$R,'HAB P&amp;L'!$A43,'HAB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SUMIF('HAB TB'!$R:$R,'HAB P&amp;L'!$A44,'HAB TB'!C:C)</f>
        <v/>
      </c>
      <c r="P44" s="37">
        <f>SUMIF('HAB TB'!$R:$R,'HAB P&amp;L'!$A44,'HAB TB'!D:D)</f>
        <v/>
      </c>
      <c r="Q44" s="37">
        <f>SUMIF('HAB TB'!$R:$R,'HAB P&amp;L'!$A44,'HAB TB'!E:E)</f>
        <v/>
      </c>
      <c r="R44" s="37">
        <f>SUMIF('HAB TB'!$R:$R,'HAB P&amp;L'!$A44,'HAB TB'!F:F)</f>
        <v/>
      </c>
      <c r="S44" s="37">
        <f>SUMIF('HAB TB'!$R:$R,'HAB P&amp;L'!$A44,'HAB TB'!G:G)</f>
        <v/>
      </c>
      <c r="T44" s="37">
        <f>SUMIF('HAB TB'!$R:$R,'HAB P&amp;L'!$A44,'HAB TB'!H:H)</f>
        <v/>
      </c>
      <c r="U44" s="37">
        <f>SUMIF('HAB TB'!$R:$R,'HAB P&amp;L'!$A44,'HAB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SUMIF('HAB TB'!$R:$R,'HAB P&amp;L'!$A45,'HAB TB'!C:C)</f>
        <v/>
      </c>
      <c r="P45" s="37">
        <f>SUMIF('HAB TB'!$R:$R,'HAB P&amp;L'!$A45,'HAB TB'!D:D)</f>
        <v/>
      </c>
      <c r="Q45" s="37">
        <f>SUMIF('HAB TB'!$R:$R,'HAB P&amp;L'!$A45,'HAB TB'!E:E)</f>
        <v/>
      </c>
      <c r="R45" s="37">
        <f>SUMIF('HAB TB'!$R:$R,'HAB P&amp;L'!$A45,'HAB TB'!F:F)</f>
        <v/>
      </c>
      <c r="S45" s="37">
        <f>SUMIF('HAB TB'!$R:$R,'HAB P&amp;L'!$A45,'HAB TB'!G:G)</f>
        <v/>
      </c>
      <c r="T45" s="37">
        <f>SUMIF('HAB TB'!$R:$R,'HAB P&amp;L'!$A45,'HAB TB'!H:H)</f>
        <v/>
      </c>
      <c r="U45" s="37">
        <f>SUMIF('HAB TB'!$R:$R,'HAB P&amp;L'!$A45,'HAB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SUMIF('HAB TB'!$R:$R,'HAB P&amp;L'!$A46,'HAB TB'!C:C)</f>
        <v/>
      </c>
      <c r="P46" s="37">
        <f>SUMIF('HAB TB'!$R:$R,'HAB P&amp;L'!$A46,'HAB TB'!D:D)</f>
        <v/>
      </c>
      <c r="Q46" s="37">
        <f>SUMIF('HAB TB'!$R:$R,'HAB P&amp;L'!$A46,'HAB TB'!E:E)</f>
        <v/>
      </c>
      <c r="R46" s="37">
        <f>SUMIF('HAB TB'!$R:$R,'HAB P&amp;L'!$A46,'HAB TB'!F:F)</f>
        <v/>
      </c>
      <c r="S46" s="37">
        <f>SUMIF('HAB TB'!$R:$R,'HAB P&amp;L'!$A46,'HAB TB'!G:G)</f>
        <v/>
      </c>
      <c r="T46" s="37">
        <f>SUMIF('HAB TB'!$R:$R,'HAB P&amp;L'!$A46,'HAB TB'!H:H)</f>
        <v/>
      </c>
      <c r="U46" s="37">
        <f>SUMIF('HAB TB'!$R:$R,'HAB P&amp;L'!$A46,'HAB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5179.05</v>
      </c>
      <c r="C47" s="42" t="n">
        <v>6465.360000000001</v>
      </c>
      <c r="D47" s="42" t="n">
        <v>5635.89</v>
      </c>
      <c r="E47" s="42" t="n">
        <v>6069.85</v>
      </c>
      <c r="F47" s="42" t="n">
        <v>5888.38</v>
      </c>
      <c r="G47" s="42" t="n">
        <v>5785.79</v>
      </c>
      <c r="H47" s="42" t="n">
        <v>5447.849999999999</v>
      </c>
      <c r="I47" s="42" t="n">
        <v>5311.48</v>
      </c>
      <c r="J47" s="42" t="n">
        <v>6571.339999999998</v>
      </c>
      <c r="K47" s="42" t="n">
        <v>5300.97</v>
      </c>
      <c r="L47" s="42" t="n">
        <v>5073.289999999999</v>
      </c>
      <c r="M47" s="42" t="n">
        <v>5209.6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23148.91</v>
      </c>
      <c r="C48" s="23" t="n">
        <v>26440.12</v>
      </c>
      <c r="D48" s="23" t="n">
        <v>26937.53</v>
      </c>
      <c r="E48" s="23" t="n">
        <v>28746.23</v>
      </c>
      <c r="F48" s="23" t="n">
        <v>31831.28000000001</v>
      </c>
      <c r="G48" s="23" t="n">
        <v>29807.02</v>
      </c>
      <c r="H48" s="23" t="n">
        <v>30193.16</v>
      </c>
      <c r="I48" s="23" t="n">
        <v>27984.07</v>
      </c>
      <c r="J48" s="23" t="n">
        <v>34577.26999999999</v>
      </c>
      <c r="K48" s="23" t="n">
        <v>35013.71000000001</v>
      </c>
      <c r="L48" s="23" t="n">
        <v>32589.16</v>
      </c>
      <c r="M48" s="23" t="n">
        <v>34171.99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4702.150000000005</v>
      </c>
      <c r="C50" s="55" t="n">
        <v>9830.25</v>
      </c>
      <c r="D50" s="55" t="n">
        <v>14660.06</v>
      </c>
      <c r="E50" s="55" t="n">
        <v>9405.139999999992</v>
      </c>
      <c r="F50" s="55" t="n">
        <v>3363.499999999993</v>
      </c>
      <c r="G50" s="55" t="n">
        <v>25736.44999999999</v>
      </c>
      <c r="H50" s="55" t="n">
        <v>36114.42</v>
      </c>
      <c r="I50" s="55" t="n">
        <v>14083.1</v>
      </c>
      <c r="J50" s="55" t="n">
        <v>4832.140000000014</v>
      </c>
      <c r="K50" s="55" t="n">
        <v>14782.98</v>
      </c>
      <c r="L50" s="55" t="n">
        <v>13216.52</v>
      </c>
      <c r="M50" s="55" t="n">
        <v>25856.18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SUMIF('HAB TB'!$R:$R,'HAB P&amp;L'!$A53,'HAB TB'!C:C)</f>
        <v/>
      </c>
      <c r="P53" s="37">
        <f>SUMIF('HAB TB'!$R:$R,'HAB P&amp;L'!$A53,'HAB TB'!D:D)</f>
        <v/>
      </c>
      <c r="Q53" s="37">
        <f>SUMIF('HAB TB'!$R:$R,'HAB P&amp;L'!$A53,'HAB TB'!E:E)</f>
        <v/>
      </c>
      <c r="R53" s="37">
        <f>SUMIF('HAB TB'!$R:$R,'HAB P&amp;L'!$A53,'HAB TB'!F:F)</f>
        <v/>
      </c>
      <c r="S53" s="37">
        <f>SUMIF('HAB TB'!$R:$R,'HAB P&amp;L'!$A53,'HAB TB'!G:G)</f>
        <v/>
      </c>
      <c r="T53" s="37">
        <f>SUMIF('HAB TB'!$R:$R,'HAB P&amp;L'!$A53,'HAB TB'!H:H)</f>
        <v/>
      </c>
      <c r="U53" s="37">
        <f>SUMIF('HAB TB'!$R:$R,'HAB P&amp;L'!$A53,'HAB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SUMIF('HAB TB'!$R:$R,'HAB P&amp;L'!$A54,'HAB TB'!C:C)</f>
        <v/>
      </c>
      <c r="P54" s="37">
        <f>SUMIF('HAB TB'!$R:$R,'HAB P&amp;L'!$A54,'HAB TB'!D:D)</f>
        <v/>
      </c>
      <c r="Q54" s="37">
        <f>SUMIF('HAB TB'!$R:$R,'HAB P&amp;L'!$A54,'HAB TB'!E:E)</f>
        <v/>
      </c>
      <c r="R54" s="37">
        <f>SUMIF('HAB TB'!$R:$R,'HAB P&amp;L'!$A54,'HAB TB'!F:F)</f>
        <v/>
      </c>
      <c r="S54" s="37">
        <f>SUMIF('HAB TB'!$R:$R,'HAB P&amp;L'!$A54,'HAB TB'!G:G)</f>
        <v/>
      </c>
      <c r="T54" s="37">
        <f>SUMIF('HAB TB'!$R:$R,'HAB P&amp;L'!$A54,'HAB TB'!H:H)</f>
        <v/>
      </c>
      <c r="U54" s="37">
        <f>SUMIF('HAB TB'!$R:$R,'HAB P&amp;L'!$A54,'HAB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SUMIF('HAB TB'!$R:$R,'HAB P&amp;L'!$A55,'HAB TB'!C:C)</f>
        <v/>
      </c>
      <c r="P55" s="37">
        <f>SUMIF('HAB TB'!$R:$R,'HAB P&amp;L'!$A55,'HAB TB'!D:D)</f>
        <v/>
      </c>
      <c r="Q55" s="37">
        <f>SUMIF('HAB TB'!$R:$R,'HAB P&amp;L'!$A55,'HAB TB'!E:E)</f>
        <v/>
      </c>
      <c r="R55" s="37">
        <f>SUMIF('HAB TB'!$R:$R,'HAB P&amp;L'!$A55,'HAB TB'!F:F)</f>
        <v/>
      </c>
      <c r="S55" s="37">
        <f>SUMIF('HAB TB'!$R:$R,'HAB P&amp;L'!$A55,'HAB TB'!G:G)</f>
        <v/>
      </c>
      <c r="T55" s="37">
        <f>SUMIF('HAB TB'!$R:$R,'HAB P&amp;L'!$A55,'HAB TB'!H:H)</f>
        <v/>
      </c>
      <c r="U55" s="37">
        <f>SUMIF('HAB TB'!$R:$R,'HAB P&amp;L'!$A55,'HAB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SUMIF('HAB TB'!$R:$R,'HAB P&amp;L'!$A56,'HAB TB'!C:C)</f>
        <v/>
      </c>
      <c r="P56" s="37">
        <f>SUMIF('HAB TB'!$R:$R,'HAB P&amp;L'!$A56,'HAB TB'!D:D)</f>
        <v/>
      </c>
      <c r="Q56" s="37">
        <f>SUMIF('HAB TB'!$R:$R,'HAB P&amp;L'!$A56,'HAB TB'!E:E)</f>
        <v/>
      </c>
      <c r="R56" s="37">
        <f>SUMIF('HAB TB'!$R:$R,'HAB P&amp;L'!$A56,'HAB TB'!F:F)</f>
        <v/>
      </c>
      <c r="S56" s="37">
        <f>SUMIF('HAB TB'!$R:$R,'HAB P&amp;L'!$A56,'HAB TB'!G:G)</f>
        <v/>
      </c>
      <c r="T56" s="37">
        <f>SUMIF('HAB TB'!$R:$R,'HAB P&amp;L'!$A56,'HAB TB'!H:H)</f>
        <v/>
      </c>
      <c r="U56" s="37">
        <f>SUMIF('HAB TB'!$R:$R,'HAB P&amp;L'!$A56,'HAB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360</v>
      </c>
      <c r="J57" s="35" t="n">
        <v>0</v>
      </c>
      <c r="K57" s="35" t="n">
        <v>302</v>
      </c>
      <c r="L57" s="35" t="n">
        <v>0</v>
      </c>
      <c r="M57" s="35" t="n">
        <v>0</v>
      </c>
      <c r="N57" s="36">
        <f>SUM(B57:M57)</f>
        <v/>
      </c>
      <c r="O57" s="37">
        <f>SUMIF('HAB TB'!$R:$R,'HAB P&amp;L'!$A57,'HAB TB'!C:C)</f>
        <v/>
      </c>
      <c r="P57" s="37">
        <f>SUMIF('HAB TB'!$R:$R,'HAB P&amp;L'!$A57,'HAB TB'!D:D)</f>
        <v/>
      </c>
      <c r="Q57" s="37">
        <f>SUMIF('HAB TB'!$R:$R,'HAB P&amp;L'!$A57,'HAB TB'!E:E)</f>
        <v/>
      </c>
      <c r="R57" s="37">
        <f>SUMIF('HAB TB'!$R:$R,'HAB P&amp;L'!$A57,'HAB TB'!F:F)</f>
        <v/>
      </c>
      <c r="S57" s="37">
        <f>SUMIF('HAB TB'!$R:$R,'HAB P&amp;L'!$A57,'HAB TB'!G:G)</f>
        <v/>
      </c>
      <c r="T57" s="37">
        <f>SUMIF('HAB TB'!$R:$R,'HAB P&amp;L'!$A57,'HAB TB'!H:H)</f>
        <v/>
      </c>
      <c r="U57" s="37">
        <f>SUMIF('HAB TB'!$R:$R,'HAB P&amp;L'!$A57,'HAB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SUMIF('HAB TB'!$R:$R,'HAB P&amp;L'!$A58,'HAB TB'!C:C)</f>
        <v/>
      </c>
      <c r="P58" s="37">
        <f>SUMIF('HAB TB'!$R:$R,'HAB P&amp;L'!$A58,'HAB TB'!D:D)</f>
        <v/>
      </c>
      <c r="Q58" s="37">
        <f>SUMIF('HAB TB'!$R:$R,'HAB P&amp;L'!$A58,'HAB TB'!E:E)</f>
        <v/>
      </c>
      <c r="R58" s="37">
        <f>SUMIF('HAB TB'!$R:$R,'HAB P&amp;L'!$A58,'HAB TB'!F:F)</f>
        <v/>
      </c>
      <c r="S58" s="37">
        <f>SUMIF('HAB TB'!$R:$R,'HAB P&amp;L'!$A58,'HAB TB'!G:G)</f>
        <v/>
      </c>
      <c r="T58" s="37">
        <f>SUMIF('HAB TB'!$R:$R,'HAB P&amp;L'!$A58,'HAB TB'!H:H)</f>
        <v/>
      </c>
      <c r="U58" s="37">
        <f>SUMIF('HAB TB'!$R:$R,'HAB P&amp;L'!$A58,'HAB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201.37</v>
      </c>
      <c r="G59" s="35" t="n">
        <v>201.38</v>
      </c>
      <c r="H59" s="35" t="n">
        <v>201.38</v>
      </c>
      <c r="I59" s="35" t="n">
        <v>311.37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SUMIF('HAB TB'!$R:$R,'HAB P&amp;L'!$A59,'HAB TB'!C:C)</f>
        <v/>
      </c>
      <c r="P59" s="37">
        <f>SUMIF('HAB TB'!$R:$R,'HAB P&amp;L'!$A59,'HAB TB'!D:D)</f>
        <v/>
      </c>
      <c r="Q59" s="37">
        <f>SUMIF('HAB TB'!$R:$R,'HAB P&amp;L'!$A59,'HAB TB'!E:E)</f>
        <v/>
      </c>
      <c r="R59" s="37">
        <f>SUMIF('HAB TB'!$R:$R,'HAB P&amp;L'!$A59,'HAB TB'!F:F)</f>
        <v/>
      </c>
      <c r="S59" s="37">
        <f>SUMIF('HAB TB'!$R:$R,'HAB P&amp;L'!$A59,'HAB TB'!G:G)</f>
        <v/>
      </c>
      <c r="T59" s="37">
        <f>SUMIF('HAB TB'!$R:$R,'HAB P&amp;L'!$A59,'HAB TB'!H:H)</f>
        <v/>
      </c>
      <c r="U59" s="37">
        <f>SUMIF('HAB TB'!$R:$R,'HAB P&amp;L'!$A59,'HAB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1.2</v>
      </c>
      <c r="C60" s="35" t="n">
        <v>1.2</v>
      </c>
      <c r="D60" s="35" t="n">
        <v>1.2</v>
      </c>
      <c r="E60" s="35" t="n">
        <v>1.2</v>
      </c>
      <c r="F60" s="35" t="n">
        <v>106.19</v>
      </c>
      <c r="G60" s="35" t="n">
        <v>111</v>
      </c>
      <c r="H60" s="35" t="n">
        <v>1.2</v>
      </c>
      <c r="I60" s="35" t="n">
        <v>46.2</v>
      </c>
      <c r="J60" s="35" t="n">
        <v>0.6</v>
      </c>
      <c r="K60" s="35" t="n">
        <v>68.8</v>
      </c>
      <c r="L60" s="35" t="n">
        <v>1.2</v>
      </c>
      <c r="M60" s="35" t="n">
        <v>1.8</v>
      </c>
      <c r="N60" s="36">
        <f>SUM(B60:M60)</f>
        <v/>
      </c>
      <c r="O60" s="37">
        <f>SUMIF('HAB TB'!$R:$R,'HAB P&amp;L'!$A60,'HAB TB'!C:C)</f>
        <v/>
      </c>
      <c r="P60" s="37">
        <f>SUMIF('HAB TB'!$R:$R,'HAB P&amp;L'!$A60,'HAB TB'!D:D)</f>
        <v/>
      </c>
      <c r="Q60" s="37">
        <f>SUMIF('HAB TB'!$R:$R,'HAB P&amp;L'!$A60,'HAB TB'!E:E)</f>
        <v/>
      </c>
      <c r="R60" s="37">
        <f>SUMIF('HAB TB'!$R:$R,'HAB P&amp;L'!$A60,'HAB TB'!F:F)</f>
        <v/>
      </c>
      <c r="S60" s="37">
        <f>SUMIF('HAB TB'!$R:$R,'HAB P&amp;L'!$A60,'HAB TB'!G:G)</f>
        <v/>
      </c>
      <c r="T60" s="37">
        <f>SUMIF('HAB TB'!$R:$R,'HAB P&amp;L'!$A60,'HAB TB'!H:H)</f>
        <v/>
      </c>
      <c r="U60" s="37">
        <f>SUMIF('HAB TB'!$R:$R,'HAB P&amp;L'!$A60,'HAB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79.86999999999999</v>
      </c>
      <c r="F61" s="35" t="n">
        <v>7.99</v>
      </c>
      <c r="G61" s="35" t="n">
        <v>68.95</v>
      </c>
      <c r="H61" s="35" t="n">
        <v>97.14</v>
      </c>
      <c r="I61" s="35" t="n">
        <v>0</v>
      </c>
      <c r="J61" s="35" t="n">
        <v>0</v>
      </c>
      <c r="K61" s="35" t="n">
        <v>80.61</v>
      </c>
      <c r="L61" s="35" t="n">
        <v>108.91</v>
      </c>
      <c r="M61" s="35" t="n">
        <v>33.88</v>
      </c>
      <c r="N61" s="36">
        <f>SUM(B61:M61)</f>
        <v/>
      </c>
      <c r="O61" s="37">
        <f>SUMIF('HAB TB'!$R:$R,'HAB P&amp;L'!$A61,'HAB TB'!C:C)</f>
        <v/>
      </c>
      <c r="P61" s="37">
        <f>SUMIF('HAB TB'!$R:$R,'HAB P&amp;L'!$A61,'HAB TB'!D:D)</f>
        <v/>
      </c>
      <c r="Q61" s="37">
        <f>SUMIF('HAB TB'!$R:$R,'HAB P&amp;L'!$A61,'HAB TB'!E:E)</f>
        <v/>
      </c>
      <c r="R61" s="37">
        <f>SUMIF('HAB TB'!$R:$R,'HAB P&amp;L'!$A61,'HAB TB'!F:F)</f>
        <v/>
      </c>
      <c r="S61" s="37">
        <f>SUMIF('HAB TB'!$R:$R,'HAB P&amp;L'!$A61,'HAB TB'!G:G)</f>
        <v/>
      </c>
      <c r="T61" s="37">
        <f>SUMIF('HAB TB'!$R:$R,'HAB P&amp;L'!$A61,'HAB TB'!H:H)</f>
        <v/>
      </c>
      <c r="U61" s="37">
        <f>SUMIF('HAB TB'!$R:$R,'HAB P&amp;L'!$A61,'HAB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28</v>
      </c>
      <c r="F62" s="35" t="n">
        <v>57</v>
      </c>
      <c r="G62" s="35" t="n">
        <v>197.4</v>
      </c>
      <c r="H62" s="35" t="n">
        <v>388</v>
      </c>
      <c r="I62" s="35" t="n">
        <v>365.6</v>
      </c>
      <c r="J62" s="35" t="n">
        <v>31</v>
      </c>
      <c r="K62" s="35" t="n">
        <v>60</v>
      </c>
      <c r="L62" s="35" t="n">
        <v>0</v>
      </c>
      <c r="M62" s="35" t="n">
        <v>0</v>
      </c>
      <c r="N62" s="36">
        <f>SUM(B62:M62)</f>
        <v/>
      </c>
      <c r="O62" s="37">
        <f>SUMIF('HAB TB'!$R:$R,'HAB P&amp;L'!$A62,'HAB TB'!C:C)</f>
        <v/>
      </c>
      <c r="P62" s="37">
        <f>SUMIF('HAB TB'!$R:$R,'HAB P&amp;L'!$A62,'HAB TB'!D:D)</f>
        <v/>
      </c>
      <c r="Q62" s="37">
        <f>SUMIF('HAB TB'!$R:$R,'HAB P&amp;L'!$A62,'HAB TB'!E:E)</f>
        <v/>
      </c>
      <c r="R62" s="37">
        <f>SUMIF('HAB TB'!$R:$R,'HAB P&amp;L'!$A62,'HAB TB'!F:F)</f>
        <v/>
      </c>
      <c r="S62" s="37">
        <f>SUMIF('HAB TB'!$R:$R,'HAB P&amp;L'!$A62,'HAB TB'!G:G)</f>
        <v/>
      </c>
      <c r="T62" s="37">
        <f>SUMIF('HAB TB'!$R:$R,'HAB P&amp;L'!$A62,'HAB TB'!H:H)</f>
        <v/>
      </c>
      <c r="U62" s="37">
        <f>SUMIF('HAB TB'!$R:$R,'HAB P&amp;L'!$A62,'HAB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SUMIF('HAB TB'!$R:$R,'HAB P&amp;L'!$A63,'HAB TB'!C:C)</f>
        <v/>
      </c>
      <c r="P63" s="37">
        <f>SUMIF('HAB TB'!$R:$R,'HAB P&amp;L'!$A63,'HAB TB'!D:D)</f>
        <v/>
      </c>
      <c r="Q63" s="37">
        <f>SUMIF('HAB TB'!$R:$R,'HAB P&amp;L'!$A63,'HAB TB'!E:E)</f>
        <v/>
      </c>
      <c r="R63" s="37">
        <f>SUMIF('HAB TB'!$R:$R,'HAB P&amp;L'!$A63,'HAB TB'!F:F)</f>
        <v/>
      </c>
      <c r="S63" s="37">
        <f>SUMIF('HAB TB'!$R:$R,'HAB P&amp;L'!$A63,'HAB TB'!G:G)</f>
        <v/>
      </c>
      <c r="T63" s="37">
        <f>SUMIF('HAB TB'!$R:$R,'HAB P&amp;L'!$A63,'HAB TB'!H:H)</f>
        <v/>
      </c>
      <c r="U63" s="37">
        <f>SUMIF('HAB TB'!$R:$R,'HAB P&amp;L'!$A63,'HAB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SUMIF('HAB TB'!$R:$R,'HAB P&amp;L'!$A64,'HAB TB'!C:C)</f>
        <v/>
      </c>
      <c r="P64" s="37">
        <f>SUMIF('HAB TB'!$R:$R,'HAB P&amp;L'!$A64,'HAB TB'!D:D)</f>
        <v/>
      </c>
      <c r="Q64" s="37">
        <f>SUMIF('HAB TB'!$R:$R,'HAB P&amp;L'!$A64,'HAB TB'!E:E)</f>
        <v/>
      </c>
      <c r="R64" s="37">
        <f>SUMIF('HAB TB'!$R:$R,'HAB P&amp;L'!$A64,'HAB TB'!F:F)</f>
        <v/>
      </c>
      <c r="S64" s="37">
        <f>SUMIF('HAB TB'!$R:$R,'HAB P&amp;L'!$A64,'HAB TB'!G:G)</f>
        <v/>
      </c>
      <c r="T64" s="37">
        <f>SUMIF('HAB TB'!$R:$R,'HAB P&amp;L'!$A64,'HAB TB'!H:H)</f>
        <v/>
      </c>
      <c r="U64" s="37">
        <f>SUMIF('HAB TB'!$R:$R,'HAB P&amp;L'!$A64,'HAB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SUMIF('HAB TB'!$R:$R,'HAB P&amp;L'!$A65,'HAB TB'!C:C)</f>
        <v/>
      </c>
      <c r="P65" s="37">
        <f>SUMIF('HAB TB'!$R:$R,'HAB P&amp;L'!$A65,'HAB TB'!D:D)</f>
        <v/>
      </c>
      <c r="Q65" s="37">
        <f>SUMIF('HAB TB'!$R:$R,'HAB P&amp;L'!$A65,'HAB TB'!E:E)</f>
        <v/>
      </c>
      <c r="R65" s="37">
        <f>SUMIF('HAB TB'!$R:$R,'HAB P&amp;L'!$A65,'HAB TB'!F:F)</f>
        <v/>
      </c>
      <c r="S65" s="37">
        <f>SUMIF('HAB TB'!$R:$R,'HAB P&amp;L'!$A65,'HAB TB'!G:G)</f>
        <v/>
      </c>
      <c r="T65" s="37">
        <f>SUMIF('HAB TB'!$R:$R,'HAB P&amp;L'!$A65,'HAB TB'!H:H)</f>
        <v/>
      </c>
      <c r="U65" s="37">
        <f>SUMIF('HAB TB'!$R:$R,'HAB P&amp;L'!$A65,'HAB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SUMIF('HAB TB'!$R:$R,'HAB P&amp;L'!$A66,'HAB TB'!C:C)</f>
        <v/>
      </c>
      <c r="P66" s="37">
        <f>SUMIF('HAB TB'!$R:$R,'HAB P&amp;L'!$A66,'HAB TB'!D:D)</f>
        <v/>
      </c>
      <c r="Q66" s="37">
        <f>SUMIF('HAB TB'!$R:$R,'HAB P&amp;L'!$A66,'HAB TB'!E:E)</f>
        <v/>
      </c>
      <c r="R66" s="37">
        <f>SUMIF('HAB TB'!$R:$R,'HAB P&amp;L'!$A66,'HAB TB'!F:F)</f>
        <v/>
      </c>
      <c r="S66" s="37">
        <f>SUMIF('HAB TB'!$R:$R,'HAB P&amp;L'!$A66,'HAB TB'!G:G)</f>
        <v/>
      </c>
      <c r="T66" s="37">
        <f>SUMIF('HAB TB'!$R:$R,'HAB P&amp;L'!$A66,'HAB TB'!H:H)</f>
        <v/>
      </c>
      <c r="U66" s="37">
        <f>SUMIF('HAB TB'!$R:$R,'HAB P&amp;L'!$A66,'HAB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1304.8</v>
      </c>
      <c r="F67" s="35" t="n">
        <v>0</v>
      </c>
      <c r="G67" s="35" t="n">
        <v>0</v>
      </c>
      <c r="H67" s="35" t="n">
        <v>42.75</v>
      </c>
      <c r="I67" s="35" t="n">
        <v>-157.25</v>
      </c>
      <c r="J67" s="35" t="n">
        <v>42.75</v>
      </c>
      <c r="K67" s="35" t="n">
        <v>42.75</v>
      </c>
      <c r="L67" s="35" t="n">
        <v>42.75</v>
      </c>
      <c r="M67" s="35" t="n">
        <v>877.95</v>
      </c>
      <c r="N67" s="36">
        <f>SUM(B67:M67)</f>
        <v/>
      </c>
      <c r="O67" s="37">
        <f>SUMIF('HAB TB'!$R:$R,'HAB P&amp;L'!$A67,'HAB TB'!C:C)</f>
        <v/>
      </c>
      <c r="P67" s="37">
        <f>SUMIF('HAB TB'!$R:$R,'HAB P&amp;L'!$A67,'HAB TB'!D:D)</f>
        <v/>
      </c>
      <c r="Q67" s="37">
        <f>SUMIF('HAB TB'!$R:$R,'HAB P&amp;L'!$A67,'HAB TB'!E:E)</f>
        <v/>
      </c>
      <c r="R67" s="37">
        <f>SUMIF('HAB TB'!$R:$R,'HAB P&amp;L'!$A67,'HAB TB'!F:F)</f>
        <v/>
      </c>
      <c r="S67" s="37">
        <f>SUMIF('HAB TB'!$R:$R,'HAB P&amp;L'!$A67,'HAB TB'!G:G)</f>
        <v/>
      </c>
      <c r="T67" s="37">
        <f>SUMIF('HAB TB'!$R:$R,'HAB P&amp;L'!$A67,'HAB TB'!H:H)</f>
        <v/>
      </c>
      <c r="U67" s="37">
        <f>SUMIF('HAB TB'!$R:$R,'HAB P&amp;L'!$A67,'HAB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8.5</v>
      </c>
      <c r="C68" s="35" t="n">
        <v>8.5</v>
      </c>
      <c r="D68" s="35" t="n">
        <v>68.5</v>
      </c>
      <c r="E68" s="35" t="n">
        <v>9.35</v>
      </c>
      <c r="F68" s="35" t="n">
        <v>8.5</v>
      </c>
      <c r="G68" s="35" t="n">
        <v>8.5</v>
      </c>
      <c r="H68" s="35" t="n">
        <v>8.5</v>
      </c>
      <c r="I68" s="35" t="n">
        <v>8.5</v>
      </c>
      <c r="J68" s="35" t="n">
        <v>8.5</v>
      </c>
      <c r="K68" s="35" t="n">
        <v>8.5</v>
      </c>
      <c r="L68" s="35" t="n">
        <v>16</v>
      </c>
      <c r="M68" s="35" t="n">
        <v>8.5</v>
      </c>
      <c r="N68" s="36">
        <f>SUM(B68:M68)</f>
        <v/>
      </c>
      <c r="O68" s="37">
        <f>SUMIF('HAB TB'!$R:$R,'HAB P&amp;L'!$A68,'HAB TB'!C:C)</f>
        <v/>
      </c>
      <c r="P68" s="37">
        <f>SUMIF('HAB TB'!$R:$R,'HAB P&amp;L'!$A68,'HAB TB'!D:D)</f>
        <v/>
      </c>
      <c r="Q68" s="37">
        <f>SUMIF('HAB TB'!$R:$R,'HAB P&amp;L'!$A68,'HAB TB'!E:E)</f>
        <v/>
      </c>
      <c r="R68" s="37">
        <f>SUMIF('HAB TB'!$R:$R,'HAB P&amp;L'!$A68,'HAB TB'!F:F)</f>
        <v/>
      </c>
      <c r="S68" s="37">
        <f>SUMIF('HAB TB'!$R:$R,'HAB P&amp;L'!$A68,'HAB TB'!G:G)</f>
        <v/>
      </c>
      <c r="T68" s="37">
        <f>SUMIF('HAB TB'!$R:$R,'HAB P&amp;L'!$A68,'HAB TB'!H:H)</f>
        <v/>
      </c>
      <c r="U68" s="37">
        <f>SUMIF('HAB TB'!$R:$R,'HAB P&amp;L'!$A68,'HAB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211.08</v>
      </c>
      <c r="C69" s="42" t="n">
        <v>211.08</v>
      </c>
      <c r="D69" s="42" t="n">
        <v>271.08</v>
      </c>
      <c r="E69" s="42" t="n">
        <v>1624.6</v>
      </c>
      <c r="F69" s="42" t="n">
        <v>381.05</v>
      </c>
      <c r="G69" s="42" t="n">
        <v>587.23</v>
      </c>
      <c r="H69" s="42" t="n">
        <v>738.97</v>
      </c>
      <c r="I69" s="42" t="n">
        <v>934.4200000000001</v>
      </c>
      <c r="J69" s="42" t="n">
        <v>284.23</v>
      </c>
      <c r="K69" s="42" t="n">
        <v>777.4599999999999</v>
      </c>
      <c r="L69" s="42" t="n">
        <v>383.66</v>
      </c>
      <c r="M69" s="42" t="n">
        <v>1136.93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4491.070000000005</v>
      </c>
      <c r="C70" s="55" t="n">
        <v>9619.17</v>
      </c>
      <c r="D70" s="55" t="n">
        <v>14388.98</v>
      </c>
      <c r="E70" s="55" t="n">
        <v>7780.539999999992</v>
      </c>
      <c r="F70" s="55" t="n">
        <v>2982.449999999993</v>
      </c>
      <c r="G70" s="55" t="n">
        <v>25149.21999999999</v>
      </c>
      <c r="H70" s="55" t="n">
        <v>35375.45</v>
      </c>
      <c r="I70" s="55" t="n">
        <v>13148.68</v>
      </c>
      <c r="J70" s="55" t="n">
        <v>4547.910000000014</v>
      </c>
      <c r="K70" s="55" t="n">
        <v>14005.52</v>
      </c>
      <c r="L70" s="55" t="n">
        <v>12832.86</v>
      </c>
      <c r="M70" s="55" t="n">
        <v>24719.25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60">
        <f>SUM(O71:T71)</f>
        <v/>
      </c>
      <c r="AB71" s="56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2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60">
        <f>SUM(O72:T72)</f>
        <v/>
      </c>
      <c r="AB72" s="56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34" t="inlineStr">
        <is>
          <t>Borrowing Costs</t>
        </is>
      </c>
      <c r="B73" s="8" t="n"/>
      <c r="C73" s="8" t="n"/>
      <c r="D73" s="8" t="n"/>
      <c r="E73" s="8" t="n"/>
      <c r="F73" s="8" t="n"/>
      <c r="G73" s="8" t="n"/>
      <c r="H73" s="8" t="n"/>
      <c r="I73" s="56" t="n"/>
      <c r="J73" s="56" t="n"/>
      <c r="K73" s="56" t="n"/>
      <c r="L73" s="56" t="n"/>
      <c r="M73" s="56" t="n"/>
      <c r="N73" s="56" t="n"/>
      <c r="O73" s="60" t="n">
        <v>0</v>
      </c>
      <c r="P73" s="60" t="n">
        <v>0</v>
      </c>
      <c r="Q73" s="60" t="n">
        <v>0</v>
      </c>
      <c r="R73" s="60" t="n">
        <v>0</v>
      </c>
      <c r="S73" s="60" t="n">
        <v>0</v>
      </c>
      <c r="T73" s="60" t="n">
        <v>0</v>
      </c>
      <c r="U73" s="60" t="n">
        <v>1</v>
      </c>
      <c r="V73" s="60" t="n">
        <v>0</v>
      </c>
      <c r="W73" s="60" t="n">
        <v>0</v>
      </c>
      <c r="X73" s="60" t="n">
        <v>0</v>
      </c>
      <c r="Y73" s="60" t="n">
        <v>0</v>
      </c>
      <c r="Z73" s="60" t="n">
        <v>0</v>
      </c>
      <c r="AA73" s="8" t="n"/>
      <c r="AB73" s="60">
        <f>SUM(O73:Z73)</f>
        <v/>
      </c>
      <c r="AC73" s="8" t="n"/>
      <c r="AD73" s="8" t="n"/>
      <c r="AE73" s="8" t="n"/>
      <c r="AF73" s="8" t="n"/>
      <c r="AG73" s="8" t="n"/>
      <c r="AH73" s="8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34" t="inlineStr">
        <is>
          <t>Depreciation</t>
        </is>
      </c>
      <c r="B74" s="8" t="n"/>
      <c r="C74" s="8" t="n"/>
      <c r="D74" s="8" t="n"/>
      <c r="E74" s="8" t="n"/>
      <c r="F74" s="8" t="n"/>
      <c r="G74" s="8" t="n"/>
      <c r="H74" s="8" t="n"/>
      <c r="I74" s="56" t="n"/>
      <c r="J74" s="56" t="n"/>
      <c r="K74" s="56" t="n"/>
      <c r="L74" s="56" t="n"/>
      <c r="M74" s="56" t="n"/>
      <c r="N74" s="56" t="n"/>
      <c r="O74" s="60" t="n">
        <v>134.8375</v>
      </c>
      <c r="P74" s="60" t="n">
        <v>134.8375</v>
      </c>
      <c r="Q74" s="60" t="n">
        <v>134.8375</v>
      </c>
      <c r="R74" s="60" t="n">
        <v>134.8375</v>
      </c>
      <c r="S74" s="60" t="n">
        <v>134.8375</v>
      </c>
      <c r="T74" s="60" t="n">
        <v>134.8375</v>
      </c>
      <c r="U74" s="60" t="n">
        <v>135.8375</v>
      </c>
      <c r="V74" s="60" t="n">
        <v>134.8375</v>
      </c>
      <c r="W74" s="60" t="n">
        <v>134.8375</v>
      </c>
      <c r="X74" s="60" t="n">
        <v>134.8375</v>
      </c>
      <c r="Y74" s="60" t="n">
        <v>134.8375</v>
      </c>
      <c r="Z74" s="60" t="n">
        <v>134.8375</v>
      </c>
      <c r="AA74" s="8" t="n"/>
      <c r="AB74" s="60">
        <f>SUM(O74:Z74)</f>
        <v/>
      </c>
      <c r="AC74" s="8" t="n"/>
      <c r="AD74" s="8" t="n"/>
      <c r="AE74" s="8" t="n"/>
      <c r="AF74" s="8" t="n"/>
      <c r="AG74" s="8" t="n"/>
      <c r="AH74" s="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34" t="inlineStr">
        <is>
          <t>Amortisation</t>
        </is>
      </c>
      <c r="B75" s="8" t="n"/>
      <c r="C75" s="8" t="n"/>
      <c r="D75" s="8" t="n"/>
      <c r="E75" s="8" t="n"/>
      <c r="F75" s="8" t="n"/>
      <c r="G75" s="8" t="n"/>
      <c r="H75" s="8" t="n"/>
      <c r="I75" s="56" t="n"/>
      <c r="J75" s="56" t="n"/>
      <c r="K75" s="56" t="n"/>
      <c r="L75" s="56" t="n"/>
      <c r="M75" s="56" t="n"/>
      <c r="N75" s="56" t="n"/>
      <c r="O75" s="60" t="n">
        <v>0</v>
      </c>
      <c r="P75" s="60" t="n">
        <v>0</v>
      </c>
      <c r="Q75" s="60" t="n">
        <v>0</v>
      </c>
      <c r="R75" s="60" t="n">
        <v>0</v>
      </c>
      <c r="S75" s="60" t="n">
        <v>0</v>
      </c>
      <c r="T75" s="60" t="n">
        <v>0</v>
      </c>
      <c r="U75" s="60" t="n">
        <v>1</v>
      </c>
      <c r="V75" s="60" t="n">
        <v>0</v>
      </c>
      <c r="W75" s="60" t="n">
        <v>0</v>
      </c>
      <c r="X75" s="60" t="n">
        <v>0</v>
      </c>
      <c r="Y75" s="60" t="n">
        <v>0</v>
      </c>
      <c r="Z75" s="60" t="n">
        <v>0</v>
      </c>
      <c r="AA75" s="8" t="n"/>
      <c r="AB75" s="60">
        <f>SUM(O75:Z75)</f>
        <v/>
      </c>
      <c r="AC75" s="8" t="n"/>
      <c r="AD75" s="8" t="n"/>
      <c r="AE75" s="8" t="n"/>
      <c r="AF75" s="8" t="n"/>
      <c r="AG75" s="8" t="n"/>
      <c r="AH75" s="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8" t="n"/>
      <c r="AP75" s="8" t="n"/>
    </row>
    <row r="76">
      <c r="A76" s="70" t="inlineStr">
        <is>
          <t>Profit Before Tax</t>
        </is>
      </c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>
        <f>O70-SUM(O73:O75)</f>
        <v/>
      </c>
      <c r="P76" s="56">
        <f>P70-SUM(P73:P75)</f>
        <v/>
      </c>
      <c r="Q76" s="56">
        <f>Q70-SUM(Q73:Q75)</f>
        <v/>
      </c>
      <c r="R76" s="56">
        <f>R70-SUM(R73:R75)</f>
        <v/>
      </c>
      <c r="S76" s="56">
        <f>S70-SUM(S73:S75)</f>
        <v/>
      </c>
      <c r="T76" s="56">
        <f>T70-SUM(T73:T75)</f>
        <v/>
      </c>
      <c r="U76" s="56">
        <f>U70-SUM(U73:U75)</f>
        <v/>
      </c>
      <c r="V76" s="56">
        <f>V70-SUM(V73:V75)</f>
        <v/>
      </c>
      <c r="W76" s="56">
        <f>W70-SUM(W73:W75)</f>
        <v/>
      </c>
      <c r="X76" s="56">
        <f>X70-SUM(X73:X75)</f>
        <v/>
      </c>
      <c r="Y76" s="56">
        <f>Y70-SUM(Y73:Y75)</f>
        <v/>
      </c>
      <c r="Z76" s="56">
        <f>Z70-SUM(Z73:Z75)</f>
        <v/>
      </c>
      <c r="AA76" s="56" t="n"/>
      <c r="AB76" s="56">
        <f>AB70-SUM(AB73:AB75)</f>
        <v/>
      </c>
      <c r="AC76" s="56" t="n"/>
      <c r="AD76" s="56" t="n"/>
      <c r="AE76" s="56" t="n"/>
      <c r="AF76" s="56" t="n"/>
      <c r="AG76" s="56" t="n"/>
      <c r="AH76" s="56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 ht="15.75" customHeight="1">
      <c r="A77" s="71" t="inlineStr">
        <is>
          <t>Corp Tax Due</t>
        </is>
      </c>
      <c r="B77" s="64" t="n"/>
      <c r="C77" s="64" t="n"/>
      <c r="D77" s="64" t="n"/>
      <c r="E77" s="64" t="n"/>
      <c r="F77" s="64" t="n"/>
      <c r="G77" s="64" t="n"/>
      <c r="H77" s="64" t="n"/>
      <c r="I77" s="72" t="n"/>
      <c r="J77" s="72" t="n"/>
      <c r="K77" s="72" t="n"/>
      <c r="L77" s="72" t="n"/>
      <c r="M77" s="72" t="n"/>
      <c r="N77" s="72" t="n"/>
      <c r="O77" s="72">
        <f>(O76*0.25)</f>
        <v/>
      </c>
      <c r="P77" s="72">
        <f>(P76*0.25)</f>
        <v/>
      </c>
      <c r="Q77" s="72">
        <f>(Q76*0.25)</f>
        <v/>
      </c>
      <c r="R77" s="72">
        <f>(R76*0.25)</f>
        <v/>
      </c>
      <c r="S77" s="72">
        <f>(S76*0.25)</f>
        <v/>
      </c>
      <c r="T77" s="72">
        <f>(T76*0.25)</f>
        <v/>
      </c>
      <c r="U77" s="72">
        <f>(U76*0.25)</f>
        <v/>
      </c>
      <c r="V77" s="72">
        <f>(V76*0.25)</f>
        <v/>
      </c>
      <c r="W77" s="72">
        <f>(W76*0.25)</f>
        <v/>
      </c>
      <c r="X77" s="72">
        <f>(X76*0.25)</f>
        <v/>
      </c>
      <c r="Y77" s="72">
        <f>(Y76*0.25)</f>
        <v/>
      </c>
      <c r="Z77" s="72">
        <f>(Z76*0.25)</f>
        <v/>
      </c>
      <c r="AA77" s="72" t="n"/>
      <c r="AB77" s="72">
        <f>(AB76*0.25)</f>
        <v/>
      </c>
      <c r="AC77" s="72" t="n"/>
      <c r="AD77" s="72" t="n"/>
      <c r="AE77" s="72" t="n"/>
      <c r="AF77" s="72" t="n"/>
      <c r="AG77" s="72" t="n"/>
      <c r="AH77" s="72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 ht="15.75" customHeight="1">
      <c r="A78" s="34" t="n"/>
      <c r="B78" s="8" t="n"/>
      <c r="C78" s="8" t="n"/>
      <c r="D78" s="8" t="n"/>
      <c r="E78" s="8" t="n"/>
      <c r="F78" s="8" t="n"/>
      <c r="G78" s="8" t="n"/>
      <c r="H78" s="8" t="n"/>
      <c r="I78" s="56" t="n"/>
      <c r="J78" s="56" t="n"/>
      <c r="K78" s="56" t="n"/>
      <c r="L78" s="56" t="n"/>
      <c r="M78" s="56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6" t="n"/>
      <c r="X78" s="56" t="n"/>
      <c r="Y78" s="56" t="n"/>
      <c r="Z78" s="56" t="n"/>
      <c r="AA78" s="56" t="n"/>
      <c r="AB78" s="56" t="n"/>
      <c r="AC78" s="56" t="n"/>
      <c r="AD78" s="56" t="n"/>
      <c r="AE78" s="56" t="n"/>
      <c r="AF78" s="56" t="n"/>
      <c r="AG78" s="56" t="n"/>
      <c r="AH78" s="56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34" t="n"/>
      <c r="B79" s="8" t="n"/>
      <c r="C79" s="8" t="n"/>
      <c r="D79" s="8" t="n"/>
      <c r="E79" s="8" t="n"/>
      <c r="F79" s="8" t="n"/>
      <c r="G79" s="8" t="n"/>
      <c r="H79" s="8" t="n"/>
      <c r="I79" s="56" t="n"/>
      <c r="J79" s="56" t="n"/>
      <c r="K79" s="56" t="n"/>
      <c r="L79" s="56" t="n"/>
      <c r="M79" s="56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  <c r="Z79" s="56" t="n"/>
      <c r="AA79" s="56" t="n"/>
      <c r="AB79" s="56" t="n"/>
      <c r="AC79" s="56" t="n"/>
      <c r="AD79" s="56" t="n"/>
      <c r="AE79" s="56" t="n"/>
      <c r="AF79" s="56" t="n"/>
      <c r="AG79" s="56" t="n"/>
      <c r="AH79" s="56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>
      <c r="A80" s="34" t="n"/>
      <c r="B80" s="8" t="n"/>
      <c r="C80" s="8" t="n"/>
      <c r="D80" s="8" t="n"/>
      <c r="E80" s="8" t="n"/>
      <c r="F80" s="8" t="n"/>
      <c r="G80" s="8" t="n"/>
      <c r="H80" s="8" t="n"/>
      <c r="I80" s="56" t="n"/>
      <c r="J80" s="56" t="n"/>
      <c r="K80" s="56" t="n"/>
      <c r="L80" s="56" t="n"/>
      <c r="M80" s="56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6" t="n"/>
      <c r="X80" s="56" t="n"/>
      <c r="Y80" s="56" t="n"/>
      <c r="Z80" s="56" t="n"/>
      <c r="AA80" s="56" t="n"/>
      <c r="AB80" s="56" t="n"/>
      <c r="AC80" s="56" t="n"/>
      <c r="AD80" s="56" t="n"/>
      <c r="AE80" s="56" t="n"/>
      <c r="AF80" s="56" t="n"/>
      <c r="AG80" s="56" t="n"/>
      <c r="AH80" s="56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34" t="n"/>
      <c r="B81" s="8" t="n"/>
      <c r="C81" s="8" t="n"/>
      <c r="D81" s="8" t="n"/>
      <c r="E81" s="8" t="n"/>
      <c r="F81" s="8" t="n"/>
      <c r="G81" s="8" t="n"/>
      <c r="H81" s="8" t="n"/>
      <c r="I81" s="56" t="n"/>
      <c r="J81" s="56" t="n"/>
      <c r="K81" s="56" t="n"/>
      <c r="L81" s="56" t="n"/>
      <c r="M81" s="56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  <c r="Z81" s="56" t="n"/>
      <c r="AA81" s="56" t="n"/>
      <c r="AB81" s="56" t="n"/>
      <c r="AC81" s="56" t="n"/>
      <c r="AD81" s="56" t="n"/>
      <c r="AE81" s="56" t="n"/>
      <c r="AF81" s="56" t="n"/>
      <c r="AG81" s="56" t="n"/>
      <c r="AH81" s="56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34" t="n"/>
      <c r="B82" s="8" t="n"/>
      <c r="C82" s="8" t="n"/>
      <c r="D82" s="8" t="n"/>
      <c r="E82" s="8" t="n"/>
      <c r="F82" s="8" t="n"/>
      <c r="G82" s="8" t="n"/>
      <c r="H82" s="8" t="n"/>
      <c r="I82" s="56" t="n"/>
      <c r="J82" s="56" t="n"/>
      <c r="K82" s="56" t="n"/>
      <c r="L82" s="56" t="n"/>
      <c r="M82" s="56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6" t="n"/>
      <c r="X82" s="56" t="n"/>
      <c r="Y82" s="56" t="n"/>
      <c r="Z82" s="56" t="n"/>
      <c r="AA82" s="56" t="n"/>
      <c r="AB82" s="56" t="n"/>
      <c r="AC82" s="56" t="n"/>
      <c r="AD82" s="56" t="n"/>
      <c r="AE82" s="56" t="n"/>
      <c r="AF82" s="56" t="n"/>
      <c r="AG82" s="56" t="n"/>
      <c r="AH82" s="56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34" t="n"/>
      <c r="B83" s="8" t="n"/>
      <c r="C83" s="8" t="n"/>
      <c r="D83" s="8" t="n"/>
      <c r="E83" s="8" t="n"/>
      <c r="F83" s="8" t="n"/>
      <c r="G83" s="8" t="n"/>
      <c r="H83" s="8" t="n"/>
      <c r="I83" s="56" t="n"/>
      <c r="J83" s="56" t="n"/>
      <c r="K83" s="56" t="n"/>
      <c r="L83" s="56" t="n"/>
      <c r="M83" s="56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  <c r="Z83" s="56" t="n"/>
      <c r="AA83" s="56" t="n"/>
      <c r="AB83" s="56" t="n"/>
      <c r="AC83" s="56" t="n"/>
      <c r="AD83" s="56" t="n"/>
      <c r="AE83" s="56" t="n"/>
      <c r="AF83" s="56" t="n"/>
      <c r="AG83" s="56" t="n"/>
      <c r="AH83" s="56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34" t="n"/>
      <c r="B84" s="8" t="n"/>
      <c r="C84" s="8" t="n"/>
      <c r="D84" s="8" t="n"/>
      <c r="E84" s="8" t="n"/>
      <c r="F84" s="8" t="n"/>
      <c r="G84" s="8" t="n"/>
      <c r="H84" s="8" t="n"/>
      <c r="I84" s="56" t="n"/>
      <c r="J84" s="56" t="n"/>
      <c r="K84" s="56" t="n"/>
      <c r="L84" s="56" t="n"/>
      <c r="M84" s="56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6" t="n"/>
      <c r="X84" s="56" t="n"/>
      <c r="Y84" s="56" t="n"/>
      <c r="Z84" s="56" t="n"/>
      <c r="AA84" s="56" t="n"/>
      <c r="AB84" s="56" t="n"/>
      <c r="AC84" s="56" t="n"/>
      <c r="AD84" s="56" t="n"/>
      <c r="AE84" s="56" t="n"/>
      <c r="AF84" s="56" t="n"/>
      <c r="AG84" s="56" t="n"/>
      <c r="AH84" s="56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60" t="inlineStr">
        <is>
          <t>Memo</t>
        </is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60">
        <f>SUM(O85:T85)</f>
        <v/>
      </c>
      <c r="AB85" s="56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Direct - Sales</t>
        </is>
      </c>
      <c r="B86" s="60" t="n">
        <v>27851.06</v>
      </c>
      <c r="C86" s="60" t="n">
        <v>36270.37</v>
      </c>
      <c r="D86" s="60" t="n">
        <v>41597.59</v>
      </c>
      <c r="E86" s="60" t="n">
        <v>38151.37</v>
      </c>
      <c r="F86" s="60" t="n">
        <v>35194.78</v>
      </c>
      <c r="G86" s="60" t="n">
        <v>55543.46999999999</v>
      </c>
      <c r="H86" s="60" t="n">
        <v>66307.58</v>
      </c>
      <c r="I86" s="60" t="n">
        <v>42067.17</v>
      </c>
      <c r="J86" s="60" t="n">
        <v>39409.41</v>
      </c>
      <c r="K86" s="60" t="n">
        <v>49796.69</v>
      </c>
      <c r="L86" s="60" t="n">
        <v>45805.68</v>
      </c>
      <c r="M86" s="8" t="n"/>
      <c r="N86" s="8" t="n"/>
      <c r="O86" s="60">
        <f>-SUMIF('HAB TB'!$T:$T,'HAB P&amp;L'!$A86,'HAB TB'!C:C)</f>
        <v/>
      </c>
      <c r="P86" s="60">
        <f>-SUMIF('HAB TB'!$T:$T,'HAB P&amp;L'!$A86,'HAB TB'!D:D)</f>
        <v/>
      </c>
      <c r="Q86" s="60">
        <f>-SUMIF('HAB TB'!$T:$T,'HAB P&amp;L'!$A86,'HAB TB'!E:E)</f>
        <v/>
      </c>
      <c r="R86" s="60">
        <f>-SUMIF('HAB TB'!$T:$T,'HAB P&amp;L'!$A86,'HAB TB'!F:F)</f>
        <v/>
      </c>
      <c r="S86" s="60">
        <f>-SUMIF('HAB TB'!$T:$T,'HAB P&amp;L'!$A86,'HAB TB'!G:G)</f>
        <v/>
      </c>
      <c r="T86" s="60">
        <f>-SUMIF('HAB TB'!$T:$T,'HAB P&amp;L'!$A86,'HAB TB'!H:H)</f>
        <v/>
      </c>
      <c r="U86" s="60">
        <f>-SUMIF('HAB TB'!$T:$T,'HAB P&amp;L'!$A86,'HAB TB'!I:I)</f>
        <v/>
      </c>
      <c r="V86" s="60">
        <f>-SUMIF('HAB TB'!$T:$T,'HAB P&amp;L'!$A86,'HAB TB'!J:J)</f>
        <v/>
      </c>
      <c r="W86" s="60">
        <f>-SUMIF('HAB TB'!$T:$T,'HAB P&amp;L'!$A86,'HAB TB'!K:K)</f>
        <v/>
      </c>
      <c r="X86" s="60">
        <f>-SUMIF('HAB TB'!$T:$T,'HAB P&amp;L'!$A86,'HAB TB'!L:L)</f>
        <v/>
      </c>
      <c r="Y86" s="60">
        <f>-SUMIF('HAB TB'!$T:$T,'HAB P&amp;L'!$A86,'HAB TB'!M:M)</f>
        <v/>
      </c>
      <c r="Z86" s="60">
        <f>-SUMIF('HAB TB'!$T:$T,'HAB P&amp;L'!$A86,'HAB TB'!N:N)</f>
        <v/>
      </c>
      <c r="AA86" s="60">
        <f>SUM(O86:T86)</f>
        <v/>
      </c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34" t="inlineStr">
        <is>
          <t>Direct - Staff Cost</t>
        </is>
      </c>
      <c r="B87" s="60" t="n">
        <v>-15648.24</v>
      </c>
      <c r="C87" s="60" t="n">
        <v>-18409.52</v>
      </c>
      <c r="D87" s="60" t="n">
        <v>-19663.6</v>
      </c>
      <c r="E87" s="60" t="n">
        <v>-21338.35</v>
      </c>
      <c r="F87" s="60" t="n">
        <v>-23094.97</v>
      </c>
      <c r="G87" s="60" t="n">
        <v>-22006.96</v>
      </c>
      <c r="H87" s="60" t="n">
        <v>-22849.88</v>
      </c>
      <c r="I87" s="60" t="n">
        <v>-21324.02</v>
      </c>
      <c r="J87" s="60" t="n">
        <v>-26356.50999999999</v>
      </c>
      <c r="K87" s="60" t="n">
        <v>-26819.11</v>
      </c>
      <c r="L87" s="60" t="n">
        <v>-25918.13</v>
      </c>
      <c r="M87" s="8" t="n"/>
      <c r="N87" s="8" t="n"/>
      <c r="O87" s="60">
        <f>-SUMIF('HAB TB'!$T:$T,'HAB P&amp;L'!$A87,'HAB TB'!C:C)</f>
        <v/>
      </c>
      <c r="P87" s="60">
        <f>-SUMIF('HAB TB'!$T:$T,'HAB P&amp;L'!$A87,'HAB TB'!D:D)</f>
        <v/>
      </c>
      <c r="Q87" s="60">
        <f>-SUMIF('HAB TB'!$T:$T,'HAB P&amp;L'!$A87,'HAB TB'!E:E)</f>
        <v/>
      </c>
      <c r="R87" s="60">
        <f>-SUMIF('HAB TB'!$T:$T,'HAB P&amp;L'!$A87,'HAB TB'!F:F)</f>
        <v/>
      </c>
      <c r="S87" s="60">
        <f>-SUMIF('HAB TB'!$T:$T,'HAB P&amp;L'!$A87,'HAB TB'!G:G)</f>
        <v/>
      </c>
      <c r="T87" s="60">
        <f>-SUMIF('HAB TB'!$T:$T,'HAB P&amp;L'!$A87,'HAB TB'!H:H)</f>
        <v/>
      </c>
      <c r="U87" s="60">
        <f>-SUMIF('HAB TB'!$T:$T,'HAB P&amp;L'!$A87,'HAB TB'!I:I)</f>
        <v/>
      </c>
      <c r="V87" s="60">
        <f>-SUMIF('HAB TB'!$T:$T,'HAB P&amp;L'!$A87,'HAB TB'!J:J)</f>
        <v/>
      </c>
      <c r="W87" s="60">
        <f>-SUMIF('HAB TB'!$T:$T,'HAB P&amp;L'!$A87,'HAB TB'!K:K)</f>
        <v/>
      </c>
      <c r="X87" s="60">
        <f>-SUMIF('HAB TB'!$T:$T,'HAB P&amp;L'!$A87,'HAB TB'!L:L)</f>
        <v/>
      </c>
      <c r="Y87" s="60">
        <f>-SUMIF('HAB TB'!$T:$T,'HAB P&amp;L'!$A87,'HAB TB'!M:M)</f>
        <v/>
      </c>
      <c r="Z87" s="60">
        <f>-SUMIF('HAB TB'!$T:$T,'HAB P&amp;L'!$A87,'HAB TB'!N:N)</f>
        <v/>
      </c>
      <c r="AA87" s="60">
        <f>SUM(O87:T87)</f>
        <v/>
      </c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60" t="inlineStr">
        <is>
          <t>Direct - Childcare Cost</t>
        </is>
      </c>
      <c r="B88" s="60" t="n">
        <v>-2321.62</v>
      </c>
      <c r="C88" s="60" t="n">
        <v>-1565.24</v>
      </c>
      <c r="D88" s="60" t="n">
        <v>-1638.04</v>
      </c>
      <c r="E88" s="60" t="n">
        <v>-1338.03</v>
      </c>
      <c r="F88" s="60" t="n">
        <v>-2847.929999999999</v>
      </c>
      <c r="G88" s="60" t="n">
        <v>-2014.27</v>
      </c>
      <c r="H88" s="60" t="n">
        <v>-1895.43</v>
      </c>
      <c r="I88" s="60" t="n">
        <v>-1348.57</v>
      </c>
      <c r="J88" s="60" t="n">
        <v>-1649.42</v>
      </c>
      <c r="K88" s="60" t="n">
        <v>-2893.63</v>
      </c>
      <c r="L88" s="60" t="n">
        <v>-1597.74</v>
      </c>
      <c r="M88" s="60" t="n">
        <v>-1561.17</v>
      </c>
      <c r="N88" s="8" t="n"/>
      <c r="O88" s="60">
        <f>-SUMIF('HAB TB'!$T:$T,'HAB P&amp;L'!$A88,'HAB TB'!C:C)</f>
        <v/>
      </c>
      <c r="P88" s="60">
        <f>-SUMIF('HAB TB'!$T:$T,'HAB P&amp;L'!$A88,'HAB TB'!D:D)</f>
        <v/>
      </c>
      <c r="Q88" s="60">
        <f>-SUMIF('HAB TB'!$T:$T,'HAB P&amp;L'!$A88,'HAB TB'!E:E)</f>
        <v/>
      </c>
      <c r="R88" s="60">
        <f>-SUMIF('HAB TB'!$T:$T,'HAB P&amp;L'!$A88,'HAB TB'!F:F)</f>
        <v/>
      </c>
      <c r="S88" s="60">
        <f>-SUMIF('HAB TB'!$T:$T,'HAB P&amp;L'!$A88,'HAB TB'!G:G)</f>
        <v/>
      </c>
      <c r="T88" s="60">
        <f>-SUMIF('HAB TB'!$T:$T,'HAB P&amp;L'!$A88,'HAB TB'!H:H)</f>
        <v/>
      </c>
      <c r="U88" s="60">
        <f>-SUMIF('HAB TB'!$T:$T,'HAB P&amp;L'!$A88,'HAB TB'!I:I)</f>
        <v/>
      </c>
      <c r="V88" s="60">
        <f>-SUMIF('HAB TB'!$T:$T,'HAB P&amp;L'!$A88,'HAB TB'!J:J)</f>
        <v/>
      </c>
      <c r="W88" s="60">
        <f>-SUMIF('HAB TB'!$T:$T,'HAB P&amp;L'!$A88,'HAB TB'!K:K)</f>
        <v/>
      </c>
      <c r="X88" s="60">
        <f>-SUMIF('HAB TB'!$T:$T,'HAB P&amp;L'!$A88,'HAB TB'!L:L)</f>
        <v/>
      </c>
      <c r="Y88" s="60">
        <f>-SUMIF('HAB TB'!$T:$T,'HAB P&amp;L'!$A88,'HAB TB'!M:M)</f>
        <v/>
      </c>
      <c r="Z88" s="60">
        <f>-SUMIF('HAB TB'!$T:$T,'HAB P&amp;L'!$A88,'HAB TB'!N:N)</f>
        <v/>
      </c>
      <c r="AA88" s="60">
        <f>SUM(O88:T88)</f>
        <v/>
      </c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60" t="inlineStr">
        <is>
          <t>Direct - Premises &amp; Admin</t>
        </is>
      </c>
      <c r="B89" s="60" t="n">
        <v>-5179.05</v>
      </c>
      <c r="C89" s="60" t="n">
        <v>-6465.360000000001</v>
      </c>
      <c r="D89" s="60" t="n">
        <v>-5635.89</v>
      </c>
      <c r="E89" s="60" t="n">
        <v>-6069.85</v>
      </c>
      <c r="F89" s="60" t="n">
        <v>-5888.38</v>
      </c>
      <c r="G89" s="60" t="n">
        <v>-5785.790000000001</v>
      </c>
      <c r="H89" s="60" t="n">
        <v>-5447.849999999999</v>
      </c>
      <c r="I89" s="60" t="n">
        <v>-5311.48</v>
      </c>
      <c r="J89" s="60" t="n">
        <v>-6571.339999999998</v>
      </c>
      <c r="K89" s="60" t="n">
        <v>-5300.97</v>
      </c>
      <c r="L89" s="60" t="n">
        <v>-5073.289999999999</v>
      </c>
      <c r="M89" s="60" t="n">
        <v>-5209.6</v>
      </c>
      <c r="N89" s="8" t="n"/>
      <c r="O89" s="60">
        <f>-SUMIF('HAB TB'!$T:$T,'HAB P&amp;L'!$A89,'HAB TB'!C:C)</f>
        <v/>
      </c>
      <c r="P89" s="60">
        <f>-SUMIF('HAB TB'!$T:$T,'HAB P&amp;L'!$A89,'HAB TB'!D:D)</f>
        <v/>
      </c>
      <c r="Q89" s="60">
        <f>-SUMIF('HAB TB'!$T:$T,'HAB P&amp;L'!$A89,'HAB TB'!E:E)</f>
        <v/>
      </c>
      <c r="R89" s="60">
        <f>-SUMIF('HAB TB'!$T:$T,'HAB P&amp;L'!$A89,'HAB TB'!F:F)</f>
        <v/>
      </c>
      <c r="S89" s="60">
        <f>-SUMIF('HAB TB'!$T:$T,'HAB P&amp;L'!$A89,'HAB TB'!G:G)</f>
        <v/>
      </c>
      <c r="T89" s="60">
        <f>-SUMIF('HAB TB'!$T:$T,'HAB P&amp;L'!$A89,'HAB TB'!H:H)</f>
        <v/>
      </c>
      <c r="U89" s="60">
        <f>-SUMIF('HAB TB'!$T:$T,'HAB P&amp;L'!$A89,'HAB TB'!I:I)</f>
        <v/>
      </c>
      <c r="V89" s="60">
        <f>-SUMIF('HAB TB'!$T:$T,'HAB P&amp;L'!$A89,'HAB TB'!J:J)</f>
        <v/>
      </c>
      <c r="W89" s="60">
        <f>-SUMIF('HAB TB'!$T:$T,'HAB P&amp;L'!$A89,'HAB TB'!K:K)</f>
        <v/>
      </c>
      <c r="X89" s="60">
        <f>-SUMIF('HAB TB'!$T:$T,'HAB P&amp;L'!$A89,'HAB TB'!L:L)</f>
        <v/>
      </c>
      <c r="Y89" s="60">
        <f>-SUMIF('HAB TB'!$T:$T,'HAB P&amp;L'!$A89,'HAB TB'!M:M)</f>
        <v/>
      </c>
      <c r="Z89" s="60">
        <f>-SUMIF('HAB TB'!$T:$T,'HAB P&amp;L'!$A89,'HAB TB'!N:N)</f>
        <v/>
      </c>
      <c r="AA89" s="60">
        <f>SUM(O89:T89)</f>
        <v/>
      </c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60" t="inlineStr">
        <is>
          <t>In-Direct - Staff Cost</t>
        </is>
      </c>
      <c r="B90" s="60" t="n">
        <v>0</v>
      </c>
      <c r="C90" s="60" t="n">
        <v>0</v>
      </c>
      <c r="D90" s="60" t="n">
        <v>0</v>
      </c>
      <c r="E90" s="60" t="n">
        <v>0</v>
      </c>
      <c r="F90" s="60" t="n">
        <v>0</v>
      </c>
      <c r="G90" s="60" t="n">
        <v>0</v>
      </c>
      <c r="H90" s="60" t="n">
        <v>0</v>
      </c>
      <c r="I90" s="60" t="n">
        <v>0</v>
      </c>
      <c r="J90" s="60" t="n">
        <v>0</v>
      </c>
      <c r="K90" s="60" t="n">
        <v>0</v>
      </c>
      <c r="L90" s="60" t="n">
        <v>0</v>
      </c>
      <c r="M90" s="60" t="n">
        <v>0</v>
      </c>
      <c r="N90" s="8" t="n"/>
      <c r="O90" s="60">
        <f>-SUMIF('HAB TB'!$T:$T,'HAB P&amp;L'!$A90,'HAB TB'!C:C)</f>
        <v/>
      </c>
      <c r="P90" s="60">
        <f>-SUMIF('HAB TB'!$T:$T,'HAB P&amp;L'!$A90,'HAB TB'!D:D)</f>
        <v/>
      </c>
      <c r="Q90" s="60">
        <f>-SUMIF('HAB TB'!$T:$T,'HAB P&amp;L'!$A90,'HAB TB'!E:E)</f>
        <v/>
      </c>
      <c r="R90" s="60">
        <f>-SUMIF('HAB TB'!$T:$T,'HAB P&amp;L'!$A90,'HAB TB'!F:F)</f>
        <v/>
      </c>
      <c r="S90" s="60">
        <f>-SUMIF('HAB TB'!$T:$T,'HAB P&amp;L'!$A90,'HAB TB'!G:G)</f>
        <v/>
      </c>
      <c r="T90" s="60">
        <f>-SUMIF('HAB TB'!$T:$T,'HAB P&amp;L'!$A90,'HAB TB'!H:H)</f>
        <v/>
      </c>
      <c r="U90" s="60">
        <f>-SUMIF('HAB TB'!$T:$T,'HAB P&amp;L'!$A90,'HAB TB'!I:I)</f>
        <v/>
      </c>
      <c r="V90" s="60">
        <f>-SUMIF('HAB TB'!$T:$T,'HAB P&amp;L'!$A90,'HAB TB'!J:J)</f>
        <v/>
      </c>
      <c r="W90" s="60">
        <f>-SUMIF('HAB TB'!$T:$T,'HAB P&amp;L'!$A90,'HAB TB'!K:K)</f>
        <v/>
      </c>
      <c r="X90" s="60">
        <f>-SUMIF('HAB TB'!$T:$T,'HAB P&amp;L'!$A90,'HAB TB'!L:L)</f>
        <v/>
      </c>
      <c r="Y90" s="60">
        <f>-SUMIF('HAB TB'!$T:$T,'HAB P&amp;L'!$A90,'HAB TB'!M:M)</f>
        <v/>
      </c>
      <c r="Z90" s="60">
        <f>-SUMIF('HAB TB'!$T:$T,'HAB P&amp;L'!$A90,'HAB TB'!N:N)</f>
        <v/>
      </c>
      <c r="AA90" s="60">
        <f>SUM(O90:T90)</f>
        <v/>
      </c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60" t="inlineStr">
        <is>
          <t>In-Direct - Overheads</t>
        </is>
      </c>
      <c r="B91" s="60" t="n">
        <v>-211.08</v>
      </c>
      <c r="C91" s="60" t="n">
        <v>-211.08</v>
      </c>
      <c r="D91" s="60" t="n">
        <v>-271.08</v>
      </c>
      <c r="E91" s="60" t="n">
        <v>-1624.6</v>
      </c>
      <c r="F91" s="60" t="n">
        <v>-381.05</v>
      </c>
      <c r="G91" s="60" t="n">
        <v>-587.23</v>
      </c>
      <c r="H91" s="60" t="n">
        <v>-738.97</v>
      </c>
      <c r="I91" s="60" t="n">
        <v>-934.4200000000001</v>
      </c>
      <c r="J91" s="60" t="n">
        <v>-284.23</v>
      </c>
      <c r="K91" s="60" t="n">
        <v>-777.4599999999999</v>
      </c>
      <c r="L91" s="60" t="n">
        <v>-383.66</v>
      </c>
      <c r="M91" s="60" t="n">
        <v>-1136.93</v>
      </c>
      <c r="N91" s="8" t="n"/>
      <c r="O91" s="60">
        <f>-SUMIF('HAB TB'!$T:$T,'HAB P&amp;L'!$A91,'HAB TB'!C:C)</f>
        <v/>
      </c>
      <c r="P91" s="60">
        <f>-SUMIF('HAB TB'!$T:$T,'HAB P&amp;L'!$A91,'HAB TB'!D:D)</f>
        <v/>
      </c>
      <c r="Q91" s="60">
        <f>-SUMIF('HAB TB'!$T:$T,'HAB P&amp;L'!$A91,'HAB TB'!E:E)</f>
        <v/>
      </c>
      <c r="R91" s="60">
        <f>-SUMIF('HAB TB'!$T:$T,'HAB P&amp;L'!$A91,'HAB TB'!F:F)</f>
        <v/>
      </c>
      <c r="S91" s="60">
        <f>-SUMIF('HAB TB'!$T:$T,'HAB P&amp;L'!$A91,'HAB TB'!G:G)</f>
        <v/>
      </c>
      <c r="T91" s="60">
        <f>-SUMIF('HAB TB'!$T:$T,'HAB P&amp;L'!$A91,'HAB TB'!H:H)</f>
        <v/>
      </c>
      <c r="U91" s="60">
        <f>-SUMIF('HAB TB'!$T:$T,'HAB P&amp;L'!$A91,'HAB TB'!I:I)</f>
        <v/>
      </c>
      <c r="V91" s="60">
        <f>-SUMIF('HAB TB'!$T:$T,'HAB P&amp;L'!$A91,'HAB TB'!J:J)</f>
        <v/>
      </c>
      <c r="W91" s="60">
        <f>-SUMIF('HAB TB'!$T:$T,'HAB P&amp;L'!$A91,'HAB TB'!K:K)</f>
        <v/>
      </c>
      <c r="X91" s="60">
        <f>-SUMIF('HAB TB'!$T:$T,'HAB P&amp;L'!$A91,'HAB TB'!L:L)</f>
        <v/>
      </c>
      <c r="Y91" s="60">
        <f>-SUMIF('HAB TB'!$T:$T,'HAB P&amp;L'!$A91,'HAB TB'!M:M)</f>
        <v/>
      </c>
      <c r="Z91" s="60">
        <f>-SUMIF('HAB TB'!$T:$T,'HAB P&amp;L'!$A91,'HAB TB'!N:N)</f>
        <v/>
      </c>
      <c r="AA91" s="60">
        <f>SUM(O91:T91)</f>
        <v/>
      </c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 ht="15.75" customHeight="1">
      <c r="A92" s="8" t="n"/>
      <c r="B92" s="64" t="n">
        <v>4491.070000000004</v>
      </c>
      <c r="C92" s="64" t="n">
        <v>9619.170000000002</v>
      </c>
      <c r="D92" s="64" t="n">
        <v>14388.98</v>
      </c>
      <c r="E92" s="64" t="n">
        <v>7780.539999999992</v>
      </c>
      <c r="F92" s="64" t="n">
        <v>2982.449999999993</v>
      </c>
      <c r="G92" s="64" t="n">
        <v>25149.21999999999</v>
      </c>
      <c r="H92" s="64" t="n">
        <v>35375.45</v>
      </c>
      <c r="I92" s="64" t="n">
        <v>13148.68</v>
      </c>
      <c r="J92" s="64" t="n">
        <v>4547.910000000011</v>
      </c>
      <c r="K92" s="64" t="n">
        <v>14005.52</v>
      </c>
      <c r="L92" s="64" t="n">
        <v>12832.86</v>
      </c>
      <c r="M92" s="64" t="n">
        <v>-7907.700000000001</v>
      </c>
      <c r="N92" s="8" t="n"/>
      <c r="O92" s="64">
        <f>SUM(O86:O91)</f>
        <v/>
      </c>
      <c r="P92" s="64">
        <f>SUM(P86:P91)</f>
        <v/>
      </c>
      <c r="Q92" s="64">
        <f>SUM(Q86:Q91)</f>
        <v/>
      </c>
      <c r="R92" s="64">
        <f>SUM(R86:R91)</f>
        <v/>
      </c>
      <c r="S92" s="64">
        <f>SUM(S86:S91)</f>
        <v/>
      </c>
      <c r="T92" s="64">
        <f>SUM(T86:T91)</f>
        <v/>
      </c>
      <c r="U92" s="64">
        <f>SUM(U86:U91)</f>
        <v/>
      </c>
      <c r="V92" s="64">
        <f>SUM(V86:V91)</f>
        <v/>
      </c>
      <c r="W92" s="64">
        <f>SUM(W86:W91)</f>
        <v/>
      </c>
      <c r="X92" s="64">
        <f>SUM(X86:X91)</f>
        <v/>
      </c>
      <c r="Y92" s="64">
        <f>SUM(Y86:Y91)</f>
        <v/>
      </c>
      <c r="Z92" s="64">
        <f>SUM(Z86:Z91)</f>
        <v/>
      </c>
      <c r="AA92" s="60">
        <f>SUM(O92:T92)</f>
        <v/>
      </c>
      <c r="AB92" s="8" t="n"/>
      <c r="AC92" s="64" t="n"/>
      <c r="AD92" s="64" t="n"/>
      <c r="AE92" s="64" t="n"/>
      <c r="AF92" s="64" t="n"/>
      <c r="AG92" s="64" t="n"/>
      <c r="AH92" s="64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 ht="15.75" customHeight="1">
      <c r="A93" s="8" t="n"/>
      <c r="B93" s="60" t="n">
        <v>0</v>
      </c>
      <c r="C93" s="60" t="n">
        <v>0</v>
      </c>
      <c r="D93" s="60" t="n">
        <v>0</v>
      </c>
      <c r="E93" s="60" t="n">
        <v>0</v>
      </c>
      <c r="F93" s="60" t="n">
        <v>0</v>
      </c>
      <c r="G93" s="60" t="n">
        <v>0</v>
      </c>
      <c r="H93" s="60" t="n">
        <v>0</v>
      </c>
      <c r="I93" s="60" t="n">
        <v>0</v>
      </c>
      <c r="J93" s="60" t="n">
        <v>0</v>
      </c>
      <c r="K93" s="60" t="n">
        <v>0</v>
      </c>
      <c r="L93" s="60" t="n">
        <v>0</v>
      </c>
      <c r="M93" s="60" t="n">
        <v>32626.95</v>
      </c>
      <c r="N93" s="8" t="n"/>
      <c r="O93" s="60">
        <f>+O70-O92</f>
        <v/>
      </c>
      <c r="P93" s="60">
        <f>+P70-P92</f>
        <v/>
      </c>
      <c r="Q93" s="60">
        <f>+Q70-Q92</f>
        <v/>
      </c>
      <c r="R93" s="60">
        <f>+R70-R92</f>
        <v/>
      </c>
      <c r="S93" s="60">
        <f>+S70-S92</f>
        <v/>
      </c>
      <c r="T93" s="60">
        <f>+T70-T92</f>
        <v/>
      </c>
      <c r="U93" s="60">
        <f>+U70-U92</f>
        <v/>
      </c>
      <c r="V93" s="60">
        <f>+V70-V92</f>
        <v/>
      </c>
      <c r="W93" s="60">
        <f>+W70-W92</f>
        <v/>
      </c>
      <c r="X93" s="60">
        <f>+X70-X92</f>
        <v/>
      </c>
      <c r="Y93" s="60">
        <f>+Y70-Y92</f>
        <v/>
      </c>
      <c r="Z93" s="60">
        <f>+Z70-Z92</f>
        <v/>
      </c>
      <c r="AA93" s="60">
        <f>SUM(O93:T93)</f>
        <v/>
      </c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60" t="n">
        <v>0</v>
      </c>
      <c r="C95" s="60" t="n">
        <v>0</v>
      </c>
      <c r="D95" s="60" t="n">
        <v>0</v>
      </c>
      <c r="E95" s="60" t="n">
        <v>0</v>
      </c>
      <c r="F95" s="60" t="n">
        <v>-8.640199666842818e-12</v>
      </c>
      <c r="G95" s="60" t="n">
        <v>0</v>
      </c>
      <c r="H95" s="60" t="n">
        <v>0</v>
      </c>
      <c r="I95" s="60" t="n">
        <v>0</v>
      </c>
      <c r="J95" s="60" t="n">
        <v>0</v>
      </c>
      <c r="K95" s="60" t="n">
        <v>0</v>
      </c>
      <c r="L95" s="60" t="n">
        <v>0</v>
      </c>
      <c r="M95" s="60" t="n">
        <v>-32626.94999999999</v>
      </c>
      <c r="N95" s="8" t="n"/>
      <c r="O95" s="60">
        <f>O92+O96</f>
        <v/>
      </c>
      <c r="P95" s="60">
        <f>P92+P96</f>
        <v/>
      </c>
      <c r="Q95" s="60">
        <f>Q92+Q96</f>
        <v/>
      </c>
      <c r="R95" s="60">
        <f>R92+R96</f>
        <v/>
      </c>
      <c r="S95" s="60">
        <f>S92+S96</f>
        <v/>
      </c>
      <c r="T95" s="60">
        <f>T92+T96</f>
        <v/>
      </c>
      <c r="U95" s="60">
        <f>U92+U96</f>
        <v/>
      </c>
      <c r="V95" s="60">
        <f>V92+V96</f>
        <v/>
      </c>
      <c r="W95" s="60">
        <f>W92+W96</f>
        <v/>
      </c>
      <c r="X95" s="60">
        <f>X92+X96</f>
        <v/>
      </c>
      <c r="Y95" s="60">
        <f>Y92+Y96</f>
        <v/>
      </c>
      <c r="Z95" s="60">
        <f>Z92+Z96</f>
        <v/>
      </c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60" t="n">
        <v>-4491.070000000002</v>
      </c>
      <c r="C96" s="60" t="n">
        <v>-9619.170000000006</v>
      </c>
      <c r="D96" s="60" t="n">
        <v>-14388.98</v>
      </c>
      <c r="E96" s="60" t="n">
        <v>-7780.539999999989</v>
      </c>
      <c r="F96" s="60" t="n">
        <v>-2982.450000000002</v>
      </c>
      <c r="G96" s="60" t="n">
        <v>-25149.21999999999</v>
      </c>
      <c r="H96" s="60" t="n">
        <v>-35375.45</v>
      </c>
      <c r="I96" s="60" t="n">
        <v>-13148.68</v>
      </c>
      <c r="J96" s="60" t="n">
        <v>-4547.910000000006</v>
      </c>
      <c r="K96" s="60" t="n">
        <v>-14005.52</v>
      </c>
      <c r="L96" s="60" t="n">
        <v>-12832.86</v>
      </c>
      <c r="M96" s="60" t="n">
        <v>-24719.24999999999</v>
      </c>
      <c r="N96" s="8" t="n"/>
      <c r="O96" s="60">
        <f>SUM('HAB TB'!C2:C46)</f>
        <v/>
      </c>
      <c r="P96" s="60">
        <f>SUM('HAB TB'!D2:D46)</f>
        <v/>
      </c>
      <c r="Q96" s="60">
        <f>SUM('HAB TB'!E2:E46)</f>
        <v/>
      </c>
      <c r="R96" s="60">
        <f>SUM('HAB TB'!F2:F46)</f>
        <v/>
      </c>
      <c r="S96" s="60">
        <f>SUM('HAB TB'!G2:G46)</f>
        <v/>
      </c>
      <c r="T96" s="60">
        <f>SUM('HAB TB'!H2:H46)</f>
        <v/>
      </c>
      <c r="U96" s="60">
        <f>SUM('HAB TB'!I2:I46)</f>
        <v/>
      </c>
      <c r="V96" s="60">
        <f>SUM('HAB TB'!J2:J46)</f>
        <v/>
      </c>
      <c r="W96" s="60">
        <f>SUM('HAB TB'!K2:K46)</f>
        <v/>
      </c>
      <c r="X96" s="60">
        <f>SUM('HAB TB'!L2:L46)</f>
        <v/>
      </c>
      <c r="Y96" s="60">
        <f>SUM('HAB TB'!M2:M46)</f>
        <v/>
      </c>
      <c r="Z96" s="60">
        <f>SUM('HAB TB'!N2:N46)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Hazebrouck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44526.36</v>
      </c>
      <c r="C8" s="35" t="n">
        <v>42668.15</v>
      </c>
      <c r="D8" s="35" t="n">
        <v>49356.27</v>
      </c>
      <c r="E8" s="35" t="n">
        <v>55745.42</v>
      </c>
      <c r="F8" s="35" t="n">
        <v>50381.74</v>
      </c>
      <c r="G8" s="35" t="n">
        <v>50496.26</v>
      </c>
      <c r="H8" s="35" t="n">
        <v>61970.37</v>
      </c>
      <c r="I8" s="35" t="n">
        <v>50217.38</v>
      </c>
      <c r="J8" s="35" t="n">
        <v>36754.18</v>
      </c>
      <c r="K8" s="35" t="n">
        <v>35941.95</v>
      </c>
      <c r="L8" s="35" t="n">
        <v>31455.98</v>
      </c>
      <c r="M8" s="35" t="n">
        <v>43997.17</v>
      </c>
      <c r="N8" s="36">
        <f>SUM(B8:M8)</f>
        <v/>
      </c>
      <c r="O8" s="37">
        <f>-SUMIF('HB TB'!$R:$R,'HB P&amp;L'!$A8,'HB TB'!C:C)</f>
        <v/>
      </c>
      <c r="P8" s="37">
        <f>-SUMIF('HB TB'!$R:$R,'HB P&amp;L'!$A8,'HB TB'!D:D)</f>
        <v/>
      </c>
      <c r="Q8" s="37">
        <f>-SUMIF('HB TB'!$R:$R,'HB P&amp;L'!$A8,'HB TB'!E:E)</f>
        <v/>
      </c>
      <c r="R8" s="37">
        <f>-SUMIF('HB TB'!$R:$R,'HB P&amp;L'!$A8,'HB TB'!F:F)</f>
        <v/>
      </c>
      <c r="S8" s="37">
        <f>-SUMIF('HB TB'!$R:$R,'HB P&amp;L'!$A8,'HB TB'!G:G)</f>
        <v/>
      </c>
      <c r="T8" s="37">
        <f>-SUMIF('HB TB'!$R:$R,'HB P&amp;L'!$A8,'HB TB'!H:H)</f>
        <v/>
      </c>
      <c r="U8" s="37">
        <f>-SUMIF('HB TB'!$R:$R,'HB P&amp;L'!$A8,'HB TB'!I:I)</f>
        <v/>
      </c>
      <c r="V8" s="38" t="n">
        <v>38209</v>
      </c>
      <c r="W8" s="38" t="n">
        <v>28974</v>
      </c>
      <c r="X8" s="38" t="n">
        <v>31722</v>
      </c>
      <c r="Y8" s="38" t="n">
        <v>31557</v>
      </c>
      <c r="Z8" s="38" t="n">
        <v>38081</v>
      </c>
      <c r="AA8" s="36">
        <f>SUM(O8:U8)</f>
        <v/>
      </c>
      <c r="AB8" s="36">
        <f>SUM(O8:Z8)</f>
        <v/>
      </c>
      <c r="AC8" s="38" t="n">
        <v>59616.39</v>
      </c>
      <c r="AD8" s="38" t="n">
        <v>56865.4</v>
      </c>
      <c r="AE8" s="38" t="n">
        <v>68454.33</v>
      </c>
      <c r="AF8" s="38" t="n">
        <v>58114.53</v>
      </c>
      <c r="AG8" s="38" t="n">
        <v>45217.21</v>
      </c>
      <c r="AH8" s="38" t="n">
        <v>47158.84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16877.61</v>
      </c>
      <c r="C9" s="35" t="n">
        <v>16877.61</v>
      </c>
      <c r="D9" s="35" t="n">
        <v>17395.39</v>
      </c>
      <c r="E9" s="35" t="n">
        <v>12211.58</v>
      </c>
      <c r="F9" s="35" t="n">
        <v>12211.58</v>
      </c>
      <c r="G9" s="35" t="n">
        <v>12211.58</v>
      </c>
      <c r="H9" s="35" t="n">
        <v>35264.02</v>
      </c>
      <c r="I9" s="35" t="n">
        <v>0</v>
      </c>
      <c r="J9" s="35" t="n">
        <v>14082.29</v>
      </c>
      <c r="K9" s="35" t="n">
        <v>14082.29</v>
      </c>
      <c r="L9" s="35" t="n">
        <v>33950.17</v>
      </c>
      <c r="M9" s="35" t="n">
        <v>34388.31</v>
      </c>
      <c r="N9" s="36">
        <f>SUM(B9:M9)</f>
        <v/>
      </c>
      <c r="O9" s="37">
        <f>-SUMIF('HB TB'!$R:$R,'HB P&amp;L'!$A9,'HB TB'!C:C)</f>
        <v/>
      </c>
      <c r="P9" s="37">
        <f>-SUMIF('HB TB'!$R:$R,'HB P&amp;L'!$A9,'HB TB'!D:D)</f>
        <v/>
      </c>
      <c r="Q9" s="37">
        <f>-SUMIF('HB TB'!$R:$R,'HB P&amp;L'!$A9,'HB TB'!E:E)</f>
        <v/>
      </c>
      <c r="R9" s="37">
        <f>-SUMIF('HB TB'!$R:$R,'HB P&amp;L'!$A9,'HB TB'!F:F)</f>
        <v/>
      </c>
      <c r="S9" s="37">
        <f>-SUMIF('HB TB'!$R:$R,'HB P&amp;L'!$A9,'HB TB'!G:G)</f>
        <v/>
      </c>
      <c r="T9" s="37">
        <f>-SUMIF('HB TB'!$R:$R,'HB P&amp;L'!$A9,'HB TB'!H:H)</f>
        <v/>
      </c>
      <c r="U9" s="37">
        <f>-SUMIF('HB TB'!$R:$R,'HB P&amp;L'!$A9,'HB TB'!I:I)</f>
        <v/>
      </c>
      <c r="V9" s="38" t="n"/>
      <c r="W9" s="38" t="n">
        <v>22105.08</v>
      </c>
      <c r="X9" s="38" t="n">
        <v>27987</v>
      </c>
      <c r="Y9" s="38" t="n">
        <v>27276</v>
      </c>
      <c r="Z9" s="38" t="n">
        <v>11777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100</v>
      </c>
      <c r="C10" s="35" t="n">
        <v>100</v>
      </c>
      <c r="D10" s="35" t="n">
        <v>150</v>
      </c>
      <c r="E10" s="35" t="n">
        <v>150</v>
      </c>
      <c r="F10" s="35" t="n">
        <v>150</v>
      </c>
      <c r="G10" s="35" t="n">
        <v>150</v>
      </c>
      <c r="H10" s="35" t="n">
        <v>150</v>
      </c>
      <c r="I10" s="35" t="n">
        <v>3333.04</v>
      </c>
      <c r="J10" s="35" t="n">
        <v>150</v>
      </c>
      <c r="K10" s="35" t="n">
        <v>150</v>
      </c>
      <c r="L10" s="35" t="n">
        <v>150</v>
      </c>
      <c r="M10" s="35" t="n">
        <v>150</v>
      </c>
      <c r="N10" s="36">
        <f>SUM(B10:M10)</f>
        <v/>
      </c>
      <c r="O10" s="37">
        <f>-SUMIF('HB TB'!$R:$R,'HB P&amp;L'!$A10,'HB TB'!C:C)</f>
        <v/>
      </c>
      <c r="P10" s="37">
        <f>-SUMIF('HB TB'!$R:$R,'HB P&amp;L'!$A10,'HB TB'!D:D)</f>
        <v/>
      </c>
      <c r="Q10" s="37">
        <f>-SUMIF('HB TB'!$R:$R,'HB P&amp;L'!$A10,'HB TB'!E:E)</f>
        <v/>
      </c>
      <c r="R10" s="37">
        <f>-SUMIF('HB TB'!$R:$R,'HB P&amp;L'!$A10,'HB TB'!F:F)</f>
        <v/>
      </c>
      <c r="S10" s="37">
        <f>-SUMIF('HB TB'!$R:$R,'HB P&amp;L'!$A10,'HB TB'!G:G)</f>
        <v/>
      </c>
      <c r="T10" s="37">
        <f>-SUMIF('HB TB'!$R:$R,'HB P&amp;L'!$A10,'HB TB'!H:H)</f>
        <v/>
      </c>
      <c r="U10" s="37">
        <f>-SUMIF('HB TB'!$R:$R,'HB P&amp;L'!$A10,'HB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61503.97</v>
      </c>
      <c r="C11" s="42" t="n">
        <v>59645.76</v>
      </c>
      <c r="D11" s="42" t="n">
        <v>66901.66</v>
      </c>
      <c r="E11" s="42" t="n">
        <v>68107</v>
      </c>
      <c r="F11" s="42" t="n">
        <v>62743.32</v>
      </c>
      <c r="G11" s="42" t="n">
        <v>62857.84</v>
      </c>
      <c r="H11" s="42" t="n">
        <v>97384.39</v>
      </c>
      <c r="I11" s="42" t="n">
        <v>53550.42</v>
      </c>
      <c r="J11" s="42" t="n">
        <v>50986.47</v>
      </c>
      <c r="K11" s="42" t="n">
        <v>50174.24</v>
      </c>
      <c r="L11" s="42" t="n">
        <v>65556.14999999999</v>
      </c>
      <c r="M11" s="42" t="n">
        <v>78535.48000000001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24899.66</v>
      </c>
      <c r="C16" s="35" t="n">
        <v>26577.82</v>
      </c>
      <c r="D16" s="35" t="n">
        <v>26925.91</v>
      </c>
      <c r="E16" s="35" t="n">
        <v>29092.65</v>
      </c>
      <c r="F16" s="35" t="n">
        <v>30703.98</v>
      </c>
      <c r="G16" s="35" t="n">
        <v>32699.41</v>
      </c>
      <c r="H16" s="35" t="n">
        <v>32041.49</v>
      </c>
      <c r="I16" s="35" t="n">
        <v>30033.99</v>
      </c>
      <c r="J16" s="35" t="n">
        <v>30047.01</v>
      </c>
      <c r="K16" s="35" t="n">
        <v>23930.87</v>
      </c>
      <c r="L16" s="35" t="n">
        <v>23821.02</v>
      </c>
      <c r="M16" s="35" t="n">
        <v>27265.52</v>
      </c>
      <c r="N16" s="36">
        <f>SUM(B16:M16)</f>
        <v/>
      </c>
      <c r="O16" s="37">
        <f>SUMIF('HB TB'!$R:$R,'HB P&amp;L'!$A16,'HB TB'!C:C)</f>
        <v/>
      </c>
      <c r="P16" s="37">
        <f>SUMIF('HB TB'!$R:$R,'HB P&amp;L'!$A16,'HB TB'!D:D)</f>
        <v/>
      </c>
      <c r="Q16" s="37">
        <f>SUMIF('HB TB'!$R:$R,'HB P&amp;L'!$A16,'HB TB'!E:E)</f>
        <v/>
      </c>
      <c r="R16" s="37">
        <f>SUMIF('HB TB'!$R:$R,'HB P&amp;L'!$A16,'HB TB'!F:F)</f>
        <v/>
      </c>
      <c r="S16" s="37">
        <f>SUMIF('HB TB'!$R:$R,'HB P&amp;L'!$A16,'HB TB'!G:G)</f>
        <v/>
      </c>
      <c r="T16" s="37">
        <f>SUMIF('HB TB'!$R:$R,'HB P&amp;L'!$A16,'HB TB'!H:H)</f>
        <v/>
      </c>
      <c r="U16" s="37">
        <f>SUMIF('HB TB'!$R:$R,'HB P&amp;L'!$A16,'HB TB'!I:I)</f>
        <v/>
      </c>
      <c r="V16" s="38" t="n">
        <v>25386.13</v>
      </c>
      <c r="W16" s="38" t="n">
        <v>25386.13</v>
      </c>
      <c r="X16" s="38" t="n">
        <v>25386.13</v>
      </c>
      <c r="Y16" s="38" t="n">
        <v>25386.13</v>
      </c>
      <c r="Z16" s="38" t="n">
        <v>25386.13</v>
      </c>
      <c r="AA16" s="36">
        <f>SUM(O16:U16)</f>
        <v/>
      </c>
      <c r="AB16" s="36">
        <f>SUM(O16:Z16)</f>
        <v/>
      </c>
      <c r="AC16" s="38" t="n">
        <v>25386.13</v>
      </c>
      <c r="AD16" s="38" t="n">
        <v>25386.13</v>
      </c>
      <c r="AE16" s="38" t="n">
        <v>25386.13</v>
      </c>
      <c r="AF16" s="38" t="n">
        <v>25386.13</v>
      </c>
      <c r="AG16" s="38" t="n">
        <v>25386.13</v>
      </c>
      <c r="AH16" s="38" t="n">
        <v>25386.13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2002.62</v>
      </c>
      <c r="C17" s="35" t="n">
        <v>2207.05</v>
      </c>
      <c r="D17" s="35" t="n">
        <v>2189.18</v>
      </c>
      <c r="E17" s="35" t="n">
        <v>3403.25</v>
      </c>
      <c r="F17" s="35" t="n">
        <v>3660.67</v>
      </c>
      <c r="G17" s="35" t="n">
        <v>3726.55</v>
      </c>
      <c r="H17" s="35" t="n">
        <v>3675.17</v>
      </c>
      <c r="I17" s="35" t="n">
        <v>3450.1</v>
      </c>
      <c r="J17" s="35" t="n">
        <v>3516.17</v>
      </c>
      <c r="K17" s="35" t="n">
        <v>2723.85</v>
      </c>
      <c r="L17" s="35" t="n">
        <v>2722.83</v>
      </c>
      <c r="M17" s="35" t="n">
        <v>2951.52</v>
      </c>
      <c r="N17" s="36">
        <f>SUM(B17:M17)</f>
        <v/>
      </c>
      <c r="O17" s="37">
        <f>SUMIF('HB TB'!$R:$R,'HB P&amp;L'!$A17,'HB TB'!C:C)</f>
        <v/>
      </c>
      <c r="P17" s="37">
        <f>SUMIF('HB TB'!$R:$R,'HB P&amp;L'!$A17,'HB TB'!D:D)</f>
        <v/>
      </c>
      <c r="Q17" s="37">
        <f>SUMIF('HB TB'!$R:$R,'HB P&amp;L'!$A17,'HB TB'!E:E)</f>
        <v/>
      </c>
      <c r="R17" s="37">
        <f>SUMIF('HB TB'!$R:$R,'HB P&amp;L'!$A17,'HB TB'!F:F)</f>
        <v/>
      </c>
      <c r="S17" s="37">
        <f>SUMIF('HB TB'!$R:$R,'HB P&amp;L'!$A17,'HB TB'!G:G)</f>
        <v/>
      </c>
      <c r="T17" s="37">
        <f>SUMIF('HB TB'!$R:$R,'HB P&amp;L'!$A17,'HB TB'!H:H)</f>
        <v/>
      </c>
      <c r="U17" s="37">
        <f>SUMIF('HB TB'!$R:$R,'HB P&amp;L'!$A17,'HB TB'!I:I)</f>
        <v/>
      </c>
      <c r="V17" s="38" t="n">
        <v>2708.66</v>
      </c>
      <c r="W17" s="38" t="n">
        <v>2708.66</v>
      </c>
      <c r="X17" s="38" t="n">
        <v>2708.66</v>
      </c>
      <c r="Y17" s="38" t="n">
        <v>2708.66</v>
      </c>
      <c r="Z17" s="38" t="n">
        <v>2708.66</v>
      </c>
      <c r="AA17" s="36">
        <f>SUM(O17:U17)</f>
        <v/>
      </c>
      <c r="AB17" s="36">
        <f>SUM(O17:Z17)</f>
        <v/>
      </c>
      <c r="AC17" s="38" t="n">
        <v>2708.66</v>
      </c>
      <c r="AD17" s="38" t="n">
        <v>2708.66</v>
      </c>
      <c r="AE17" s="38" t="n">
        <v>2708.66</v>
      </c>
      <c r="AF17" s="38" t="n">
        <v>2708.66</v>
      </c>
      <c r="AG17" s="38" t="n">
        <v>2708.66</v>
      </c>
      <c r="AH17" s="38" t="n">
        <v>2708.66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498.73</v>
      </c>
      <c r="C18" s="35" t="n">
        <v>506.68</v>
      </c>
      <c r="D18" s="35" t="n">
        <v>526.7</v>
      </c>
      <c r="E18" s="35" t="n">
        <v>643.53</v>
      </c>
      <c r="F18" s="35" t="n">
        <v>694.99</v>
      </c>
      <c r="G18" s="35" t="n">
        <v>708.16</v>
      </c>
      <c r="H18" s="35" t="n">
        <v>700.99</v>
      </c>
      <c r="I18" s="35" t="n">
        <v>652.88</v>
      </c>
      <c r="J18" s="35" t="n">
        <v>662.3</v>
      </c>
      <c r="K18" s="35" t="n">
        <v>516.9299999999999</v>
      </c>
      <c r="L18" s="35" t="n">
        <v>516.73</v>
      </c>
      <c r="M18" s="35" t="n">
        <v>527.27</v>
      </c>
      <c r="N18" s="36">
        <f>SUM(B18:M18)</f>
        <v/>
      </c>
      <c r="O18" s="37">
        <f>SUMIF('HB TB'!$R:$R,'HB P&amp;L'!$A18,'HB TB'!C:C)</f>
        <v/>
      </c>
      <c r="P18" s="37">
        <f>SUMIF('HB TB'!$R:$R,'HB P&amp;L'!$A18,'HB TB'!D:D)</f>
        <v/>
      </c>
      <c r="Q18" s="37">
        <f>SUMIF('HB TB'!$R:$R,'HB P&amp;L'!$A18,'HB TB'!E:E)</f>
        <v/>
      </c>
      <c r="R18" s="37">
        <f>SUMIF('HB TB'!$R:$R,'HB P&amp;L'!$A18,'HB TB'!F:F)</f>
        <v/>
      </c>
      <c r="S18" s="37">
        <f>SUMIF('HB TB'!$R:$R,'HB P&amp;L'!$A18,'HB TB'!G:G)</f>
        <v/>
      </c>
      <c r="T18" s="37">
        <f>SUMIF('HB TB'!$R:$R,'HB P&amp;L'!$A18,'HB TB'!H:H)</f>
        <v/>
      </c>
      <c r="U18" s="37">
        <f>SUMIF('HB TB'!$R:$R,'HB P&amp;L'!$A18,'HB TB'!I:I)</f>
        <v/>
      </c>
      <c r="V18" s="38" t="n">
        <v>513.88</v>
      </c>
      <c r="W18" s="38" t="n">
        <v>513.88</v>
      </c>
      <c r="X18" s="38" t="n">
        <v>513.88</v>
      </c>
      <c r="Y18" s="38" t="n">
        <v>513.88</v>
      </c>
      <c r="Z18" s="38" t="n">
        <v>513.88</v>
      </c>
      <c r="AA18" s="36">
        <f>SUM(O18:U18)</f>
        <v/>
      </c>
      <c r="AB18" s="36">
        <f>SUM(O18:Z18)</f>
        <v/>
      </c>
      <c r="AC18" s="38" t="n">
        <v>513.88</v>
      </c>
      <c r="AD18" s="38" t="n">
        <v>513.88</v>
      </c>
      <c r="AE18" s="38" t="n">
        <v>513.88</v>
      </c>
      <c r="AF18" s="38" t="n">
        <v>513.88</v>
      </c>
      <c r="AG18" s="38" t="n">
        <v>513.88</v>
      </c>
      <c r="AH18" s="38" t="n">
        <v>513.88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70.56</v>
      </c>
      <c r="C19" s="35" t="n">
        <v>56.16</v>
      </c>
      <c r="D19" s="35" t="n">
        <v>171.23</v>
      </c>
      <c r="E19" s="35" t="n">
        <v>0</v>
      </c>
      <c r="F19" s="35" t="n">
        <v>119.96</v>
      </c>
      <c r="G19" s="35" t="n">
        <v>78.48</v>
      </c>
      <c r="H19" s="35" t="n">
        <v>0</v>
      </c>
      <c r="I19" s="35" t="n">
        <v>0</v>
      </c>
      <c r="J19" s="35" t="n">
        <v>0</v>
      </c>
      <c r="K19" s="35" t="n">
        <v>136.44</v>
      </c>
      <c r="L19" s="35" t="n">
        <v>0</v>
      </c>
      <c r="M19" s="35" t="n">
        <v>0</v>
      </c>
      <c r="N19" s="36">
        <f>SUM(B19:M19)</f>
        <v/>
      </c>
      <c r="O19" s="37">
        <f>SUMIF('HB TB'!$R:$R,'HB P&amp;L'!$A19,'HB TB'!C:C)</f>
        <v/>
      </c>
      <c r="P19" s="37">
        <f>SUMIF('HB TB'!$R:$R,'HB P&amp;L'!$A19,'HB TB'!D:D)</f>
        <v/>
      </c>
      <c r="Q19" s="37">
        <f>SUMIF('HB TB'!$R:$R,'HB P&amp;L'!$A19,'HB TB'!E:E)</f>
        <v/>
      </c>
      <c r="R19" s="37">
        <f>SUMIF('HB TB'!$R:$R,'HB P&amp;L'!$A19,'HB TB'!F:F)</f>
        <v/>
      </c>
      <c r="S19" s="37">
        <f>SUMIF('HB TB'!$R:$R,'HB P&amp;L'!$A19,'HB TB'!G:G)</f>
        <v/>
      </c>
      <c r="T19" s="37">
        <f>SUMIF('HB TB'!$R:$R,'HB P&amp;L'!$A19,'HB TB'!H:H)</f>
        <v/>
      </c>
      <c r="U19" s="37">
        <f>SUMIF('HB TB'!$R:$R,'HB P&amp;L'!$A19,'HB TB'!I:I)</f>
        <v/>
      </c>
      <c r="V19" s="38" t="n">
        <v>50</v>
      </c>
      <c r="W19" s="38" t="n">
        <v>50</v>
      </c>
      <c r="X19" s="38" t="n">
        <v>50</v>
      </c>
      <c r="Y19" s="38" t="n">
        <v>50</v>
      </c>
      <c r="Z19" s="38" t="n">
        <v>50</v>
      </c>
      <c r="AA19" s="36">
        <f>SUM(O19:U19)</f>
        <v/>
      </c>
      <c r="AB19" s="36">
        <f>SUM(O19:Z19)</f>
        <v/>
      </c>
      <c r="AC19" s="38" t="n">
        <v>50</v>
      </c>
      <c r="AD19" s="38" t="n">
        <v>50</v>
      </c>
      <c r="AE19" s="38" t="n">
        <v>50</v>
      </c>
      <c r="AF19" s="38" t="n">
        <v>50</v>
      </c>
      <c r="AG19" s="38" t="n">
        <v>50</v>
      </c>
      <c r="AH19" s="38" t="n">
        <v>50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96</v>
      </c>
      <c r="C20" s="35" t="n">
        <v>0</v>
      </c>
      <c r="D20" s="35" t="n">
        <v>48</v>
      </c>
      <c r="E20" s="35" t="n">
        <v>156</v>
      </c>
      <c r="F20" s="35" t="n">
        <v>98.40000000000001</v>
      </c>
      <c r="G20" s="35" t="n">
        <v>0</v>
      </c>
      <c r="H20" s="35" t="n">
        <v>270</v>
      </c>
      <c r="I20" s="35" t="n">
        <v>0</v>
      </c>
      <c r="J20" s="35" t="n">
        <v>0</v>
      </c>
      <c r="K20" s="35" t="n">
        <v>193.2</v>
      </c>
      <c r="L20" s="35" t="n">
        <v>594</v>
      </c>
      <c r="M20" s="35" t="n">
        <v>37.2</v>
      </c>
      <c r="N20" s="36">
        <f>SUM(B20:M20)</f>
        <v/>
      </c>
      <c r="O20" s="37">
        <f>SUMIF('HB TB'!$R:$R,'HB P&amp;L'!$A20,'HB TB'!C:C)</f>
        <v/>
      </c>
      <c r="P20" s="37">
        <f>SUMIF('HB TB'!$R:$R,'HB P&amp;L'!$A20,'HB TB'!D:D)</f>
        <v/>
      </c>
      <c r="Q20" s="37">
        <f>SUMIF('HB TB'!$R:$R,'HB P&amp;L'!$A20,'HB TB'!E:E)</f>
        <v/>
      </c>
      <c r="R20" s="37">
        <f>SUMIF('HB TB'!$R:$R,'HB P&amp;L'!$A20,'HB TB'!F:F)</f>
        <v/>
      </c>
      <c r="S20" s="37">
        <f>SUMIF('HB TB'!$R:$R,'HB P&amp;L'!$A20,'HB TB'!G:G)</f>
        <v/>
      </c>
      <c r="T20" s="37">
        <f>SUMIF('HB TB'!$R:$R,'HB P&amp;L'!$A20,'HB TB'!H:H)</f>
        <v/>
      </c>
      <c r="U20" s="37">
        <f>SUMIF('HB TB'!$R:$R,'HB P&amp;L'!$A20,'HB TB'!I:I)</f>
        <v/>
      </c>
      <c r="V20" s="38" t="n">
        <v>0</v>
      </c>
      <c r="W20" s="38" t="n">
        <v>0</v>
      </c>
      <c r="X20" s="38" t="n">
        <v>0</v>
      </c>
      <c r="Y20" s="38" t="n">
        <v>0</v>
      </c>
      <c r="Z20" s="38" t="n">
        <v>0</v>
      </c>
      <c r="AA20" s="36">
        <f>SUM(O20:U20)</f>
        <v/>
      </c>
      <c r="AB20" s="36">
        <f>SUM(O20:Z20)</f>
        <v/>
      </c>
      <c r="AC20" s="38" t="n">
        <v>0</v>
      </c>
      <c r="AD20" s="38" t="n">
        <v>0</v>
      </c>
      <c r="AE20" s="38" t="n">
        <v>0</v>
      </c>
      <c r="AF20" s="38" t="n">
        <v>0</v>
      </c>
      <c r="AG20" s="38" t="n">
        <v>0</v>
      </c>
      <c r="AH20" s="38" t="n">
        <v>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133.75</v>
      </c>
      <c r="C21" s="35" t="n">
        <v>119.98</v>
      </c>
      <c r="D21" s="35" t="n">
        <v>168.98</v>
      </c>
      <c r="E21" s="35" t="n">
        <v>151.14</v>
      </c>
      <c r="F21" s="35" t="n">
        <v>162.64</v>
      </c>
      <c r="G21" s="35" t="n">
        <v>156.4</v>
      </c>
      <c r="H21" s="35" t="n">
        <v>78.23999999999999</v>
      </c>
      <c r="I21" s="35" t="n">
        <v>238.74</v>
      </c>
      <c r="J21" s="35" t="n">
        <v>0</v>
      </c>
      <c r="K21" s="35" t="n">
        <v>154.24</v>
      </c>
      <c r="L21" s="35" t="n">
        <v>73.00999999999999</v>
      </c>
      <c r="M21" s="35" t="n">
        <v>375.95</v>
      </c>
      <c r="N21" s="36">
        <f>SUM(B21:M21)</f>
        <v/>
      </c>
      <c r="O21" s="37">
        <f>SUMIF('HB TB'!$R:$R,'HB P&amp;L'!$A21,'HB TB'!C:C)</f>
        <v/>
      </c>
      <c r="P21" s="37">
        <f>SUMIF('HB TB'!$R:$R,'HB P&amp;L'!$A21,'HB TB'!D:D)</f>
        <v/>
      </c>
      <c r="Q21" s="37">
        <f>SUMIF('HB TB'!$R:$R,'HB P&amp;L'!$A21,'HB TB'!E:E)</f>
        <v/>
      </c>
      <c r="R21" s="37">
        <f>SUMIF('HB TB'!$R:$R,'HB P&amp;L'!$A21,'HB TB'!F:F)</f>
        <v/>
      </c>
      <c r="S21" s="37">
        <f>SUMIF('HB TB'!$R:$R,'HB P&amp;L'!$A21,'HB TB'!G:G)</f>
        <v/>
      </c>
      <c r="T21" s="37">
        <f>SUMIF('HB TB'!$R:$R,'HB P&amp;L'!$A21,'HB TB'!H:H)</f>
        <v/>
      </c>
      <c r="U21" s="37">
        <f>SUMIF('HB TB'!$R:$R,'HB P&amp;L'!$A21,'HB TB'!I:I)</f>
        <v/>
      </c>
      <c r="V21" s="38" t="n">
        <v>132.69</v>
      </c>
      <c r="W21" s="38" t="n">
        <v>132.69</v>
      </c>
      <c r="X21" s="38" t="n">
        <v>132.69</v>
      </c>
      <c r="Y21" s="38" t="n">
        <v>132.69</v>
      </c>
      <c r="Z21" s="38" t="n">
        <v>132.69</v>
      </c>
      <c r="AA21" s="36">
        <f>SUM(O21:U21)</f>
        <v/>
      </c>
      <c r="AB21" s="36">
        <f>SUM(O21:Z21)</f>
        <v/>
      </c>
      <c r="AC21" s="38" t="n">
        <v>132.69</v>
      </c>
      <c r="AD21" s="38" t="n">
        <v>132.69</v>
      </c>
      <c r="AE21" s="38" t="n">
        <v>132.69</v>
      </c>
      <c r="AF21" s="38" t="n">
        <v>132.69</v>
      </c>
      <c r="AG21" s="38" t="n">
        <v>132.69</v>
      </c>
      <c r="AH21" s="38" t="n">
        <v>132.69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SUMIF('HB TB'!$R:$R,'HB P&amp;L'!$A22,'HB TB'!C:C)</f>
        <v/>
      </c>
      <c r="P22" s="37">
        <f>SUMIF('HB TB'!$R:$R,'HB P&amp;L'!$A22,'HB TB'!D:D)</f>
        <v/>
      </c>
      <c r="Q22" s="37">
        <f>SUMIF('HB TB'!$R:$R,'HB P&amp;L'!$A22,'HB TB'!E:E)</f>
        <v/>
      </c>
      <c r="R22" s="37">
        <f>SUMIF('HB TB'!$R:$R,'HB P&amp;L'!$A22,'HB TB'!F:F)</f>
        <v/>
      </c>
      <c r="S22" s="37">
        <f>SUMIF('HB TB'!$R:$R,'HB P&amp;L'!$A22,'HB TB'!G:G)</f>
        <v/>
      </c>
      <c r="T22" s="37">
        <f>SUMIF('HB TB'!$R:$R,'HB P&amp;L'!$A22,'HB TB'!H:H)</f>
        <v/>
      </c>
      <c r="U22" s="37">
        <f>SUMIF('HB TB'!$R:$R,'HB P&amp;L'!$A22,'HB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30</v>
      </c>
      <c r="I23" s="35" t="n">
        <v>9.49</v>
      </c>
      <c r="J23" s="35" t="n">
        <v>21</v>
      </c>
      <c r="K23" s="35" t="n">
        <v>26.97</v>
      </c>
      <c r="L23" s="35" t="n">
        <v>0</v>
      </c>
      <c r="M23" s="35" t="n">
        <v>10.05</v>
      </c>
      <c r="N23" s="36">
        <f>SUM(B23:M23)</f>
        <v/>
      </c>
      <c r="O23" s="37">
        <f>SUMIF('HB TB'!$R:$R,'HB P&amp;L'!$A23,'HB TB'!C:C)</f>
        <v/>
      </c>
      <c r="P23" s="37">
        <f>SUMIF('HB TB'!$R:$R,'HB P&amp;L'!$A23,'HB TB'!D:D)</f>
        <v/>
      </c>
      <c r="Q23" s="37">
        <f>SUMIF('HB TB'!$R:$R,'HB P&amp;L'!$A23,'HB TB'!E:E)</f>
        <v/>
      </c>
      <c r="R23" s="37">
        <f>SUMIF('HB TB'!$R:$R,'HB P&amp;L'!$A23,'HB TB'!F:F)</f>
        <v/>
      </c>
      <c r="S23" s="37">
        <f>SUMIF('HB TB'!$R:$R,'HB P&amp;L'!$A23,'HB TB'!G:G)</f>
        <v/>
      </c>
      <c r="T23" s="37">
        <f>SUMIF('HB TB'!$R:$R,'HB P&amp;L'!$A23,'HB TB'!H:H)</f>
        <v/>
      </c>
      <c r="U23" s="37">
        <f>SUMIF('HB TB'!$R:$R,'HB P&amp;L'!$A23,'HB TB'!I:I)</f>
        <v/>
      </c>
      <c r="V23" s="38" t="n">
        <v>42</v>
      </c>
      <c r="W23" s="38" t="n">
        <v>42</v>
      </c>
      <c r="X23" s="38" t="n">
        <v>42</v>
      </c>
      <c r="Y23" s="38" t="n">
        <v>42</v>
      </c>
      <c r="Z23" s="38" t="n">
        <v>42</v>
      </c>
      <c r="AA23" s="36">
        <f>SUM(O23:U23)</f>
        <v/>
      </c>
      <c r="AB23" s="36">
        <f>SUM(O23:Z23)</f>
        <v/>
      </c>
      <c r="AC23" s="38" t="n">
        <v>42</v>
      </c>
      <c r="AD23" s="38" t="n">
        <v>42</v>
      </c>
      <c r="AE23" s="38" t="n">
        <v>42</v>
      </c>
      <c r="AF23" s="38" t="n">
        <v>42</v>
      </c>
      <c r="AG23" s="38" t="n">
        <v>42</v>
      </c>
      <c r="AH23" s="38" t="n">
        <v>42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SUMIF('HB TB'!$R:$R,'HB P&amp;L'!$A24,'HB TB'!C:C)</f>
        <v/>
      </c>
      <c r="P24" s="37">
        <f>SUMIF('HB TB'!$R:$R,'HB P&amp;L'!$A24,'HB TB'!D:D)</f>
        <v/>
      </c>
      <c r="Q24" s="37">
        <f>SUMIF('HB TB'!$R:$R,'HB P&amp;L'!$A24,'HB TB'!E:E)</f>
        <v/>
      </c>
      <c r="R24" s="37">
        <f>SUMIF('HB TB'!$R:$R,'HB P&amp;L'!$A24,'HB TB'!F:F)</f>
        <v/>
      </c>
      <c r="S24" s="37">
        <f>SUMIF('HB TB'!$R:$R,'HB P&amp;L'!$A24,'HB TB'!G:G)</f>
        <v/>
      </c>
      <c r="T24" s="37">
        <f>SUMIF('HB TB'!$R:$R,'HB P&amp;L'!$A24,'HB TB'!H:H)</f>
        <v/>
      </c>
      <c r="U24" s="37">
        <f>SUMIF('HB TB'!$R:$R,'HB P&amp;L'!$A24,'HB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27701.32</v>
      </c>
      <c r="C25" s="42" t="n">
        <v>29467.69</v>
      </c>
      <c r="D25" s="42" t="n">
        <v>30030</v>
      </c>
      <c r="E25" s="42" t="n">
        <v>33446.57</v>
      </c>
      <c r="F25" s="42" t="n">
        <v>35440.64</v>
      </c>
      <c r="G25" s="42" t="n">
        <v>37369.00000000001</v>
      </c>
      <c r="H25" s="42" t="n">
        <v>36795.89</v>
      </c>
      <c r="I25" s="42" t="n">
        <v>34385.2</v>
      </c>
      <c r="J25" s="42" t="n">
        <v>34246.48</v>
      </c>
      <c r="K25" s="42" t="n">
        <v>27682.5</v>
      </c>
      <c r="L25" s="42" t="n">
        <v>27727.59</v>
      </c>
      <c r="M25" s="42" t="n">
        <v>31167.51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2744.18</v>
      </c>
      <c r="C27" s="35" t="n">
        <v>2024.31</v>
      </c>
      <c r="D27" s="35" t="n">
        <v>2049.67</v>
      </c>
      <c r="E27" s="35" t="n">
        <v>1664.58</v>
      </c>
      <c r="F27" s="35" t="n">
        <v>1769.58</v>
      </c>
      <c r="G27" s="35" t="n">
        <v>2265.91</v>
      </c>
      <c r="H27" s="35" t="n">
        <v>2338.29</v>
      </c>
      <c r="I27" s="35" t="n">
        <v>1692.46</v>
      </c>
      <c r="J27" s="35" t="n">
        <v>2080.16</v>
      </c>
      <c r="K27" s="35" t="n">
        <v>2053.82</v>
      </c>
      <c r="L27" s="35" t="n">
        <v>1983.01</v>
      </c>
      <c r="M27" s="35" t="n">
        <v>1442.92</v>
      </c>
      <c r="N27" s="36">
        <f>SUM(B27:M27)</f>
        <v/>
      </c>
      <c r="O27" s="37">
        <f>SUMIF('HB TB'!$R:$R,'HB P&amp;L'!$A27,'HB TB'!C:C)</f>
        <v/>
      </c>
      <c r="P27" s="37">
        <f>SUMIF('HB TB'!$R:$R,'HB P&amp;L'!$A27,'HB TB'!D:D)</f>
        <v/>
      </c>
      <c r="Q27" s="37">
        <f>SUMIF('HB TB'!$R:$R,'HB P&amp;L'!$A27,'HB TB'!E:E)</f>
        <v/>
      </c>
      <c r="R27" s="37">
        <f>SUMIF('HB TB'!$R:$R,'HB P&amp;L'!$A27,'HB TB'!F:F)</f>
        <v/>
      </c>
      <c r="S27" s="37">
        <f>SUMIF('HB TB'!$R:$R,'HB P&amp;L'!$A27,'HB TB'!G:G)</f>
        <v/>
      </c>
      <c r="T27" s="37">
        <f>SUMIF('HB TB'!$R:$R,'HB P&amp;L'!$A27,'HB TB'!H:H)</f>
        <v/>
      </c>
      <c r="U27" s="37">
        <f>SUMIF('HB TB'!$R:$R,'HB P&amp;L'!$A27,'HB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345.51</v>
      </c>
      <c r="C28" s="35" t="n">
        <v>751.0200000000001</v>
      </c>
      <c r="D28" s="35" t="n">
        <v>178.36</v>
      </c>
      <c r="E28" s="35" t="n">
        <v>150.78</v>
      </c>
      <c r="F28" s="35" t="n">
        <v>488.33</v>
      </c>
      <c r="G28" s="35" t="n">
        <v>322.31</v>
      </c>
      <c r="H28" s="35" t="n">
        <v>82.25999999999999</v>
      </c>
      <c r="I28" s="35" t="n">
        <v>311.59</v>
      </c>
      <c r="J28" s="35" t="n">
        <v>65.91</v>
      </c>
      <c r="K28" s="35" t="n">
        <v>455.4800000000001</v>
      </c>
      <c r="L28" s="35" t="n">
        <v>445.5099999999999</v>
      </c>
      <c r="M28" s="35" t="n">
        <v>229.46</v>
      </c>
      <c r="N28" s="36">
        <f>SUM(B28:M28)</f>
        <v/>
      </c>
      <c r="O28" s="37">
        <f>SUMIF('HB TB'!$R:$R,'HB P&amp;L'!$A28,'HB TB'!C:C)</f>
        <v/>
      </c>
      <c r="P28" s="37">
        <f>SUMIF('HB TB'!$R:$R,'HB P&amp;L'!$A28,'HB TB'!D:D)</f>
        <v/>
      </c>
      <c r="Q28" s="37">
        <f>SUMIF('HB TB'!$R:$R,'HB P&amp;L'!$A28,'HB TB'!E:E)</f>
        <v/>
      </c>
      <c r="R28" s="37">
        <f>SUMIF('HB TB'!$R:$R,'HB P&amp;L'!$A28,'HB TB'!F:F)</f>
        <v/>
      </c>
      <c r="S28" s="37">
        <f>SUMIF('HB TB'!$R:$R,'HB P&amp;L'!$A28,'HB TB'!G:G)</f>
        <v/>
      </c>
      <c r="T28" s="37">
        <f>SUMIF('HB TB'!$R:$R,'HB P&amp;L'!$A28,'HB TB'!H:H)</f>
        <v/>
      </c>
      <c r="U28" s="37">
        <f>SUMIF('HB TB'!$R:$R,'HB P&amp;L'!$A28,'HB TB'!I:I)</f>
        <v/>
      </c>
      <c r="V28" s="38" t="n">
        <v>53</v>
      </c>
      <c r="W28" s="38" t="n">
        <v>53</v>
      </c>
      <c r="X28" s="38" t="n">
        <v>53</v>
      </c>
      <c r="Y28" s="38" t="n">
        <v>53</v>
      </c>
      <c r="Z28" s="38" t="n">
        <v>53</v>
      </c>
      <c r="AA28" s="36">
        <f>SUM(O28:U28)</f>
        <v/>
      </c>
      <c r="AB28" s="36">
        <f>SUM(O28:Z28)</f>
        <v/>
      </c>
      <c r="AC28" s="38" t="n">
        <v>53</v>
      </c>
      <c r="AD28" s="38" t="n">
        <v>53</v>
      </c>
      <c r="AE28" s="38" t="n">
        <v>53</v>
      </c>
      <c r="AF28" s="38" t="n">
        <v>53</v>
      </c>
      <c r="AG28" s="38" t="n">
        <v>53</v>
      </c>
      <c r="AH28" s="38" t="n">
        <v>53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69.13</v>
      </c>
      <c r="C29" s="35" t="n">
        <v>84.98</v>
      </c>
      <c r="D29" s="35" t="n">
        <v>67.86</v>
      </c>
      <c r="E29" s="35" t="n">
        <v>123.59</v>
      </c>
      <c r="F29" s="35" t="n">
        <v>68.06999999999999</v>
      </c>
      <c r="G29" s="35" t="n">
        <v>30.29</v>
      </c>
      <c r="H29" s="35" t="n">
        <v>53.46</v>
      </c>
      <c r="I29" s="35" t="n">
        <v>187.21</v>
      </c>
      <c r="J29" s="35" t="n">
        <v>111.33</v>
      </c>
      <c r="K29" s="35" t="n">
        <v>121.13</v>
      </c>
      <c r="L29" s="35" t="n">
        <v>192.24</v>
      </c>
      <c r="M29" s="35" t="n">
        <v>74.47</v>
      </c>
      <c r="N29" s="36">
        <f>SUM(B29:M29)</f>
        <v/>
      </c>
      <c r="O29" s="37">
        <f>SUMIF('HB TB'!$R:$R,'HB P&amp;L'!$A29,'HB TB'!C:C)</f>
        <v/>
      </c>
      <c r="P29" s="37">
        <f>SUMIF('HB TB'!$R:$R,'HB P&amp;L'!$A29,'HB TB'!D:D)</f>
        <v/>
      </c>
      <c r="Q29" s="37">
        <f>SUMIF('HB TB'!$R:$R,'HB P&amp;L'!$A29,'HB TB'!E:E)</f>
        <v/>
      </c>
      <c r="R29" s="37">
        <f>SUMIF('HB TB'!$R:$R,'HB P&amp;L'!$A29,'HB TB'!F:F)</f>
        <v/>
      </c>
      <c r="S29" s="37">
        <f>SUMIF('HB TB'!$R:$R,'HB P&amp;L'!$A29,'HB TB'!G:G)</f>
        <v/>
      </c>
      <c r="T29" s="37">
        <f>SUMIF('HB TB'!$R:$R,'HB P&amp;L'!$A29,'HB TB'!H:H)</f>
        <v/>
      </c>
      <c r="U29" s="37">
        <f>SUMIF('HB TB'!$R:$R,'HB P&amp;L'!$A29,'HB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0.002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65.61999999999999</v>
      </c>
      <c r="C30" s="35" t="n">
        <v>0</v>
      </c>
      <c r="D30" s="35" t="n">
        <v>34.48999999999999</v>
      </c>
      <c r="E30" s="35" t="n">
        <v>0</v>
      </c>
      <c r="F30" s="35" t="n">
        <v>10.98</v>
      </c>
      <c r="G30" s="35" t="n">
        <v>60.12</v>
      </c>
      <c r="H30" s="35" t="n">
        <v>75.83</v>
      </c>
      <c r="I30" s="35" t="n">
        <v>75.47</v>
      </c>
      <c r="J30" s="35" t="n">
        <v>37.5</v>
      </c>
      <c r="K30" s="35" t="n">
        <v>39.66</v>
      </c>
      <c r="L30" s="35" t="n">
        <v>17.99</v>
      </c>
      <c r="M30" s="35" t="n">
        <v>26.23</v>
      </c>
      <c r="N30" s="36">
        <f>SUM(B30:M30)</f>
        <v/>
      </c>
      <c r="O30" s="37">
        <f>SUMIF('HB TB'!$R:$R,'HB P&amp;L'!$A30,'HB TB'!C:C)</f>
        <v/>
      </c>
      <c r="P30" s="37">
        <f>SUMIF('HB TB'!$R:$R,'HB P&amp;L'!$A30,'HB TB'!D:D)</f>
        <v/>
      </c>
      <c r="Q30" s="37">
        <f>SUMIF('HB TB'!$R:$R,'HB P&amp;L'!$A30,'HB TB'!E:E)</f>
        <v/>
      </c>
      <c r="R30" s="37">
        <f>SUMIF('HB TB'!$R:$R,'HB P&amp;L'!$A30,'HB TB'!F:F)</f>
        <v/>
      </c>
      <c r="S30" s="37">
        <f>SUMIF('HB TB'!$R:$R,'HB P&amp;L'!$A30,'HB TB'!G:G)</f>
        <v/>
      </c>
      <c r="T30" s="37">
        <f>SUMIF('HB TB'!$R:$R,'HB P&amp;L'!$A30,'HB TB'!H:H)</f>
        <v/>
      </c>
      <c r="U30" s="37">
        <f>SUMIF('HB TB'!$R:$R,'HB P&amp;L'!$A30,'HB TB'!I:I)</f>
        <v/>
      </c>
      <c r="V30" s="38" t="n">
        <v>98</v>
      </c>
      <c r="W30" s="38" t="n">
        <v>98</v>
      </c>
      <c r="X30" s="38" t="n">
        <v>98</v>
      </c>
      <c r="Y30" s="38" t="n">
        <v>98</v>
      </c>
      <c r="Z30" s="38" t="n">
        <v>98</v>
      </c>
      <c r="AA30" s="36">
        <f>SUM(O30:U30)</f>
        <v/>
      </c>
      <c r="AB30" s="36">
        <f>SUM(O30:Z30)</f>
        <v/>
      </c>
      <c r="AC30" s="38" t="n">
        <v>98</v>
      </c>
      <c r="AD30" s="38" t="n">
        <v>98</v>
      </c>
      <c r="AE30" s="38" t="n">
        <v>98</v>
      </c>
      <c r="AF30" s="38" t="n">
        <v>98</v>
      </c>
      <c r="AG30" s="38" t="n">
        <v>98</v>
      </c>
      <c r="AH30" s="38" t="n">
        <v>98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46.92999999999999</v>
      </c>
      <c r="C31" s="35" t="n">
        <v>379.43</v>
      </c>
      <c r="D31" s="35" t="n">
        <v>0</v>
      </c>
      <c r="E31" s="35" t="n">
        <v>296.79</v>
      </c>
      <c r="F31" s="35" t="n">
        <v>5.49</v>
      </c>
      <c r="G31" s="35" t="n">
        <v>42.48</v>
      </c>
      <c r="H31" s="35" t="n">
        <v>146.76</v>
      </c>
      <c r="I31" s="35" t="n">
        <v>139.82</v>
      </c>
      <c r="J31" s="35" t="n">
        <v>78.06999999999999</v>
      </c>
      <c r="K31" s="35" t="n">
        <v>255.55</v>
      </c>
      <c r="L31" s="35" t="n">
        <v>279.7</v>
      </c>
      <c r="M31" s="35" t="n">
        <v>94.52999999999999</v>
      </c>
      <c r="N31" s="36">
        <f>SUM(B31:M31)</f>
        <v/>
      </c>
      <c r="O31" s="37">
        <f>SUMIF('HB TB'!$R:$R,'HB P&amp;L'!$A31,'HB TB'!C:C)</f>
        <v/>
      </c>
      <c r="P31" s="37">
        <f>SUMIF('HB TB'!$R:$R,'HB P&amp;L'!$A31,'HB TB'!D:D)</f>
        <v/>
      </c>
      <c r="Q31" s="37">
        <f>SUMIF('HB TB'!$R:$R,'HB P&amp;L'!$A31,'HB TB'!E:E)</f>
        <v/>
      </c>
      <c r="R31" s="37">
        <f>SUMIF('HB TB'!$R:$R,'HB P&amp;L'!$A31,'HB TB'!F:F)</f>
        <v/>
      </c>
      <c r="S31" s="37">
        <f>SUMIF('HB TB'!$R:$R,'HB P&amp;L'!$A31,'HB TB'!G:G)</f>
        <v/>
      </c>
      <c r="T31" s="37">
        <f>SUMIF('HB TB'!$R:$R,'HB P&amp;L'!$A31,'HB TB'!H:H)</f>
        <v/>
      </c>
      <c r="U31" s="37">
        <f>SUMIF('HB TB'!$R:$R,'HB P&amp;L'!$A31,'HB TB'!I:I)</f>
        <v/>
      </c>
      <c r="V31" s="38" t="n">
        <v>53</v>
      </c>
      <c r="W31" s="38" t="n">
        <v>53</v>
      </c>
      <c r="X31" s="38" t="n">
        <v>53</v>
      </c>
      <c r="Y31" s="38" t="n">
        <v>53</v>
      </c>
      <c r="Z31" s="38" t="n">
        <v>53</v>
      </c>
      <c r="AA31" s="36">
        <f>SUM(O31:U31)</f>
        <v/>
      </c>
      <c r="AB31" s="36">
        <f>SUM(O31:Z31)</f>
        <v/>
      </c>
      <c r="AC31" s="38" t="n">
        <v>53</v>
      </c>
      <c r="AD31" s="38" t="n">
        <v>53</v>
      </c>
      <c r="AE31" s="38" t="n">
        <v>53</v>
      </c>
      <c r="AF31" s="38" t="n">
        <v>53</v>
      </c>
      <c r="AG31" s="38" t="n">
        <v>53</v>
      </c>
      <c r="AH31" s="38" t="n">
        <v>53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177.16</v>
      </c>
      <c r="C32" s="35" t="n">
        <v>97.81999999999999</v>
      </c>
      <c r="D32" s="35" t="n">
        <v>168.92</v>
      </c>
      <c r="E32" s="35" t="n">
        <v>204.4</v>
      </c>
      <c r="F32" s="35" t="n">
        <v>266.11</v>
      </c>
      <c r="G32" s="35" t="n">
        <v>242.35</v>
      </c>
      <c r="H32" s="35" t="n">
        <v>117.49</v>
      </c>
      <c r="I32" s="35" t="n">
        <v>282.09</v>
      </c>
      <c r="J32" s="35" t="n">
        <v>150.05</v>
      </c>
      <c r="K32" s="35" t="n">
        <v>101.07</v>
      </c>
      <c r="L32" s="35" t="n">
        <v>140.87</v>
      </c>
      <c r="M32" s="35" t="n">
        <v>168.72</v>
      </c>
      <c r="N32" s="36">
        <f>SUM(B32:M32)</f>
        <v/>
      </c>
      <c r="O32" s="37">
        <f>SUMIF('HB TB'!$R:$R,'HB P&amp;L'!$A32,'HB TB'!C:C)</f>
        <v/>
      </c>
      <c r="P32" s="37">
        <f>SUMIF('HB TB'!$R:$R,'HB P&amp;L'!$A32,'HB TB'!D:D)</f>
        <v/>
      </c>
      <c r="Q32" s="37">
        <f>SUMIF('HB TB'!$R:$R,'HB P&amp;L'!$A32,'HB TB'!E:E)</f>
        <v/>
      </c>
      <c r="R32" s="37">
        <f>SUMIF('HB TB'!$R:$R,'HB P&amp;L'!$A32,'HB TB'!F:F)</f>
        <v/>
      </c>
      <c r="S32" s="37">
        <f>SUMIF('HB TB'!$R:$R,'HB P&amp;L'!$A32,'HB TB'!G:G)</f>
        <v/>
      </c>
      <c r="T32" s="37">
        <f>SUMIF('HB TB'!$R:$R,'HB P&amp;L'!$A32,'HB TB'!H:H)</f>
        <v/>
      </c>
      <c r="U32" s="37">
        <f>SUMIF('HB TB'!$R:$R,'HB P&amp;L'!$A32,'HB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0.004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SUMIF('HB TB'!$R:$R,'HB P&amp;L'!$A33,'HB TB'!C:C)</f>
        <v/>
      </c>
      <c r="P33" s="37">
        <f>SUMIF('HB TB'!$R:$R,'HB P&amp;L'!$A33,'HB TB'!D:D)</f>
        <v/>
      </c>
      <c r="Q33" s="37">
        <f>SUMIF('HB TB'!$R:$R,'HB P&amp;L'!$A33,'HB TB'!E:E)</f>
        <v/>
      </c>
      <c r="R33" s="37">
        <f>SUMIF('HB TB'!$R:$R,'HB P&amp;L'!$A33,'HB TB'!F:F)</f>
        <v/>
      </c>
      <c r="S33" s="37">
        <f>SUMIF('HB TB'!$R:$R,'HB P&amp;L'!$A33,'HB TB'!G:G)</f>
        <v/>
      </c>
      <c r="T33" s="37">
        <f>SUMIF('HB TB'!$R:$R,'HB P&amp;L'!$A33,'HB TB'!H:H)</f>
        <v/>
      </c>
      <c r="U33" s="37">
        <f>SUMIF('HB TB'!$R:$R,'HB P&amp;L'!$A33,'HB TB'!I:I)</f>
        <v/>
      </c>
      <c r="V33" s="38" t="n">
        <v>0</v>
      </c>
      <c r="W33" s="38" t="n">
        <v>0</v>
      </c>
      <c r="X33" s="38" t="n">
        <v>0</v>
      </c>
      <c r="Y33" s="38" t="n">
        <v>0</v>
      </c>
      <c r="Z33" s="38" t="n">
        <v>0</v>
      </c>
      <c r="AA33" s="36">
        <f>SUM(O33:U33)</f>
        <v/>
      </c>
      <c r="AB33" s="36">
        <f>SUM(O33:Z33)</f>
        <v/>
      </c>
      <c r="AC33" s="38" t="n">
        <v>0</v>
      </c>
      <c r="AD33" s="38" t="n">
        <v>0</v>
      </c>
      <c r="AE33" s="38" t="n">
        <v>0</v>
      </c>
      <c r="AF33" s="38" t="n">
        <v>0</v>
      </c>
      <c r="AG33" s="38" t="n">
        <v>0</v>
      </c>
      <c r="AH33" s="38" t="n">
        <v>0</v>
      </c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3448.529999999999</v>
      </c>
      <c r="C34" s="42" t="n">
        <v>3337.56</v>
      </c>
      <c r="D34" s="42" t="n">
        <v>2499.3</v>
      </c>
      <c r="E34" s="42" t="n">
        <v>2440.14</v>
      </c>
      <c r="F34" s="42" t="n">
        <v>2608.56</v>
      </c>
      <c r="G34" s="42" t="n">
        <v>2963.46</v>
      </c>
      <c r="H34" s="42" t="n">
        <v>2814.09</v>
      </c>
      <c r="I34" s="42" t="n">
        <v>2688.64</v>
      </c>
      <c r="J34" s="42" t="n">
        <v>2523.02</v>
      </c>
      <c r="K34" s="42" t="n">
        <v>3026.71</v>
      </c>
      <c r="L34" s="42" t="n">
        <v>3059.32</v>
      </c>
      <c r="M34" s="42" t="n">
        <v>2036.33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4645.83</v>
      </c>
      <c r="C36" s="35" t="n">
        <v>4645.83</v>
      </c>
      <c r="D36" s="35" t="n">
        <v>4645.83</v>
      </c>
      <c r="E36" s="35" t="n">
        <v>4645.83</v>
      </c>
      <c r="F36" s="35" t="n">
        <v>4645.83</v>
      </c>
      <c r="G36" s="35" t="n">
        <v>4645.83</v>
      </c>
      <c r="H36" s="35" t="n">
        <v>4645.84</v>
      </c>
      <c r="I36" s="35" t="n">
        <v>4645.83</v>
      </c>
      <c r="J36" s="35" t="n">
        <v>4645.84</v>
      </c>
      <c r="K36" s="35" t="n">
        <v>4645.83</v>
      </c>
      <c r="L36" s="35" t="n">
        <v>4645.83</v>
      </c>
      <c r="M36" s="35" t="n">
        <v>4645.83</v>
      </c>
      <c r="N36" s="36">
        <f>SUM(B36:M36)</f>
        <v/>
      </c>
      <c r="O36" s="37">
        <f>SUMIF('HB TB'!$R:$R,'HB P&amp;L'!$A36,'HB TB'!C:C)</f>
        <v/>
      </c>
      <c r="P36" s="37">
        <f>SUMIF('HB TB'!$R:$R,'HB P&amp;L'!$A36,'HB TB'!D:D)</f>
        <v/>
      </c>
      <c r="Q36" s="37">
        <f>SUMIF('HB TB'!$R:$R,'HB P&amp;L'!$A36,'HB TB'!E:E)</f>
        <v/>
      </c>
      <c r="R36" s="37">
        <f>SUMIF('HB TB'!$R:$R,'HB P&amp;L'!$A36,'HB TB'!F:F)</f>
        <v/>
      </c>
      <c r="S36" s="37">
        <f>SUMIF('HB TB'!$R:$R,'HB P&amp;L'!$A36,'HB TB'!G:G)</f>
        <v/>
      </c>
      <c r="T36" s="37">
        <f>SUMIF('HB TB'!$R:$R,'HB P&amp;L'!$A36,'HB TB'!H:H)</f>
        <v/>
      </c>
      <c r="U36" s="37">
        <f>SUMIF('HB TB'!$R:$R,'HB P&amp;L'!$A36,'HB TB'!I:I)</f>
        <v/>
      </c>
      <c r="V36" s="38" t="n">
        <v>4646</v>
      </c>
      <c r="W36" s="38" t="n">
        <v>4646</v>
      </c>
      <c r="X36" s="38" t="n">
        <v>4646</v>
      </c>
      <c r="Y36" s="38" t="n">
        <v>4646</v>
      </c>
      <c r="Z36" s="38" t="n">
        <v>4646</v>
      </c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3844.75</v>
      </c>
      <c r="C37" s="35" t="n">
        <v>3844.75</v>
      </c>
      <c r="D37" s="35" t="n">
        <v>3844.75</v>
      </c>
      <c r="E37" s="35" t="n">
        <v>3908.13</v>
      </c>
      <c r="F37" s="35" t="n">
        <v>3908.13</v>
      </c>
      <c r="G37" s="35" t="n">
        <v>3908.13</v>
      </c>
      <c r="H37" s="35" t="n">
        <v>3908.13</v>
      </c>
      <c r="I37" s="35" t="n">
        <v>3908.13</v>
      </c>
      <c r="J37" s="35" t="n">
        <v>3908.13</v>
      </c>
      <c r="K37" s="35" t="n">
        <v>3908.13</v>
      </c>
      <c r="L37" s="35" t="n">
        <v>3908.13</v>
      </c>
      <c r="M37" s="35" t="n">
        <v>3908.13</v>
      </c>
      <c r="N37" s="36">
        <f>SUM(B37:M37)</f>
        <v/>
      </c>
      <c r="O37" s="37">
        <f>SUMIF('HB TB'!$R:$R,'HB P&amp;L'!$A37,'HB TB'!C:C)</f>
        <v/>
      </c>
      <c r="P37" s="37">
        <f>SUMIF('HB TB'!$R:$R,'HB P&amp;L'!$A37,'HB TB'!D:D)</f>
        <v/>
      </c>
      <c r="Q37" s="37">
        <f>SUMIF('HB TB'!$R:$R,'HB P&amp;L'!$A37,'HB TB'!E:E)</f>
        <v/>
      </c>
      <c r="R37" s="37">
        <f>SUMIF('HB TB'!$R:$R,'HB P&amp;L'!$A37,'HB TB'!F:F)</f>
        <v/>
      </c>
      <c r="S37" s="37">
        <f>SUMIF('HB TB'!$R:$R,'HB P&amp;L'!$A37,'HB TB'!G:G)</f>
        <v/>
      </c>
      <c r="T37" s="37">
        <f>SUMIF('HB TB'!$R:$R,'HB P&amp;L'!$A37,'HB TB'!H:H)</f>
        <v/>
      </c>
      <c r="U37" s="37">
        <f>SUMIF('HB TB'!$R:$R,'HB P&amp;L'!$A37,'HB TB'!I:I)</f>
        <v/>
      </c>
      <c r="V37" s="38" t="n">
        <v>3082.92</v>
      </c>
      <c r="W37" s="38" t="n">
        <v>3082.92</v>
      </c>
      <c r="X37" s="38" t="n">
        <v>3082.92</v>
      </c>
      <c r="Y37" s="38" t="n">
        <v>3082.92</v>
      </c>
      <c r="Z37" s="38" t="n">
        <v>3082.92</v>
      </c>
      <c r="AA37" s="36">
        <f>SUM(O37:U37)</f>
        <v/>
      </c>
      <c r="AB37" s="36">
        <f>SUM(O37:Z37)</f>
        <v/>
      </c>
      <c r="AC37" s="38" t="n">
        <v>3082.92</v>
      </c>
      <c r="AD37" s="38" t="n">
        <v>3082.92</v>
      </c>
      <c r="AE37" s="38" t="n">
        <v>3082.92</v>
      </c>
      <c r="AF37" s="38" t="n">
        <v>3082.92</v>
      </c>
      <c r="AG37" s="38" t="n">
        <v>3082.92</v>
      </c>
      <c r="AH37" s="38" t="n">
        <v>3082.92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300</v>
      </c>
      <c r="C38" s="35" t="n">
        <v>300</v>
      </c>
      <c r="D38" s="35" t="n">
        <v>300</v>
      </c>
      <c r="E38" s="35" t="n">
        <v>300</v>
      </c>
      <c r="F38" s="35" t="n">
        <v>300</v>
      </c>
      <c r="G38" s="35" t="n">
        <v>300</v>
      </c>
      <c r="H38" s="35" t="n">
        <v>300</v>
      </c>
      <c r="I38" s="35" t="n">
        <v>300</v>
      </c>
      <c r="J38" s="35" t="n">
        <v>300</v>
      </c>
      <c r="K38" s="35" t="n">
        <v>300</v>
      </c>
      <c r="L38" s="35" t="n">
        <v>300</v>
      </c>
      <c r="M38" s="35" t="n">
        <v>300</v>
      </c>
      <c r="N38" s="36">
        <f>SUM(B38:M38)</f>
        <v/>
      </c>
      <c r="O38" s="37">
        <f>SUMIF('HB TB'!$R:$R,'HB P&amp;L'!$A38,'HB TB'!C:C)</f>
        <v/>
      </c>
      <c r="P38" s="37">
        <f>SUMIF('HB TB'!$R:$R,'HB P&amp;L'!$A38,'HB TB'!D:D)</f>
        <v/>
      </c>
      <c r="Q38" s="37">
        <f>SUMIF('HB TB'!$R:$R,'HB P&amp;L'!$A38,'HB TB'!E:E)</f>
        <v/>
      </c>
      <c r="R38" s="37">
        <f>SUMIF('HB TB'!$R:$R,'HB P&amp;L'!$A38,'HB TB'!F:F)</f>
        <v/>
      </c>
      <c r="S38" s="37">
        <f>SUMIF('HB TB'!$R:$R,'HB P&amp;L'!$A38,'HB TB'!G:G)</f>
        <v/>
      </c>
      <c r="T38" s="37">
        <f>SUMIF('HB TB'!$R:$R,'HB P&amp;L'!$A38,'HB TB'!H:H)</f>
        <v/>
      </c>
      <c r="U38" s="37">
        <f>SUMIF('HB TB'!$R:$R,'HB P&amp;L'!$A38,'HB TB'!I:I)</f>
        <v/>
      </c>
      <c r="V38" s="38" t="n">
        <v>300</v>
      </c>
      <c r="W38" s="38" t="n">
        <v>300</v>
      </c>
      <c r="X38" s="38" t="n">
        <v>300</v>
      </c>
      <c r="Y38" s="38" t="n">
        <v>300</v>
      </c>
      <c r="Z38" s="38" t="n">
        <v>300</v>
      </c>
      <c r="AA38" s="36">
        <f>SUM(O38:U38)</f>
        <v/>
      </c>
      <c r="AB38" s="36">
        <f>SUM(O38:Z38)</f>
        <v/>
      </c>
      <c r="AC38" s="38" t="n">
        <v>300</v>
      </c>
      <c r="AD38" s="38" t="n">
        <v>300</v>
      </c>
      <c r="AE38" s="38" t="n">
        <v>300</v>
      </c>
      <c r="AF38" s="38" t="n">
        <v>300</v>
      </c>
      <c r="AG38" s="38" t="n">
        <v>300</v>
      </c>
      <c r="AH38" s="38" t="n">
        <v>300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29.52</v>
      </c>
      <c r="C39" s="35" t="n">
        <v>4464.59</v>
      </c>
      <c r="D39" s="35" t="n">
        <v>0</v>
      </c>
      <c r="E39" s="35" t="n">
        <v>0</v>
      </c>
      <c r="F39" s="35" t="n">
        <v>48.2</v>
      </c>
      <c r="G39" s="35" t="n">
        <v>0</v>
      </c>
      <c r="H39" s="35" t="n">
        <v>0</v>
      </c>
      <c r="I39" s="35" t="n">
        <v>36.18</v>
      </c>
      <c r="J39" s="35" t="n">
        <v>48.39</v>
      </c>
      <c r="K39" s="35" t="n">
        <v>21.13</v>
      </c>
      <c r="L39" s="35" t="n">
        <v>40</v>
      </c>
      <c r="M39" s="35" t="n">
        <v>0</v>
      </c>
      <c r="N39" s="36">
        <f>SUM(B39:M39)</f>
        <v/>
      </c>
      <c r="O39" s="37">
        <f>SUMIF('HB TB'!$R:$R,'HB P&amp;L'!$A39,'HB TB'!C:C)</f>
        <v/>
      </c>
      <c r="P39" s="37">
        <f>SUMIF('HB TB'!$R:$R,'HB P&amp;L'!$A39,'HB TB'!D:D)</f>
        <v/>
      </c>
      <c r="Q39" s="37">
        <f>SUMIF('HB TB'!$R:$R,'HB P&amp;L'!$A39,'HB TB'!E:E)</f>
        <v/>
      </c>
      <c r="R39" s="37">
        <f>SUMIF('HB TB'!$R:$R,'HB P&amp;L'!$A39,'HB TB'!F:F)</f>
        <v/>
      </c>
      <c r="S39" s="37">
        <f>SUMIF('HB TB'!$R:$R,'HB P&amp;L'!$A39,'HB TB'!G:G)</f>
        <v/>
      </c>
      <c r="T39" s="37">
        <f>SUMIF('HB TB'!$R:$R,'HB P&amp;L'!$A39,'HB TB'!H:H)</f>
        <v/>
      </c>
      <c r="U39" s="37">
        <f>SUMIF('HB TB'!$R:$R,'HB P&amp;L'!$A39,'HB TB'!I:I)</f>
        <v/>
      </c>
      <c r="V39" s="38" t="n">
        <v>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1025.16</v>
      </c>
      <c r="C40" s="35" t="n">
        <v>994.6700000000001</v>
      </c>
      <c r="D40" s="35" t="n">
        <v>1230.5</v>
      </c>
      <c r="E40" s="35" t="n">
        <v>952.4300000000001</v>
      </c>
      <c r="F40" s="35" t="n">
        <v>1083.43</v>
      </c>
      <c r="G40" s="35" t="n">
        <v>1263.91</v>
      </c>
      <c r="H40" s="35" t="n">
        <v>1279.37</v>
      </c>
      <c r="I40" s="35" t="n">
        <v>880.76</v>
      </c>
      <c r="J40" s="35" t="n">
        <v>903.78</v>
      </c>
      <c r="K40" s="35" t="n">
        <v>1337.18</v>
      </c>
      <c r="L40" s="35" t="n">
        <v>906.53</v>
      </c>
      <c r="M40" s="35" t="n">
        <v>956.1900000000001</v>
      </c>
      <c r="N40" s="36">
        <f>SUM(B40:M40)</f>
        <v/>
      </c>
      <c r="O40" s="37">
        <f>SUMIF('HB TB'!$R:$R,'HB P&amp;L'!$A40,'HB TB'!C:C)</f>
        <v/>
      </c>
      <c r="P40" s="37">
        <f>SUMIF('HB TB'!$R:$R,'HB P&amp;L'!$A40,'HB TB'!D:D)</f>
        <v/>
      </c>
      <c r="Q40" s="37">
        <f>SUMIF('HB TB'!$R:$R,'HB P&amp;L'!$A40,'HB TB'!E:E)</f>
        <v/>
      </c>
      <c r="R40" s="37">
        <f>SUMIF('HB TB'!$R:$R,'HB P&amp;L'!$A40,'HB TB'!F:F)</f>
        <v/>
      </c>
      <c r="S40" s="37">
        <f>SUMIF('HB TB'!$R:$R,'HB P&amp;L'!$A40,'HB TB'!G:G)</f>
        <v/>
      </c>
      <c r="T40" s="37">
        <f>SUMIF('HB TB'!$R:$R,'HB P&amp;L'!$A40,'HB TB'!H:H)</f>
        <v/>
      </c>
      <c r="U40" s="37">
        <f>SUMIF('HB TB'!$R:$R,'HB P&amp;L'!$A40,'HB TB'!I:I)</f>
        <v/>
      </c>
      <c r="V40" s="38" t="n">
        <v>1107</v>
      </c>
      <c r="W40" s="38" t="n">
        <v>1107</v>
      </c>
      <c r="X40" s="38" t="n">
        <v>1107</v>
      </c>
      <c r="Y40" s="38" t="n">
        <v>1107</v>
      </c>
      <c r="Z40" s="38" t="n">
        <v>1107</v>
      </c>
      <c r="AA40" s="36">
        <f>SUM(O40:U40)</f>
        <v/>
      </c>
      <c r="AB40" s="36">
        <f>SUM(O40:Z40)</f>
        <v/>
      </c>
      <c r="AC40" s="38" t="n">
        <v>1107</v>
      </c>
      <c r="AD40" s="38" t="n">
        <v>1107</v>
      </c>
      <c r="AE40" s="38" t="n">
        <v>1107</v>
      </c>
      <c r="AF40" s="38" t="n">
        <v>1107</v>
      </c>
      <c r="AG40" s="38" t="n">
        <v>1107</v>
      </c>
      <c r="AH40" s="38" t="n">
        <v>1107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335.27</v>
      </c>
      <c r="C41" s="35" t="n">
        <v>416.27</v>
      </c>
      <c r="D41" s="35" t="n">
        <v>437.9400000000001</v>
      </c>
      <c r="E41" s="35" t="n">
        <v>344.92</v>
      </c>
      <c r="F41" s="35" t="n">
        <v>406.1900000000001</v>
      </c>
      <c r="G41" s="35" t="n">
        <v>426.02</v>
      </c>
      <c r="H41" s="35" t="n">
        <v>372.62</v>
      </c>
      <c r="I41" s="35" t="n">
        <v>437.31</v>
      </c>
      <c r="J41" s="35" t="n">
        <v>655.72</v>
      </c>
      <c r="K41" s="35" t="n">
        <v>386.92</v>
      </c>
      <c r="L41" s="35" t="n">
        <v>388.32</v>
      </c>
      <c r="M41" s="35" t="n">
        <v>441.73</v>
      </c>
      <c r="N41" s="36">
        <f>SUM(B41:M41)</f>
        <v/>
      </c>
      <c r="O41" s="37">
        <f>SUMIF('HB TB'!$R:$R,'HB P&amp;L'!$A41,'HB TB'!C:C)</f>
        <v/>
      </c>
      <c r="P41" s="37">
        <f>SUMIF('HB TB'!$R:$R,'HB P&amp;L'!$A41,'HB TB'!D:D)</f>
        <v/>
      </c>
      <c r="Q41" s="37">
        <f>SUMIF('HB TB'!$R:$R,'HB P&amp;L'!$A41,'HB TB'!E:E)</f>
        <v/>
      </c>
      <c r="R41" s="37">
        <f>SUMIF('HB TB'!$R:$R,'HB P&amp;L'!$A41,'HB TB'!F:F)</f>
        <v/>
      </c>
      <c r="S41" s="37">
        <f>SUMIF('HB TB'!$R:$R,'HB P&amp;L'!$A41,'HB TB'!G:G)</f>
        <v/>
      </c>
      <c r="T41" s="37">
        <f>SUMIF('HB TB'!$R:$R,'HB P&amp;L'!$A41,'HB TB'!H:H)</f>
        <v/>
      </c>
      <c r="U41" s="37">
        <f>SUMIF('HB TB'!$R:$R,'HB P&amp;L'!$A41,'HB TB'!I:I)</f>
        <v/>
      </c>
      <c r="V41" s="38" t="n">
        <v>423</v>
      </c>
      <c r="W41" s="38" t="n">
        <v>423</v>
      </c>
      <c r="X41" s="38" t="n">
        <v>423</v>
      </c>
      <c r="Y41" s="38" t="n">
        <v>423</v>
      </c>
      <c r="Z41" s="38" t="n">
        <v>423</v>
      </c>
      <c r="AA41" s="36">
        <f>SUM(O41:U41)</f>
        <v/>
      </c>
      <c r="AB41" s="36">
        <f>SUM(O41:Z41)</f>
        <v/>
      </c>
      <c r="AC41" s="38" t="n">
        <v>423</v>
      </c>
      <c r="AD41" s="38" t="n">
        <v>423</v>
      </c>
      <c r="AE41" s="38" t="n">
        <v>423</v>
      </c>
      <c r="AF41" s="38" t="n">
        <v>423</v>
      </c>
      <c r="AG41" s="38" t="n">
        <v>423</v>
      </c>
      <c r="AH41" s="38" t="n">
        <v>423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108.05</v>
      </c>
      <c r="C42" s="35" t="n">
        <v>44.34</v>
      </c>
      <c r="D42" s="35" t="n">
        <v>32.23</v>
      </c>
      <c r="E42" s="35" t="n">
        <v>12</v>
      </c>
      <c r="F42" s="35" t="n">
        <v>40.39</v>
      </c>
      <c r="G42" s="35" t="n">
        <v>34.34</v>
      </c>
      <c r="H42" s="35" t="n">
        <v>140.57</v>
      </c>
      <c r="I42" s="35" t="n">
        <v>47.51</v>
      </c>
      <c r="J42" s="35" t="n">
        <v>80.84999999999999</v>
      </c>
      <c r="K42" s="35" t="n">
        <v>63.14</v>
      </c>
      <c r="L42" s="35" t="n">
        <v>51.95</v>
      </c>
      <c r="M42" s="35" t="n">
        <v>154.14</v>
      </c>
      <c r="N42" s="36">
        <f>SUM(B42:M42)</f>
        <v/>
      </c>
      <c r="O42" s="37">
        <f>SUMIF('HB TB'!$R:$R,'HB P&amp;L'!$A42,'HB TB'!C:C)</f>
        <v/>
      </c>
      <c r="P42" s="37">
        <f>SUMIF('HB TB'!$R:$R,'HB P&amp;L'!$A42,'HB TB'!D:D)</f>
        <v/>
      </c>
      <c r="Q42" s="37">
        <f>SUMIF('HB TB'!$R:$R,'HB P&amp;L'!$A42,'HB TB'!E:E)</f>
        <v/>
      </c>
      <c r="R42" s="37">
        <f>SUMIF('HB TB'!$R:$R,'HB P&amp;L'!$A42,'HB TB'!F:F)</f>
        <v/>
      </c>
      <c r="S42" s="37">
        <f>SUMIF('HB TB'!$R:$R,'HB P&amp;L'!$A42,'HB TB'!G:G)</f>
        <v/>
      </c>
      <c r="T42" s="37">
        <f>SUMIF('HB TB'!$R:$R,'HB P&amp;L'!$A42,'HB TB'!H:H)</f>
        <v/>
      </c>
      <c r="U42" s="37">
        <f>SUMIF('HB TB'!$R:$R,'HB P&amp;L'!$A42,'HB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SUMIF('HB TB'!$R:$R,'HB P&amp;L'!$A43,'HB TB'!C:C)</f>
        <v/>
      </c>
      <c r="P43" s="37">
        <f>SUMIF('HB TB'!$R:$R,'HB P&amp;L'!$A43,'HB TB'!D:D)</f>
        <v/>
      </c>
      <c r="Q43" s="37">
        <f>SUMIF('HB TB'!$R:$R,'HB P&amp;L'!$A43,'HB TB'!E:E)</f>
        <v/>
      </c>
      <c r="R43" s="37">
        <f>SUMIF('HB TB'!$R:$R,'HB P&amp;L'!$A43,'HB TB'!F:F)</f>
        <v/>
      </c>
      <c r="S43" s="37">
        <f>SUMIF('HB TB'!$R:$R,'HB P&amp;L'!$A43,'HB TB'!G:G)</f>
        <v/>
      </c>
      <c r="T43" s="37">
        <f>SUMIF('HB TB'!$R:$R,'HB P&amp;L'!$A43,'HB TB'!H:H)</f>
        <v/>
      </c>
      <c r="U43" s="37">
        <f>SUMIF('HB TB'!$R:$R,'HB P&amp;L'!$A43,'HB TB'!I:I)</f>
        <v/>
      </c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SUMIF('HB TB'!$R:$R,'HB P&amp;L'!$A44,'HB TB'!C:C)</f>
        <v/>
      </c>
      <c r="P44" s="37">
        <f>SUMIF('HB TB'!$R:$R,'HB P&amp;L'!$A44,'HB TB'!D:D)</f>
        <v/>
      </c>
      <c r="Q44" s="37">
        <f>SUMIF('HB TB'!$R:$R,'HB P&amp;L'!$A44,'HB TB'!E:E)</f>
        <v/>
      </c>
      <c r="R44" s="37">
        <f>SUMIF('HB TB'!$R:$R,'HB P&amp;L'!$A44,'HB TB'!F:F)</f>
        <v/>
      </c>
      <c r="S44" s="37">
        <f>SUMIF('HB TB'!$R:$R,'HB P&amp;L'!$A44,'HB TB'!G:G)</f>
        <v/>
      </c>
      <c r="T44" s="37">
        <f>SUMIF('HB TB'!$R:$R,'HB P&amp;L'!$A44,'HB TB'!H:H)</f>
        <v/>
      </c>
      <c r="U44" s="37">
        <f>SUMIF('HB TB'!$R:$R,'HB P&amp;L'!$A44,'HB TB'!I:I)</f>
        <v/>
      </c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220</v>
      </c>
      <c r="G45" s="35" t="n">
        <v>45</v>
      </c>
      <c r="H45" s="35" t="n">
        <v>0</v>
      </c>
      <c r="I45" s="35" t="n">
        <v>90</v>
      </c>
      <c r="J45" s="35" t="n">
        <v>0</v>
      </c>
      <c r="K45" s="35" t="n">
        <v>137.5</v>
      </c>
      <c r="L45" s="35" t="n">
        <v>137.5</v>
      </c>
      <c r="M45" s="35" t="n">
        <v>137.5</v>
      </c>
      <c r="N45" s="36">
        <f>SUM(B45:M45)</f>
        <v/>
      </c>
      <c r="O45" s="37">
        <f>SUMIF('HB TB'!$R:$R,'HB P&amp;L'!$A45,'HB TB'!C:C)</f>
        <v/>
      </c>
      <c r="P45" s="37">
        <f>SUMIF('HB TB'!$R:$R,'HB P&amp;L'!$A45,'HB TB'!D:D)</f>
        <v/>
      </c>
      <c r="Q45" s="37">
        <f>SUMIF('HB TB'!$R:$R,'HB P&amp;L'!$A45,'HB TB'!E:E)</f>
        <v/>
      </c>
      <c r="R45" s="37">
        <f>SUMIF('HB TB'!$R:$R,'HB P&amp;L'!$A45,'HB TB'!F:F)</f>
        <v/>
      </c>
      <c r="S45" s="37">
        <f>SUMIF('HB TB'!$R:$R,'HB P&amp;L'!$A45,'HB TB'!G:G)</f>
        <v/>
      </c>
      <c r="T45" s="37">
        <f>SUMIF('HB TB'!$R:$R,'HB P&amp;L'!$A45,'HB TB'!H:H)</f>
        <v/>
      </c>
      <c r="U45" s="37">
        <f>SUMIF('HB TB'!$R:$R,'HB P&amp;L'!$A45,'HB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SUMIF('HB TB'!$R:$R,'HB P&amp;L'!$A46,'HB TB'!C:C)</f>
        <v/>
      </c>
      <c r="P46" s="37">
        <f>SUMIF('HB TB'!$R:$R,'HB P&amp;L'!$A46,'HB TB'!D:D)</f>
        <v/>
      </c>
      <c r="Q46" s="37">
        <f>SUMIF('HB TB'!$R:$R,'HB P&amp;L'!$A46,'HB TB'!E:E)</f>
        <v/>
      </c>
      <c r="R46" s="37">
        <f>SUMIF('HB TB'!$R:$R,'HB P&amp;L'!$A46,'HB TB'!F:F)</f>
        <v/>
      </c>
      <c r="S46" s="37">
        <f>SUMIF('HB TB'!$R:$R,'HB P&amp;L'!$A46,'HB TB'!G:G)</f>
        <v/>
      </c>
      <c r="T46" s="37">
        <f>SUMIF('HB TB'!$R:$R,'HB P&amp;L'!$A46,'HB TB'!H:H)</f>
        <v/>
      </c>
      <c r="U46" s="37">
        <f>SUMIF('HB TB'!$R:$R,'HB P&amp;L'!$A46,'HB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10288.58</v>
      </c>
      <c r="C47" s="42" t="n">
        <v>14710.45</v>
      </c>
      <c r="D47" s="42" t="n">
        <v>10491.25</v>
      </c>
      <c r="E47" s="42" t="n">
        <v>10163.31</v>
      </c>
      <c r="F47" s="42" t="n">
        <v>10652.17</v>
      </c>
      <c r="G47" s="42" t="n">
        <v>10623.23</v>
      </c>
      <c r="H47" s="42" t="n">
        <v>10646.53</v>
      </c>
      <c r="I47" s="42" t="n">
        <v>10345.72</v>
      </c>
      <c r="J47" s="42" t="n">
        <v>10542.71</v>
      </c>
      <c r="K47" s="42" t="n">
        <v>10799.83</v>
      </c>
      <c r="L47" s="42" t="n">
        <v>10378.26</v>
      </c>
      <c r="M47" s="42" t="n">
        <v>10543.52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41438.43</v>
      </c>
      <c r="C48" s="23" t="n">
        <v>47515.7</v>
      </c>
      <c r="D48" s="23" t="n">
        <v>43020.55</v>
      </c>
      <c r="E48" s="23" t="n">
        <v>46050.02</v>
      </c>
      <c r="F48" s="23" t="n">
        <v>48701.37</v>
      </c>
      <c r="G48" s="23" t="n">
        <v>50955.69</v>
      </c>
      <c r="H48" s="23" t="n">
        <v>50256.50999999999</v>
      </c>
      <c r="I48" s="23" t="n">
        <v>47419.56</v>
      </c>
      <c r="J48" s="23" t="n">
        <v>47312.21</v>
      </c>
      <c r="K48" s="23" t="n">
        <v>41509.03999999999</v>
      </c>
      <c r="L48" s="23" t="n">
        <v>41165.17</v>
      </c>
      <c r="M48" s="23" t="n">
        <v>43747.36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20065.54</v>
      </c>
      <c r="C50" s="55" t="n">
        <v>12130.06</v>
      </c>
      <c r="D50" s="55" t="n">
        <v>23881.11</v>
      </c>
      <c r="E50" s="55" t="n">
        <v>22056.98</v>
      </c>
      <c r="F50" s="55" t="n">
        <v>14041.95</v>
      </c>
      <c r="G50" s="55" t="n">
        <v>11902.15</v>
      </c>
      <c r="H50" s="55" t="n">
        <v>47127.88</v>
      </c>
      <c r="I50" s="55" t="n">
        <v>6130.860000000001</v>
      </c>
      <c r="J50" s="55" t="n">
        <v>3674.260000000002</v>
      </c>
      <c r="K50" s="55" t="n">
        <v>8665.200000000004</v>
      </c>
      <c r="L50" s="55" t="n">
        <v>24390.98</v>
      </c>
      <c r="M50" s="55" t="n">
        <v>34788.12000000001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SUMIF('HB TB'!$R:$R,'HB P&amp;L'!$A53,'HB TB'!C:C)</f>
        <v/>
      </c>
      <c r="P53" s="37">
        <f>SUMIF('HB TB'!$R:$R,'HB P&amp;L'!$A53,'HB TB'!D:D)</f>
        <v/>
      </c>
      <c r="Q53" s="37">
        <f>SUMIF('HB TB'!$R:$R,'HB P&amp;L'!$A53,'HB TB'!E:E)</f>
        <v/>
      </c>
      <c r="R53" s="37">
        <f>SUMIF('HB TB'!$R:$R,'HB P&amp;L'!$A53,'HB TB'!F:F)</f>
        <v/>
      </c>
      <c r="S53" s="37">
        <f>SUMIF('HB TB'!$R:$R,'HB P&amp;L'!$A53,'HB TB'!G:G)</f>
        <v/>
      </c>
      <c r="T53" s="37">
        <f>SUMIF('HB TB'!$R:$R,'HB P&amp;L'!$A53,'HB TB'!H:H)</f>
        <v/>
      </c>
      <c r="U53" s="37">
        <f>SUMIF('HB TB'!$R:$R,'HB P&amp;L'!$A53,'HB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SUMIF('HB TB'!$R:$R,'HB P&amp;L'!$A54,'HB TB'!C:C)</f>
        <v/>
      </c>
      <c r="P54" s="37">
        <f>SUMIF('HB TB'!$R:$R,'HB P&amp;L'!$A54,'HB TB'!D:D)</f>
        <v/>
      </c>
      <c r="Q54" s="37">
        <f>SUMIF('HB TB'!$R:$R,'HB P&amp;L'!$A54,'HB TB'!E:E)</f>
        <v/>
      </c>
      <c r="R54" s="37">
        <f>SUMIF('HB TB'!$R:$R,'HB P&amp;L'!$A54,'HB TB'!F:F)</f>
        <v/>
      </c>
      <c r="S54" s="37">
        <f>SUMIF('HB TB'!$R:$R,'HB P&amp;L'!$A54,'HB TB'!G:G)</f>
        <v/>
      </c>
      <c r="T54" s="37">
        <f>SUMIF('HB TB'!$R:$R,'HB P&amp;L'!$A54,'HB TB'!H:H)</f>
        <v/>
      </c>
      <c r="U54" s="37">
        <f>SUMIF('HB TB'!$R:$R,'HB P&amp;L'!$A54,'HB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SUMIF('HB TB'!$R:$R,'HB P&amp;L'!$A55,'HB TB'!C:C)</f>
        <v/>
      </c>
      <c r="P55" s="37">
        <f>SUMIF('HB TB'!$R:$R,'HB P&amp;L'!$A55,'HB TB'!D:D)</f>
        <v/>
      </c>
      <c r="Q55" s="37">
        <f>SUMIF('HB TB'!$R:$R,'HB P&amp;L'!$A55,'HB TB'!E:E)</f>
        <v/>
      </c>
      <c r="R55" s="37">
        <f>SUMIF('HB TB'!$R:$R,'HB P&amp;L'!$A55,'HB TB'!F:F)</f>
        <v/>
      </c>
      <c r="S55" s="37">
        <f>SUMIF('HB TB'!$R:$R,'HB P&amp;L'!$A55,'HB TB'!G:G)</f>
        <v/>
      </c>
      <c r="T55" s="37">
        <f>SUMIF('HB TB'!$R:$R,'HB P&amp;L'!$A55,'HB TB'!H:H)</f>
        <v/>
      </c>
      <c r="U55" s="37">
        <f>SUMIF('HB TB'!$R:$R,'HB P&amp;L'!$A55,'HB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SUMIF('HB TB'!$R:$R,'HB P&amp;L'!$A56,'HB TB'!C:C)</f>
        <v/>
      </c>
      <c r="P56" s="37">
        <f>SUMIF('HB TB'!$R:$R,'HB P&amp;L'!$A56,'HB TB'!D:D)</f>
        <v/>
      </c>
      <c r="Q56" s="37">
        <f>SUMIF('HB TB'!$R:$R,'HB P&amp;L'!$A56,'HB TB'!E:E)</f>
        <v/>
      </c>
      <c r="R56" s="37">
        <f>SUMIF('HB TB'!$R:$R,'HB P&amp;L'!$A56,'HB TB'!F:F)</f>
        <v/>
      </c>
      <c r="S56" s="37">
        <f>SUMIF('HB TB'!$R:$R,'HB P&amp;L'!$A56,'HB TB'!G:G)</f>
        <v/>
      </c>
      <c r="T56" s="37">
        <f>SUMIF('HB TB'!$R:$R,'HB P&amp;L'!$A56,'HB TB'!H:H)</f>
        <v/>
      </c>
      <c r="U56" s="37">
        <f>SUMIF('HB TB'!$R:$R,'HB P&amp;L'!$A56,'HB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160.38</v>
      </c>
      <c r="N57" s="36">
        <f>SUM(B57:M57)</f>
        <v/>
      </c>
      <c r="O57" s="37">
        <f>SUMIF('HB TB'!$R:$R,'HB P&amp;L'!$A57,'HB TB'!C:C)</f>
        <v/>
      </c>
      <c r="P57" s="37">
        <f>SUMIF('HB TB'!$R:$R,'HB P&amp;L'!$A57,'HB TB'!D:D)</f>
        <v/>
      </c>
      <c r="Q57" s="37">
        <f>SUMIF('HB TB'!$R:$R,'HB P&amp;L'!$A57,'HB TB'!E:E)</f>
        <v/>
      </c>
      <c r="R57" s="37">
        <f>SUMIF('HB TB'!$R:$R,'HB P&amp;L'!$A57,'HB TB'!F:F)</f>
        <v/>
      </c>
      <c r="S57" s="37">
        <f>SUMIF('HB TB'!$R:$R,'HB P&amp;L'!$A57,'HB TB'!G:G)</f>
        <v/>
      </c>
      <c r="T57" s="37">
        <f>SUMIF('HB TB'!$R:$R,'HB P&amp;L'!$A57,'HB TB'!H:H)</f>
        <v/>
      </c>
      <c r="U57" s="37">
        <f>SUMIF('HB TB'!$R:$R,'HB P&amp;L'!$A57,'HB TB'!I:I)</f>
        <v/>
      </c>
      <c r="V57" s="38" t="n"/>
      <c r="W57" s="38" t="n"/>
      <c r="X57" s="38" t="n"/>
      <c r="Y57" s="38" t="n"/>
      <c r="Z57" s="38">
        <f>30*10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SUMIF('HB TB'!$R:$R,'HB P&amp;L'!$A58,'HB TB'!C:C)</f>
        <v/>
      </c>
      <c r="P58" s="37">
        <f>SUMIF('HB TB'!$R:$R,'HB P&amp;L'!$A58,'HB TB'!D:D)</f>
        <v/>
      </c>
      <c r="Q58" s="37">
        <f>SUMIF('HB TB'!$R:$R,'HB P&amp;L'!$A58,'HB TB'!E:E)</f>
        <v/>
      </c>
      <c r="R58" s="37">
        <f>SUMIF('HB TB'!$R:$R,'HB P&amp;L'!$A58,'HB TB'!F:F)</f>
        <v/>
      </c>
      <c r="S58" s="37">
        <f>SUMIF('HB TB'!$R:$R,'HB P&amp;L'!$A58,'HB TB'!G:G)</f>
        <v/>
      </c>
      <c r="T58" s="37">
        <f>SUMIF('HB TB'!$R:$R,'HB P&amp;L'!$A58,'HB TB'!H:H)</f>
        <v/>
      </c>
      <c r="U58" s="37">
        <f>SUMIF('HB TB'!$R:$R,'HB P&amp;L'!$A58,'HB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SUMIF('HB TB'!$R:$R,'HB P&amp;L'!$A59,'HB TB'!C:C)</f>
        <v/>
      </c>
      <c r="P59" s="37">
        <f>SUMIF('HB TB'!$R:$R,'HB P&amp;L'!$A59,'HB TB'!D:D)</f>
        <v/>
      </c>
      <c r="Q59" s="37">
        <f>SUMIF('HB TB'!$R:$R,'HB P&amp;L'!$A59,'HB TB'!E:E)</f>
        <v/>
      </c>
      <c r="R59" s="37">
        <f>SUMIF('HB TB'!$R:$R,'HB P&amp;L'!$A59,'HB TB'!F:F)</f>
        <v/>
      </c>
      <c r="S59" s="37">
        <f>SUMIF('HB TB'!$R:$R,'HB P&amp;L'!$A59,'HB TB'!G:G)</f>
        <v/>
      </c>
      <c r="T59" s="37">
        <f>SUMIF('HB TB'!$R:$R,'HB P&amp;L'!$A59,'HB TB'!H:H)</f>
        <v/>
      </c>
      <c r="U59" s="37">
        <f>SUMIF('HB TB'!$R:$R,'HB P&amp;L'!$A59,'HB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6</v>
      </c>
      <c r="C60" s="35" t="n">
        <v>4.8</v>
      </c>
      <c r="D60" s="35" t="n">
        <v>5.4</v>
      </c>
      <c r="E60" s="35" t="n">
        <v>5.399999999999999</v>
      </c>
      <c r="F60" s="35" t="n">
        <v>6</v>
      </c>
      <c r="G60" s="35" t="n">
        <v>4.2</v>
      </c>
      <c r="H60" s="35" t="n">
        <v>6.600000000000001</v>
      </c>
      <c r="I60" s="35" t="n">
        <v>3</v>
      </c>
      <c r="J60" s="35" t="n">
        <v>2.4</v>
      </c>
      <c r="K60" s="35" t="n">
        <v>70</v>
      </c>
      <c r="L60" s="35" t="n">
        <v>1.8</v>
      </c>
      <c r="M60" s="35" t="n">
        <v>3</v>
      </c>
      <c r="N60" s="36">
        <f>SUM(B60:M60)</f>
        <v/>
      </c>
      <c r="O60" s="37">
        <f>SUMIF('HB TB'!$R:$R,'HB P&amp;L'!$A60,'HB TB'!C:C)</f>
        <v/>
      </c>
      <c r="P60" s="37">
        <f>SUMIF('HB TB'!$R:$R,'HB P&amp;L'!$A60,'HB TB'!D:D)</f>
        <v/>
      </c>
      <c r="Q60" s="37">
        <f>SUMIF('HB TB'!$R:$R,'HB P&amp;L'!$A60,'HB TB'!E:E)</f>
        <v/>
      </c>
      <c r="R60" s="37">
        <f>SUMIF('HB TB'!$R:$R,'HB P&amp;L'!$A60,'HB TB'!F:F)</f>
        <v/>
      </c>
      <c r="S60" s="37">
        <f>SUMIF('HB TB'!$R:$R,'HB P&amp;L'!$A60,'HB TB'!G:G)</f>
        <v/>
      </c>
      <c r="T60" s="37">
        <f>SUMIF('HB TB'!$R:$R,'HB P&amp;L'!$A60,'HB TB'!H:H)</f>
        <v/>
      </c>
      <c r="U60" s="37">
        <f>SUMIF('HB TB'!$R:$R,'HB P&amp;L'!$A60,'HB TB'!I:I)</f>
        <v/>
      </c>
      <c r="V60" s="38" t="n">
        <v>5</v>
      </c>
      <c r="W60" s="38" t="n">
        <v>5</v>
      </c>
      <c r="X60" s="38" t="n">
        <v>5</v>
      </c>
      <c r="Y60" s="38" t="n">
        <v>5</v>
      </c>
      <c r="Z60" s="38" t="n">
        <v>5</v>
      </c>
      <c r="AA60" s="36">
        <f>SUM(O60:U60)</f>
        <v/>
      </c>
      <c r="AB60" s="36">
        <f>SUM(O60:Z60)</f>
        <v/>
      </c>
      <c r="AC60" s="38" t="n">
        <v>5</v>
      </c>
      <c r="AD60" s="38" t="n">
        <v>5</v>
      </c>
      <c r="AE60" s="38" t="n">
        <v>5</v>
      </c>
      <c r="AF60" s="38" t="n">
        <v>5</v>
      </c>
      <c r="AG60" s="38" t="n">
        <v>5</v>
      </c>
      <c r="AH60" s="38" t="n">
        <v>5</v>
      </c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3.98</v>
      </c>
      <c r="D61" s="35" t="n">
        <v>29.96</v>
      </c>
      <c r="E61" s="35" t="n">
        <v>11.95</v>
      </c>
      <c r="F61" s="35" t="n">
        <v>14.88</v>
      </c>
      <c r="G61" s="35" t="n">
        <v>60.69</v>
      </c>
      <c r="H61" s="35" t="n">
        <v>102.51</v>
      </c>
      <c r="I61" s="35" t="n">
        <v>0</v>
      </c>
      <c r="J61" s="35" t="n">
        <v>0</v>
      </c>
      <c r="K61" s="35" t="n">
        <v>15.26</v>
      </c>
      <c r="L61" s="35" t="n">
        <v>12.12</v>
      </c>
      <c r="M61" s="35" t="n">
        <v>54</v>
      </c>
      <c r="N61" s="36">
        <f>SUM(B61:M61)</f>
        <v/>
      </c>
      <c r="O61" s="37">
        <f>SUMIF('HB TB'!$R:$R,'HB P&amp;L'!$A61,'HB TB'!C:C)</f>
        <v/>
      </c>
      <c r="P61" s="37">
        <f>SUMIF('HB TB'!$R:$R,'HB P&amp;L'!$A61,'HB TB'!D:D)</f>
        <v/>
      </c>
      <c r="Q61" s="37">
        <f>SUMIF('HB TB'!$R:$R,'HB P&amp;L'!$A61,'HB TB'!E:E)</f>
        <v/>
      </c>
      <c r="R61" s="37">
        <f>SUMIF('HB TB'!$R:$R,'HB P&amp;L'!$A61,'HB TB'!F:F)</f>
        <v/>
      </c>
      <c r="S61" s="37">
        <f>SUMIF('HB TB'!$R:$R,'HB P&amp;L'!$A61,'HB TB'!G:G)</f>
        <v/>
      </c>
      <c r="T61" s="37">
        <f>SUMIF('HB TB'!$R:$R,'HB P&amp;L'!$A61,'HB TB'!H:H)</f>
        <v/>
      </c>
      <c r="U61" s="37">
        <f>SUMIF('HB TB'!$R:$R,'HB P&amp;L'!$A61,'HB TB'!I:I)</f>
        <v/>
      </c>
      <c r="V61" s="38" t="n">
        <v>0</v>
      </c>
      <c r="W61" s="38" t="n">
        <v>0</v>
      </c>
      <c r="X61" s="38" t="n">
        <v>0</v>
      </c>
      <c r="Y61" s="38" t="n">
        <v>0</v>
      </c>
      <c r="Z61" s="38" t="n">
        <v>0</v>
      </c>
      <c r="AA61" s="36">
        <f>SUM(O61:U61)</f>
        <v/>
      </c>
      <c r="AB61" s="36">
        <f>SUM(O61:Z61)</f>
        <v/>
      </c>
      <c r="AC61" s="38" t="n">
        <v>0</v>
      </c>
      <c r="AD61" s="38" t="n">
        <v>0</v>
      </c>
      <c r="AE61" s="38" t="n">
        <v>0</v>
      </c>
      <c r="AF61" s="38" t="n">
        <v>0</v>
      </c>
      <c r="AG61" s="38" t="n">
        <v>0</v>
      </c>
      <c r="AH61" s="38" t="n">
        <v>0</v>
      </c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18</v>
      </c>
      <c r="C62" s="35" t="n">
        <v>0</v>
      </c>
      <c r="D62" s="35" t="n">
        <v>80</v>
      </c>
      <c r="E62" s="35" t="n">
        <v>110</v>
      </c>
      <c r="F62" s="35" t="n">
        <v>330</v>
      </c>
      <c r="G62" s="35" t="n">
        <v>250</v>
      </c>
      <c r="H62" s="35" t="n">
        <v>0</v>
      </c>
      <c r="I62" s="35" t="n">
        <v>180</v>
      </c>
      <c r="J62" s="35" t="n">
        <v>70</v>
      </c>
      <c r="K62" s="35" t="n">
        <v>0</v>
      </c>
      <c r="L62" s="35" t="n">
        <v>40</v>
      </c>
      <c r="M62" s="35" t="n">
        <v>0</v>
      </c>
      <c r="N62" s="36">
        <f>SUM(B62:M62)</f>
        <v/>
      </c>
      <c r="O62" s="37">
        <f>SUMIF('HB TB'!$R:$R,'HB P&amp;L'!$A62,'HB TB'!C:C)</f>
        <v/>
      </c>
      <c r="P62" s="37">
        <f>SUMIF('HB TB'!$R:$R,'HB P&amp;L'!$A62,'HB TB'!D:D)</f>
        <v/>
      </c>
      <c r="Q62" s="37">
        <f>SUMIF('HB TB'!$R:$R,'HB P&amp;L'!$A62,'HB TB'!E:E)</f>
        <v/>
      </c>
      <c r="R62" s="37">
        <f>SUMIF('HB TB'!$R:$R,'HB P&amp;L'!$A62,'HB TB'!F:F)</f>
        <v/>
      </c>
      <c r="S62" s="37">
        <f>SUMIF('HB TB'!$R:$R,'HB P&amp;L'!$A62,'HB TB'!G:G)</f>
        <v/>
      </c>
      <c r="T62" s="37">
        <f>SUMIF('HB TB'!$R:$R,'HB P&amp;L'!$A62,'HB TB'!H:H)</f>
        <v/>
      </c>
      <c r="U62" s="37">
        <f>SUMIF('HB TB'!$R:$R,'HB P&amp;L'!$A62,'HB TB'!I:I)</f>
        <v/>
      </c>
      <c r="V62" s="38" t="n">
        <v>100</v>
      </c>
      <c r="W62" s="38" t="n">
        <v>100</v>
      </c>
      <c r="X62" s="38" t="n">
        <v>100</v>
      </c>
      <c r="Y62" s="38" t="n">
        <v>100</v>
      </c>
      <c r="Z62" s="38" t="n">
        <v>100</v>
      </c>
      <c r="AA62" s="36">
        <f>SUM(O62:U62)</f>
        <v/>
      </c>
      <c r="AB62" s="36">
        <f>SUM(O62:Z62)</f>
        <v/>
      </c>
      <c r="AC62" s="38" t="n">
        <v>100</v>
      </c>
      <c r="AD62" s="38" t="n">
        <v>100</v>
      </c>
      <c r="AE62" s="38" t="n">
        <v>100</v>
      </c>
      <c r="AF62" s="38" t="n">
        <v>100</v>
      </c>
      <c r="AG62" s="38" t="n">
        <v>100</v>
      </c>
      <c r="AH62" s="38" t="n">
        <v>100</v>
      </c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SUMIF('HB TB'!$R:$R,'HB P&amp;L'!$A63,'HB TB'!C:C)</f>
        <v/>
      </c>
      <c r="P63" s="37">
        <f>SUMIF('HB TB'!$R:$R,'HB P&amp;L'!$A63,'HB TB'!D:D)</f>
        <v/>
      </c>
      <c r="Q63" s="37">
        <f>SUMIF('HB TB'!$R:$R,'HB P&amp;L'!$A63,'HB TB'!E:E)</f>
        <v/>
      </c>
      <c r="R63" s="37">
        <f>SUMIF('HB TB'!$R:$R,'HB P&amp;L'!$A63,'HB TB'!F:F)</f>
        <v/>
      </c>
      <c r="S63" s="37">
        <f>SUMIF('HB TB'!$R:$R,'HB P&amp;L'!$A63,'HB TB'!G:G)</f>
        <v/>
      </c>
      <c r="T63" s="37">
        <f>SUMIF('HB TB'!$R:$R,'HB P&amp;L'!$A63,'HB TB'!H:H)</f>
        <v/>
      </c>
      <c r="U63" s="37">
        <f>SUMIF('HB TB'!$R:$R,'HB P&amp;L'!$A63,'HB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SUMIF('HB TB'!$R:$R,'HB P&amp;L'!$A64,'HB TB'!C:C)</f>
        <v/>
      </c>
      <c r="P64" s="37">
        <f>SUMIF('HB TB'!$R:$R,'HB P&amp;L'!$A64,'HB TB'!D:D)</f>
        <v/>
      </c>
      <c r="Q64" s="37">
        <f>SUMIF('HB TB'!$R:$R,'HB P&amp;L'!$A64,'HB TB'!E:E)</f>
        <v/>
      </c>
      <c r="R64" s="37">
        <f>SUMIF('HB TB'!$R:$R,'HB P&amp;L'!$A64,'HB TB'!F:F)</f>
        <v/>
      </c>
      <c r="S64" s="37">
        <f>SUMIF('HB TB'!$R:$R,'HB P&amp;L'!$A64,'HB TB'!G:G)</f>
        <v/>
      </c>
      <c r="T64" s="37">
        <f>SUMIF('HB TB'!$R:$R,'HB P&amp;L'!$A64,'HB TB'!H:H)</f>
        <v/>
      </c>
      <c r="U64" s="37">
        <f>SUMIF('HB TB'!$R:$R,'HB P&amp;L'!$A64,'HB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SUMIF('HB TB'!$R:$R,'HB P&amp;L'!$A65,'HB TB'!C:C)</f>
        <v/>
      </c>
      <c r="P65" s="37">
        <f>SUMIF('HB TB'!$R:$R,'HB P&amp;L'!$A65,'HB TB'!D:D)</f>
        <v/>
      </c>
      <c r="Q65" s="37">
        <f>SUMIF('HB TB'!$R:$R,'HB P&amp;L'!$A65,'HB TB'!E:E)</f>
        <v/>
      </c>
      <c r="R65" s="37">
        <f>SUMIF('HB TB'!$R:$R,'HB P&amp;L'!$A65,'HB TB'!F:F)</f>
        <v/>
      </c>
      <c r="S65" s="37">
        <f>SUMIF('HB TB'!$R:$R,'HB P&amp;L'!$A65,'HB TB'!G:G)</f>
        <v/>
      </c>
      <c r="T65" s="37">
        <f>SUMIF('HB TB'!$R:$R,'HB P&amp;L'!$A65,'HB TB'!H:H)</f>
        <v/>
      </c>
      <c r="U65" s="37">
        <f>SUMIF('HB TB'!$R:$R,'HB P&amp;L'!$A65,'HB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SUMIF('HB TB'!$R:$R,'HB P&amp;L'!$A66,'HB TB'!C:C)</f>
        <v/>
      </c>
      <c r="P66" s="37">
        <f>SUMIF('HB TB'!$R:$R,'HB P&amp;L'!$A66,'HB TB'!D:D)</f>
        <v/>
      </c>
      <c r="Q66" s="37">
        <f>SUMIF('HB TB'!$R:$R,'HB P&amp;L'!$A66,'HB TB'!E:E)</f>
        <v/>
      </c>
      <c r="R66" s="37">
        <f>SUMIF('HB TB'!$R:$R,'HB P&amp;L'!$A66,'HB TB'!F:F)</f>
        <v/>
      </c>
      <c r="S66" s="37">
        <f>SUMIF('HB TB'!$R:$R,'HB P&amp;L'!$A66,'HB TB'!G:G)</f>
        <v/>
      </c>
      <c r="T66" s="37">
        <f>SUMIF('HB TB'!$R:$R,'HB P&amp;L'!$A66,'HB TB'!H:H)</f>
        <v/>
      </c>
      <c r="U66" s="37">
        <f>SUMIF('HB TB'!$R:$R,'HB P&amp;L'!$A66,'HB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SUMIF('HB TB'!$R:$R,'HB P&amp;L'!$A67,'HB TB'!C:C)</f>
        <v/>
      </c>
      <c r="P67" s="37">
        <f>SUMIF('HB TB'!$R:$R,'HB P&amp;L'!$A67,'HB TB'!D:D)</f>
        <v/>
      </c>
      <c r="Q67" s="37">
        <f>SUMIF('HB TB'!$R:$R,'HB P&amp;L'!$A67,'HB TB'!E:E)</f>
        <v/>
      </c>
      <c r="R67" s="37">
        <f>SUMIF('HB TB'!$R:$R,'HB P&amp;L'!$A67,'HB TB'!F:F)</f>
        <v/>
      </c>
      <c r="S67" s="37">
        <f>SUMIF('HB TB'!$R:$R,'HB P&amp;L'!$A67,'HB TB'!G:G)</f>
        <v/>
      </c>
      <c r="T67" s="37">
        <f>SUMIF('HB TB'!$R:$R,'HB P&amp;L'!$A67,'HB TB'!H:H)</f>
        <v/>
      </c>
      <c r="U67" s="37">
        <f>SUMIF('HB TB'!$R:$R,'HB P&amp;L'!$A67,'HB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SUMIF('HB TB'!$R:$R,'HB P&amp;L'!$A68,'HB TB'!C:C)</f>
        <v/>
      </c>
      <c r="P68" s="37">
        <f>SUMIF('HB TB'!$R:$R,'HB P&amp;L'!$A68,'HB TB'!D:D)</f>
        <v/>
      </c>
      <c r="Q68" s="37">
        <f>SUMIF('HB TB'!$R:$R,'HB P&amp;L'!$A68,'HB TB'!E:E)</f>
        <v/>
      </c>
      <c r="R68" s="37">
        <f>SUMIF('HB TB'!$R:$R,'HB P&amp;L'!$A68,'HB TB'!F:F)</f>
        <v/>
      </c>
      <c r="S68" s="37">
        <f>SUMIF('HB TB'!$R:$R,'HB P&amp;L'!$A68,'HB TB'!G:G)</f>
        <v/>
      </c>
      <c r="T68" s="37">
        <f>SUMIF('HB TB'!$R:$R,'HB P&amp;L'!$A68,'HB TB'!H:H)</f>
        <v/>
      </c>
      <c r="U68" s="37">
        <f>SUMIF('HB TB'!$R:$R,'HB P&amp;L'!$A68,'HB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225.38</v>
      </c>
      <c r="C69" s="42" t="n">
        <v>210.16</v>
      </c>
      <c r="D69" s="42" t="n">
        <v>316.74</v>
      </c>
      <c r="E69" s="42" t="n">
        <v>328.73</v>
      </c>
      <c r="F69" s="42" t="n">
        <v>552.26</v>
      </c>
      <c r="G69" s="42" t="n">
        <v>516.27</v>
      </c>
      <c r="H69" s="42" t="n">
        <v>310.49</v>
      </c>
      <c r="I69" s="42" t="n">
        <v>384.38</v>
      </c>
      <c r="J69" s="42" t="n">
        <v>273.78</v>
      </c>
      <c r="K69" s="42" t="n">
        <v>300.06</v>
      </c>
      <c r="L69" s="42" t="n">
        <v>268.72</v>
      </c>
      <c r="M69" s="42" t="n">
        <v>432.18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19840.16</v>
      </c>
      <c r="C70" s="55" t="n">
        <v>11919.90000000001</v>
      </c>
      <c r="D70" s="55" t="n">
        <v>23564.37</v>
      </c>
      <c r="E70" s="55" t="n">
        <v>21728.25</v>
      </c>
      <c r="F70" s="55" t="n">
        <v>13489.69</v>
      </c>
      <c r="G70" s="55" t="n">
        <v>11385.88</v>
      </c>
      <c r="H70" s="55" t="n">
        <v>46817.39000000001</v>
      </c>
      <c r="I70" s="55" t="n">
        <v>5746.48</v>
      </c>
      <c r="J70" s="55" t="n">
        <v>3400.480000000002</v>
      </c>
      <c r="K70" s="55" t="n">
        <v>8365.140000000005</v>
      </c>
      <c r="L70" s="55" t="n">
        <v>24122.25999999999</v>
      </c>
      <c r="M70" s="55" t="n">
        <v>34355.94000000001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60">
        <f>SUM(O72:T72)</f>
        <v/>
      </c>
      <c r="AB72" s="56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60" t="inlineStr">
        <is>
          <t>Memo</t>
        </is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60">
        <f>SUM(O73:T73)</f>
        <v/>
      </c>
      <c r="AB73" s="56" t="n"/>
      <c r="AC73" s="8" t="n"/>
      <c r="AD73" s="8" t="n"/>
      <c r="AE73" s="8" t="n"/>
      <c r="AF73" s="8" t="n"/>
      <c r="AG73" s="8" t="n"/>
      <c r="AH73" s="8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60" t="inlineStr">
        <is>
          <t>Direct - Sales</t>
        </is>
      </c>
      <c r="B74" s="60" t="n">
        <v>61503.97</v>
      </c>
      <c r="C74" s="60" t="n">
        <v>59645.76</v>
      </c>
      <c r="D74" s="60" t="n">
        <v>66901.66</v>
      </c>
      <c r="E74" s="60" t="n">
        <v>68107</v>
      </c>
      <c r="F74" s="60" t="n">
        <v>62743.32</v>
      </c>
      <c r="G74" s="60" t="n">
        <v>62857.84</v>
      </c>
      <c r="H74" s="60" t="n">
        <v>97384.39</v>
      </c>
      <c r="I74" s="60" t="n">
        <v>53550.42</v>
      </c>
      <c r="J74" s="60" t="n">
        <v>50986.47</v>
      </c>
      <c r="K74" s="8" t="n"/>
      <c r="L74" s="8" t="n"/>
      <c r="M74" s="8" t="n"/>
      <c r="N74" s="8" t="n"/>
      <c r="O74" s="60">
        <f>-SUMIF('HB TB'!$T:$T,'HB P&amp;L'!$A74,'HB TB'!C:C)</f>
        <v/>
      </c>
      <c r="P74" s="60">
        <f>-SUMIF('HB TB'!$T:$T,'HB P&amp;L'!$A74,'HB TB'!D:D)</f>
        <v/>
      </c>
      <c r="Q74" s="60">
        <f>-SUMIF('HB TB'!$T:$T,'HB P&amp;L'!$A74,'HB TB'!E:E)</f>
        <v/>
      </c>
      <c r="R74" s="60">
        <f>-SUMIF('HB TB'!$T:$T,'HB P&amp;L'!$A74,'HB TB'!F:F)</f>
        <v/>
      </c>
      <c r="S74" s="60">
        <f>-SUMIF('HB TB'!$T:$T,'HB P&amp;L'!$A74,'HB TB'!G:G)</f>
        <v/>
      </c>
      <c r="T74" s="60">
        <f>-SUMIF('HB TB'!$T:$T,'HB P&amp;L'!$A74,'HB TB'!H:H)</f>
        <v/>
      </c>
      <c r="U74" s="60">
        <f>-SUMIF('HB TB'!$T:$T,'HB P&amp;L'!$A74,'HB TB'!I:I)</f>
        <v/>
      </c>
      <c r="V74" s="60">
        <f>-SUMIF('HB TB'!$T:$T,'HB P&amp;L'!$A74,'HB TB'!J:J)</f>
        <v/>
      </c>
      <c r="W74" s="60">
        <f>-SUMIF('HB TB'!$T:$T,'HB P&amp;L'!$A74,'HB TB'!K:K)</f>
        <v/>
      </c>
      <c r="X74" s="60">
        <f>-SUMIF('HB TB'!$T:$T,'HB P&amp;L'!$A74,'HB TB'!L:L)</f>
        <v/>
      </c>
      <c r="Y74" s="60">
        <f>-SUMIF('HB TB'!$T:$T,'HB P&amp;L'!$A74,'HB TB'!M:M)</f>
        <v/>
      </c>
      <c r="Z74" s="60">
        <f>-SUMIF('HB TB'!$T:$T,'HB P&amp;L'!$A74,'HB TB'!N:N)</f>
        <v/>
      </c>
      <c r="AA74" s="60">
        <f>SUM(O74:T74)</f>
        <v/>
      </c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34" t="inlineStr">
        <is>
          <t>Direct - Staff Cost</t>
        </is>
      </c>
      <c r="B75" s="18" t="n">
        <v>-27701.32</v>
      </c>
      <c r="C75" s="18" t="n">
        <v>-29467.69</v>
      </c>
      <c r="D75" s="18" t="n">
        <v>-30030</v>
      </c>
      <c r="E75" s="18" t="n">
        <v>-33446.57</v>
      </c>
      <c r="F75" s="18" t="n">
        <v>-35440.64</v>
      </c>
      <c r="G75" s="18" t="n">
        <v>-37369.00000000001</v>
      </c>
      <c r="H75" s="18" t="n">
        <v>-36795.89</v>
      </c>
      <c r="I75" s="18" t="n">
        <v>-34385.2</v>
      </c>
      <c r="J75" s="18" t="n">
        <v>-34246.48</v>
      </c>
      <c r="K75" s="18" t="n"/>
      <c r="L75" s="18" t="n"/>
      <c r="M75" s="18" t="n"/>
      <c r="N75" s="8" t="n"/>
      <c r="O75" s="60">
        <f>-SUMIF('HB TB'!$T:$T,'HB P&amp;L'!$A75,'HB TB'!C:C)</f>
        <v/>
      </c>
      <c r="P75" s="60">
        <f>-SUMIF('HB TB'!$T:$T,'HB P&amp;L'!$A75,'HB TB'!D:D)</f>
        <v/>
      </c>
      <c r="Q75" s="60">
        <f>-SUMIF('HB TB'!$T:$T,'HB P&amp;L'!$A75,'HB TB'!E:E)</f>
        <v/>
      </c>
      <c r="R75" s="60">
        <f>-SUMIF('HB TB'!$T:$T,'HB P&amp;L'!$A75,'HB TB'!F:F)</f>
        <v/>
      </c>
      <c r="S75" s="60">
        <f>-SUMIF('HB TB'!$T:$T,'HB P&amp;L'!$A75,'HB TB'!G:G)</f>
        <v/>
      </c>
      <c r="T75" s="60">
        <f>-SUMIF('HB TB'!$T:$T,'HB P&amp;L'!$A75,'HB TB'!H:H)</f>
        <v/>
      </c>
      <c r="U75" s="60">
        <f>-SUMIF('HB TB'!$T:$T,'HB P&amp;L'!$A75,'HB TB'!I:I)</f>
        <v/>
      </c>
      <c r="V75" s="60">
        <f>-SUMIF('HB TB'!$T:$T,'HB P&amp;L'!$A75,'HB TB'!J:J)</f>
        <v/>
      </c>
      <c r="W75" s="60">
        <f>-SUMIF('HB TB'!$T:$T,'HB P&amp;L'!$A75,'HB TB'!K:K)</f>
        <v/>
      </c>
      <c r="X75" s="60">
        <f>-SUMIF('HB TB'!$T:$T,'HB P&amp;L'!$A75,'HB TB'!L:L)</f>
        <v/>
      </c>
      <c r="Y75" s="60">
        <f>-SUMIF('HB TB'!$T:$T,'HB P&amp;L'!$A75,'HB TB'!M:M)</f>
        <v/>
      </c>
      <c r="Z75" s="60">
        <f>-SUMIF('HB TB'!$T:$T,'HB P&amp;L'!$A75,'HB TB'!N:N)</f>
        <v/>
      </c>
      <c r="AA75" s="60">
        <f>SUM(O75:T75)</f>
        <v/>
      </c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8" t="n"/>
      <c r="AP75" s="8" t="n"/>
    </row>
    <row r="76">
      <c r="A76" s="60" t="inlineStr">
        <is>
          <t>Direct - Childcare Cost</t>
        </is>
      </c>
      <c r="B76" s="18" t="n">
        <v>-3448.529999999999</v>
      </c>
      <c r="C76" s="18" t="n">
        <v>-3337.56</v>
      </c>
      <c r="D76" s="18" t="n">
        <v>-2499.3</v>
      </c>
      <c r="E76" s="18" t="n">
        <v>-2440.14</v>
      </c>
      <c r="F76" s="18" t="n">
        <v>-2608.559999999999</v>
      </c>
      <c r="G76" s="18" t="n">
        <v>-2963.46</v>
      </c>
      <c r="H76" s="18" t="n">
        <v>-2814.09</v>
      </c>
      <c r="I76" s="18" t="n">
        <v>-2688.64</v>
      </c>
      <c r="J76" s="18" t="n">
        <v>-2523.02</v>
      </c>
      <c r="K76" s="18" t="n"/>
      <c r="L76" s="18" t="n"/>
      <c r="M76" s="18" t="n"/>
      <c r="N76" s="8" t="n"/>
      <c r="O76" s="60">
        <f>-SUMIF('HB TB'!$T:$T,'HB P&amp;L'!$A76,'HB TB'!C:C)</f>
        <v/>
      </c>
      <c r="P76" s="60">
        <f>-SUMIF('HB TB'!$T:$T,'HB P&amp;L'!$A76,'HB TB'!D:D)</f>
        <v/>
      </c>
      <c r="Q76" s="60">
        <f>-SUMIF('HB TB'!$T:$T,'HB P&amp;L'!$A76,'HB TB'!E:E)</f>
        <v/>
      </c>
      <c r="R76" s="60">
        <f>-SUMIF('HB TB'!$T:$T,'HB P&amp;L'!$A76,'HB TB'!F:F)</f>
        <v/>
      </c>
      <c r="S76" s="60">
        <f>-SUMIF('HB TB'!$T:$T,'HB P&amp;L'!$A76,'HB TB'!G:G)</f>
        <v/>
      </c>
      <c r="T76" s="60">
        <f>-SUMIF('HB TB'!$T:$T,'HB P&amp;L'!$A76,'HB TB'!H:H)</f>
        <v/>
      </c>
      <c r="U76" s="60">
        <f>-SUMIF('HB TB'!$T:$T,'HB P&amp;L'!$A76,'HB TB'!I:I)</f>
        <v/>
      </c>
      <c r="V76" s="60">
        <f>-SUMIF('HB TB'!$T:$T,'HB P&amp;L'!$A76,'HB TB'!J:J)</f>
        <v/>
      </c>
      <c r="W76" s="60">
        <f>-SUMIF('HB TB'!$T:$T,'HB P&amp;L'!$A76,'HB TB'!K:K)</f>
        <v/>
      </c>
      <c r="X76" s="60">
        <f>-SUMIF('HB TB'!$T:$T,'HB P&amp;L'!$A76,'HB TB'!L:L)</f>
        <v/>
      </c>
      <c r="Y76" s="60">
        <f>-SUMIF('HB TB'!$T:$T,'HB P&amp;L'!$A76,'HB TB'!M:M)</f>
        <v/>
      </c>
      <c r="Z76" s="60">
        <f>-SUMIF('HB TB'!$T:$T,'HB P&amp;L'!$A76,'HB TB'!N:N)</f>
        <v/>
      </c>
      <c r="AA76" s="60">
        <f>SUM(O76:T76)</f>
        <v/>
      </c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>
      <c r="A77" s="60" t="inlineStr">
        <is>
          <t>Direct - Premises &amp; Admin</t>
        </is>
      </c>
      <c r="B77" s="18" t="n">
        <v>-10288.58</v>
      </c>
      <c r="C77" s="18" t="n">
        <v>-14710.45</v>
      </c>
      <c r="D77" s="18" t="n">
        <v>-10491.25</v>
      </c>
      <c r="E77" s="18" t="n">
        <v>-10163.31</v>
      </c>
      <c r="F77" s="18" t="n">
        <v>-10652.17</v>
      </c>
      <c r="G77" s="18" t="n">
        <v>-10623.23</v>
      </c>
      <c r="H77" s="18" t="n">
        <v>-10646.53</v>
      </c>
      <c r="I77" s="18" t="n">
        <v>-10345.72</v>
      </c>
      <c r="J77" s="18" t="n">
        <v>-10542.71</v>
      </c>
      <c r="K77" s="18" t="n"/>
      <c r="L77" s="18" t="n"/>
      <c r="M77" s="18" t="n"/>
      <c r="N77" s="8" t="n"/>
      <c r="O77" s="60">
        <f>-SUMIF('HB TB'!$T:$T,'HB P&amp;L'!$A77,'HB TB'!C:C)</f>
        <v/>
      </c>
      <c r="P77" s="60">
        <f>-SUMIF('HB TB'!$T:$T,'HB P&amp;L'!$A77,'HB TB'!D:D)</f>
        <v/>
      </c>
      <c r="Q77" s="60">
        <f>-SUMIF('HB TB'!$T:$T,'HB P&amp;L'!$A77,'HB TB'!E:E)</f>
        <v/>
      </c>
      <c r="R77" s="60">
        <f>-SUMIF('HB TB'!$T:$T,'HB P&amp;L'!$A77,'HB TB'!F:F)</f>
        <v/>
      </c>
      <c r="S77" s="60">
        <f>-SUMIF('HB TB'!$T:$T,'HB P&amp;L'!$A77,'HB TB'!G:G)</f>
        <v/>
      </c>
      <c r="T77" s="60">
        <f>-SUMIF('HB TB'!$T:$T,'HB P&amp;L'!$A77,'HB TB'!H:H)</f>
        <v/>
      </c>
      <c r="U77" s="60">
        <f>-SUMIF('HB TB'!$T:$T,'HB P&amp;L'!$A77,'HB TB'!I:I)</f>
        <v/>
      </c>
      <c r="V77" s="60">
        <f>-SUMIF('HB TB'!$T:$T,'HB P&amp;L'!$A77,'HB TB'!J:J)</f>
        <v/>
      </c>
      <c r="W77" s="60">
        <f>-SUMIF('HB TB'!$T:$T,'HB P&amp;L'!$A77,'HB TB'!K:K)</f>
        <v/>
      </c>
      <c r="X77" s="60">
        <f>-SUMIF('HB TB'!$T:$T,'HB P&amp;L'!$A77,'HB TB'!L:L)</f>
        <v/>
      </c>
      <c r="Y77" s="60">
        <f>-SUMIF('HB TB'!$T:$T,'HB P&amp;L'!$A77,'HB TB'!M:M)</f>
        <v/>
      </c>
      <c r="Z77" s="60">
        <f>-SUMIF('HB TB'!$T:$T,'HB P&amp;L'!$A77,'HB TB'!N:N)</f>
        <v/>
      </c>
      <c r="AA77" s="60">
        <f>SUM(O77:T77)</f>
        <v/>
      </c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/>
      <c r="L78" s="18" t="n"/>
      <c r="M78" s="18" t="n"/>
      <c r="N78" s="8" t="n"/>
      <c r="O78" s="60">
        <f>-SUMIF('HB TB'!$T:$T,'HB P&amp;L'!$A78,'HB TB'!C:C)</f>
        <v/>
      </c>
      <c r="P78" s="60">
        <f>-SUMIF('HB TB'!$T:$T,'HB P&amp;L'!$A78,'HB TB'!D:D)</f>
        <v/>
      </c>
      <c r="Q78" s="60">
        <f>-SUMIF('HB TB'!$T:$T,'HB P&amp;L'!$A78,'HB TB'!E:E)</f>
        <v/>
      </c>
      <c r="R78" s="60">
        <f>-SUMIF('HB TB'!$T:$T,'HB P&amp;L'!$A78,'HB TB'!F:F)</f>
        <v/>
      </c>
      <c r="S78" s="60">
        <f>-SUMIF('HB TB'!$T:$T,'HB P&amp;L'!$A78,'HB TB'!G:G)</f>
        <v/>
      </c>
      <c r="T78" s="60">
        <f>-SUMIF('HB TB'!$T:$T,'HB P&amp;L'!$A78,'HB TB'!H:H)</f>
        <v/>
      </c>
      <c r="U78" s="60">
        <f>-SUMIF('HB TB'!$T:$T,'HB P&amp;L'!$A78,'HB TB'!I:I)</f>
        <v/>
      </c>
      <c r="V78" s="60">
        <f>-SUMIF('HB TB'!$T:$T,'HB P&amp;L'!$A78,'HB TB'!J:J)</f>
        <v/>
      </c>
      <c r="W78" s="60">
        <f>-SUMIF('HB TB'!$T:$T,'HB P&amp;L'!$A78,'HB TB'!K:K)</f>
        <v/>
      </c>
      <c r="X78" s="60">
        <f>-SUMIF('HB TB'!$T:$T,'HB P&amp;L'!$A78,'HB TB'!L:L)</f>
        <v/>
      </c>
      <c r="Y78" s="60">
        <f>-SUMIF('HB TB'!$T:$T,'HB P&amp;L'!$A78,'HB TB'!M:M)</f>
        <v/>
      </c>
      <c r="Z78" s="60">
        <f>-SUMIF('HB TB'!$T:$T,'HB P&amp;L'!$A78,'HB TB'!N:N)</f>
        <v/>
      </c>
      <c r="AA78" s="60">
        <f>SUM(O78:T78)</f>
        <v/>
      </c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60" t="inlineStr">
        <is>
          <t>In-Direct - Overheads</t>
        </is>
      </c>
      <c r="B79" s="18" t="n">
        <v>-225.38</v>
      </c>
      <c r="C79" s="18" t="n">
        <v>-210.16</v>
      </c>
      <c r="D79" s="18" t="n">
        <v>-316.74</v>
      </c>
      <c r="E79" s="18" t="n">
        <v>-328.73</v>
      </c>
      <c r="F79" s="18" t="n">
        <v>-552.26</v>
      </c>
      <c r="G79" s="18" t="n">
        <v>-516.27</v>
      </c>
      <c r="H79" s="18" t="n">
        <v>-310.49</v>
      </c>
      <c r="I79" s="18" t="n">
        <v>-384.38</v>
      </c>
      <c r="J79" s="18" t="n">
        <v>-273.78</v>
      </c>
      <c r="K79" s="18" t="n"/>
      <c r="L79" s="18" t="n"/>
      <c r="M79" s="18" t="n"/>
      <c r="N79" s="8" t="n"/>
      <c r="O79" s="60">
        <f>-SUMIF('HB TB'!$T:$T,'HB P&amp;L'!$A79,'HB TB'!C:C)</f>
        <v/>
      </c>
      <c r="P79" s="60">
        <f>-SUMIF('HB TB'!$T:$T,'HB P&amp;L'!$A79,'HB TB'!D:D)</f>
        <v/>
      </c>
      <c r="Q79" s="60">
        <f>-SUMIF('HB TB'!$T:$T,'HB P&amp;L'!$A79,'HB TB'!E:E)</f>
        <v/>
      </c>
      <c r="R79" s="60">
        <f>-SUMIF('HB TB'!$T:$T,'HB P&amp;L'!$A79,'HB TB'!F:F)</f>
        <v/>
      </c>
      <c r="S79" s="60">
        <f>-SUMIF('HB TB'!$T:$T,'HB P&amp;L'!$A79,'HB TB'!G:G)</f>
        <v/>
      </c>
      <c r="T79" s="60">
        <f>-SUMIF('HB TB'!$T:$T,'HB P&amp;L'!$A79,'HB TB'!H:H)</f>
        <v/>
      </c>
      <c r="U79" s="60">
        <f>-SUMIF('HB TB'!$T:$T,'HB P&amp;L'!$A79,'HB TB'!I:I)</f>
        <v/>
      </c>
      <c r="V79" s="60">
        <f>-SUMIF('HB TB'!$T:$T,'HB P&amp;L'!$A79,'HB TB'!J:J)</f>
        <v/>
      </c>
      <c r="W79" s="60">
        <f>-SUMIF('HB TB'!$T:$T,'HB P&amp;L'!$A79,'HB TB'!K:K)</f>
        <v/>
      </c>
      <c r="X79" s="60">
        <f>-SUMIF('HB TB'!$T:$T,'HB P&amp;L'!$A79,'HB TB'!L:L)</f>
        <v/>
      </c>
      <c r="Y79" s="60">
        <f>-SUMIF('HB TB'!$T:$T,'HB P&amp;L'!$A79,'HB TB'!M:M)</f>
        <v/>
      </c>
      <c r="Z79" s="60">
        <f>-SUMIF('HB TB'!$T:$T,'HB P&amp;L'!$A79,'HB TB'!N:N)</f>
        <v/>
      </c>
      <c r="AA79" s="60">
        <f>SUM(O79:T79)</f>
        <v/>
      </c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 ht="15.75" customHeight="1">
      <c r="A80" s="8" t="n"/>
      <c r="B80" s="67" t="n">
        <v>19840.16</v>
      </c>
      <c r="C80" s="67" t="n">
        <v>11919.9</v>
      </c>
      <c r="D80" s="67" t="n">
        <v>23564.37</v>
      </c>
      <c r="E80" s="67" t="n">
        <v>21728.25</v>
      </c>
      <c r="F80" s="67" t="n">
        <v>13489.69</v>
      </c>
      <c r="G80" s="67" t="n">
        <v>11385.88</v>
      </c>
      <c r="H80" s="67" t="n">
        <v>46817.39000000001</v>
      </c>
      <c r="I80" s="67" t="n">
        <v>5746.480000000002</v>
      </c>
      <c r="J80" s="67" t="n">
        <v>3400.479999999997</v>
      </c>
      <c r="K80" s="67" t="n"/>
      <c r="L80" s="67" t="n"/>
      <c r="M80" s="67" t="n"/>
      <c r="N80" s="64" t="n"/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4">
        <f>SUM(V74:V79)</f>
        <v/>
      </c>
      <c r="W80" s="64">
        <f>SUM(W74:W79)</f>
        <v/>
      </c>
      <c r="X80" s="64">
        <f>SUM(X74:X79)</f>
        <v/>
      </c>
      <c r="Y80" s="64">
        <f>SUM(Y74:Y79)</f>
        <v/>
      </c>
      <c r="Z80" s="64">
        <f>SUM(Z74:Z79)</f>
        <v/>
      </c>
      <c r="AA80" s="64">
        <f>SUM(O80:T80)</f>
        <v/>
      </c>
      <c r="AB80" s="8" t="n"/>
      <c r="AC80" s="64" t="n"/>
      <c r="AD80" s="64" t="n"/>
      <c r="AE80" s="64" t="n"/>
      <c r="AF80" s="64" t="n"/>
      <c r="AG80" s="64" t="n"/>
      <c r="AH80" s="64" t="n"/>
      <c r="AI80" s="8" t="n"/>
      <c r="AJ80" s="64" t="n"/>
      <c r="AK80" s="64" t="n"/>
      <c r="AL80" s="64" t="n"/>
      <c r="AM80" s="64" t="n"/>
      <c r="AN80" s="64" t="n"/>
      <c r="AO80" s="64" t="n"/>
      <c r="AP80" s="64" t="n"/>
    </row>
    <row r="81" ht="15.75" customHeight="1">
      <c r="A81" s="8" t="n"/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0</v>
      </c>
      <c r="G81" s="18" t="n">
        <v>0</v>
      </c>
      <c r="H81" s="18" t="n">
        <v>0</v>
      </c>
      <c r="I81" s="18" t="n">
        <v>0</v>
      </c>
      <c r="J81" s="18" t="n">
        <v>5.456968210637569e-12</v>
      </c>
      <c r="K81" s="18" t="n"/>
      <c r="L81" s="18" t="n"/>
      <c r="M81" s="18" t="n"/>
      <c r="N81" s="8" t="n"/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18" t="n">
        <v>0</v>
      </c>
      <c r="C83" s="18" t="n">
        <v>0</v>
      </c>
      <c r="D83" s="18" t="n">
        <v>0</v>
      </c>
      <c r="E83" s="18" t="n">
        <v>0</v>
      </c>
      <c r="F83" s="18" t="n">
        <v>0</v>
      </c>
      <c r="G83" s="18" t="n">
        <v>0</v>
      </c>
      <c r="H83" s="18" t="n">
        <v>0</v>
      </c>
      <c r="I83" s="18" t="n">
        <v>9.094947017729282e-12</v>
      </c>
      <c r="J83" s="18" t="n">
        <v>-5.456968210637569e-12</v>
      </c>
      <c r="K83" s="18" t="n"/>
      <c r="L83" s="18" t="n"/>
      <c r="M83" s="18" t="n"/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18" t="n">
        <v>-19840.15999999999</v>
      </c>
      <c r="C84" s="18" t="n">
        <v>-11919.9</v>
      </c>
      <c r="D84" s="18" t="n">
        <v>-23564.37</v>
      </c>
      <c r="E84" s="18" t="n">
        <v>-21728.25</v>
      </c>
      <c r="F84" s="18" t="n">
        <v>-13489.68999999999</v>
      </c>
      <c r="G84" s="18" t="n">
        <v>-11385.88</v>
      </c>
      <c r="H84" s="18" t="n">
        <v>-46817.38999999999</v>
      </c>
      <c r="I84" s="18" t="n">
        <v>-5746.479999999993</v>
      </c>
      <c r="J84" s="18" t="n">
        <v>-3400.480000000002</v>
      </c>
      <c r="K84" s="18" t="n"/>
      <c r="L84" s="18" t="n"/>
      <c r="M84" s="18" t="n"/>
      <c r="N84" s="8" t="n"/>
      <c r="O84" s="60">
        <f>SUM('HB TB'!C2:C43)</f>
        <v/>
      </c>
      <c r="P84" s="60">
        <f>SUM('HB TB'!D2:D43)</f>
        <v/>
      </c>
      <c r="Q84" s="60">
        <f>SUM('HB TB'!E2:E43)</f>
        <v/>
      </c>
      <c r="R84" s="60">
        <f>SUM('HB TB'!F2:F43)</f>
        <v/>
      </c>
      <c r="S84" s="60">
        <f>SUM('HB TB'!G2:G43)</f>
        <v/>
      </c>
      <c r="T84" s="60">
        <f>SUM('HB TB'!H2:H43)</f>
        <v/>
      </c>
      <c r="U84" s="60">
        <f>SUM('HB TB'!I2:I43)</f>
        <v/>
      </c>
      <c r="V84" s="60">
        <f>SUM('HB TB'!J2:J43)</f>
        <v/>
      </c>
      <c r="W84" s="60">
        <f>SUM('HB TB'!K2:K43)</f>
        <v/>
      </c>
      <c r="X84" s="60">
        <f>SUM('HB TB'!L2:L43)</f>
        <v/>
      </c>
      <c r="Y84" s="60">
        <f>SUM('HB TB'!M2:M43)</f>
        <v/>
      </c>
      <c r="Z84" s="60">
        <f>SUM('HB TB'!N2:N43)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Our Den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0</v>
      </c>
      <c r="C8" s="35" t="n">
        <v>0</v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 t="n">
        <v>0</v>
      </c>
      <c r="J8" s="35" t="n">
        <v>1523.64</v>
      </c>
      <c r="K8" s="35" t="n">
        <v>993.6600000000001</v>
      </c>
      <c r="L8" s="35" t="n">
        <v>851.8</v>
      </c>
      <c r="M8" s="35" t="n">
        <v>1363.66</v>
      </c>
      <c r="N8" s="36">
        <f>SUM(B8:M8)</f>
        <v/>
      </c>
      <c r="O8" s="37">
        <f>-SUMIF('YBHN HS TB'!$R:$R,'HS P&amp;L'!$A8,'YBHN HS TB'!C:C)</f>
        <v/>
      </c>
      <c r="P8" s="37">
        <f>-SUMIF('YBHN HS TB'!$R:$R,'HS P&amp;L'!$A8,'YBHN HS TB'!D:D)</f>
        <v/>
      </c>
      <c r="Q8" s="37">
        <f>-SUMIF('YBHN HS TB'!$R:$R,'HS P&amp;L'!$A8,'YBHN HS TB'!E:E)</f>
        <v/>
      </c>
      <c r="R8" s="37">
        <f>-SUMIF('YBHN HS TB'!$R:$R,'HS P&amp;L'!$A8,'YBHN HS TB'!F:F)</f>
        <v/>
      </c>
      <c r="S8" s="37">
        <f>-SUMIF('YBHN HS TB'!$R:$R,'HS P&amp;L'!$A8,'YBHN HS TB'!G:G)</f>
        <v/>
      </c>
      <c r="T8" s="37">
        <f>-SUMIF('YBHN HS TB'!$R:$R,'HS P&amp;L'!$A8,'YBHN HS TB'!H:H)</f>
        <v/>
      </c>
      <c r="U8" s="37">
        <f>-SUMIF('YBHN HS TB'!$R:$R,'HS P&amp;L'!$A8,'YBHN HS TB'!I:I)</f>
        <v/>
      </c>
      <c r="V8" s="38" t="n">
        <v>0</v>
      </c>
      <c r="W8" s="38" t="n">
        <v>2465</v>
      </c>
      <c r="X8" s="38" t="n">
        <v>3423</v>
      </c>
      <c r="Y8" s="38" t="n">
        <v>4356</v>
      </c>
      <c r="Z8" s="38" t="n">
        <v>2857</v>
      </c>
      <c r="AA8" s="36">
        <f>SUM(O8:U8)</f>
        <v/>
      </c>
      <c r="AB8" s="36">
        <f>SUM(O8:Z8)</f>
        <v/>
      </c>
      <c r="AC8" s="38" t="n">
        <v>29839.75</v>
      </c>
      <c r="AD8" s="38" t="n">
        <v>21836.64</v>
      </c>
      <c r="AE8" s="38" t="n">
        <v>28707.94</v>
      </c>
      <c r="AF8" s="38" t="n">
        <v>22423.44</v>
      </c>
      <c r="AG8" s="38" t="n">
        <v>29115.52</v>
      </c>
      <c r="AH8" s="38" t="n">
        <v>27182.25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0</v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  <c r="H9" s="35" t="n">
        <v>0</v>
      </c>
      <c r="I9" s="35" t="n">
        <v>0</v>
      </c>
      <c r="J9" s="35" t="n">
        <v>0</v>
      </c>
      <c r="K9" s="35" t="n">
        <v>0</v>
      </c>
      <c r="L9" s="35" t="n">
        <v>6791.83</v>
      </c>
      <c r="M9" s="35" t="n">
        <v>6791.83</v>
      </c>
      <c r="N9" s="36">
        <f>SUM(B9:M9)</f>
        <v/>
      </c>
      <c r="O9" s="37">
        <f>-SUMIF('YBHN HS TB'!$R:$R,'HS P&amp;L'!$A9,'YBHN HS TB'!C:C)</f>
        <v/>
      </c>
      <c r="P9" s="37">
        <f>-SUMIF('YBHN HS TB'!$R:$R,'HS P&amp;L'!$A9,'YBHN HS TB'!D:D)</f>
        <v/>
      </c>
      <c r="Q9" s="37">
        <f>-SUMIF('YBHN HS TB'!$R:$R,'HS P&amp;L'!$A9,'YBHN HS TB'!E:E)</f>
        <v/>
      </c>
      <c r="R9" s="37">
        <f>-SUMIF('YBHN HS TB'!$R:$R,'HS P&amp;L'!$A9,'YBHN HS TB'!F:F)</f>
        <v/>
      </c>
      <c r="S9" s="37">
        <f>-SUMIF('YBHN HS TB'!$R:$R,'HS P&amp;L'!$A9,'YBHN HS TB'!G:G)</f>
        <v/>
      </c>
      <c r="T9" s="37">
        <f>-SUMIF('YBHN HS TB'!$R:$R,'HS P&amp;L'!$A9,'YBHN HS TB'!H:H)</f>
        <v/>
      </c>
      <c r="U9" s="37">
        <f>-SUMIF('YBHN HS TB'!$R:$R,'HS P&amp;L'!$A9,'YBHN HS TB'!I:I)</f>
        <v/>
      </c>
      <c r="V9" s="38" t="n">
        <v>0</v>
      </c>
      <c r="W9" s="38" t="n">
        <v>20848</v>
      </c>
      <c r="X9" s="38" t="n">
        <v>20843</v>
      </c>
      <c r="Y9" s="38" t="n">
        <v>25973</v>
      </c>
      <c r="Z9" s="38" t="n">
        <v>17232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-SUMIF('YBHN HS TB'!$R:$R,'HS P&amp;L'!$A10,'YBHN HS TB'!C:C)</f>
        <v/>
      </c>
      <c r="P10" s="37">
        <f>-SUMIF('YBHN HS TB'!$R:$R,'HS P&amp;L'!$A10,'YBHN HS TB'!D:D)</f>
        <v/>
      </c>
      <c r="Q10" s="37">
        <f>-SUMIF('YBHN HS TB'!$R:$R,'HS P&amp;L'!$A10,'YBHN HS TB'!E:E)</f>
        <v/>
      </c>
      <c r="R10" s="37">
        <f>-SUMIF('YBHN HS TB'!$R:$R,'HS P&amp;L'!$A10,'YBHN HS TB'!F:F)</f>
        <v/>
      </c>
      <c r="S10" s="37">
        <f>-SUMIF('YBHN HS TB'!$R:$R,'HS P&amp;L'!$A10,'YBHN HS TB'!G:G)</f>
        <v/>
      </c>
      <c r="T10" s="37">
        <f>-SUMIF('YBHN HS TB'!$R:$R,'HS P&amp;L'!$A10,'YBHN HS TB'!H:H)</f>
        <v/>
      </c>
      <c r="U10" s="37">
        <f>-SUMIF('YBHN HS TB'!$R:$R,'HS P&amp;L'!$A10,'YBHN HS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0</v>
      </c>
      <c r="C11" s="42" t="n">
        <v>0</v>
      </c>
      <c r="D11" s="42" t="n">
        <v>0</v>
      </c>
      <c r="E11" s="42" t="n">
        <v>0</v>
      </c>
      <c r="F11" s="42" t="n">
        <v>0</v>
      </c>
      <c r="G11" s="42" t="n">
        <v>0</v>
      </c>
      <c r="H11" s="42" t="n">
        <v>0</v>
      </c>
      <c r="I11" s="42" t="n">
        <v>0</v>
      </c>
      <c r="J11" s="42" t="n">
        <v>1523.64</v>
      </c>
      <c r="K11" s="42" t="n">
        <v>993.6600000000001</v>
      </c>
      <c r="L11" s="42" t="n">
        <v>7643.63</v>
      </c>
      <c r="M11" s="42" t="n">
        <v>8155.49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 t="n"/>
      <c r="F13" s="47" t="n"/>
      <c r="G13" s="47" t="n"/>
      <c r="H13" s="47" t="n"/>
      <c r="I13" s="47" t="n"/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0</v>
      </c>
      <c r="C16" s="35" t="n">
        <v>0</v>
      </c>
      <c r="D16" s="35" t="n">
        <v>0</v>
      </c>
      <c r="E16" s="35" t="n">
        <v>0</v>
      </c>
      <c r="F16" s="35" t="n">
        <v>0</v>
      </c>
      <c r="G16" s="35" t="n">
        <v>0</v>
      </c>
      <c r="H16" s="35" t="n">
        <v>0</v>
      </c>
      <c r="I16" s="35" t="n">
        <v>0</v>
      </c>
      <c r="J16" s="35" t="n">
        <v>6448.15</v>
      </c>
      <c r="K16" s="35" t="n">
        <v>6689.36</v>
      </c>
      <c r="L16" s="35" t="n">
        <v>6765.64</v>
      </c>
      <c r="M16" s="35" t="n">
        <v>6815.95</v>
      </c>
      <c r="N16" s="36">
        <f>SUM(B16:M16)</f>
        <v/>
      </c>
      <c r="O16" s="37">
        <f>SUMIF('YBHN HS TB'!$R:$R,'HS P&amp;L'!$A16,'YBHN HS TB'!C:C)</f>
        <v/>
      </c>
      <c r="P16" s="37">
        <f>SUMIF('YBHN HS TB'!$R:$R,'HS P&amp;L'!$A16,'YBHN HS TB'!D:D)</f>
        <v/>
      </c>
      <c r="Q16" s="37">
        <f>SUMIF('YBHN HS TB'!$R:$R,'HS P&amp;L'!$A16,'YBHN HS TB'!E:E)</f>
        <v/>
      </c>
      <c r="R16" s="37">
        <f>SUMIF('YBHN HS TB'!$R:$R,'HS P&amp;L'!$A16,'YBHN HS TB'!F:F)</f>
        <v/>
      </c>
      <c r="S16" s="37">
        <f>SUMIF('YBHN HS TB'!$R:$R,'HS P&amp;L'!$A16,'YBHN HS TB'!G:G)</f>
        <v/>
      </c>
      <c r="T16" s="37">
        <f>SUMIF('YBHN HS TB'!$R:$R,'HS P&amp;L'!$A16,'YBHN HS TB'!H:H)</f>
        <v/>
      </c>
      <c r="U16" s="37">
        <f>SUMIF('YBHN HS TB'!$R:$R,'HS P&amp;L'!$A16,'YBHN HS TB'!I:I)</f>
        <v/>
      </c>
      <c r="V16" s="38" t="n">
        <v>9114</v>
      </c>
      <c r="W16" s="38" t="n">
        <v>9114</v>
      </c>
      <c r="X16" s="38" t="n">
        <v>9114</v>
      </c>
      <c r="Y16" s="38" t="n">
        <v>9114</v>
      </c>
      <c r="Z16" s="38" t="n">
        <v>9114</v>
      </c>
      <c r="AA16" s="36">
        <f>SUM(O16:U16)</f>
        <v/>
      </c>
      <c r="AB16" s="36">
        <f>SUM(O16:Z16)</f>
        <v/>
      </c>
      <c r="AC16" s="38" t="n">
        <v>9114</v>
      </c>
      <c r="AD16" s="38" t="n">
        <v>9114</v>
      </c>
      <c r="AE16" s="38" t="n">
        <v>9114</v>
      </c>
      <c r="AF16" s="38" t="n">
        <v>9114</v>
      </c>
      <c r="AG16" s="38" t="n">
        <v>9114</v>
      </c>
      <c r="AH16" s="38" t="n">
        <v>9114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0</v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654.47</v>
      </c>
      <c r="K17" s="35" t="n">
        <v>753.2</v>
      </c>
      <c r="L17" s="35" t="n">
        <v>764.64</v>
      </c>
      <c r="M17" s="35" t="n">
        <v>772.1800000000001</v>
      </c>
      <c r="N17" s="36">
        <f>SUM(B17:M17)</f>
        <v/>
      </c>
      <c r="O17" s="37">
        <f>SUMIF('YBHN HS TB'!$R:$R,'HS P&amp;L'!$A17,'YBHN HS TB'!C:C)</f>
        <v/>
      </c>
      <c r="P17" s="37">
        <f>SUMIF('YBHN HS TB'!$R:$R,'HS P&amp;L'!$A17,'YBHN HS TB'!D:D)</f>
        <v/>
      </c>
      <c r="Q17" s="37">
        <f>SUMIF('YBHN HS TB'!$R:$R,'HS P&amp;L'!$A17,'YBHN HS TB'!E:E)</f>
        <v/>
      </c>
      <c r="R17" s="37">
        <f>SUMIF('YBHN HS TB'!$R:$R,'HS P&amp;L'!$A17,'YBHN HS TB'!F:F)</f>
        <v/>
      </c>
      <c r="S17" s="37">
        <f>SUMIF('YBHN HS TB'!$R:$R,'HS P&amp;L'!$A17,'YBHN HS TB'!G:G)</f>
        <v/>
      </c>
      <c r="T17" s="37">
        <f>SUMIF('YBHN HS TB'!$R:$R,'HS P&amp;L'!$A17,'YBHN HS TB'!H:H)</f>
        <v/>
      </c>
      <c r="U17" s="37">
        <f>SUMIF('YBHN HS TB'!$R:$R,'HS P&amp;L'!$A17,'YBHN HS TB'!I:I)</f>
        <v/>
      </c>
      <c r="V17" s="38" t="n">
        <v>871</v>
      </c>
      <c r="W17" s="38" t="n">
        <v>871</v>
      </c>
      <c r="X17" s="38" t="n">
        <v>871</v>
      </c>
      <c r="Y17" s="38" t="n">
        <v>871</v>
      </c>
      <c r="Z17" s="38" t="n">
        <v>871</v>
      </c>
      <c r="AA17" s="36">
        <f>SUM(O17:U17)</f>
        <v/>
      </c>
      <c r="AB17" s="36">
        <f>SUM(O17:Z17)</f>
        <v/>
      </c>
      <c r="AC17" s="38" t="n">
        <v>871</v>
      </c>
      <c r="AD17" s="38" t="n">
        <v>871</v>
      </c>
      <c r="AE17" s="38" t="n">
        <v>871</v>
      </c>
      <c r="AF17" s="38" t="n">
        <v>871</v>
      </c>
      <c r="AG17" s="38" t="n">
        <v>871</v>
      </c>
      <c r="AH17" s="38" t="n">
        <v>871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0</v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  <c r="H18" s="35" t="n">
        <v>0</v>
      </c>
      <c r="I18" s="35" t="n">
        <v>0</v>
      </c>
      <c r="J18" s="35" t="n">
        <v>0</v>
      </c>
      <c r="K18" s="35" t="n">
        <v>0</v>
      </c>
      <c r="L18" s="35" t="n">
        <v>140.54</v>
      </c>
      <c r="M18" s="35" t="n">
        <v>142.06</v>
      </c>
      <c r="N18" s="36">
        <f>SUM(B18:M18)</f>
        <v/>
      </c>
      <c r="O18" s="37">
        <f>SUMIF('YBHN HS TB'!$R:$R,'HS P&amp;L'!$A18,'YBHN HS TB'!C:C)</f>
        <v/>
      </c>
      <c r="P18" s="37">
        <f>SUMIF('YBHN HS TB'!$R:$R,'HS P&amp;L'!$A18,'YBHN HS TB'!D:D)</f>
        <v/>
      </c>
      <c r="Q18" s="37">
        <f>SUMIF('YBHN HS TB'!$R:$R,'HS P&amp;L'!$A18,'YBHN HS TB'!E:E)</f>
        <v/>
      </c>
      <c r="R18" s="37">
        <f>SUMIF('YBHN HS TB'!$R:$R,'HS P&amp;L'!$A18,'YBHN HS TB'!F:F)</f>
        <v/>
      </c>
      <c r="S18" s="37">
        <f>SUMIF('YBHN HS TB'!$R:$R,'HS P&amp;L'!$A18,'YBHN HS TB'!G:G)</f>
        <v/>
      </c>
      <c r="T18" s="37">
        <f>SUMIF('YBHN HS TB'!$R:$R,'HS P&amp;L'!$A18,'YBHN HS TB'!H:H)</f>
        <v/>
      </c>
      <c r="U18" s="37">
        <f>SUMIF('YBHN HS TB'!$R:$R,'HS P&amp;L'!$A18,'YBHN HS TB'!I:I)</f>
        <v/>
      </c>
      <c r="V18" s="38" t="n">
        <v>143.99</v>
      </c>
      <c r="W18" s="38" t="n">
        <v>143.99</v>
      </c>
      <c r="X18" s="38" t="n">
        <v>143.99</v>
      </c>
      <c r="Y18" s="38" t="n">
        <v>143.99</v>
      </c>
      <c r="Z18" s="38" t="n">
        <v>143.99</v>
      </c>
      <c r="AA18" s="36">
        <f>SUM(O18:U18)</f>
        <v/>
      </c>
      <c r="AB18" s="36">
        <f>SUM(O18:Z18)</f>
        <v/>
      </c>
      <c r="AC18" s="38" t="n">
        <v>143.99</v>
      </c>
      <c r="AD18" s="38" t="n">
        <v>143.99</v>
      </c>
      <c r="AE18" s="38" t="n">
        <v>143.99</v>
      </c>
      <c r="AF18" s="38" t="n">
        <v>143.99</v>
      </c>
      <c r="AG18" s="38" t="n">
        <v>143.99</v>
      </c>
      <c r="AH18" s="38" t="n">
        <v>143.99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0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0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>
        <f>SUMIF('YBHN HS TB'!$R:$R,'HS P&amp;L'!$A19,'YBHN HS TB'!C:C)</f>
        <v/>
      </c>
      <c r="P19" s="37">
        <f>SUMIF('YBHN HS TB'!$R:$R,'HS P&amp;L'!$A19,'YBHN HS TB'!D:D)</f>
        <v/>
      </c>
      <c r="Q19" s="37">
        <f>SUMIF('YBHN HS TB'!$R:$R,'HS P&amp;L'!$A19,'YBHN HS TB'!E:E)</f>
        <v/>
      </c>
      <c r="R19" s="37">
        <f>SUMIF('YBHN HS TB'!$R:$R,'HS P&amp;L'!$A19,'YBHN HS TB'!F:F)</f>
        <v/>
      </c>
      <c r="S19" s="37">
        <f>SUMIF('YBHN HS TB'!$R:$R,'HS P&amp;L'!$A19,'YBHN HS TB'!G:G)</f>
        <v/>
      </c>
      <c r="T19" s="37">
        <f>SUMIF('YBHN HS TB'!$R:$R,'HS P&amp;L'!$A19,'YBHN HS TB'!H:H)</f>
        <v/>
      </c>
      <c r="U19" s="37">
        <f>SUMIF('YBHN HS TB'!$R:$R,'HS P&amp;L'!$A19,'YBHN HS TB'!I:I)</f>
        <v/>
      </c>
      <c r="V19" s="38" t="n">
        <v>20</v>
      </c>
      <c r="W19" s="38" t="n">
        <v>20</v>
      </c>
      <c r="X19" s="38" t="n">
        <v>20</v>
      </c>
      <c r="Y19" s="38" t="n">
        <v>20</v>
      </c>
      <c r="Z19" s="38" t="n">
        <v>20</v>
      </c>
      <c r="AA19" s="36">
        <f>SUM(O19:U19)</f>
        <v/>
      </c>
      <c r="AB19" s="36">
        <f>SUM(O19:Z19)</f>
        <v/>
      </c>
      <c r="AC19" s="38" t="n">
        <v>20</v>
      </c>
      <c r="AD19" s="38" t="n">
        <v>20</v>
      </c>
      <c r="AE19" s="38" t="n">
        <v>20</v>
      </c>
      <c r="AF19" s="38" t="n">
        <v>20</v>
      </c>
      <c r="AG19" s="38" t="n">
        <v>20</v>
      </c>
      <c r="AH19" s="38" t="n">
        <v>20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0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0</v>
      </c>
      <c r="H20" s="35" t="n">
        <v>0</v>
      </c>
      <c r="I20" s="35" t="n">
        <v>0</v>
      </c>
      <c r="J20" s="35" t="n">
        <v>0</v>
      </c>
      <c r="K20" s="35" t="n">
        <v>0</v>
      </c>
      <c r="L20" s="35" t="n">
        <v>114</v>
      </c>
      <c r="M20" s="35" t="n">
        <v>0</v>
      </c>
      <c r="N20" s="36">
        <f>SUM(B20:M20)</f>
        <v/>
      </c>
      <c r="O20" s="37">
        <f>SUMIF('YBHN HS TB'!$R:$R,'HS P&amp;L'!$A20,'YBHN HS TB'!C:C)</f>
        <v/>
      </c>
      <c r="P20" s="37">
        <f>SUMIF('YBHN HS TB'!$R:$R,'HS P&amp;L'!$A20,'YBHN HS TB'!D:D)</f>
        <v/>
      </c>
      <c r="Q20" s="37">
        <f>SUMIF('YBHN HS TB'!$R:$R,'HS P&amp;L'!$A20,'YBHN HS TB'!E:E)</f>
        <v/>
      </c>
      <c r="R20" s="37">
        <f>SUMIF('YBHN HS TB'!$R:$R,'HS P&amp;L'!$A20,'YBHN HS TB'!F:F)</f>
        <v/>
      </c>
      <c r="S20" s="37">
        <f>SUMIF('YBHN HS TB'!$R:$R,'HS P&amp;L'!$A20,'YBHN HS TB'!G:G)</f>
        <v/>
      </c>
      <c r="T20" s="37">
        <f>SUMIF('YBHN HS TB'!$R:$R,'HS P&amp;L'!$A20,'YBHN HS TB'!H:H)</f>
        <v/>
      </c>
      <c r="U20" s="37">
        <f>SUMIF('YBHN HS TB'!$R:$R,'HS P&amp;L'!$A20,'YBHN HS TB'!I:I)</f>
        <v/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0</v>
      </c>
      <c r="C21" s="35" t="n">
        <v>0</v>
      </c>
      <c r="D21" s="35" t="n">
        <v>0</v>
      </c>
      <c r="E21" s="35" t="n">
        <v>0</v>
      </c>
      <c r="F21" s="35" t="n">
        <v>0</v>
      </c>
      <c r="G21" s="35" t="n">
        <v>0</v>
      </c>
      <c r="H21" s="35" t="n">
        <v>0</v>
      </c>
      <c r="I21" s="35" t="n">
        <v>0</v>
      </c>
      <c r="J21" s="35" t="n">
        <v>25.03</v>
      </c>
      <c r="K21" s="35" t="n">
        <v>25.27</v>
      </c>
      <c r="L21" s="35" t="n">
        <v>11.27</v>
      </c>
      <c r="M21" s="35" t="n">
        <v>0</v>
      </c>
      <c r="N21" s="36">
        <f>SUM(B21:M21)</f>
        <v/>
      </c>
      <c r="O21" s="37">
        <f>SUMIF('YBHN HS TB'!$R:$R,'HS P&amp;L'!$A21,'YBHN HS TB'!C:C)</f>
        <v/>
      </c>
      <c r="P21" s="37">
        <f>SUMIF('YBHN HS TB'!$R:$R,'HS P&amp;L'!$A21,'YBHN HS TB'!D:D)</f>
        <v/>
      </c>
      <c r="Q21" s="37">
        <f>SUMIF('YBHN HS TB'!$R:$R,'HS P&amp;L'!$A21,'YBHN HS TB'!E:E)</f>
        <v/>
      </c>
      <c r="R21" s="37">
        <f>SUMIF('YBHN HS TB'!$R:$R,'HS P&amp;L'!$A21,'YBHN HS TB'!F:F)</f>
        <v/>
      </c>
      <c r="S21" s="37">
        <f>SUMIF('YBHN HS TB'!$R:$R,'HS P&amp;L'!$A21,'YBHN HS TB'!G:G)</f>
        <v/>
      </c>
      <c r="T21" s="37">
        <f>SUMIF('YBHN HS TB'!$R:$R,'HS P&amp;L'!$A21,'YBHN HS TB'!H:H)</f>
        <v/>
      </c>
      <c r="U21" s="37">
        <f>SUMIF('YBHN HS TB'!$R:$R,'HS P&amp;L'!$A21,'YBHN HS TB'!I:I)</f>
        <v/>
      </c>
      <c r="V21" s="38" t="n">
        <v>40</v>
      </c>
      <c r="W21" s="38" t="n">
        <v>40</v>
      </c>
      <c r="X21" s="38" t="n">
        <v>40</v>
      </c>
      <c r="Y21" s="38" t="n">
        <v>40</v>
      </c>
      <c r="Z21" s="38" t="n">
        <v>40</v>
      </c>
      <c r="AA21" s="36">
        <f>SUM(O21:U21)</f>
        <v/>
      </c>
      <c r="AB21" s="36">
        <f>SUM(O21:Z21)</f>
        <v/>
      </c>
      <c r="AC21" s="38" t="n">
        <v>40</v>
      </c>
      <c r="AD21" s="38" t="n">
        <v>40</v>
      </c>
      <c r="AE21" s="38" t="n">
        <v>40</v>
      </c>
      <c r="AF21" s="38" t="n">
        <v>40</v>
      </c>
      <c r="AG21" s="38" t="n">
        <v>40</v>
      </c>
      <c r="AH21" s="38" t="n">
        <v>40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SUMIF('YBHN HS TB'!$R:$R,'HS P&amp;L'!$A22,'YBHN HS TB'!C:C)</f>
        <v/>
      </c>
      <c r="P22" s="37">
        <f>SUMIF('YBHN HS TB'!$R:$R,'HS P&amp;L'!$A22,'YBHN HS TB'!D:D)</f>
        <v/>
      </c>
      <c r="Q22" s="37">
        <f>SUMIF('YBHN HS TB'!$R:$R,'HS P&amp;L'!$A22,'YBHN HS TB'!E:E)</f>
        <v/>
      </c>
      <c r="R22" s="37">
        <f>SUMIF('YBHN HS TB'!$R:$R,'HS P&amp;L'!$A22,'YBHN HS TB'!F:F)</f>
        <v/>
      </c>
      <c r="S22" s="37">
        <f>SUMIF('YBHN HS TB'!$R:$R,'HS P&amp;L'!$A22,'YBHN HS TB'!G:G)</f>
        <v/>
      </c>
      <c r="T22" s="37">
        <f>SUMIF('YBHN HS TB'!$R:$R,'HS P&amp;L'!$A22,'YBHN HS TB'!H:H)</f>
        <v/>
      </c>
      <c r="U22" s="37">
        <f>SUMIF('YBHN HS TB'!$R:$R,'HS P&amp;L'!$A22,'YBHN HS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>
        <f>SUMIF('YBHN HS TB'!$R:$R,'HS P&amp;L'!$A23,'YBHN HS TB'!C:C)</f>
        <v/>
      </c>
      <c r="P23" s="37">
        <f>SUMIF('YBHN HS TB'!$R:$R,'HS P&amp;L'!$A23,'YBHN HS TB'!D:D)</f>
        <v/>
      </c>
      <c r="Q23" s="37">
        <f>SUMIF('YBHN HS TB'!$R:$R,'HS P&amp;L'!$A23,'YBHN HS TB'!E:E)</f>
        <v/>
      </c>
      <c r="R23" s="37">
        <f>SUMIF('YBHN HS TB'!$R:$R,'HS P&amp;L'!$A23,'YBHN HS TB'!F:F)</f>
        <v/>
      </c>
      <c r="S23" s="37">
        <f>SUMIF('YBHN HS TB'!$R:$R,'HS P&amp;L'!$A23,'YBHN HS TB'!G:G)</f>
        <v/>
      </c>
      <c r="T23" s="37">
        <f>SUMIF('YBHN HS TB'!$R:$R,'HS P&amp;L'!$A23,'YBHN HS TB'!H:H)</f>
        <v/>
      </c>
      <c r="U23" s="37">
        <f>SUMIF('YBHN HS TB'!$R:$R,'HS P&amp;L'!$A23,'YBHN HS TB'!I:I)</f>
        <v/>
      </c>
      <c r="V23" s="38" t="n">
        <v>17</v>
      </c>
      <c r="W23" s="38" t="n">
        <v>17</v>
      </c>
      <c r="X23" s="38" t="n">
        <v>17</v>
      </c>
      <c r="Y23" s="38" t="n">
        <v>17</v>
      </c>
      <c r="Z23" s="38" t="n">
        <v>17</v>
      </c>
      <c r="AA23" s="36">
        <f>SUM(O23:U23)</f>
        <v/>
      </c>
      <c r="AB23" s="36">
        <f>SUM(O23:Z23)</f>
        <v/>
      </c>
      <c r="AC23" s="38" t="n">
        <v>17</v>
      </c>
      <c r="AD23" s="38" t="n">
        <v>17</v>
      </c>
      <c r="AE23" s="38" t="n">
        <v>17</v>
      </c>
      <c r="AF23" s="38" t="n">
        <v>17</v>
      </c>
      <c r="AG23" s="38" t="n">
        <v>17</v>
      </c>
      <c r="AH23" s="38" t="n">
        <v>17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SUMIF('YBHN HS TB'!$R:$R,'HS P&amp;L'!$A24,'YBHN HS TB'!C:C)</f>
        <v/>
      </c>
      <c r="P24" s="37">
        <f>SUMIF('YBHN HS TB'!$R:$R,'HS P&amp;L'!$A24,'YBHN HS TB'!D:D)</f>
        <v/>
      </c>
      <c r="Q24" s="37">
        <f>SUMIF('YBHN HS TB'!$R:$R,'HS P&amp;L'!$A24,'YBHN HS TB'!E:E)</f>
        <v/>
      </c>
      <c r="R24" s="37">
        <f>SUMIF('YBHN HS TB'!$R:$R,'HS P&amp;L'!$A24,'YBHN HS TB'!F:F)</f>
        <v/>
      </c>
      <c r="S24" s="37">
        <f>SUMIF('YBHN HS TB'!$R:$R,'HS P&amp;L'!$A24,'YBHN HS TB'!G:G)</f>
        <v/>
      </c>
      <c r="T24" s="37">
        <f>SUMIF('YBHN HS TB'!$R:$R,'HS P&amp;L'!$A24,'YBHN HS TB'!H:H)</f>
        <v/>
      </c>
      <c r="U24" s="37">
        <f>SUMIF('YBHN HS TB'!$R:$R,'HS P&amp;L'!$A24,'YBHN HS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0</v>
      </c>
      <c r="C25" s="42" t="n">
        <v>0</v>
      </c>
      <c r="D25" s="42" t="n">
        <v>0</v>
      </c>
      <c r="E25" s="42" t="n">
        <v>0</v>
      </c>
      <c r="F25" s="42" t="n">
        <v>0</v>
      </c>
      <c r="G25" s="42" t="n">
        <v>0</v>
      </c>
      <c r="H25" s="42" t="n">
        <v>0</v>
      </c>
      <c r="I25" s="42" t="n">
        <v>0</v>
      </c>
      <c r="J25" s="42" t="n">
        <v>7127.65</v>
      </c>
      <c r="K25" s="42" t="n">
        <v>7467.83</v>
      </c>
      <c r="L25" s="42" t="n">
        <v>7796.090000000001</v>
      </c>
      <c r="M25" s="42" t="n">
        <v>7730.190000000001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  <c r="H27" s="35" t="n">
        <v>0</v>
      </c>
      <c r="I27" s="35" t="n">
        <v>0</v>
      </c>
      <c r="J27" s="35" t="n">
        <v>125.31</v>
      </c>
      <c r="K27" s="35" t="n">
        <v>0</v>
      </c>
      <c r="L27" s="35" t="n">
        <v>0</v>
      </c>
      <c r="M27" s="35" t="n">
        <v>0</v>
      </c>
      <c r="N27" s="36">
        <f>SUM(B27:M27)</f>
        <v/>
      </c>
      <c r="O27" s="37">
        <f>SUMIF('YBHN HS TB'!$R:$R,'HS P&amp;L'!$A27,'YBHN HS TB'!C:C)</f>
        <v/>
      </c>
      <c r="P27" s="37">
        <f>SUMIF('YBHN HS TB'!$R:$R,'HS P&amp;L'!$A27,'YBHN HS TB'!D:D)</f>
        <v/>
      </c>
      <c r="Q27" s="37">
        <f>SUMIF('YBHN HS TB'!$R:$R,'HS P&amp;L'!$A27,'YBHN HS TB'!E:E)</f>
        <v/>
      </c>
      <c r="R27" s="37">
        <f>SUMIF('YBHN HS TB'!$R:$R,'HS P&amp;L'!$A27,'YBHN HS TB'!F:F)</f>
        <v/>
      </c>
      <c r="S27" s="37">
        <f>SUMIF('YBHN HS TB'!$R:$R,'HS P&amp;L'!$A27,'YBHN HS TB'!G:G)</f>
        <v/>
      </c>
      <c r="T27" s="37">
        <f>SUMIF('YBHN HS TB'!$R:$R,'HS P&amp;L'!$A27,'YBHN HS TB'!H:H)</f>
        <v/>
      </c>
      <c r="U27" s="37">
        <f>SUMIF('YBHN HS TB'!$R:$R,'HS P&amp;L'!$A27,'YBHN HS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5" t="n">
        <v>0</v>
      </c>
      <c r="I28" s="35" t="n">
        <v>0</v>
      </c>
      <c r="J28" s="35" t="n">
        <v>3627.11</v>
      </c>
      <c r="K28" s="35" t="n">
        <v>38.69</v>
      </c>
      <c r="L28" s="35" t="n">
        <v>19.59</v>
      </c>
      <c r="M28" s="35" t="n">
        <v>0</v>
      </c>
      <c r="N28" s="36">
        <f>SUM(B28:M28)</f>
        <v/>
      </c>
      <c r="O28" s="37">
        <f>SUMIF('YBHN HS TB'!$R:$R,'HS P&amp;L'!$A28,'YBHN HS TB'!C:C)</f>
        <v/>
      </c>
      <c r="P28" s="37">
        <f>SUMIF('YBHN HS TB'!$R:$R,'HS P&amp;L'!$A28,'YBHN HS TB'!D:D)</f>
        <v/>
      </c>
      <c r="Q28" s="37">
        <f>SUMIF('YBHN HS TB'!$R:$R,'HS P&amp;L'!$A28,'YBHN HS TB'!E:E)</f>
        <v/>
      </c>
      <c r="R28" s="37">
        <f>SUMIF('YBHN HS TB'!$R:$R,'HS P&amp;L'!$A28,'YBHN HS TB'!F:F)</f>
        <v/>
      </c>
      <c r="S28" s="37">
        <f>SUMIF('YBHN HS TB'!$R:$R,'HS P&amp;L'!$A28,'YBHN HS TB'!G:G)</f>
        <v/>
      </c>
      <c r="T28" s="37">
        <f>SUMIF('YBHN HS TB'!$R:$R,'HS P&amp;L'!$A28,'YBHN HS TB'!H:H)</f>
        <v/>
      </c>
      <c r="U28" s="37">
        <f>SUMIF('YBHN HS TB'!$R:$R,'HS P&amp;L'!$A28,'YBHN HS TB'!I:I)</f>
        <v/>
      </c>
      <c r="V28" s="38" t="n">
        <v>54</v>
      </c>
      <c r="W28" s="38" t="n">
        <v>55</v>
      </c>
      <c r="X28" s="38" t="n">
        <v>56</v>
      </c>
      <c r="Y28" s="38" t="n">
        <v>57</v>
      </c>
      <c r="Z28" s="38" t="n">
        <v>58</v>
      </c>
      <c r="AA28" s="36">
        <f>SUM(O28:U28)</f>
        <v/>
      </c>
      <c r="AB28" s="36">
        <f>SUM(O28:Z28)</f>
        <v/>
      </c>
      <c r="AC28" s="38" t="n">
        <v>58</v>
      </c>
      <c r="AD28" s="38" t="n">
        <v>58</v>
      </c>
      <c r="AE28" s="38" t="n">
        <v>58</v>
      </c>
      <c r="AF28" s="38" t="n">
        <v>58</v>
      </c>
      <c r="AG28" s="38" t="n">
        <v>58</v>
      </c>
      <c r="AH28" s="38" t="n">
        <v>58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5" t="n">
        <v>0</v>
      </c>
      <c r="J29" s="35" t="n">
        <v>141.54</v>
      </c>
      <c r="K29" s="35" t="n">
        <v>0</v>
      </c>
      <c r="L29" s="35" t="n">
        <v>118.68</v>
      </c>
      <c r="M29" s="35" t="n">
        <v>0</v>
      </c>
      <c r="N29" s="36">
        <f>SUM(B29:M29)</f>
        <v/>
      </c>
      <c r="O29" s="37">
        <f>SUMIF('YBHN HS TB'!$R:$R,'HS P&amp;L'!$A29,'YBHN HS TB'!C:C)</f>
        <v/>
      </c>
      <c r="P29" s="37">
        <f>SUMIF('YBHN HS TB'!$R:$R,'HS P&amp;L'!$A29,'YBHN HS TB'!D:D)</f>
        <v/>
      </c>
      <c r="Q29" s="37">
        <f>SUMIF('YBHN HS TB'!$R:$R,'HS P&amp;L'!$A29,'YBHN HS TB'!E:E)</f>
        <v/>
      </c>
      <c r="R29" s="37">
        <f>SUMIF('YBHN HS TB'!$R:$R,'HS P&amp;L'!$A29,'YBHN HS TB'!F:F)</f>
        <v/>
      </c>
      <c r="S29" s="37">
        <f>SUMIF('YBHN HS TB'!$R:$R,'HS P&amp;L'!$A29,'YBHN HS TB'!G:G)</f>
        <v/>
      </c>
      <c r="T29" s="37">
        <f>SUMIF('YBHN HS TB'!$R:$R,'HS P&amp;L'!$A29,'YBHN HS TB'!H:H)</f>
        <v/>
      </c>
      <c r="U29" s="37">
        <f>SUMIF('YBHN HS TB'!$R:$R,'HS P&amp;L'!$A29,'YBHN HS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0.00208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SUMIF('YBHN HS TB'!$R:$R,'HS P&amp;L'!$A30,'YBHN HS TB'!C:C)</f>
        <v/>
      </c>
      <c r="P30" s="37">
        <f>SUMIF('YBHN HS TB'!$R:$R,'HS P&amp;L'!$A30,'YBHN HS TB'!D:D)</f>
        <v/>
      </c>
      <c r="Q30" s="37">
        <f>SUMIF('YBHN HS TB'!$R:$R,'HS P&amp;L'!$A30,'YBHN HS TB'!E:E)</f>
        <v/>
      </c>
      <c r="R30" s="37">
        <f>SUMIF('YBHN HS TB'!$R:$R,'HS P&amp;L'!$A30,'YBHN HS TB'!F:F)</f>
        <v/>
      </c>
      <c r="S30" s="37">
        <f>SUMIF('YBHN HS TB'!$R:$R,'HS P&amp;L'!$A30,'YBHN HS TB'!G:G)</f>
        <v/>
      </c>
      <c r="T30" s="37">
        <f>SUMIF('YBHN HS TB'!$R:$R,'HS P&amp;L'!$A30,'YBHN HS TB'!H:H)</f>
        <v/>
      </c>
      <c r="U30" s="37">
        <f>SUMIF('YBHN HS TB'!$R:$R,'HS P&amp;L'!$A30,'YBHN HS TB'!I:I)</f>
        <v/>
      </c>
      <c r="V30" s="38" t="n">
        <v>50</v>
      </c>
      <c r="W30" s="38" t="n">
        <v>50</v>
      </c>
      <c r="X30" s="38" t="n">
        <v>50</v>
      </c>
      <c r="Y30" s="38" t="n">
        <v>50</v>
      </c>
      <c r="Z30" s="38" t="n">
        <v>50</v>
      </c>
      <c r="AA30" s="36">
        <f>SUM(O30:U30)</f>
        <v/>
      </c>
      <c r="AB30" s="36">
        <f>SUM(O30:Z30)</f>
        <v/>
      </c>
      <c r="AC30" s="38" t="n">
        <v>50</v>
      </c>
      <c r="AD30" s="38" t="n">
        <v>50</v>
      </c>
      <c r="AE30" s="38" t="n">
        <v>50</v>
      </c>
      <c r="AF30" s="38" t="n">
        <v>50</v>
      </c>
      <c r="AG30" s="38" t="n">
        <v>50</v>
      </c>
      <c r="AH30" s="38" t="n">
        <v>50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0</v>
      </c>
      <c r="C31" s="35" t="n">
        <v>0</v>
      </c>
      <c r="D31" s="35" t="n">
        <v>0</v>
      </c>
      <c r="E31" s="35" t="n">
        <v>0</v>
      </c>
      <c r="F31" s="35" t="n">
        <v>0</v>
      </c>
      <c r="G31" s="35" t="n">
        <v>0</v>
      </c>
      <c r="H31" s="35" t="n">
        <v>0</v>
      </c>
      <c r="I31" s="35" t="n">
        <v>224.96</v>
      </c>
      <c r="J31" s="35" t="n">
        <v>196.03</v>
      </c>
      <c r="K31" s="35" t="n">
        <v>85.5</v>
      </c>
      <c r="L31" s="35" t="n">
        <v>39.63</v>
      </c>
      <c r="M31" s="35" t="n">
        <v>0</v>
      </c>
      <c r="N31" s="36">
        <f>SUM(B31:M31)</f>
        <v/>
      </c>
      <c r="O31" s="37">
        <f>SUMIF('YBHN HS TB'!$R:$R,'HS P&amp;L'!$A31,'YBHN HS TB'!C:C)</f>
        <v/>
      </c>
      <c r="P31" s="37">
        <f>SUMIF('YBHN HS TB'!$R:$R,'HS P&amp;L'!$A31,'YBHN HS TB'!D:D)</f>
        <v/>
      </c>
      <c r="Q31" s="37">
        <f>SUMIF('YBHN HS TB'!$R:$R,'HS P&amp;L'!$A31,'YBHN HS TB'!E:E)</f>
        <v/>
      </c>
      <c r="R31" s="37">
        <f>SUMIF('YBHN HS TB'!$R:$R,'HS P&amp;L'!$A31,'YBHN HS TB'!F:F)</f>
        <v/>
      </c>
      <c r="S31" s="37">
        <f>SUMIF('YBHN HS TB'!$R:$R,'HS P&amp;L'!$A31,'YBHN HS TB'!G:G)</f>
        <v/>
      </c>
      <c r="T31" s="37">
        <f>SUMIF('YBHN HS TB'!$R:$R,'HS P&amp;L'!$A31,'YBHN HS TB'!H:H)</f>
        <v/>
      </c>
      <c r="U31" s="37">
        <f>SUMIF('YBHN HS TB'!$R:$R,'HS P&amp;L'!$A31,'YBHN HS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0</v>
      </c>
      <c r="C32" s="35" t="n">
        <v>0</v>
      </c>
      <c r="D32" s="35" t="n">
        <v>0</v>
      </c>
      <c r="E32" s="35" t="n">
        <v>0</v>
      </c>
      <c r="F32" s="35" t="n">
        <v>0</v>
      </c>
      <c r="G32" s="35" t="n">
        <v>0</v>
      </c>
      <c r="H32" s="35" t="n">
        <v>9.300000000000001</v>
      </c>
      <c r="I32" s="35" t="n">
        <v>5.65</v>
      </c>
      <c r="J32" s="35" t="n">
        <v>15.98</v>
      </c>
      <c r="K32" s="35" t="n">
        <v>0</v>
      </c>
      <c r="L32" s="35" t="n">
        <v>0</v>
      </c>
      <c r="M32" s="35" t="n">
        <v>0</v>
      </c>
      <c r="N32" s="36">
        <f>SUM(B32:M32)</f>
        <v/>
      </c>
      <c r="O32" s="37">
        <f>SUMIF('YBHN HS TB'!$R:$R,'HS P&amp;L'!$A32,'YBHN HS TB'!C:C)</f>
        <v/>
      </c>
      <c r="P32" s="37">
        <f>SUMIF('YBHN HS TB'!$R:$R,'HS P&amp;L'!$A32,'YBHN HS TB'!D:D)</f>
        <v/>
      </c>
      <c r="Q32" s="37">
        <f>SUMIF('YBHN HS TB'!$R:$R,'HS P&amp;L'!$A32,'YBHN HS TB'!E:E)</f>
        <v/>
      </c>
      <c r="R32" s="37">
        <f>SUMIF('YBHN HS TB'!$R:$R,'HS P&amp;L'!$A32,'YBHN HS TB'!F:F)</f>
        <v/>
      </c>
      <c r="S32" s="37">
        <f>SUMIF('YBHN HS TB'!$R:$R,'HS P&amp;L'!$A32,'YBHN HS TB'!G:G)</f>
        <v/>
      </c>
      <c r="T32" s="37">
        <f>SUMIF('YBHN HS TB'!$R:$R,'HS P&amp;L'!$A32,'YBHN HS TB'!H:H)</f>
        <v/>
      </c>
      <c r="U32" s="37">
        <f>SUMIF('YBHN HS TB'!$R:$R,'HS P&amp;L'!$A32,'YBHN HS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0.004160000000000001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SUMIF('YBHN HS TB'!$R:$R,'HS P&amp;L'!$A33,'YBHN HS TB'!C:C)</f>
        <v/>
      </c>
      <c r="P33" s="37">
        <f>SUMIF('YBHN HS TB'!$R:$R,'HS P&amp;L'!$A33,'YBHN HS TB'!D:D)</f>
        <v/>
      </c>
      <c r="Q33" s="37">
        <f>SUMIF('YBHN HS TB'!$R:$R,'HS P&amp;L'!$A33,'YBHN HS TB'!E:E)</f>
        <v/>
      </c>
      <c r="R33" s="37">
        <f>SUMIF('YBHN HS TB'!$R:$R,'HS P&amp;L'!$A33,'YBHN HS TB'!F:F)</f>
        <v/>
      </c>
      <c r="S33" s="37">
        <f>SUMIF('YBHN HS TB'!$R:$R,'HS P&amp;L'!$A33,'YBHN HS TB'!G:G)</f>
        <v/>
      </c>
      <c r="T33" s="37">
        <f>SUMIF('YBHN HS TB'!$R:$R,'HS P&amp;L'!$A33,'YBHN HS TB'!H:H)</f>
        <v/>
      </c>
      <c r="U33" s="37">
        <f>SUMIF('YBHN HS TB'!$R:$R,'HS P&amp;L'!$A33,'YBHN HS TB'!I:I)</f>
        <v/>
      </c>
      <c r="V33" s="38" t="n">
        <v>4</v>
      </c>
      <c r="W33" s="38" t="n">
        <v>5</v>
      </c>
      <c r="X33" s="38" t="n">
        <v>6</v>
      </c>
      <c r="Y33" s="38" t="n">
        <v>7</v>
      </c>
      <c r="Z33" s="38" t="n">
        <v>8</v>
      </c>
      <c r="AA33" s="36">
        <f>SUM(O33:U33)</f>
        <v/>
      </c>
      <c r="AB33" s="36">
        <f>SUM(O33:Z33)</f>
        <v/>
      </c>
      <c r="AC33" s="38" t="n">
        <v>8</v>
      </c>
      <c r="AD33" s="38" t="n">
        <v>8</v>
      </c>
      <c r="AE33" s="38" t="n">
        <v>8</v>
      </c>
      <c r="AF33" s="38" t="n">
        <v>8</v>
      </c>
      <c r="AG33" s="38" t="n">
        <v>8</v>
      </c>
      <c r="AH33" s="38" t="n">
        <v>8</v>
      </c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0</v>
      </c>
      <c r="C34" s="42" t="n">
        <v>0</v>
      </c>
      <c r="D34" s="42" t="n">
        <v>0</v>
      </c>
      <c r="E34" s="42" t="n">
        <v>0</v>
      </c>
      <c r="F34" s="42" t="n">
        <v>0</v>
      </c>
      <c r="G34" s="42" t="n">
        <v>0</v>
      </c>
      <c r="H34" s="42" t="n">
        <v>9.300000000000001</v>
      </c>
      <c r="I34" s="42" t="n">
        <v>230.61</v>
      </c>
      <c r="J34" s="42" t="n">
        <v>4105.969999999999</v>
      </c>
      <c r="K34" s="42" t="n">
        <v>124.19</v>
      </c>
      <c r="L34" s="42" t="n">
        <v>177.9</v>
      </c>
      <c r="M34" s="42" t="n">
        <v>0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352.17</v>
      </c>
      <c r="C36" s="35" t="n">
        <v>352.17</v>
      </c>
      <c r="D36" s="35" t="n">
        <v>352.17</v>
      </c>
      <c r="E36" s="35" t="n">
        <v>352.17</v>
      </c>
      <c r="F36" s="35" t="n">
        <v>352.16</v>
      </c>
      <c r="G36" s="35" t="n">
        <v>352.17</v>
      </c>
      <c r="H36" s="35" t="n">
        <v>352.17</v>
      </c>
      <c r="I36" s="35" t="n">
        <v>352.17</v>
      </c>
      <c r="J36" s="35" t="n">
        <v>352.16</v>
      </c>
      <c r="K36" s="35" t="n">
        <v>352.17</v>
      </c>
      <c r="L36" s="35" t="n">
        <v>352.17</v>
      </c>
      <c r="M36" s="35" t="n">
        <v>352.17</v>
      </c>
      <c r="N36" s="36">
        <f>SUM(B36:M36)</f>
        <v/>
      </c>
      <c r="O36" s="37">
        <f>SUMIF('YBHN HS TB'!$R:$R,'HS P&amp;L'!$A36,'YBHN HS TB'!C:C)</f>
        <v/>
      </c>
      <c r="P36" s="37">
        <f>SUMIF('YBHN HS TB'!$R:$R,'HS P&amp;L'!$A36,'YBHN HS TB'!D:D)</f>
        <v/>
      </c>
      <c r="Q36" s="37">
        <f>SUMIF('YBHN HS TB'!$R:$R,'HS P&amp;L'!$A36,'YBHN HS TB'!E:E)</f>
        <v/>
      </c>
      <c r="R36" s="37">
        <f>SUMIF('YBHN HS TB'!$R:$R,'HS P&amp;L'!$A36,'YBHN HS TB'!F:F)</f>
        <v/>
      </c>
      <c r="S36" s="37">
        <f>SUMIF('YBHN HS TB'!$R:$R,'HS P&amp;L'!$A36,'YBHN HS TB'!G:G)</f>
        <v/>
      </c>
      <c r="T36" s="37">
        <f>SUMIF('YBHN HS TB'!$R:$R,'HS P&amp;L'!$A36,'YBHN HS TB'!H:H)</f>
        <v/>
      </c>
      <c r="U36" s="37">
        <f>SUMIF('YBHN HS TB'!$R:$R,'HS P&amp;L'!$A36,'YBHN HS TB'!I:I)</f>
        <v/>
      </c>
      <c r="V36" s="38" t="n">
        <v>0</v>
      </c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336.83</v>
      </c>
      <c r="C37" s="35" t="n">
        <v>336.83</v>
      </c>
      <c r="D37" s="35" t="n">
        <v>336.83</v>
      </c>
      <c r="E37" s="35" t="n">
        <v>336.83</v>
      </c>
      <c r="F37" s="35" t="n">
        <v>336.82</v>
      </c>
      <c r="G37" s="35" t="n">
        <v>336.83</v>
      </c>
      <c r="H37" s="35" t="n">
        <v>336.83</v>
      </c>
      <c r="I37" s="35" t="n">
        <v>336.83</v>
      </c>
      <c r="J37" s="35" t="n">
        <v>336.83</v>
      </c>
      <c r="K37" s="35" t="n">
        <v>336.83</v>
      </c>
      <c r="L37" s="35" t="n">
        <v>336.83</v>
      </c>
      <c r="M37" s="35" t="n">
        <v>336.83</v>
      </c>
      <c r="N37" s="36">
        <f>SUM(B37:M37)</f>
        <v/>
      </c>
      <c r="O37" s="37">
        <f>SUMIF('YBHN HS TB'!$R:$R,'HS P&amp;L'!$A37,'YBHN HS TB'!C:C)</f>
        <v/>
      </c>
      <c r="P37" s="37">
        <f>SUMIF('YBHN HS TB'!$R:$R,'HS P&amp;L'!$A37,'YBHN HS TB'!D:D)</f>
        <v/>
      </c>
      <c r="Q37" s="37">
        <f>SUMIF('YBHN HS TB'!$R:$R,'HS P&amp;L'!$A37,'YBHN HS TB'!E:E)</f>
        <v/>
      </c>
      <c r="R37" s="37">
        <f>SUMIF('YBHN HS TB'!$R:$R,'HS P&amp;L'!$A37,'YBHN HS TB'!F:F)</f>
        <v/>
      </c>
      <c r="S37" s="37">
        <f>SUMIF('YBHN HS TB'!$R:$R,'HS P&amp;L'!$A37,'YBHN HS TB'!G:G)</f>
        <v/>
      </c>
      <c r="T37" s="37">
        <f>SUMIF('YBHN HS TB'!$R:$R,'HS P&amp;L'!$A37,'YBHN HS TB'!H:H)</f>
        <v/>
      </c>
      <c r="U37" s="37">
        <f>SUMIF('YBHN HS TB'!$R:$R,'HS P&amp;L'!$A37,'YBHN HS TB'!I:I)</f>
        <v/>
      </c>
      <c r="V37" s="38" t="n">
        <v>459</v>
      </c>
      <c r="W37" s="38" t="n">
        <v>459</v>
      </c>
      <c r="X37" s="38" t="n">
        <v>459</v>
      </c>
      <c r="Y37" s="38" t="n">
        <v>459</v>
      </c>
      <c r="Z37" s="38" t="n">
        <v>459</v>
      </c>
      <c r="AA37" s="36">
        <f>SUM(O37:U37)</f>
        <v/>
      </c>
      <c r="AB37" s="36">
        <f>SUM(O37:Z37)</f>
        <v/>
      </c>
      <c r="AC37" s="38" t="n">
        <v>459</v>
      </c>
      <c r="AD37" s="38" t="n">
        <v>459</v>
      </c>
      <c r="AE37" s="38" t="n">
        <v>459</v>
      </c>
      <c r="AF37" s="38" t="n">
        <v>459</v>
      </c>
      <c r="AG37" s="38" t="n">
        <v>459</v>
      </c>
      <c r="AH37" s="38" t="n">
        <v>459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33.48</v>
      </c>
      <c r="C38" s="35" t="n">
        <v>-23.92999999999999</v>
      </c>
      <c r="D38" s="35" t="n">
        <v>0</v>
      </c>
      <c r="E38" s="35" t="n">
        <v>0</v>
      </c>
      <c r="F38" s="35" t="n">
        <v>-219.14</v>
      </c>
      <c r="G38" s="35" t="n">
        <v>27.29</v>
      </c>
      <c r="H38" s="35" t="n">
        <v>26.41</v>
      </c>
      <c r="I38" s="35" t="n">
        <v>27.29</v>
      </c>
      <c r="J38" s="35" t="n">
        <v>26.05</v>
      </c>
      <c r="K38" s="35" t="n">
        <v>213.56</v>
      </c>
      <c r="L38" s="35" t="n">
        <v>334.75</v>
      </c>
      <c r="M38" s="35" t="n">
        <v>-109.84</v>
      </c>
      <c r="N38" s="36">
        <f>SUM(B38:M38)</f>
        <v/>
      </c>
      <c r="O38" s="37">
        <f>SUMIF('YBHN HS TB'!$R:$R,'HS P&amp;L'!$A38,'YBHN HS TB'!C:C)</f>
        <v/>
      </c>
      <c r="P38" s="37">
        <f>SUMIF('YBHN HS TB'!$R:$R,'HS P&amp;L'!$A38,'YBHN HS TB'!D:D)</f>
        <v/>
      </c>
      <c r="Q38" s="37">
        <f>SUMIF('YBHN HS TB'!$R:$R,'HS P&amp;L'!$A38,'YBHN HS TB'!E:E)</f>
        <v/>
      </c>
      <c r="R38" s="37">
        <f>SUMIF('YBHN HS TB'!$R:$R,'HS P&amp;L'!$A38,'YBHN HS TB'!F:F)</f>
        <v/>
      </c>
      <c r="S38" s="37">
        <f>SUMIF('YBHN HS TB'!$R:$R,'HS P&amp;L'!$A38,'YBHN HS TB'!G:G)</f>
        <v/>
      </c>
      <c r="T38" s="37">
        <f>SUMIF('YBHN HS TB'!$R:$R,'HS P&amp;L'!$A38,'YBHN HS TB'!H:H)</f>
        <v/>
      </c>
      <c r="U38" s="37">
        <f>SUMIF('YBHN HS TB'!$R:$R,'HS P&amp;L'!$A38,'YBHN HS TB'!I:I)</f>
        <v/>
      </c>
      <c r="V38" s="38" t="n">
        <v>260</v>
      </c>
      <c r="W38" s="38" t="n">
        <v>260</v>
      </c>
      <c r="X38" s="38" t="n">
        <v>260</v>
      </c>
      <c r="Y38" s="38" t="n">
        <v>260</v>
      </c>
      <c r="Z38" s="38" t="n">
        <v>260</v>
      </c>
      <c r="AA38" s="36">
        <f>SUM(O38:U38)</f>
        <v/>
      </c>
      <c r="AB38" s="36">
        <f>SUM(O38:Z38)</f>
        <v/>
      </c>
      <c r="AC38" s="38" t="n">
        <v>260</v>
      </c>
      <c r="AD38" s="38" t="n">
        <v>260</v>
      </c>
      <c r="AE38" s="38" t="n">
        <v>260</v>
      </c>
      <c r="AF38" s="38" t="n">
        <v>260</v>
      </c>
      <c r="AG38" s="38" t="n">
        <v>260</v>
      </c>
      <c r="AH38" s="38" t="n">
        <v>260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0</v>
      </c>
      <c r="C39" s="35" t="n">
        <v>0</v>
      </c>
      <c r="D39" s="35" t="n">
        <v>0</v>
      </c>
      <c r="E39" s="35" t="n">
        <v>0</v>
      </c>
      <c r="F39" s="35" t="n">
        <v>0</v>
      </c>
      <c r="G39" s="35" t="n">
        <v>8439.74</v>
      </c>
      <c r="H39" s="35" t="n">
        <v>3019.400000000001</v>
      </c>
      <c r="I39" s="35" t="n">
        <v>850.47</v>
      </c>
      <c r="J39" s="35" t="n">
        <v>185.01</v>
      </c>
      <c r="K39" s="35" t="n">
        <v>0</v>
      </c>
      <c r="L39" s="35" t="n">
        <v>0</v>
      </c>
      <c r="M39" s="35" t="n">
        <v>108</v>
      </c>
      <c r="N39" s="36">
        <f>SUM(B39:M39)</f>
        <v/>
      </c>
      <c r="O39" s="37">
        <f>SUMIF('YBHN HS TB'!$R:$R,'HS P&amp;L'!$A39,'YBHN HS TB'!C:C)</f>
        <v/>
      </c>
      <c r="P39" s="37">
        <f>SUMIF('YBHN HS TB'!$R:$R,'HS P&amp;L'!$A39,'YBHN HS TB'!D:D)</f>
        <v/>
      </c>
      <c r="Q39" s="37">
        <f>SUMIF('YBHN HS TB'!$R:$R,'HS P&amp;L'!$A39,'YBHN HS TB'!E:E)</f>
        <v/>
      </c>
      <c r="R39" s="37">
        <f>SUMIF('YBHN HS TB'!$R:$R,'HS P&amp;L'!$A39,'YBHN HS TB'!F:F)</f>
        <v/>
      </c>
      <c r="S39" s="37">
        <f>SUMIF('YBHN HS TB'!$R:$R,'HS P&amp;L'!$A39,'YBHN HS TB'!G:G)</f>
        <v/>
      </c>
      <c r="T39" s="37">
        <f>SUMIF('YBHN HS TB'!$R:$R,'HS P&amp;L'!$A39,'YBHN HS TB'!H:H)</f>
        <v/>
      </c>
      <c r="U39" s="37">
        <f>SUMIF('YBHN HS TB'!$R:$R,'HS P&amp;L'!$A39,'YBHN HS TB'!I:I)</f>
        <v/>
      </c>
      <c r="V39" s="38" t="n">
        <v>500</v>
      </c>
      <c r="W39" s="38" t="n">
        <v>500</v>
      </c>
      <c r="X39" s="38" t="n">
        <v>500</v>
      </c>
      <c r="Y39" s="38" t="n">
        <v>500</v>
      </c>
      <c r="Z39" s="38" t="n">
        <v>500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0</v>
      </c>
      <c r="C40" s="35" t="n">
        <v>0</v>
      </c>
      <c r="D40" s="35" t="n">
        <v>0</v>
      </c>
      <c r="E40" s="35" t="n">
        <v>0</v>
      </c>
      <c r="F40" s="35" t="n">
        <v>0</v>
      </c>
      <c r="G40" s="35" t="n">
        <v>0</v>
      </c>
      <c r="H40" s="35" t="n">
        <v>0</v>
      </c>
      <c r="I40" s="35" t="n">
        <v>0</v>
      </c>
      <c r="J40" s="35" t="n">
        <v>157.02</v>
      </c>
      <c r="K40" s="35" t="n">
        <v>0</v>
      </c>
      <c r="L40" s="35" t="n">
        <v>0</v>
      </c>
      <c r="M40" s="35" t="n">
        <v>0</v>
      </c>
      <c r="N40" s="36">
        <f>SUM(B40:M40)</f>
        <v/>
      </c>
      <c r="O40" s="37">
        <f>SUMIF('YBHN HS TB'!$R:$R,'HS P&amp;L'!$A40,'YBHN HS TB'!C:C)</f>
        <v/>
      </c>
      <c r="P40" s="37">
        <f>SUMIF('YBHN HS TB'!$R:$R,'HS P&amp;L'!$A40,'YBHN HS TB'!D:D)</f>
        <v/>
      </c>
      <c r="Q40" s="37">
        <f>SUMIF('YBHN HS TB'!$R:$R,'HS P&amp;L'!$A40,'YBHN HS TB'!E:E)</f>
        <v/>
      </c>
      <c r="R40" s="37">
        <f>SUMIF('YBHN HS TB'!$R:$R,'HS P&amp;L'!$A40,'YBHN HS TB'!F:F)</f>
        <v/>
      </c>
      <c r="S40" s="37">
        <f>SUMIF('YBHN HS TB'!$R:$R,'HS P&amp;L'!$A40,'YBHN HS TB'!G:G)</f>
        <v/>
      </c>
      <c r="T40" s="37">
        <f>SUMIF('YBHN HS TB'!$R:$R,'HS P&amp;L'!$A40,'YBHN HS TB'!H:H)</f>
        <v/>
      </c>
      <c r="U40" s="37">
        <f>SUMIF('YBHN HS TB'!$R:$R,'HS P&amp;L'!$A40,'YBHN HS TB'!I:I)</f>
        <v/>
      </c>
      <c r="V40" s="38" t="n">
        <v>160</v>
      </c>
      <c r="W40" s="38" t="n">
        <v>160</v>
      </c>
      <c r="X40" s="38" t="n">
        <v>160</v>
      </c>
      <c r="Y40" s="38" t="n">
        <v>160</v>
      </c>
      <c r="Z40" s="38" t="n">
        <v>160</v>
      </c>
      <c r="AA40" s="36">
        <f>SUM(O40:U40)</f>
        <v/>
      </c>
      <c r="AB40" s="36">
        <f>SUM(O40:Z40)</f>
        <v/>
      </c>
      <c r="AC40" s="38" t="n">
        <v>160</v>
      </c>
      <c r="AD40" s="38" t="n">
        <v>160</v>
      </c>
      <c r="AE40" s="38" t="n">
        <v>160</v>
      </c>
      <c r="AF40" s="38" t="n">
        <v>160</v>
      </c>
      <c r="AG40" s="38" t="n">
        <v>160</v>
      </c>
      <c r="AH40" s="38" t="n">
        <v>160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0</v>
      </c>
      <c r="C41" s="35" t="n">
        <v>0</v>
      </c>
      <c r="D41" s="35" t="n">
        <v>0</v>
      </c>
      <c r="E41" s="35" t="n">
        <v>0</v>
      </c>
      <c r="F41" s="35" t="n">
        <v>0</v>
      </c>
      <c r="G41" s="35" t="n">
        <v>0</v>
      </c>
      <c r="H41" s="35" t="n">
        <v>0</v>
      </c>
      <c r="I41" s="35" t="n">
        <v>0</v>
      </c>
      <c r="J41" s="35" t="n">
        <v>469.6</v>
      </c>
      <c r="K41" s="35" t="n">
        <v>129.62</v>
      </c>
      <c r="L41" s="35" t="n">
        <v>323.75</v>
      </c>
      <c r="M41" s="35" t="n">
        <v>335.15</v>
      </c>
      <c r="N41" s="36">
        <f>SUM(B41:M41)</f>
        <v/>
      </c>
      <c r="O41" s="37">
        <f>SUMIF('YBHN HS TB'!$R:$R,'HS P&amp;L'!$A41,'YBHN HS TB'!C:C)</f>
        <v/>
      </c>
      <c r="P41" s="37">
        <f>SUMIF('YBHN HS TB'!$R:$R,'HS P&amp;L'!$A41,'YBHN HS TB'!D:D)</f>
        <v/>
      </c>
      <c r="Q41" s="37">
        <f>SUMIF('YBHN HS TB'!$R:$R,'HS P&amp;L'!$A41,'YBHN HS TB'!E:E)</f>
        <v/>
      </c>
      <c r="R41" s="37">
        <f>SUMIF('YBHN HS TB'!$R:$R,'HS P&amp;L'!$A41,'YBHN HS TB'!F:F)</f>
        <v/>
      </c>
      <c r="S41" s="37">
        <f>SUMIF('YBHN HS TB'!$R:$R,'HS P&amp;L'!$A41,'YBHN HS TB'!G:G)</f>
        <v/>
      </c>
      <c r="T41" s="37">
        <f>SUMIF('YBHN HS TB'!$R:$R,'HS P&amp;L'!$A41,'YBHN HS TB'!H:H)</f>
        <v/>
      </c>
      <c r="U41" s="37">
        <f>SUMIF('YBHN HS TB'!$R:$R,'HS P&amp;L'!$A41,'YBHN HS TB'!I:I)</f>
        <v/>
      </c>
      <c r="V41" s="38" t="n">
        <v>200</v>
      </c>
      <c r="W41" s="38" t="n">
        <v>200</v>
      </c>
      <c r="X41" s="38" t="n">
        <v>200</v>
      </c>
      <c r="Y41" s="38" t="n">
        <v>200</v>
      </c>
      <c r="Z41" s="38" t="n">
        <v>200</v>
      </c>
      <c r="AA41" s="36">
        <f>SUM(O41:U41)</f>
        <v/>
      </c>
      <c r="AB41" s="36">
        <f>SUM(O41:Z41)</f>
        <v/>
      </c>
      <c r="AC41" s="38" t="n">
        <v>200</v>
      </c>
      <c r="AD41" s="38" t="n">
        <v>200</v>
      </c>
      <c r="AE41" s="38" t="n">
        <v>200</v>
      </c>
      <c r="AF41" s="38" t="n">
        <v>200</v>
      </c>
      <c r="AG41" s="38" t="n">
        <v>200</v>
      </c>
      <c r="AH41" s="38" t="n">
        <v>200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0</v>
      </c>
      <c r="C42" s="35" t="n">
        <v>0</v>
      </c>
      <c r="D42" s="35" t="n">
        <v>0</v>
      </c>
      <c r="E42" s="35" t="n">
        <v>0</v>
      </c>
      <c r="F42" s="35" t="n">
        <v>0</v>
      </c>
      <c r="G42" s="35" t="n">
        <v>0</v>
      </c>
      <c r="H42" s="35" t="n">
        <v>0</v>
      </c>
      <c r="I42" s="35" t="n">
        <v>227.2</v>
      </c>
      <c r="J42" s="35" t="n">
        <v>131.95</v>
      </c>
      <c r="K42" s="35" t="n">
        <v>0</v>
      </c>
      <c r="L42" s="35" t="n">
        <v>19.19</v>
      </c>
      <c r="M42" s="35" t="n">
        <v>0</v>
      </c>
      <c r="N42" s="36">
        <f>SUM(B42:M42)</f>
        <v/>
      </c>
      <c r="O42" s="37">
        <f>SUMIF('YBHN HS TB'!$R:$R,'HS P&amp;L'!$A42,'YBHN HS TB'!C:C)</f>
        <v/>
      </c>
      <c r="P42" s="37">
        <f>SUMIF('YBHN HS TB'!$R:$R,'HS P&amp;L'!$A42,'YBHN HS TB'!D:D)</f>
        <v/>
      </c>
      <c r="Q42" s="37">
        <f>SUMIF('YBHN HS TB'!$R:$R,'HS P&amp;L'!$A42,'YBHN HS TB'!E:E)</f>
        <v/>
      </c>
      <c r="R42" s="37">
        <f>SUMIF('YBHN HS TB'!$R:$R,'HS P&amp;L'!$A42,'YBHN HS TB'!F:F)</f>
        <v/>
      </c>
      <c r="S42" s="37">
        <f>SUMIF('YBHN HS TB'!$R:$R,'HS P&amp;L'!$A42,'YBHN HS TB'!G:G)</f>
        <v/>
      </c>
      <c r="T42" s="37">
        <f>SUMIF('YBHN HS TB'!$R:$R,'HS P&amp;L'!$A42,'YBHN HS TB'!H:H)</f>
        <v/>
      </c>
      <c r="U42" s="37">
        <f>SUMIF('YBHN HS TB'!$R:$R,'HS P&amp;L'!$A42,'YBHN HS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10</v>
      </c>
      <c r="L43" s="35" t="n">
        <v>10</v>
      </c>
      <c r="M43" s="35" t="n">
        <v>10</v>
      </c>
      <c r="N43" s="36">
        <f>SUM(B43:M43)</f>
        <v/>
      </c>
      <c r="O43" s="37">
        <f>SUMIF('YBHN HS TB'!$R:$R,'HS P&amp;L'!$A43,'YBHN HS TB'!C:C)</f>
        <v/>
      </c>
      <c r="P43" s="37">
        <f>SUMIF('YBHN HS TB'!$R:$R,'HS P&amp;L'!$A43,'YBHN HS TB'!D:D)</f>
        <v/>
      </c>
      <c r="Q43" s="37">
        <f>SUMIF('YBHN HS TB'!$R:$R,'HS P&amp;L'!$A43,'YBHN HS TB'!E:E)</f>
        <v/>
      </c>
      <c r="R43" s="37">
        <f>SUMIF('YBHN HS TB'!$R:$R,'HS P&amp;L'!$A43,'YBHN HS TB'!F:F)</f>
        <v/>
      </c>
      <c r="S43" s="37">
        <f>SUMIF('YBHN HS TB'!$R:$R,'HS P&amp;L'!$A43,'YBHN HS TB'!G:G)</f>
        <v/>
      </c>
      <c r="T43" s="37">
        <f>SUMIF('YBHN HS TB'!$R:$R,'HS P&amp;L'!$A43,'YBHN HS TB'!H:H)</f>
        <v/>
      </c>
      <c r="U43" s="37">
        <f>SUMIF('YBHN HS TB'!$R:$R,'HS P&amp;L'!$A43,'YBHN HS TB'!I:I)</f>
        <v/>
      </c>
      <c r="V43" s="38" t="n">
        <v>10</v>
      </c>
      <c r="W43" s="38" t="n">
        <v>10</v>
      </c>
      <c r="X43" s="38" t="n">
        <v>10</v>
      </c>
      <c r="Y43" s="38" t="n">
        <v>10</v>
      </c>
      <c r="Z43" s="38" t="n">
        <v>10</v>
      </c>
      <c r="AA43" s="36">
        <f>SUM(O43:U43)</f>
        <v/>
      </c>
      <c r="AB43" s="36">
        <f>SUM(O43:Z43)</f>
        <v/>
      </c>
      <c r="AC43" s="38" t="n">
        <v>10</v>
      </c>
      <c r="AD43" s="38" t="n">
        <v>10</v>
      </c>
      <c r="AE43" s="38" t="n">
        <v>10</v>
      </c>
      <c r="AF43" s="38" t="n">
        <v>10</v>
      </c>
      <c r="AG43" s="38" t="n">
        <v>10</v>
      </c>
      <c r="AH43" s="38" t="n">
        <v>10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SUMIF('YBHN HS TB'!$R:$R,'HS P&amp;L'!$A44,'YBHN HS TB'!C:C)</f>
        <v/>
      </c>
      <c r="P44" s="37">
        <f>SUMIF('YBHN HS TB'!$R:$R,'HS P&amp;L'!$A44,'YBHN HS TB'!D:D)</f>
        <v/>
      </c>
      <c r="Q44" s="37">
        <f>SUMIF('YBHN HS TB'!$R:$R,'HS P&amp;L'!$A44,'YBHN HS TB'!E:E)</f>
        <v/>
      </c>
      <c r="R44" s="37">
        <f>SUMIF('YBHN HS TB'!$R:$R,'HS P&amp;L'!$A44,'YBHN HS TB'!F:F)</f>
        <v/>
      </c>
      <c r="S44" s="37">
        <f>SUMIF('YBHN HS TB'!$R:$R,'HS P&amp;L'!$A44,'YBHN HS TB'!G:G)</f>
        <v/>
      </c>
      <c r="T44" s="37">
        <f>SUMIF('YBHN HS TB'!$R:$R,'HS P&amp;L'!$A44,'YBHN HS TB'!H:H)</f>
        <v/>
      </c>
      <c r="U44" s="37">
        <f>SUMIF('YBHN HS TB'!$R:$R,'HS P&amp;L'!$A44,'YBHN HS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348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SUMIF('YBHN HS TB'!$R:$R,'HS P&amp;L'!$A45,'YBHN HS TB'!C:C)</f>
        <v/>
      </c>
      <c r="P45" s="37">
        <f>SUMIF('YBHN HS TB'!$R:$R,'HS P&amp;L'!$A45,'YBHN HS TB'!D:D)</f>
        <v/>
      </c>
      <c r="Q45" s="37">
        <f>SUMIF('YBHN HS TB'!$R:$R,'HS P&amp;L'!$A45,'YBHN HS TB'!E:E)</f>
        <v/>
      </c>
      <c r="R45" s="37">
        <f>SUMIF('YBHN HS TB'!$R:$R,'HS P&amp;L'!$A45,'YBHN HS TB'!F:F)</f>
        <v/>
      </c>
      <c r="S45" s="37">
        <f>SUMIF('YBHN HS TB'!$R:$R,'HS P&amp;L'!$A45,'YBHN HS TB'!G:G)</f>
        <v/>
      </c>
      <c r="T45" s="37">
        <f>SUMIF('YBHN HS TB'!$R:$R,'HS P&amp;L'!$A45,'YBHN HS TB'!H:H)</f>
        <v/>
      </c>
      <c r="U45" s="37">
        <f>SUMIF('YBHN HS TB'!$R:$R,'HS P&amp;L'!$A45,'YBHN HS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SUMIF('YBHN HS TB'!$R:$R,'HS P&amp;L'!$A46,'YBHN HS TB'!C:C)</f>
        <v/>
      </c>
      <c r="P46" s="37">
        <f>SUMIF('YBHN HS TB'!$R:$R,'HS P&amp;L'!$A46,'YBHN HS TB'!D:D)</f>
        <v/>
      </c>
      <c r="Q46" s="37">
        <f>SUMIF('YBHN HS TB'!$R:$R,'HS P&amp;L'!$A46,'YBHN HS TB'!E:E)</f>
        <v/>
      </c>
      <c r="R46" s="37">
        <f>SUMIF('YBHN HS TB'!$R:$R,'HS P&amp;L'!$A46,'YBHN HS TB'!F:F)</f>
        <v/>
      </c>
      <c r="S46" s="37">
        <f>SUMIF('YBHN HS TB'!$R:$R,'HS P&amp;L'!$A46,'YBHN HS TB'!G:G)</f>
        <v/>
      </c>
      <c r="T46" s="37">
        <f>SUMIF('YBHN HS TB'!$R:$R,'HS P&amp;L'!$A46,'YBHN HS TB'!H:H)</f>
        <v/>
      </c>
      <c r="U46" s="37">
        <f>SUMIF('YBHN HS TB'!$R:$R,'HS P&amp;L'!$A46,'YBHN HS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722.48</v>
      </c>
      <c r="C47" s="42" t="n">
        <v>665.0700000000001</v>
      </c>
      <c r="D47" s="42" t="n">
        <v>689</v>
      </c>
      <c r="E47" s="42" t="n">
        <v>689</v>
      </c>
      <c r="F47" s="42" t="n">
        <v>469.84</v>
      </c>
      <c r="G47" s="42" t="n">
        <v>9156.029999999999</v>
      </c>
      <c r="H47" s="42" t="n">
        <v>3734.81</v>
      </c>
      <c r="I47" s="42" t="n">
        <v>2141.96</v>
      </c>
      <c r="J47" s="42" t="n">
        <v>1658.62</v>
      </c>
      <c r="K47" s="42" t="n">
        <v>1042.18</v>
      </c>
      <c r="L47" s="42" t="n">
        <v>1376.69</v>
      </c>
      <c r="M47" s="42" t="n">
        <v>1032.31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722.48</v>
      </c>
      <c r="C48" s="23" t="n">
        <v>665.0700000000001</v>
      </c>
      <c r="D48" s="23" t="n">
        <v>689</v>
      </c>
      <c r="E48" s="23" t="n">
        <v>689</v>
      </c>
      <c r="F48" s="23" t="n">
        <v>469.84</v>
      </c>
      <c r="G48" s="23" t="n">
        <v>9156.029999999999</v>
      </c>
      <c r="H48" s="23" t="n">
        <v>3744.110000000001</v>
      </c>
      <c r="I48" s="23" t="n">
        <v>2372.57</v>
      </c>
      <c r="J48" s="23" t="n">
        <v>12892.24</v>
      </c>
      <c r="K48" s="23" t="n">
        <v>8634.199999999999</v>
      </c>
      <c r="L48" s="23" t="n">
        <v>9350.68</v>
      </c>
      <c r="M48" s="23" t="n">
        <v>8762.5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-722.48</v>
      </c>
      <c r="C50" s="55" t="n">
        <v>-665.0700000000001</v>
      </c>
      <c r="D50" s="55" t="n">
        <v>-689</v>
      </c>
      <c r="E50" s="55" t="n">
        <v>-689</v>
      </c>
      <c r="F50" s="55" t="n">
        <v>-469.84</v>
      </c>
      <c r="G50" s="55" t="n">
        <v>-9156.029999999999</v>
      </c>
      <c r="H50" s="55" t="n">
        <v>-3744.110000000001</v>
      </c>
      <c r="I50" s="55" t="n">
        <v>-2372.57</v>
      </c>
      <c r="J50" s="55" t="n">
        <v>-11368.6</v>
      </c>
      <c r="K50" s="55" t="n">
        <v>-7640.539999999999</v>
      </c>
      <c r="L50" s="55" t="n">
        <v>-1707.05</v>
      </c>
      <c r="M50" s="55" t="n">
        <v>-607.0100000000002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SUMIF('YBHN HS TB'!$R:$R,'HS P&amp;L'!$A53,'YBHN HS TB'!C:C)</f>
        <v/>
      </c>
      <c r="P53" s="37">
        <f>SUMIF('YBHN HS TB'!$R:$R,'HS P&amp;L'!$A53,'YBHN HS TB'!D:D)</f>
        <v/>
      </c>
      <c r="Q53" s="37">
        <f>SUMIF('YBHN HS TB'!$R:$R,'HS P&amp;L'!$A53,'YBHN HS TB'!E:E)</f>
        <v/>
      </c>
      <c r="R53" s="37">
        <f>SUMIF('YBHN HS TB'!$R:$R,'HS P&amp;L'!$A53,'YBHN HS TB'!F:F)</f>
        <v/>
      </c>
      <c r="S53" s="37">
        <f>SUMIF('YBHN HS TB'!$R:$R,'HS P&amp;L'!$A53,'YBHN HS TB'!G:G)</f>
        <v/>
      </c>
      <c r="T53" s="37">
        <f>SUMIF('YBHN HS TB'!$R:$R,'HS P&amp;L'!$A53,'YBHN HS TB'!H:H)</f>
        <v/>
      </c>
      <c r="U53" s="37">
        <f>SUMIF('YBHN HS TB'!$R:$R,'HS P&amp;L'!$A53,'YBHN HS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SUMIF('YBHN HS TB'!$R:$R,'HS P&amp;L'!$A54,'YBHN HS TB'!C:C)</f>
        <v/>
      </c>
      <c r="P54" s="37">
        <f>SUMIF('YBHN HS TB'!$R:$R,'HS P&amp;L'!$A54,'YBHN HS TB'!D:D)</f>
        <v/>
      </c>
      <c r="Q54" s="37">
        <f>SUMIF('YBHN HS TB'!$R:$R,'HS P&amp;L'!$A54,'YBHN HS TB'!E:E)</f>
        <v/>
      </c>
      <c r="R54" s="37">
        <f>SUMIF('YBHN HS TB'!$R:$R,'HS P&amp;L'!$A54,'YBHN HS TB'!F:F)</f>
        <v/>
      </c>
      <c r="S54" s="37">
        <f>SUMIF('YBHN HS TB'!$R:$R,'HS P&amp;L'!$A54,'YBHN HS TB'!G:G)</f>
        <v/>
      </c>
      <c r="T54" s="37">
        <f>SUMIF('YBHN HS TB'!$R:$R,'HS P&amp;L'!$A54,'YBHN HS TB'!H:H)</f>
        <v/>
      </c>
      <c r="U54" s="37">
        <f>SUMIF('YBHN HS TB'!$R:$R,'HS P&amp;L'!$A54,'YBHN HS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SUMIF('YBHN HS TB'!$R:$R,'HS P&amp;L'!$A55,'YBHN HS TB'!C:C)</f>
        <v/>
      </c>
      <c r="P55" s="37">
        <f>SUMIF('YBHN HS TB'!$R:$R,'HS P&amp;L'!$A55,'YBHN HS TB'!D:D)</f>
        <v/>
      </c>
      <c r="Q55" s="37">
        <f>SUMIF('YBHN HS TB'!$R:$R,'HS P&amp;L'!$A55,'YBHN HS TB'!E:E)</f>
        <v/>
      </c>
      <c r="R55" s="37">
        <f>SUMIF('YBHN HS TB'!$R:$R,'HS P&amp;L'!$A55,'YBHN HS TB'!F:F)</f>
        <v/>
      </c>
      <c r="S55" s="37">
        <f>SUMIF('YBHN HS TB'!$R:$R,'HS P&amp;L'!$A55,'YBHN HS TB'!G:G)</f>
        <v/>
      </c>
      <c r="T55" s="37">
        <f>SUMIF('YBHN HS TB'!$R:$R,'HS P&amp;L'!$A55,'YBHN HS TB'!H:H)</f>
        <v/>
      </c>
      <c r="U55" s="37">
        <f>SUMIF('YBHN HS TB'!$R:$R,'HS P&amp;L'!$A55,'YBHN HS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SUMIF('YBHN HS TB'!$R:$R,'HS P&amp;L'!$A56,'YBHN HS TB'!C:C)</f>
        <v/>
      </c>
      <c r="P56" s="37">
        <f>SUMIF('YBHN HS TB'!$R:$R,'HS P&amp;L'!$A56,'YBHN HS TB'!D:D)</f>
        <v/>
      </c>
      <c r="Q56" s="37">
        <f>SUMIF('YBHN HS TB'!$R:$R,'HS P&amp;L'!$A56,'YBHN HS TB'!E:E)</f>
        <v/>
      </c>
      <c r="R56" s="37">
        <f>SUMIF('YBHN HS TB'!$R:$R,'HS P&amp;L'!$A56,'YBHN HS TB'!F:F)</f>
        <v/>
      </c>
      <c r="S56" s="37">
        <f>SUMIF('YBHN HS TB'!$R:$R,'HS P&amp;L'!$A56,'YBHN HS TB'!G:G)</f>
        <v/>
      </c>
      <c r="T56" s="37">
        <f>SUMIF('YBHN HS TB'!$R:$R,'HS P&amp;L'!$A56,'YBHN HS TB'!H:H)</f>
        <v/>
      </c>
      <c r="U56" s="37">
        <f>SUMIF('YBHN HS TB'!$R:$R,'HS P&amp;L'!$A56,'YBHN HS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149.14</v>
      </c>
      <c r="N57" s="36">
        <f>SUM(B57:M57)</f>
        <v/>
      </c>
      <c r="O57" s="37">
        <f>SUMIF('YBHN HS TB'!$R:$R,'HS P&amp;L'!$A57,'YBHN HS TB'!C:C)</f>
        <v/>
      </c>
      <c r="P57" s="37">
        <f>SUMIF('YBHN HS TB'!$R:$R,'HS P&amp;L'!$A57,'YBHN HS TB'!D:D)</f>
        <v/>
      </c>
      <c r="Q57" s="37">
        <f>SUMIF('YBHN HS TB'!$R:$R,'HS P&amp;L'!$A57,'YBHN HS TB'!E:E)</f>
        <v/>
      </c>
      <c r="R57" s="37">
        <f>SUMIF('YBHN HS TB'!$R:$R,'HS P&amp;L'!$A57,'YBHN HS TB'!F:F)</f>
        <v/>
      </c>
      <c r="S57" s="37">
        <f>SUMIF('YBHN HS TB'!$R:$R,'HS P&amp;L'!$A57,'YBHN HS TB'!G:G)</f>
        <v/>
      </c>
      <c r="T57" s="37">
        <f>SUMIF('YBHN HS TB'!$R:$R,'HS P&amp;L'!$A57,'YBHN HS TB'!H:H)</f>
        <v/>
      </c>
      <c r="U57" s="37">
        <f>SUMIF('YBHN HS TB'!$R:$R,'HS P&amp;L'!$A57,'YBHN HS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SUMIF('YBHN HS TB'!$R:$R,'HS P&amp;L'!$A58,'YBHN HS TB'!C:C)</f>
        <v/>
      </c>
      <c r="P58" s="37">
        <f>SUMIF('YBHN HS TB'!$R:$R,'HS P&amp;L'!$A58,'YBHN HS TB'!D:D)</f>
        <v/>
      </c>
      <c r="Q58" s="37">
        <f>SUMIF('YBHN HS TB'!$R:$R,'HS P&amp;L'!$A58,'YBHN HS TB'!E:E)</f>
        <v/>
      </c>
      <c r="R58" s="37">
        <f>SUMIF('YBHN HS TB'!$R:$R,'HS P&amp;L'!$A58,'YBHN HS TB'!F:F)</f>
        <v/>
      </c>
      <c r="S58" s="37">
        <f>SUMIF('YBHN HS TB'!$R:$R,'HS P&amp;L'!$A58,'YBHN HS TB'!G:G)</f>
        <v/>
      </c>
      <c r="T58" s="37">
        <f>SUMIF('YBHN HS TB'!$R:$R,'HS P&amp;L'!$A58,'YBHN HS TB'!H:H)</f>
        <v/>
      </c>
      <c r="U58" s="37">
        <f>SUMIF('YBHN HS TB'!$R:$R,'HS P&amp;L'!$A58,'YBHN HS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0</v>
      </c>
      <c r="C59" s="35" t="n">
        <v>0</v>
      </c>
      <c r="D59" s="35" t="n">
        <v>0</v>
      </c>
      <c r="E59" s="35" t="n">
        <v>0</v>
      </c>
      <c r="F59" s="35" t="n">
        <v>0</v>
      </c>
      <c r="G59" s="35" t="n">
        <v>214.8</v>
      </c>
      <c r="H59" s="35" t="n">
        <v>214.8</v>
      </c>
      <c r="I59" s="35" t="n">
        <v>214.8</v>
      </c>
      <c r="J59" s="35" t="n">
        <v>214.8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SUMIF('YBHN HS TB'!$R:$R,'HS P&amp;L'!$A59,'YBHN HS TB'!C:C)</f>
        <v/>
      </c>
      <c r="P59" s="37">
        <f>SUMIF('YBHN HS TB'!$R:$R,'HS P&amp;L'!$A59,'YBHN HS TB'!D:D)</f>
        <v/>
      </c>
      <c r="Q59" s="37">
        <f>SUMIF('YBHN HS TB'!$R:$R,'HS P&amp;L'!$A59,'YBHN HS TB'!E:E)</f>
        <v/>
      </c>
      <c r="R59" s="37">
        <f>SUMIF('YBHN HS TB'!$R:$R,'HS P&amp;L'!$A59,'YBHN HS TB'!F:F)</f>
        <v/>
      </c>
      <c r="S59" s="37">
        <f>SUMIF('YBHN HS TB'!$R:$R,'HS P&amp;L'!$A59,'YBHN HS TB'!G:G)</f>
        <v/>
      </c>
      <c r="T59" s="37">
        <f>SUMIF('YBHN HS TB'!$R:$R,'HS P&amp;L'!$A59,'YBHN HS TB'!H:H)</f>
        <v/>
      </c>
      <c r="U59" s="37">
        <f>SUMIF('YBHN HS TB'!$R:$R,'HS P&amp;L'!$A59,'YBHN HS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0</v>
      </c>
      <c r="C60" s="35" t="n">
        <v>0</v>
      </c>
      <c r="D60" s="35" t="n">
        <v>135.22</v>
      </c>
      <c r="E60" s="35" t="n">
        <v>0</v>
      </c>
      <c r="F60" s="35" t="n">
        <v>0</v>
      </c>
      <c r="G60" s="35" t="n">
        <v>45</v>
      </c>
      <c r="H60" s="35" t="n">
        <v>0</v>
      </c>
      <c r="I60" s="35" t="n">
        <v>0</v>
      </c>
      <c r="J60" s="35" t="n">
        <v>8.799999999999999</v>
      </c>
      <c r="K60" s="35" t="n">
        <v>68.8</v>
      </c>
      <c r="L60" s="35" t="n">
        <v>1.2</v>
      </c>
      <c r="M60" s="35" t="n">
        <v>1.2</v>
      </c>
      <c r="N60" s="36">
        <f>SUM(B60:M60)</f>
        <v/>
      </c>
      <c r="O60" s="37">
        <f>SUMIF('YBHN HS TB'!$R:$R,'HS P&amp;L'!$A60,'YBHN HS TB'!C:C)</f>
        <v/>
      </c>
      <c r="P60" s="37">
        <f>SUMIF('YBHN HS TB'!$R:$R,'HS P&amp;L'!$A60,'YBHN HS TB'!D:D)</f>
        <v/>
      </c>
      <c r="Q60" s="37">
        <f>SUMIF('YBHN HS TB'!$R:$R,'HS P&amp;L'!$A60,'YBHN HS TB'!E:E)</f>
        <v/>
      </c>
      <c r="R60" s="37">
        <f>SUMIF('YBHN HS TB'!$R:$R,'HS P&amp;L'!$A60,'YBHN HS TB'!F:F)</f>
        <v/>
      </c>
      <c r="S60" s="37">
        <f>SUMIF('YBHN HS TB'!$R:$R,'HS P&amp;L'!$A60,'YBHN HS TB'!G:G)</f>
        <v/>
      </c>
      <c r="T60" s="37">
        <f>SUMIF('YBHN HS TB'!$R:$R,'HS P&amp;L'!$A60,'YBHN HS TB'!H:H)</f>
        <v/>
      </c>
      <c r="U60" s="37">
        <f>SUMIF('YBHN HS TB'!$R:$R,'HS P&amp;L'!$A60,'YBHN HS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0</v>
      </c>
      <c r="I61" s="35" t="n">
        <v>0</v>
      </c>
      <c r="J61" s="35" t="n">
        <v>0</v>
      </c>
      <c r="K61" s="35" t="n">
        <v>0</v>
      </c>
      <c r="L61" s="35" t="n">
        <v>59.25</v>
      </c>
      <c r="M61" s="35" t="n">
        <v>29.98</v>
      </c>
      <c r="N61" s="36">
        <f>SUM(B61:M61)</f>
        <v/>
      </c>
      <c r="O61" s="37">
        <f>SUMIF('YBHN HS TB'!$R:$R,'HS P&amp;L'!$A61,'YBHN HS TB'!C:C)</f>
        <v/>
      </c>
      <c r="P61" s="37">
        <f>SUMIF('YBHN HS TB'!$R:$R,'HS P&amp;L'!$A61,'YBHN HS TB'!D:D)</f>
        <v/>
      </c>
      <c r="Q61" s="37">
        <f>SUMIF('YBHN HS TB'!$R:$R,'HS P&amp;L'!$A61,'YBHN HS TB'!E:E)</f>
        <v/>
      </c>
      <c r="R61" s="37">
        <f>SUMIF('YBHN HS TB'!$R:$R,'HS P&amp;L'!$A61,'YBHN HS TB'!F:F)</f>
        <v/>
      </c>
      <c r="S61" s="37">
        <f>SUMIF('YBHN HS TB'!$R:$R,'HS P&amp;L'!$A61,'YBHN HS TB'!G:G)</f>
        <v/>
      </c>
      <c r="T61" s="37">
        <f>SUMIF('YBHN HS TB'!$R:$R,'HS P&amp;L'!$A61,'YBHN HS TB'!H:H)</f>
        <v/>
      </c>
      <c r="U61" s="37">
        <f>SUMIF('YBHN HS TB'!$R:$R,'HS P&amp;L'!$A61,'YBHN HS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>
        <f>SUMIF('YBHN HS TB'!$R:$R,'HS P&amp;L'!$A62,'YBHN HS TB'!C:C)</f>
        <v/>
      </c>
      <c r="P62" s="37">
        <f>SUMIF('YBHN HS TB'!$R:$R,'HS P&amp;L'!$A62,'YBHN HS TB'!D:D)</f>
        <v/>
      </c>
      <c r="Q62" s="37">
        <f>SUMIF('YBHN HS TB'!$R:$R,'HS P&amp;L'!$A62,'YBHN HS TB'!E:E)</f>
        <v/>
      </c>
      <c r="R62" s="37">
        <f>SUMIF('YBHN HS TB'!$R:$R,'HS P&amp;L'!$A62,'YBHN HS TB'!F:F)</f>
        <v/>
      </c>
      <c r="S62" s="37">
        <f>SUMIF('YBHN HS TB'!$R:$R,'HS P&amp;L'!$A62,'YBHN HS TB'!G:G)</f>
        <v/>
      </c>
      <c r="T62" s="37">
        <f>SUMIF('YBHN HS TB'!$R:$R,'HS P&amp;L'!$A62,'YBHN HS TB'!H:H)</f>
        <v/>
      </c>
      <c r="U62" s="37">
        <f>SUMIF('YBHN HS TB'!$R:$R,'HS P&amp;L'!$A62,'YBHN HS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SUMIF('YBHN HS TB'!$R:$R,'HS P&amp;L'!$A63,'YBHN HS TB'!C:C)</f>
        <v/>
      </c>
      <c r="P63" s="37">
        <f>SUMIF('YBHN HS TB'!$R:$R,'HS P&amp;L'!$A63,'YBHN HS TB'!D:D)</f>
        <v/>
      </c>
      <c r="Q63" s="37">
        <f>SUMIF('YBHN HS TB'!$R:$R,'HS P&amp;L'!$A63,'YBHN HS TB'!E:E)</f>
        <v/>
      </c>
      <c r="R63" s="37">
        <f>SUMIF('YBHN HS TB'!$R:$R,'HS P&amp;L'!$A63,'YBHN HS TB'!F:F)</f>
        <v/>
      </c>
      <c r="S63" s="37">
        <f>SUMIF('YBHN HS TB'!$R:$R,'HS P&amp;L'!$A63,'YBHN HS TB'!G:G)</f>
        <v/>
      </c>
      <c r="T63" s="37">
        <f>SUMIF('YBHN HS TB'!$R:$R,'HS P&amp;L'!$A63,'YBHN HS TB'!H:H)</f>
        <v/>
      </c>
      <c r="U63" s="37">
        <f>SUMIF('YBHN HS TB'!$R:$R,'HS P&amp;L'!$A63,'YBHN HS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SUMIF('YBHN HS TB'!$R:$R,'HS P&amp;L'!$A64,'YBHN HS TB'!C:C)</f>
        <v/>
      </c>
      <c r="P64" s="37">
        <f>SUMIF('YBHN HS TB'!$R:$R,'HS P&amp;L'!$A64,'YBHN HS TB'!D:D)</f>
        <v/>
      </c>
      <c r="Q64" s="37">
        <f>SUMIF('YBHN HS TB'!$R:$R,'HS P&amp;L'!$A64,'YBHN HS TB'!E:E)</f>
        <v/>
      </c>
      <c r="R64" s="37">
        <f>SUMIF('YBHN HS TB'!$R:$R,'HS P&amp;L'!$A64,'YBHN HS TB'!F:F)</f>
        <v/>
      </c>
      <c r="S64" s="37">
        <f>SUMIF('YBHN HS TB'!$R:$R,'HS P&amp;L'!$A64,'YBHN HS TB'!G:G)</f>
        <v/>
      </c>
      <c r="T64" s="37">
        <f>SUMIF('YBHN HS TB'!$R:$R,'HS P&amp;L'!$A64,'YBHN HS TB'!H:H)</f>
        <v/>
      </c>
      <c r="U64" s="37">
        <f>SUMIF('YBHN HS TB'!$R:$R,'HS P&amp;L'!$A64,'YBHN HS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SUMIF('YBHN HS TB'!$R:$R,'HS P&amp;L'!$A65,'YBHN HS TB'!C:C)</f>
        <v/>
      </c>
      <c r="P65" s="37">
        <f>SUMIF('YBHN HS TB'!$R:$R,'HS P&amp;L'!$A65,'YBHN HS TB'!D:D)</f>
        <v/>
      </c>
      <c r="Q65" s="37">
        <f>SUMIF('YBHN HS TB'!$R:$R,'HS P&amp;L'!$A65,'YBHN HS TB'!E:E)</f>
        <v/>
      </c>
      <c r="R65" s="37">
        <f>SUMIF('YBHN HS TB'!$R:$R,'HS P&amp;L'!$A65,'YBHN HS TB'!F:F)</f>
        <v/>
      </c>
      <c r="S65" s="37">
        <f>SUMIF('YBHN HS TB'!$R:$R,'HS P&amp;L'!$A65,'YBHN HS TB'!G:G)</f>
        <v/>
      </c>
      <c r="T65" s="37">
        <f>SUMIF('YBHN HS TB'!$R:$R,'HS P&amp;L'!$A65,'YBHN HS TB'!H:H)</f>
        <v/>
      </c>
      <c r="U65" s="37">
        <f>SUMIF('YBHN HS TB'!$R:$R,'HS P&amp;L'!$A65,'YBHN HS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SUMIF('YBHN HS TB'!$R:$R,'HS P&amp;L'!$A66,'YBHN HS TB'!C:C)</f>
        <v/>
      </c>
      <c r="P66" s="37">
        <f>SUMIF('YBHN HS TB'!$R:$R,'HS P&amp;L'!$A66,'YBHN HS TB'!D:D)</f>
        <v/>
      </c>
      <c r="Q66" s="37">
        <f>SUMIF('YBHN HS TB'!$R:$R,'HS P&amp;L'!$A66,'YBHN HS TB'!E:E)</f>
        <v/>
      </c>
      <c r="R66" s="37">
        <f>SUMIF('YBHN HS TB'!$R:$R,'HS P&amp;L'!$A66,'YBHN HS TB'!F:F)</f>
        <v/>
      </c>
      <c r="S66" s="37">
        <f>SUMIF('YBHN HS TB'!$R:$R,'HS P&amp;L'!$A66,'YBHN HS TB'!G:G)</f>
        <v/>
      </c>
      <c r="T66" s="37">
        <f>SUMIF('YBHN HS TB'!$R:$R,'HS P&amp;L'!$A66,'YBHN HS TB'!H:H)</f>
        <v/>
      </c>
      <c r="U66" s="37">
        <f>SUMIF('YBHN HS TB'!$R:$R,'HS P&amp;L'!$A66,'YBHN HS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SUMIF('YBHN HS TB'!$R:$R,'HS P&amp;L'!$A67,'YBHN HS TB'!C:C)</f>
        <v/>
      </c>
      <c r="P67" s="37">
        <f>SUMIF('YBHN HS TB'!$R:$R,'HS P&amp;L'!$A67,'YBHN HS TB'!D:D)</f>
        <v/>
      </c>
      <c r="Q67" s="37">
        <f>SUMIF('YBHN HS TB'!$R:$R,'HS P&amp;L'!$A67,'YBHN HS TB'!E:E)</f>
        <v/>
      </c>
      <c r="R67" s="37">
        <f>SUMIF('YBHN HS TB'!$R:$R,'HS P&amp;L'!$A67,'YBHN HS TB'!F:F)</f>
        <v/>
      </c>
      <c r="S67" s="37">
        <f>SUMIF('YBHN HS TB'!$R:$R,'HS P&amp;L'!$A67,'YBHN HS TB'!G:G)</f>
        <v/>
      </c>
      <c r="T67" s="37">
        <f>SUMIF('YBHN HS TB'!$R:$R,'HS P&amp;L'!$A67,'YBHN HS TB'!H:H)</f>
        <v/>
      </c>
      <c r="U67" s="37">
        <f>SUMIF('YBHN HS TB'!$R:$R,'HS P&amp;L'!$A67,'YBHN HS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SUMIF('YBHN HS TB'!$R:$R,'HS P&amp;L'!$A68,'YBHN HS TB'!C:C)</f>
        <v/>
      </c>
      <c r="P68" s="37">
        <f>SUMIF('YBHN HS TB'!$R:$R,'HS P&amp;L'!$A68,'YBHN HS TB'!D:D)</f>
        <v/>
      </c>
      <c r="Q68" s="37">
        <f>SUMIF('YBHN HS TB'!$R:$R,'HS P&amp;L'!$A68,'YBHN HS TB'!E:E)</f>
        <v/>
      </c>
      <c r="R68" s="37">
        <f>SUMIF('YBHN HS TB'!$R:$R,'HS P&amp;L'!$A68,'YBHN HS TB'!F:F)</f>
        <v/>
      </c>
      <c r="S68" s="37">
        <f>SUMIF('YBHN HS TB'!$R:$R,'HS P&amp;L'!$A68,'YBHN HS TB'!G:G)</f>
        <v/>
      </c>
      <c r="T68" s="37">
        <f>SUMIF('YBHN HS TB'!$R:$R,'HS P&amp;L'!$A68,'YBHN HS TB'!H:H)</f>
        <v/>
      </c>
      <c r="U68" s="37">
        <f>SUMIF('YBHN HS TB'!$R:$R,'HS P&amp;L'!$A68,'YBHN HS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0</v>
      </c>
      <c r="C69" s="42" t="n">
        <v>0</v>
      </c>
      <c r="D69" s="42" t="n">
        <v>135.22</v>
      </c>
      <c r="E69" s="42" t="n">
        <v>0</v>
      </c>
      <c r="F69" s="42" t="n">
        <v>0</v>
      </c>
      <c r="G69" s="42" t="n">
        <v>259.8</v>
      </c>
      <c r="H69" s="42" t="n">
        <v>214.8</v>
      </c>
      <c r="I69" s="42" t="n">
        <v>214.8</v>
      </c>
      <c r="J69" s="42" t="n">
        <v>223.6</v>
      </c>
      <c r="K69" s="42" t="n">
        <v>283.6</v>
      </c>
      <c r="L69" s="42" t="n">
        <v>275.25</v>
      </c>
      <c r="M69" s="42" t="n">
        <v>395.12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-722.48</v>
      </c>
      <c r="C70" s="55" t="n">
        <v>-665.0700000000001</v>
      </c>
      <c r="D70" s="55" t="n">
        <v>-824.22</v>
      </c>
      <c r="E70" s="55" t="n">
        <v>-689</v>
      </c>
      <c r="F70" s="55" t="n">
        <v>-469.84</v>
      </c>
      <c r="G70" s="55" t="n">
        <v>-9415.829999999998</v>
      </c>
      <c r="H70" s="55" t="n">
        <v>-3958.910000000001</v>
      </c>
      <c r="I70" s="55" t="n">
        <v>-2587.37</v>
      </c>
      <c r="J70" s="55" t="n">
        <v>-11592.2</v>
      </c>
      <c r="K70" s="55" t="n">
        <v>-7924.139999999999</v>
      </c>
      <c r="L70" s="55" t="n">
        <v>-1982.3</v>
      </c>
      <c r="M70" s="55" t="n">
        <v>-1002.13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60">
        <f>SUM(O72:T72)</f>
        <v/>
      </c>
      <c r="AB72" s="56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60" t="inlineStr">
        <is>
          <t>Memo</t>
        </is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60">
        <f>SUM(O73:T73)</f>
        <v/>
      </c>
      <c r="AB73" s="56" t="n"/>
      <c r="AC73" s="8" t="n"/>
      <c r="AD73" s="8" t="n"/>
      <c r="AE73" s="8" t="n"/>
      <c r="AF73" s="8" t="n"/>
      <c r="AG73" s="8" t="n"/>
      <c r="AH73" s="8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60" t="inlineStr">
        <is>
          <t>Direct - Sales</t>
        </is>
      </c>
      <c r="B74" s="60" t="n">
        <v>0</v>
      </c>
      <c r="C74" s="60" t="n">
        <v>0</v>
      </c>
      <c r="D74" s="60" t="n">
        <v>0</v>
      </c>
      <c r="E74" s="60" t="n">
        <v>0</v>
      </c>
      <c r="F74" s="60" t="n">
        <v>0</v>
      </c>
      <c r="G74" s="60" t="n">
        <v>0</v>
      </c>
      <c r="H74" s="60" t="n">
        <v>0</v>
      </c>
      <c r="I74" s="60" t="n">
        <v>0</v>
      </c>
      <c r="J74" s="60" t="n">
        <v>1523.64</v>
      </c>
      <c r="K74" s="60" t="n">
        <v>993.6600000000001</v>
      </c>
      <c r="L74" s="60" t="n">
        <v>7643.63</v>
      </c>
      <c r="M74" s="8" t="n"/>
      <c r="N74" s="8" t="n"/>
      <c r="O74" s="60">
        <f>-SUMIF('YBHN HS TB'!$T:$T,'HS P&amp;L'!$A74,'YBHN HS TB'!C:C)</f>
        <v/>
      </c>
      <c r="P74" s="60">
        <f>-SUMIF('YBHN HS TB'!$T:$T,'HS P&amp;L'!$A74,'YBHN HS TB'!D:D)</f>
        <v/>
      </c>
      <c r="Q74" s="60">
        <f>-SUMIF('YBHN HS TB'!$T:$T,'HS P&amp;L'!$A74,'YBHN HS TB'!E:E)</f>
        <v/>
      </c>
      <c r="R74" s="60">
        <f>-SUMIF('YBHN HS TB'!$T:$T,'HS P&amp;L'!$A74,'YBHN HS TB'!F:F)</f>
        <v/>
      </c>
      <c r="S74" s="60">
        <f>-SUMIF('YBHN HS TB'!$T:$T,'HS P&amp;L'!$A74,'YBHN HS TB'!G:G)</f>
        <v/>
      </c>
      <c r="T74" s="60">
        <f>-SUMIF('YBHN HS TB'!$T:$T,'HS P&amp;L'!$A74,'YBHN HS TB'!H:H)</f>
        <v/>
      </c>
      <c r="U74" s="60">
        <f>-SUMIF('YBHN HS TB'!$T:$T,'HS P&amp;L'!$A74,'YBHN HS TB'!I:I)</f>
        <v/>
      </c>
      <c r="V74" s="60">
        <f>-SUMIF('YBHN HS TB'!$T:$T,'HS P&amp;L'!$A74,'YBHN HS TB'!J:J)</f>
        <v/>
      </c>
      <c r="W74" s="60">
        <f>-SUMIF('YBHN HS TB'!$T:$T,'HS P&amp;L'!$A74,'YBHN HS TB'!K:K)</f>
        <v/>
      </c>
      <c r="X74" s="60">
        <f>-SUMIF('YBHN HS TB'!$T:$T,'HS P&amp;L'!$A74,'YBHN HS TB'!L:L)</f>
        <v/>
      </c>
      <c r="Y74" s="60">
        <f>-SUMIF('YBHN HS TB'!$T:$T,'HS P&amp;L'!$A74,'YBHN HS TB'!M:M)</f>
        <v/>
      </c>
      <c r="Z74" s="60">
        <f>-SUMIF('YBHN HS TB'!$T:$T,'HS P&amp;L'!$A74,'YBHN HS TB'!N:N)</f>
        <v/>
      </c>
      <c r="AA74" s="60">
        <f>SUM(O74:T74)</f>
        <v/>
      </c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34" t="inlineStr">
        <is>
          <t>Direct - Staff Cost</t>
        </is>
      </c>
      <c r="B75" s="18" t="n">
        <v>0</v>
      </c>
      <c r="C75" s="18" t="n">
        <v>0</v>
      </c>
      <c r="D75" s="18" t="n">
        <v>0</v>
      </c>
      <c r="E75" s="18" t="n">
        <v>0</v>
      </c>
      <c r="F75" s="18" t="n">
        <v>0</v>
      </c>
      <c r="G75" s="18" t="n">
        <v>0</v>
      </c>
      <c r="H75" s="18" t="n">
        <v>0</v>
      </c>
      <c r="I75" s="18" t="n">
        <v>0</v>
      </c>
      <c r="J75" s="18" t="n">
        <v>-7127.65</v>
      </c>
      <c r="K75" s="18" t="n">
        <v>-7467.83</v>
      </c>
      <c r="L75" s="18" t="n">
        <v>-7796.090000000001</v>
      </c>
      <c r="M75" s="18" t="n"/>
      <c r="N75" s="8" t="n"/>
      <c r="O75" s="60">
        <f>-SUMIF('YBHN HS TB'!$T:$T,'HS P&amp;L'!$A75,'YBHN HS TB'!C:C)</f>
        <v/>
      </c>
      <c r="P75" s="60">
        <f>-SUMIF('YBHN HS TB'!$T:$T,'HS P&amp;L'!$A75,'YBHN HS TB'!D:D)</f>
        <v/>
      </c>
      <c r="Q75" s="60">
        <f>-SUMIF('YBHN HS TB'!$T:$T,'HS P&amp;L'!$A75,'YBHN HS TB'!E:E)</f>
        <v/>
      </c>
      <c r="R75" s="60">
        <f>-SUMIF('YBHN HS TB'!$T:$T,'HS P&amp;L'!$A75,'YBHN HS TB'!F:F)</f>
        <v/>
      </c>
      <c r="S75" s="60">
        <f>-SUMIF('YBHN HS TB'!$T:$T,'HS P&amp;L'!$A75,'YBHN HS TB'!G:G)</f>
        <v/>
      </c>
      <c r="T75" s="60">
        <f>-SUMIF('YBHN HS TB'!$T:$T,'HS P&amp;L'!$A75,'YBHN HS TB'!H:H)</f>
        <v/>
      </c>
      <c r="U75" s="60">
        <f>-SUMIF('YBHN HS TB'!$T:$T,'HS P&amp;L'!$A75,'YBHN HS TB'!I:I)</f>
        <v/>
      </c>
      <c r="V75" s="60">
        <f>-SUMIF('YBHN HS TB'!$T:$T,'HS P&amp;L'!$A75,'YBHN HS TB'!J:J)</f>
        <v/>
      </c>
      <c r="W75" s="60">
        <f>-SUMIF('YBHN HS TB'!$T:$T,'HS P&amp;L'!$A75,'YBHN HS TB'!K:K)</f>
        <v/>
      </c>
      <c r="X75" s="60">
        <f>-SUMIF('YBHN HS TB'!$T:$T,'HS P&amp;L'!$A75,'YBHN HS TB'!L:L)</f>
        <v/>
      </c>
      <c r="Y75" s="60">
        <f>-SUMIF('YBHN HS TB'!$T:$T,'HS P&amp;L'!$A75,'YBHN HS TB'!M:M)</f>
        <v/>
      </c>
      <c r="Z75" s="60">
        <f>-SUMIF('YBHN HS TB'!$T:$T,'HS P&amp;L'!$A75,'YBHN HS TB'!N:N)</f>
        <v/>
      </c>
      <c r="AA75" s="60">
        <f>SUM(O75:T75)</f>
        <v/>
      </c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8" t="n"/>
      <c r="AP75" s="8" t="n"/>
    </row>
    <row r="76">
      <c r="A76" s="60" t="inlineStr">
        <is>
          <t>Direct - Childcare Cost</t>
        </is>
      </c>
      <c r="B76" s="18" t="n">
        <v>0</v>
      </c>
      <c r="C76" s="18" t="n">
        <v>0</v>
      </c>
      <c r="D76" s="18" t="n">
        <v>0</v>
      </c>
      <c r="E76" s="18" t="n">
        <v>0</v>
      </c>
      <c r="F76" s="18" t="n">
        <v>0</v>
      </c>
      <c r="G76" s="18" t="n">
        <v>0</v>
      </c>
      <c r="H76" s="18" t="n">
        <v>-9.300000000000001</v>
      </c>
      <c r="I76" s="18" t="n">
        <v>-230.61</v>
      </c>
      <c r="J76" s="18" t="n">
        <v>-4105.969999999999</v>
      </c>
      <c r="K76" s="18" t="n">
        <v>-124.19</v>
      </c>
      <c r="L76" s="18" t="n">
        <v>-177.9</v>
      </c>
      <c r="M76" s="18" t="n">
        <v>0</v>
      </c>
      <c r="N76" s="8" t="n"/>
      <c r="O76" s="60">
        <f>-SUMIF('YBHN HS TB'!$T:$T,'HS P&amp;L'!$A76,'YBHN HS TB'!C:C)</f>
        <v/>
      </c>
      <c r="P76" s="60">
        <f>-SUMIF('YBHN HS TB'!$T:$T,'HS P&amp;L'!$A76,'YBHN HS TB'!D:D)</f>
        <v/>
      </c>
      <c r="Q76" s="60">
        <f>-SUMIF('YBHN HS TB'!$T:$T,'HS P&amp;L'!$A76,'YBHN HS TB'!E:E)</f>
        <v/>
      </c>
      <c r="R76" s="60">
        <f>-SUMIF('YBHN HS TB'!$T:$T,'HS P&amp;L'!$A76,'YBHN HS TB'!F:F)</f>
        <v/>
      </c>
      <c r="S76" s="60">
        <f>-SUMIF('YBHN HS TB'!$T:$T,'HS P&amp;L'!$A76,'YBHN HS TB'!G:G)</f>
        <v/>
      </c>
      <c r="T76" s="60">
        <f>-SUMIF('YBHN HS TB'!$T:$T,'HS P&amp;L'!$A76,'YBHN HS TB'!H:H)</f>
        <v/>
      </c>
      <c r="U76" s="60">
        <f>-SUMIF('YBHN HS TB'!$T:$T,'HS P&amp;L'!$A76,'YBHN HS TB'!I:I)</f>
        <v/>
      </c>
      <c r="V76" s="60">
        <f>-SUMIF('YBHN HS TB'!$T:$T,'HS P&amp;L'!$A76,'YBHN HS TB'!J:J)</f>
        <v/>
      </c>
      <c r="W76" s="60">
        <f>-SUMIF('YBHN HS TB'!$T:$T,'HS P&amp;L'!$A76,'YBHN HS TB'!K:K)</f>
        <v/>
      </c>
      <c r="X76" s="60">
        <f>-SUMIF('YBHN HS TB'!$T:$T,'HS P&amp;L'!$A76,'YBHN HS TB'!L:L)</f>
        <v/>
      </c>
      <c r="Y76" s="60">
        <f>-SUMIF('YBHN HS TB'!$T:$T,'HS P&amp;L'!$A76,'YBHN HS TB'!M:M)</f>
        <v/>
      </c>
      <c r="Z76" s="60">
        <f>-SUMIF('YBHN HS TB'!$T:$T,'HS P&amp;L'!$A76,'YBHN HS TB'!N:N)</f>
        <v/>
      </c>
      <c r="AA76" s="60">
        <f>SUM(O76:T76)</f>
        <v/>
      </c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>
      <c r="A77" s="60" t="inlineStr">
        <is>
          <t>Direct - Premises &amp; Admin</t>
        </is>
      </c>
      <c r="B77" s="18" t="n">
        <v>-722.48</v>
      </c>
      <c r="C77" s="18" t="n">
        <v>-665.0700000000001</v>
      </c>
      <c r="D77" s="18" t="n">
        <v>-689</v>
      </c>
      <c r="E77" s="18" t="n">
        <v>-689</v>
      </c>
      <c r="F77" s="18" t="n">
        <v>-469.84</v>
      </c>
      <c r="G77" s="18" t="n">
        <v>-9156.029999999999</v>
      </c>
      <c r="H77" s="18" t="n">
        <v>-3734.81</v>
      </c>
      <c r="I77" s="18" t="n">
        <v>-2141.96</v>
      </c>
      <c r="J77" s="18" t="n">
        <v>-1658.62</v>
      </c>
      <c r="K77" s="18" t="n">
        <v>-1042.18</v>
      </c>
      <c r="L77" s="18" t="n">
        <v>-1376.69</v>
      </c>
      <c r="M77" s="18" t="n">
        <v>-1032.31</v>
      </c>
      <c r="N77" s="8" t="n"/>
      <c r="O77" s="60">
        <f>-SUMIF('YBHN HS TB'!$T:$T,'HS P&amp;L'!$A77,'YBHN HS TB'!C:C)</f>
        <v/>
      </c>
      <c r="P77" s="60">
        <f>-SUMIF('YBHN HS TB'!$T:$T,'HS P&amp;L'!$A77,'YBHN HS TB'!D:D)</f>
        <v/>
      </c>
      <c r="Q77" s="60">
        <f>-SUMIF('YBHN HS TB'!$T:$T,'HS P&amp;L'!$A77,'YBHN HS TB'!E:E)</f>
        <v/>
      </c>
      <c r="R77" s="60">
        <f>-SUMIF('YBHN HS TB'!$T:$T,'HS P&amp;L'!$A77,'YBHN HS TB'!F:F)</f>
        <v/>
      </c>
      <c r="S77" s="60">
        <f>-SUMIF('YBHN HS TB'!$T:$T,'HS P&amp;L'!$A77,'YBHN HS TB'!G:G)</f>
        <v/>
      </c>
      <c r="T77" s="60">
        <f>-SUMIF('YBHN HS TB'!$T:$T,'HS P&amp;L'!$A77,'YBHN HS TB'!H:H)</f>
        <v/>
      </c>
      <c r="U77" s="60">
        <f>-SUMIF('YBHN HS TB'!$T:$T,'HS P&amp;L'!$A77,'YBHN HS TB'!I:I)</f>
        <v/>
      </c>
      <c r="V77" s="60">
        <f>-SUMIF('YBHN HS TB'!$T:$T,'HS P&amp;L'!$A77,'YBHN HS TB'!J:J)</f>
        <v/>
      </c>
      <c r="W77" s="60">
        <f>-SUMIF('YBHN HS TB'!$T:$T,'HS P&amp;L'!$A77,'YBHN HS TB'!K:K)</f>
        <v/>
      </c>
      <c r="X77" s="60">
        <f>-SUMIF('YBHN HS TB'!$T:$T,'HS P&amp;L'!$A77,'YBHN HS TB'!L:L)</f>
        <v/>
      </c>
      <c r="Y77" s="60">
        <f>-SUMIF('YBHN HS TB'!$T:$T,'HS P&amp;L'!$A77,'YBHN HS TB'!M:M)</f>
        <v/>
      </c>
      <c r="Z77" s="60">
        <f>-SUMIF('YBHN HS TB'!$T:$T,'HS P&amp;L'!$A77,'YBHN HS TB'!N:N)</f>
        <v/>
      </c>
      <c r="AA77" s="60">
        <f>SUM(O77:T77)</f>
        <v/>
      </c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8" t="n"/>
      <c r="O78" s="60">
        <f>-SUMIF('YBHN HS TB'!$T:$T,'HS P&amp;L'!$A78,'YBHN HS TB'!C:C)</f>
        <v/>
      </c>
      <c r="P78" s="60">
        <f>-SUMIF('YBHN HS TB'!$T:$T,'HS P&amp;L'!$A78,'YBHN HS TB'!D:D)</f>
        <v/>
      </c>
      <c r="Q78" s="60">
        <f>-SUMIF('YBHN HS TB'!$T:$T,'HS P&amp;L'!$A78,'YBHN HS TB'!E:E)</f>
        <v/>
      </c>
      <c r="R78" s="60">
        <f>-SUMIF('YBHN HS TB'!$T:$T,'HS P&amp;L'!$A78,'YBHN HS TB'!F:F)</f>
        <v/>
      </c>
      <c r="S78" s="60">
        <f>-SUMIF('YBHN HS TB'!$T:$T,'HS P&amp;L'!$A78,'YBHN HS TB'!G:G)</f>
        <v/>
      </c>
      <c r="T78" s="60">
        <f>-SUMIF('YBHN HS TB'!$T:$T,'HS P&amp;L'!$A78,'YBHN HS TB'!H:H)</f>
        <v/>
      </c>
      <c r="U78" s="60">
        <f>-SUMIF('YBHN HS TB'!$T:$T,'HS P&amp;L'!$A78,'YBHN HS TB'!I:I)</f>
        <v/>
      </c>
      <c r="V78" s="60">
        <f>-SUMIF('YBHN HS TB'!$T:$T,'HS P&amp;L'!$A78,'YBHN HS TB'!J:J)</f>
        <v/>
      </c>
      <c r="W78" s="60">
        <f>-SUMIF('YBHN HS TB'!$T:$T,'HS P&amp;L'!$A78,'YBHN HS TB'!K:K)</f>
        <v/>
      </c>
      <c r="X78" s="60">
        <f>-SUMIF('YBHN HS TB'!$T:$T,'HS P&amp;L'!$A78,'YBHN HS TB'!L:L)</f>
        <v/>
      </c>
      <c r="Y78" s="60">
        <f>-SUMIF('YBHN HS TB'!$T:$T,'HS P&amp;L'!$A78,'YBHN HS TB'!M:M)</f>
        <v/>
      </c>
      <c r="Z78" s="60">
        <f>-SUMIF('YBHN HS TB'!$T:$T,'HS P&amp;L'!$A78,'YBHN HS TB'!N:N)</f>
        <v/>
      </c>
      <c r="AA78" s="60">
        <f>SUM(O78:T78)</f>
        <v/>
      </c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60" t="inlineStr">
        <is>
          <t>In-Direct - Overheads</t>
        </is>
      </c>
      <c r="B79" s="18" t="n">
        <v>0</v>
      </c>
      <c r="C79" s="18" t="n">
        <v>0</v>
      </c>
      <c r="D79" s="18" t="n">
        <v>-135.22</v>
      </c>
      <c r="E79" s="18" t="n">
        <v>0</v>
      </c>
      <c r="F79" s="18" t="n">
        <v>0</v>
      </c>
      <c r="G79" s="18" t="n">
        <v>-259.8</v>
      </c>
      <c r="H79" s="18" t="n">
        <v>-214.8</v>
      </c>
      <c r="I79" s="18" t="n">
        <v>-214.8</v>
      </c>
      <c r="J79" s="18" t="n">
        <v>-223.6</v>
      </c>
      <c r="K79" s="18" t="n">
        <v>-283.6</v>
      </c>
      <c r="L79" s="18" t="n">
        <v>-275.25</v>
      </c>
      <c r="M79" s="18" t="n">
        <v>-395.12</v>
      </c>
      <c r="N79" s="8" t="n"/>
      <c r="O79" s="60">
        <f>-SUMIF('YBHN HS TB'!$T:$T,'HS P&amp;L'!$A79,'YBHN HS TB'!C:C)</f>
        <v/>
      </c>
      <c r="P79" s="60">
        <f>-SUMIF('YBHN HS TB'!$T:$T,'HS P&amp;L'!$A79,'YBHN HS TB'!D:D)</f>
        <v/>
      </c>
      <c r="Q79" s="60">
        <f>-SUMIF('YBHN HS TB'!$T:$T,'HS P&amp;L'!$A79,'YBHN HS TB'!E:E)</f>
        <v/>
      </c>
      <c r="R79" s="60">
        <f>-SUMIF('YBHN HS TB'!$T:$T,'HS P&amp;L'!$A79,'YBHN HS TB'!F:F)</f>
        <v/>
      </c>
      <c r="S79" s="60">
        <f>-SUMIF('YBHN HS TB'!$T:$T,'HS P&amp;L'!$A79,'YBHN HS TB'!G:G)</f>
        <v/>
      </c>
      <c r="T79" s="60">
        <f>-SUMIF('YBHN HS TB'!$T:$T,'HS P&amp;L'!$A79,'YBHN HS TB'!H:H)</f>
        <v/>
      </c>
      <c r="U79" s="60">
        <f>-SUMIF('YBHN HS TB'!$T:$T,'HS P&amp;L'!$A79,'YBHN HS TB'!I:I)</f>
        <v/>
      </c>
      <c r="V79" s="60">
        <f>-SUMIF('YBHN HS TB'!$T:$T,'HS P&amp;L'!$A79,'YBHN HS TB'!J:J)</f>
        <v/>
      </c>
      <c r="W79" s="60">
        <f>-SUMIF('YBHN HS TB'!$T:$T,'HS P&amp;L'!$A79,'YBHN HS TB'!K:K)</f>
        <v/>
      </c>
      <c r="X79" s="60">
        <f>-SUMIF('YBHN HS TB'!$T:$T,'HS P&amp;L'!$A79,'YBHN HS TB'!L:L)</f>
        <v/>
      </c>
      <c r="Y79" s="60">
        <f>-SUMIF('YBHN HS TB'!$T:$T,'HS P&amp;L'!$A79,'YBHN HS TB'!M:M)</f>
        <v/>
      </c>
      <c r="Z79" s="60">
        <f>-SUMIF('YBHN HS TB'!$T:$T,'HS P&amp;L'!$A79,'YBHN HS TB'!N:N)</f>
        <v/>
      </c>
      <c r="AA79" s="60">
        <f>SUM(O79:T79)</f>
        <v/>
      </c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 ht="15.75" customHeight="1">
      <c r="A80" s="8" t="n"/>
      <c r="B80" s="67" t="n">
        <v>-722.48</v>
      </c>
      <c r="C80" s="67" t="n">
        <v>-665.0700000000001</v>
      </c>
      <c r="D80" s="67" t="n">
        <v>-824.22</v>
      </c>
      <c r="E80" s="67" t="n">
        <v>-689</v>
      </c>
      <c r="F80" s="67" t="n">
        <v>-469.84</v>
      </c>
      <c r="G80" s="67" t="n">
        <v>-9415.829999999998</v>
      </c>
      <c r="H80" s="67" t="n">
        <v>-3958.910000000001</v>
      </c>
      <c r="I80" s="67" t="n">
        <v>-2587.37</v>
      </c>
      <c r="J80" s="67" t="n">
        <v>-11592.2</v>
      </c>
      <c r="K80" s="67" t="n">
        <v>-7924.139999999999</v>
      </c>
      <c r="L80" s="67" t="n">
        <v>-1982.300000000001</v>
      </c>
      <c r="M80" s="67" t="n">
        <v>-1427.43</v>
      </c>
      <c r="N80" s="64" t="n"/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4">
        <f>SUM(V74:V79)</f>
        <v/>
      </c>
      <c r="W80" s="64">
        <f>SUM(W74:W79)</f>
        <v/>
      </c>
      <c r="X80" s="64">
        <f>SUM(X74:X79)</f>
        <v/>
      </c>
      <c r="Y80" s="64">
        <f>SUM(Y74:Y79)</f>
        <v/>
      </c>
      <c r="Z80" s="64">
        <f>SUM(Z74:Z79)</f>
        <v/>
      </c>
      <c r="AA80" s="64">
        <f>SUM(O80:T80)</f>
        <v/>
      </c>
      <c r="AB80" s="8" t="n"/>
      <c r="AC80" s="64" t="n"/>
      <c r="AD80" s="64" t="n"/>
      <c r="AE80" s="64" t="n"/>
      <c r="AF80" s="64" t="n"/>
      <c r="AG80" s="64" t="n"/>
      <c r="AH80" s="64" t="n"/>
      <c r="AI80" s="8" t="n"/>
      <c r="AJ80" s="64" t="n"/>
      <c r="AK80" s="64" t="n"/>
      <c r="AL80" s="64" t="n"/>
      <c r="AM80" s="64" t="n"/>
      <c r="AN80" s="64" t="n"/>
      <c r="AO80" s="64" t="n"/>
      <c r="AP80" s="64" t="n"/>
    </row>
    <row r="81" ht="15.75" customHeight="1">
      <c r="A81" s="8" t="n"/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0</v>
      </c>
      <c r="G81" s="18" t="n">
        <v>0</v>
      </c>
      <c r="H81" s="18" t="n">
        <v>0</v>
      </c>
      <c r="I81" s="18" t="n">
        <v>0</v>
      </c>
      <c r="J81" s="18" t="n">
        <v>0</v>
      </c>
      <c r="K81" s="18" t="n">
        <v>0</v>
      </c>
      <c r="L81" s="18" t="n">
        <v>0</v>
      </c>
      <c r="M81" s="18" t="n">
        <v>425.2999999999996</v>
      </c>
      <c r="N81" s="8" t="n"/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18" t="n">
        <v>0</v>
      </c>
      <c r="C83" s="18" t="n">
        <v>0</v>
      </c>
      <c r="D83" s="18" t="n">
        <v>-135.22</v>
      </c>
      <c r="E83" s="18" t="n">
        <v>0</v>
      </c>
      <c r="F83" s="18" t="n">
        <v>0</v>
      </c>
      <c r="G83" s="18" t="n">
        <v>-259.7999999999993</v>
      </c>
      <c r="H83" s="18" t="n">
        <v>-214.8000000000006</v>
      </c>
      <c r="I83" s="18" t="n">
        <v>-562.8000000000004</v>
      </c>
      <c r="J83" s="18" t="n">
        <v>-223.5999999999985</v>
      </c>
      <c r="K83" s="18" t="n">
        <v>-293.5999999999995</v>
      </c>
      <c r="L83" s="18" t="n">
        <v>-285.2500000000009</v>
      </c>
      <c r="M83" s="18" t="n">
        <v>-681.2799999999997</v>
      </c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18" t="n">
        <v>722.48</v>
      </c>
      <c r="C84" s="18" t="n">
        <v>665.0700000000001</v>
      </c>
      <c r="D84" s="18" t="n">
        <v>689</v>
      </c>
      <c r="E84" s="18" t="n">
        <v>689</v>
      </c>
      <c r="F84" s="18" t="n">
        <v>469.84</v>
      </c>
      <c r="G84" s="18" t="n">
        <v>9156.029999999999</v>
      </c>
      <c r="H84" s="18" t="n">
        <v>3744.11</v>
      </c>
      <c r="I84" s="18" t="n">
        <v>2024.57</v>
      </c>
      <c r="J84" s="18" t="n">
        <v>11368.6</v>
      </c>
      <c r="K84" s="18" t="n">
        <v>7630.54</v>
      </c>
      <c r="L84" s="18" t="n">
        <v>1697.05</v>
      </c>
      <c r="M84" s="18" t="n">
        <v>746.1500000000001</v>
      </c>
      <c r="N84" s="8" t="n"/>
      <c r="O84" s="60">
        <f>SUM('YBHN HS TB'!C2:C23)</f>
        <v/>
      </c>
      <c r="P84" s="60">
        <f>SUM('YBHN HS TB'!D2:D23)</f>
        <v/>
      </c>
      <c r="Q84" s="60">
        <f>SUM('YBHN HS TB'!E2:E23)</f>
        <v/>
      </c>
      <c r="R84" s="60">
        <f>SUM('YBHN HS TB'!F2:F23)</f>
        <v/>
      </c>
      <c r="S84" s="60">
        <f>SUM('YBHN HS TB'!G2:G23)</f>
        <v/>
      </c>
      <c r="T84" s="60">
        <f>SUM('YBHN HS TB'!H2:H23)</f>
        <v/>
      </c>
      <c r="U84" s="60">
        <f>SUM('YBHN HS TB'!I2:I23)</f>
        <v/>
      </c>
      <c r="V84" s="60">
        <f>SUM('YBHN HS TB'!J2:J23)</f>
        <v/>
      </c>
      <c r="W84" s="60">
        <f>SUM('YBHN HS TB'!K2:K23)</f>
        <v/>
      </c>
      <c r="X84" s="60">
        <f>SUM('YBHN HS TB'!L2:L23)</f>
        <v/>
      </c>
      <c r="Y84" s="60">
        <f>SUM('YBHN HS TB'!M2:M23)</f>
        <v/>
      </c>
      <c r="Z84" s="60">
        <f>SUM('YBHN HS TB'!N2:N23)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Happitots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45921.31</v>
      </c>
      <c r="C8" s="35" t="n">
        <v>38098.84</v>
      </c>
      <c r="D8" s="35" t="n">
        <v>46565.41</v>
      </c>
      <c r="E8" s="35" t="n">
        <v>57238.21</v>
      </c>
      <c r="F8" s="35" t="n">
        <v>49192.7</v>
      </c>
      <c r="G8" s="35" t="n">
        <v>46788.82</v>
      </c>
      <c r="H8" s="35" t="n">
        <v>62639.28</v>
      </c>
      <c r="I8" s="35" t="n">
        <v>56769.19</v>
      </c>
      <c r="J8" s="35" t="n">
        <v>40329.92</v>
      </c>
      <c r="K8" s="35" t="n">
        <v>40153.78</v>
      </c>
      <c r="L8" s="35" t="n">
        <v>34561.24</v>
      </c>
      <c r="M8" s="35" t="n">
        <v>45835.67</v>
      </c>
      <c r="N8" s="36">
        <f>SUM(B8:M8)</f>
        <v/>
      </c>
      <c r="O8" s="37">
        <f>-SUMIF('XHDN TB'!$R:$R,'HDN P&amp;L'!$A8,'XHDN TB'!C:C)</f>
        <v/>
      </c>
      <c r="P8" s="37">
        <f>-SUMIF('XHDN TB'!$R:$R,'HDN P&amp;L'!$A8,'XHDN TB'!D:D)</f>
        <v/>
      </c>
      <c r="Q8" s="37">
        <f>-SUMIF('XHDN TB'!$R:$R,'HDN P&amp;L'!$A8,'XHDN TB'!E:E)</f>
        <v/>
      </c>
      <c r="R8" s="37">
        <f>-SUMIF('XHDN TB'!$R:$R,'HDN P&amp;L'!$A8,'XHDN TB'!F:F)</f>
        <v/>
      </c>
      <c r="S8" s="37">
        <f>-SUMIF('XHDN TB'!$R:$R,'HDN P&amp;L'!$A8,'XHDN TB'!G:G)</f>
        <v/>
      </c>
      <c r="T8" s="37">
        <f>-SUMIF('XHDN TB'!$R:$R,'HDN P&amp;L'!$A8,'XHDN TB'!H:H)</f>
        <v/>
      </c>
      <c r="U8" s="37">
        <f>-SUMIF('HDN TB'!$R:$R,'HDN P&amp;L'!$A8,'HDN TB'!I:I)</f>
        <v/>
      </c>
      <c r="V8" s="38" t="n">
        <v>49094.17</v>
      </c>
      <c r="W8" s="38" t="n">
        <v>34298.95</v>
      </c>
      <c r="X8" s="38" t="n">
        <v>33860.51</v>
      </c>
      <c r="Y8" s="38" t="n">
        <v>34027.45</v>
      </c>
      <c r="Z8" s="38" t="n">
        <v>46313.78</v>
      </c>
      <c r="AA8" s="36">
        <f>SUM(O8:U8)</f>
        <v/>
      </c>
      <c r="AB8" s="36">
        <f>SUM(O8:Z8)</f>
        <v/>
      </c>
      <c r="AC8" s="38" t="n">
        <v>63267.18</v>
      </c>
      <c r="AD8" s="38" t="n">
        <v>60274.57</v>
      </c>
      <c r="AE8" s="38" t="n">
        <v>75362.87</v>
      </c>
      <c r="AF8" s="38" t="n">
        <v>69288.22</v>
      </c>
      <c r="AG8" s="38" t="n">
        <v>72843.58</v>
      </c>
      <c r="AH8" s="38" t="n">
        <v>75234.78999999999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14880.4</v>
      </c>
      <c r="C9" s="35" t="n">
        <v>14880.4</v>
      </c>
      <c r="D9" s="35" t="n">
        <v>22868.72</v>
      </c>
      <c r="E9" s="35" t="n">
        <v>11910.48</v>
      </c>
      <c r="F9" s="35" t="n">
        <v>11910.4</v>
      </c>
      <c r="G9" s="35" t="n">
        <v>11910.48</v>
      </c>
      <c r="H9" s="35" t="n">
        <v>28251.59</v>
      </c>
      <c r="I9" s="35" t="n">
        <v>0</v>
      </c>
      <c r="J9" s="35" t="n">
        <v>12726.08</v>
      </c>
      <c r="K9" s="35" t="n">
        <v>12726.08</v>
      </c>
      <c r="L9" s="35" t="n">
        <v>28161.67</v>
      </c>
      <c r="M9" s="35" t="n">
        <v>28507.8</v>
      </c>
      <c r="N9" s="36">
        <f>SUM(B9:M9)</f>
        <v/>
      </c>
      <c r="O9" s="37">
        <f>-SUMIF('XHDN TB'!$R:$R,'HDN P&amp;L'!$A9,'XHDN TB'!C:C)</f>
        <v/>
      </c>
      <c r="P9" s="37">
        <f>-SUMIF('XHDN TB'!$R:$R,'HDN P&amp;L'!$A9,'XHDN TB'!D:D)</f>
        <v/>
      </c>
      <c r="Q9" s="37">
        <f>-SUMIF('XHDN TB'!$R:$R,'HDN P&amp;L'!$A9,'XHDN TB'!E:E)</f>
        <v/>
      </c>
      <c r="R9" s="37">
        <f>-SUMIF('XHDN TB'!$R:$R,'HDN P&amp;L'!$A9,'XHDN TB'!F:F)</f>
        <v/>
      </c>
      <c r="S9" s="37">
        <f>-SUMIF('XHDN TB'!$R:$R,'HDN P&amp;L'!$A9,'XHDN TB'!G:G)</f>
        <v/>
      </c>
      <c r="T9" s="37">
        <f>-SUMIF('XHDN TB'!$R:$R,'HDN P&amp;L'!$A9,'XHDN TB'!H:H)</f>
        <v/>
      </c>
      <c r="U9" s="37">
        <f>-SUMIF('HDN TB'!$R:$R,'HDN P&amp;L'!$A9,'HDN TB'!I:I)</f>
        <v/>
      </c>
      <c r="V9" s="38" t="n">
        <v>0</v>
      </c>
      <c r="W9" s="38" t="n">
        <v>19443.72</v>
      </c>
      <c r="X9" s="38" t="n">
        <v>24019.56</v>
      </c>
      <c r="Y9" s="38" t="n">
        <v>23214.36</v>
      </c>
      <c r="Z9" s="38" t="n">
        <v>9933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200</v>
      </c>
      <c r="C10" s="35" t="n">
        <v>200</v>
      </c>
      <c r="D10" s="35" t="n">
        <v>300</v>
      </c>
      <c r="E10" s="35" t="n">
        <v>300</v>
      </c>
      <c r="F10" s="35" t="n">
        <v>300</v>
      </c>
      <c r="G10" s="35" t="n">
        <v>360</v>
      </c>
      <c r="H10" s="35" t="n">
        <v>300</v>
      </c>
      <c r="I10" s="35" t="n">
        <v>3279.07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-SUMIF('XHDN TB'!$R:$R,'HDN P&amp;L'!$A10,'XHDN TB'!C:C)</f>
        <v/>
      </c>
      <c r="P10" s="37">
        <f>-SUMIF('XHDN TB'!$R:$R,'HDN P&amp;L'!$A10,'XHDN TB'!D:D)</f>
        <v/>
      </c>
      <c r="Q10" s="37">
        <f>-SUMIF('XHDN TB'!$R:$R,'HDN P&amp;L'!$A10,'XHDN TB'!E:E)</f>
        <v/>
      </c>
      <c r="R10" s="37">
        <f>-SUMIF('XHDN TB'!$R:$R,'HDN P&amp;L'!$A10,'XHDN TB'!F:F)</f>
        <v/>
      </c>
      <c r="S10" s="37">
        <f>-SUMIF('XHDN TB'!$R:$R,'HDN P&amp;L'!$A10,'XHDN TB'!G:G)</f>
        <v/>
      </c>
      <c r="T10" s="37">
        <f>-SUMIF('XHDN TB'!$R:$R,'HDN P&amp;L'!$A10,'XHDN TB'!H:H)</f>
        <v/>
      </c>
      <c r="U10" s="37">
        <f>-SUMIF('HDN TB'!$R:$R,'HDN P&amp;L'!$A10,'HDN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61001.71</v>
      </c>
      <c r="C11" s="42" t="n">
        <v>53179.24</v>
      </c>
      <c r="D11" s="42" t="n">
        <v>69734.13</v>
      </c>
      <c r="E11" s="42" t="n">
        <v>69448.69</v>
      </c>
      <c r="F11" s="42" t="n">
        <v>61403.1</v>
      </c>
      <c r="G11" s="42" t="n">
        <v>59059.3</v>
      </c>
      <c r="H11" s="42" t="n">
        <v>91190.87</v>
      </c>
      <c r="I11" s="42" t="n">
        <v>60048.26</v>
      </c>
      <c r="J11" s="42" t="n">
        <v>53056</v>
      </c>
      <c r="K11" s="42" t="n">
        <v>52879.86</v>
      </c>
      <c r="L11" s="42" t="n">
        <v>62722.91</v>
      </c>
      <c r="M11" s="42" t="n">
        <v>74343.47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27199.35</v>
      </c>
      <c r="C16" s="35" t="n">
        <v>26969.3</v>
      </c>
      <c r="D16" s="35" t="n">
        <v>28313.5</v>
      </c>
      <c r="E16" s="35" t="n">
        <v>31211.69</v>
      </c>
      <c r="F16" s="35" t="n">
        <v>29845.91</v>
      </c>
      <c r="G16" s="35" t="n">
        <v>29990.87</v>
      </c>
      <c r="H16" s="35" t="n">
        <v>35763.1</v>
      </c>
      <c r="I16" s="35" t="n">
        <v>33092</v>
      </c>
      <c r="J16" s="35" t="n">
        <v>32840.54</v>
      </c>
      <c r="K16" s="35" t="n">
        <v>36158.05</v>
      </c>
      <c r="L16" s="35" t="n">
        <v>35650.18</v>
      </c>
      <c r="M16" s="35" t="n">
        <v>36557.18</v>
      </c>
      <c r="N16" s="36">
        <f>SUM(B16:M16)</f>
        <v/>
      </c>
      <c r="O16" s="37">
        <f>SUMIF('XHDN TB'!$R:$R,'HDN P&amp;L'!$A16,'XHDN TB'!C:C)</f>
        <v/>
      </c>
      <c r="P16" s="37">
        <f>SUMIF('XHDN TB'!$R:$R,'HDN P&amp;L'!$A16,'XHDN TB'!D:D)</f>
        <v/>
      </c>
      <c r="Q16" s="37">
        <f>SUMIF('XHDN TB'!$R:$R,'HDN P&amp;L'!$A16,'XHDN TB'!E:E)</f>
        <v/>
      </c>
      <c r="R16" s="37">
        <f>SUMIF('XHDN TB'!$R:$R,'HDN P&amp;L'!$A16,'XHDN TB'!F:F)</f>
        <v/>
      </c>
      <c r="S16" s="37">
        <f>SUMIF('XHDN TB'!$R:$R,'HDN P&amp;L'!$A16,'XHDN TB'!G:G)</f>
        <v/>
      </c>
      <c r="T16" s="37">
        <f>SUMIF('XHDN TB'!$R:$R,'HDN P&amp;L'!$A16,'XHDN TB'!H:H)</f>
        <v/>
      </c>
      <c r="U16" s="37">
        <f>SUMIF('HDN TB'!$R:$R,'HDN P&amp;L'!$A16,'HDN TB'!I:I)</f>
        <v/>
      </c>
      <c r="V16" s="38" t="n">
        <v>33483.36</v>
      </c>
      <c r="W16" s="38" t="n">
        <v>33483.36</v>
      </c>
      <c r="X16" s="38" t="n">
        <v>33483.36</v>
      </c>
      <c r="Y16" s="38" t="n">
        <v>33483.36</v>
      </c>
      <c r="Z16" s="38" t="n">
        <v>33483.36</v>
      </c>
      <c r="AA16" s="36">
        <f>SUM(O16:U16)</f>
        <v/>
      </c>
      <c r="AB16" s="36">
        <f>SUM(O16:Z16)</f>
        <v/>
      </c>
      <c r="AC16" s="38" t="n">
        <v>33483.36</v>
      </c>
      <c r="AD16" s="38" t="n">
        <v>33483.36</v>
      </c>
      <c r="AE16" s="38" t="n">
        <v>33483.36</v>
      </c>
      <c r="AF16" s="38" t="n">
        <v>33483.36</v>
      </c>
      <c r="AG16" s="38" t="n">
        <v>33483.36</v>
      </c>
      <c r="AH16" s="38" t="n">
        <v>33483.36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2322.12</v>
      </c>
      <c r="C17" s="35" t="n">
        <v>2227.41</v>
      </c>
      <c r="D17" s="35" t="n">
        <v>2346.82</v>
      </c>
      <c r="E17" s="35" t="n">
        <v>3631.01</v>
      </c>
      <c r="F17" s="35" t="n">
        <v>3444.09</v>
      </c>
      <c r="G17" s="35" t="n">
        <v>3284.69</v>
      </c>
      <c r="H17" s="35" t="n">
        <v>4309.29</v>
      </c>
      <c r="I17" s="35" t="n">
        <v>3776.98</v>
      </c>
      <c r="J17" s="35" t="n">
        <v>3745.07</v>
      </c>
      <c r="K17" s="35" t="n">
        <v>4183.86</v>
      </c>
      <c r="L17" s="35" t="n">
        <v>4085.43</v>
      </c>
      <c r="M17" s="35" t="n">
        <v>4232.64</v>
      </c>
      <c r="N17" s="36">
        <f>SUM(B17:M17)</f>
        <v/>
      </c>
      <c r="O17" s="37">
        <f>SUMIF('XHDN TB'!$R:$R,'HDN P&amp;L'!$A17,'XHDN TB'!C:C)</f>
        <v/>
      </c>
      <c r="P17" s="37">
        <f>SUMIF('XHDN TB'!$R:$R,'HDN P&amp;L'!$A17,'XHDN TB'!D:D)</f>
        <v/>
      </c>
      <c r="Q17" s="37">
        <f>SUMIF('XHDN TB'!$R:$R,'HDN P&amp;L'!$A17,'XHDN TB'!E:E)</f>
        <v/>
      </c>
      <c r="R17" s="37">
        <f>SUMIF('XHDN TB'!$R:$R,'HDN P&amp;L'!$A17,'XHDN TB'!F:F)</f>
        <v/>
      </c>
      <c r="S17" s="37">
        <f>SUMIF('XHDN TB'!$R:$R,'HDN P&amp;L'!$A17,'XHDN TB'!G:G)</f>
        <v/>
      </c>
      <c r="T17" s="37">
        <f>SUMIF('XHDN TB'!$R:$R,'HDN P&amp;L'!$A17,'XHDN TB'!H:H)</f>
        <v/>
      </c>
      <c r="U17" s="37">
        <f>SUMIF('HDN TB'!$R:$R,'HDN P&amp;L'!$A17,'HDN TB'!I:I)</f>
        <v/>
      </c>
      <c r="V17" s="38" t="n">
        <v>3939.99</v>
      </c>
      <c r="W17" s="38" t="n">
        <v>3939.99</v>
      </c>
      <c r="X17" s="38" t="n">
        <v>3939.99</v>
      </c>
      <c r="Y17" s="38" t="n">
        <v>3939.99</v>
      </c>
      <c r="Z17" s="38" t="n">
        <v>3939.99</v>
      </c>
      <c r="AA17" s="36">
        <f>SUM(O17:U17)</f>
        <v/>
      </c>
      <c r="AB17" s="36">
        <f>SUM(O17:Z17)</f>
        <v/>
      </c>
      <c r="AC17" s="38" t="n">
        <v>3939.99</v>
      </c>
      <c r="AD17" s="38" t="n">
        <v>3939.99</v>
      </c>
      <c r="AE17" s="38" t="n">
        <v>3939.99</v>
      </c>
      <c r="AF17" s="38" t="n">
        <v>3939.99</v>
      </c>
      <c r="AG17" s="38" t="n">
        <v>3939.99</v>
      </c>
      <c r="AH17" s="38" t="n">
        <v>3939.99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590.4400000000001</v>
      </c>
      <c r="C18" s="35" t="n">
        <v>569.1900000000001</v>
      </c>
      <c r="D18" s="35" t="n">
        <v>575.7</v>
      </c>
      <c r="E18" s="35" t="n">
        <v>603.08</v>
      </c>
      <c r="F18" s="35" t="n">
        <v>604.72</v>
      </c>
      <c r="G18" s="35" t="n">
        <v>616.71</v>
      </c>
      <c r="H18" s="35" t="n">
        <v>779.6900000000001</v>
      </c>
      <c r="I18" s="35" t="n">
        <v>683.8</v>
      </c>
      <c r="J18" s="35" t="n">
        <v>705.6799999999999</v>
      </c>
      <c r="K18" s="35" t="n">
        <v>790.33</v>
      </c>
      <c r="L18" s="35" t="n">
        <v>770.66</v>
      </c>
      <c r="M18" s="35" t="n">
        <v>799.9299999999999</v>
      </c>
      <c r="N18" s="36">
        <f>SUM(B18:M18)</f>
        <v/>
      </c>
      <c r="O18" s="37">
        <f>SUMIF('XHDN TB'!$R:$R,'HDN P&amp;L'!$A18,'XHDN TB'!C:C)</f>
        <v/>
      </c>
      <c r="P18" s="37">
        <f>SUMIF('XHDN TB'!$R:$R,'HDN P&amp;L'!$A18,'XHDN TB'!D:D)</f>
        <v/>
      </c>
      <c r="Q18" s="37">
        <f>SUMIF('XHDN TB'!$R:$R,'HDN P&amp;L'!$A18,'XHDN TB'!E:E)</f>
        <v/>
      </c>
      <c r="R18" s="37">
        <f>SUMIF('XHDN TB'!$R:$R,'HDN P&amp;L'!$A18,'XHDN TB'!F:F)</f>
        <v/>
      </c>
      <c r="S18" s="37">
        <f>SUMIF('XHDN TB'!$R:$R,'HDN P&amp;L'!$A18,'XHDN TB'!G:G)</f>
        <v/>
      </c>
      <c r="T18" s="37">
        <f>SUMIF('XHDN TB'!$R:$R,'HDN P&amp;L'!$A18,'XHDN TB'!H:H)</f>
        <v/>
      </c>
      <c r="U18" s="37">
        <f>SUMIF('HDN TB'!$R:$R,'HDN P&amp;L'!$A18,'HDN TB'!I:I)</f>
        <v/>
      </c>
      <c r="V18" s="38" t="n">
        <v>747.79</v>
      </c>
      <c r="W18" s="38" t="n">
        <v>747.79</v>
      </c>
      <c r="X18" s="38" t="n">
        <v>747.79</v>
      </c>
      <c r="Y18" s="38" t="n">
        <v>747.79</v>
      </c>
      <c r="Z18" s="38" t="n">
        <v>747.79</v>
      </c>
      <c r="AA18" s="36">
        <f>SUM(O18:U18)</f>
        <v/>
      </c>
      <c r="AB18" s="36">
        <f>SUM(O18:Z18)</f>
        <v/>
      </c>
      <c r="AC18" s="38" t="n">
        <v>747.79</v>
      </c>
      <c r="AD18" s="38" t="n">
        <v>747.79</v>
      </c>
      <c r="AE18" s="38" t="n">
        <v>747.79</v>
      </c>
      <c r="AF18" s="38" t="n">
        <v>747.79</v>
      </c>
      <c r="AG18" s="38" t="n">
        <v>747.79</v>
      </c>
      <c r="AH18" s="38" t="n">
        <v>747.79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286.7</v>
      </c>
      <c r="D19" s="35" t="n">
        <v>5.99</v>
      </c>
      <c r="E19" s="35" t="n">
        <v>251.62</v>
      </c>
      <c r="F19" s="35" t="n">
        <v>91.02</v>
      </c>
      <c r="G19" s="35" t="n">
        <v>0</v>
      </c>
      <c r="H19" s="35" t="n">
        <v>0</v>
      </c>
      <c r="I19" s="35" t="n">
        <v>0</v>
      </c>
      <c r="J19" s="35" t="n">
        <v>0</v>
      </c>
      <c r="K19" s="35" t="n">
        <v>163.98</v>
      </c>
      <c r="L19" s="35" t="n">
        <v>0</v>
      </c>
      <c r="M19" s="35" t="n">
        <v>0</v>
      </c>
      <c r="N19" s="36">
        <f>SUM(B19:M19)</f>
        <v/>
      </c>
      <c r="O19" s="37">
        <f>SUMIF('XHDN TB'!$R:$R,'HDN P&amp;L'!$A19,'XHDN TB'!C:C)</f>
        <v/>
      </c>
      <c r="P19" s="37">
        <f>SUMIF('XHDN TB'!$R:$R,'HDN P&amp;L'!$A19,'XHDN TB'!D:D)</f>
        <v/>
      </c>
      <c r="Q19" s="37">
        <f>SUMIF('XHDN TB'!$R:$R,'HDN P&amp;L'!$A19,'XHDN TB'!E:E)</f>
        <v/>
      </c>
      <c r="R19" s="37">
        <f>SUMIF('XHDN TB'!$R:$R,'HDN P&amp;L'!$A19,'XHDN TB'!F:F)</f>
        <v/>
      </c>
      <c r="S19" s="37">
        <f>SUMIF('XHDN TB'!$R:$R,'HDN P&amp;L'!$A19,'XHDN TB'!G:G)</f>
        <v/>
      </c>
      <c r="T19" s="37">
        <f>SUMIF('XHDN TB'!$R:$R,'HDN P&amp;L'!$A19,'XHDN TB'!H:H)</f>
        <v/>
      </c>
      <c r="U19" s="37">
        <f>SUMIF('HDN TB'!$R:$R,'HDN P&amp;L'!$A19,'HDN TB'!I:I)</f>
        <v/>
      </c>
      <c r="V19" s="38" t="n">
        <v>83</v>
      </c>
      <c r="W19" s="38" t="n">
        <v>83</v>
      </c>
      <c r="X19" s="38" t="n">
        <v>83</v>
      </c>
      <c r="Y19" s="38" t="n">
        <v>83</v>
      </c>
      <c r="Z19" s="38" t="n">
        <v>83</v>
      </c>
      <c r="AA19" s="36">
        <f>SUM(O19:U19)</f>
        <v/>
      </c>
      <c r="AB19" s="36">
        <f>SUM(O19:Z19)</f>
        <v/>
      </c>
      <c r="AC19" s="38" t="n">
        <v>83</v>
      </c>
      <c r="AD19" s="38" t="n">
        <v>83</v>
      </c>
      <c r="AE19" s="38" t="n">
        <v>83</v>
      </c>
      <c r="AF19" s="38" t="n">
        <v>83</v>
      </c>
      <c r="AG19" s="38" t="n">
        <v>83</v>
      </c>
      <c r="AH19" s="38" t="n">
        <v>83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48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54</v>
      </c>
      <c r="H20" s="35" t="n">
        <v>24</v>
      </c>
      <c r="I20" s="35" t="n">
        <v>0</v>
      </c>
      <c r="J20" s="35" t="n">
        <v>102</v>
      </c>
      <c r="K20" s="35" t="n">
        <v>0</v>
      </c>
      <c r="L20" s="35" t="n">
        <v>37.2</v>
      </c>
      <c r="M20" s="35" t="n">
        <v>0</v>
      </c>
      <c r="N20" s="36">
        <f>SUM(B20:M20)</f>
        <v/>
      </c>
      <c r="O20" s="37">
        <f>SUMIF('XHDN TB'!$R:$R,'HDN P&amp;L'!$A20,'XHDN TB'!C:C)</f>
        <v/>
      </c>
      <c r="P20" s="37">
        <f>SUMIF('XHDN TB'!$R:$R,'HDN P&amp;L'!$A20,'XHDN TB'!D:D)</f>
        <v/>
      </c>
      <c r="Q20" s="37">
        <f>SUMIF('XHDN TB'!$R:$R,'HDN P&amp;L'!$A20,'XHDN TB'!E:E)</f>
        <v/>
      </c>
      <c r="R20" s="37">
        <f>SUMIF('XHDN TB'!$R:$R,'HDN P&amp;L'!$A20,'XHDN TB'!F:F)</f>
        <v/>
      </c>
      <c r="S20" s="37">
        <f>SUMIF('XHDN TB'!$R:$R,'HDN P&amp;L'!$A20,'XHDN TB'!G:G)</f>
        <v/>
      </c>
      <c r="T20" s="37">
        <f>SUMIF('XHDN TB'!$R:$R,'HDN P&amp;L'!$A20,'XHDN TB'!H:H)</f>
        <v/>
      </c>
      <c r="U20" s="37">
        <f>SUMIF('HDN TB'!$R:$R,'HDN P&amp;L'!$A20,'HDN TB'!I:I)</f>
        <v/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220.6000000000001</v>
      </c>
      <c r="C21" s="35" t="n">
        <v>225.71</v>
      </c>
      <c r="D21" s="35" t="n">
        <v>115.95</v>
      </c>
      <c r="E21" s="35" t="n">
        <v>324.7900000000001</v>
      </c>
      <c r="F21" s="35" t="n">
        <v>102.62</v>
      </c>
      <c r="G21" s="35" t="n">
        <v>41.39</v>
      </c>
      <c r="H21" s="35" t="n">
        <v>456.77</v>
      </c>
      <c r="I21" s="35" t="n">
        <v>117.13</v>
      </c>
      <c r="J21" s="35" t="n">
        <v>158.17</v>
      </c>
      <c r="K21" s="35" t="n">
        <v>329.93</v>
      </c>
      <c r="L21" s="35" t="n">
        <v>60.13</v>
      </c>
      <c r="M21" s="35" t="n">
        <v>69.8</v>
      </c>
      <c r="N21" s="36">
        <f>SUM(B21:M21)</f>
        <v/>
      </c>
      <c r="O21" s="37">
        <f>SUMIF('XHDN TB'!$R:$R,'HDN P&amp;L'!$A21,'XHDN TB'!C:C)</f>
        <v/>
      </c>
      <c r="P21" s="37">
        <f>SUMIF('XHDN TB'!$R:$R,'HDN P&amp;L'!$A21,'XHDN TB'!D:D)</f>
        <v/>
      </c>
      <c r="Q21" s="37">
        <f>SUMIF('XHDN TB'!$R:$R,'HDN P&amp;L'!$A21,'XHDN TB'!E:E)</f>
        <v/>
      </c>
      <c r="R21" s="37">
        <f>SUMIF('XHDN TB'!$R:$R,'HDN P&amp;L'!$A21,'XHDN TB'!F:F)</f>
        <v/>
      </c>
      <c r="S21" s="37">
        <f>SUMIF('XHDN TB'!$R:$R,'HDN P&amp;L'!$A21,'XHDN TB'!G:G)</f>
        <v/>
      </c>
      <c r="T21" s="37">
        <f>SUMIF('XHDN TB'!$R:$R,'HDN P&amp;L'!$A21,'XHDN TB'!H:H)</f>
        <v/>
      </c>
      <c r="U21" s="37">
        <f>SUMIF('HDN TB'!$R:$R,'HDN P&amp;L'!$A21,'HDN TB'!I:I)</f>
        <v/>
      </c>
      <c r="V21" s="38" t="n">
        <v>170</v>
      </c>
      <c r="W21" s="38" t="n">
        <v>170</v>
      </c>
      <c r="X21" s="38" t="n">
        <v>170</v>
      </c>
      <c r="Y21" s="38" t="n">
        <v>170</v>
      </c>
      <c r="Z21" s="38" t="n">
        <v>170</v>
      </c>
      <c r="AA21" s="36">
        <f>SUM(O21:U21)</f>
        <v/>
      </c>
      <c r="AB21" s="36">
        <f>SUM(O21:Z21)</f>
        <v/>
      </c>
      <c r="AC21" s="38" t="n">
        <v>170</v>
      </c>
      <c r="AD21" s="38" t="n">
        <v>170</v>
      </c>
      <c r="AE21" s="38" t="n">
        <v>170</v>
      </c>
      <c r="AF21" s="38" t="n">
        <v>170</v>
      </c>
      <c r="AG21" s="38" t="n">
        <v>170</v>
      </c>
      <c r="AH21" s="38" t="n">
        <v>170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SUMIF('XHDN TB'!$R:$R,'HDN P&amp;L'!$A22,'XHDN TB'!C:C)</f>
        <v/>
      </c>
      <c r="P22" s="37">
        <f>SUMIF('XHDN TB'!$R:$R,'HDN P&amp;L'!$A22,'XHDN TB'!D:D)</f>
        <v/>
      </c>
      <c r="Q22" s="37">
        <f>SUMIF('XHDN TB'!$R:$R,'HDN P&amp;L'!$A22,'XHDN TB'!E:E)</f>
        <v/>
      </c>
      <c r="R22" s="37">
        <f>SUMIF('XHDN TB'!$R:$R,'HDN P&amp;L'!$A22,'XHDN TB'!F:F)</f>
        <v/>
      </c>
      <c r="S22" s="37">
        <f>SUMIF('XHDN TB'!$R:$R,'HDN P&amp;L'!$A22,'XHDN TB'!G:G)</f>
        <v/>
      </c>
      <c r="T22" s="37">
        <f>SUMIF('XHDN TB'!$R:$R,'HDN P&amp;L'!$A22,'XHDN TB'!H:H)</f>
        <v/>
      </c>
      <c r="U22" s="37">
        <f>SUMIF('HDN TB'!$R:$R,'HDN P&amp;L'!$A22,'HDN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48.47</v>
      </c>
      <c r="I23" s="35" t="n">
        <v>27.5</v>
      </c>
      <c r="J23" s="35" t="n">
        <v>73.47</v>
      </c>
      <c r="K23" s="35" t="n">
        <v>0</v>
      </c>
      <c r="L23" s="35" t="n">
        <v>35.97</v>
      </c>
      <c r="M23" s="35" t="n">
        <v>7.99</v>
      </c>
      <c r="N23" s="36">
        <f>SUM(B23:M23)</f>
        <v/>
      </c>
      <c r="O23" s="37">
        <f>SUMIF('XHDN TB'!$R:$R,'HDN P&amp;L'!$A23,'XHDN TB'!C:C)</f>
        <v/>
      </c>
      <c r="P23" s="37">
        <f>SUMIF('XHDN TB'!$R:$R,'HDN P&amp;L'!$A23,'XHDN TB'!D:D)</f>
        <v/>
      </c>
      <c r="Q23" s="37">
        <f>SUMIF('XHDN TB'!$R:$R,'HDN P&amp;L'!$A23,'XHDN TB'!E:E)</f>
        <v/>
      </c>
      <c r="R23" s="37">
        <f>SUMIF('XHDN TB'!$R:$R,'HDN P&amp;L'!$A23,'XHDN TB'!F:F)</f>
        <v/>
      </c>
      <c r="S23" s="37">
        <f>SUMIF('XHDN TB'!$R:$R,'HDN P&amp;L'!$A23,'XHDN TB'!G:G)</f>
        <v/>
      </c>
      <c r="T23" s="37">
        <f>SUMIF('XHDN TB'!$R:$R,'HDN P&amp;L'!$A23,'XHDN TB'!H:H)</f>
        <v/>
      </c>
      <c r="U23" s="37">
        <f>SUMIF('HDN TB'!$R:$R,'HDN P&amp;L'!$A23,'HDN TB'!I:I)</f>
        <v/>
      </c>
      <c r="V23" s="38" t="n">
        <v>71</v>
      </c>
      <c r="W23" s="38" t="n">
        <v>71</v>
      </c>
      <c r="X23" s="38" t="n">
        <v>71</v>
      </c>
      <c r="Y23" s="38" t="n">
        <v>71</v>
      </c>
      <c r="Z23" s="38" t="n">
        <v>71</v>
      </c>
      <c r="AA23" s="36">
        <f>SUM(O23:U23)</f>
        <v/>
      </c>
      <c r="AB23" s="36">
        <f>SUM(O23:Z23)</f>
        <v/>
      </c>
      <c r="AC23" s="38" t="n">
        <v>71</v>
      </c>
      <c r="AD23" s="38" t="n">
        <v>71</v>
      </c>
      <c r="AE23" s="38" t="n">
        <v>71</v>
      </c>
      <c r="AF23" s="38" t="n">
        <v>71</v>
      </c>
      <c r="AG23" s="38" t="n">
        <v>71</v>
      </c>
      <c r="AH23" s="38" t="n">
        <v>71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217.33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SUMIF('XHDN TB'!$R:$R,'HDN P&amp;L'!$A24,'XHDN TB'!C:C)</f>
        <v/>
      </c>
      <c r="P24" s="37">
        <f>SUMIF('XHDN TB'!$R:$R,'HDN P&amp;L'!$A24,'XHDN TB'!D:D)</f>
        <v/>
      </c>
      <c r="Q24" s="37">
        <f>SUMIF('XHDN TB'!$R:$R,'HDN P&amp;L'!$A24,'XHDN TB'!E:E)</f>
        <v/>
      </c>
      <c r="R24" s="37">
        <f>SUMIF('XHDN TB'!$R:$R,'HDN P&amp;L'!$A24,'XHDN TB'!F:F)</f>
        <v/>
      </c>
      <c r="S24" s="37">
        <f>SUMIF('XHDN TB'!$R:$R,'HDN P&amp;L'!$A24,'XHDN TB'!G:G)</f>
        <v/>
      </c>
      <c r="T24" s="37">
        <f>SUMIF('XHDN TB'!$R:$R,'HDN P&amp;L'!$A24,'XHDN TB'!H:H)</f>
        <v/>
      </c>
      <c r="U24" s="37">
        <f>SUMIF('HDN TB'!$R:$R,'HDN P&amp;L'!$A24,'HDN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30380.50999999999</v>
      </c>
      <c r="C25" s="42" t="n">
        <v>30495.64</v>
      </c>
      <c r="D25" s="42" t="n">
        <v>31357.96</v>
      </c>
      <c r="E25" s="42" t="n">
        <v>36022.19</v>
      </c>
      <c r="F25" s="42" t="n">
        <v>34088.36</v>
      </c>
      <c r="G25" s="42" t="n">
        <v>33987.66</v>
      </c>
      <c r="H25" s="42" t="n">
        <v>41381.32</v>
      </c>
      <c r="I25" s="42" t="n">
        <v>37697.41</v>
      </c>
      <c r="J25" s="42" t="n">
        <v>37624.93</v>
      </c>
      <c r="K25" s="42" t="n">
        <v>41626.15000000001</v>
      </c>
      <c r="L25" s="42" t="n">
        <v>40639.57</v>
      </c>
      <c r="M25" s="42" t="n">
        <v>41667.54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981.28</v>
      </c>
      <c r="C27" s="35" t="n">
        <v>1316.38</v>
      </c>
      <c r="D27" s="35" t="n">
        <v>1227.96</v>
      </c>
      <c r="E27" s="35" t="n">
        <v>1090.82</v>
      </c>
      <c r="F27" s="35" t="n">
        <v>1841.11</v>
      </c>
      <c r="G27" s="35" t="n">
        <v>1207.3</v>
      </c>
      <c r="H27" s="35" t="n">
        <v>1487.43</v>
      </c>
      <c r="I27" s="35" t="n">
        <v>1375.04</v>
      </c>
      <c r="J27" s="35" t="n">
        <v>921.6600000000001</v>
      </c>
      <c r="K27" s="35" t="n">
        <v>1727.81</v>
      </c>
      <c r="L27" s="35" t="n">
        <v>1328.64</v>
      </c>
      <c r="M27" s="35" t="n">
        <v>1221.21</v>
      </c>
      <c r="N27" s="36">
        <f>SUM(B27:M27)</f>
        <v/>
      </c>
      <c r="O27" s="37">
        <f>SUMIF('XHDN TB'!$R:$R,'HDN P&amp;L'!$A27,'XHDN TB'!C:C)</f>
        <v/>
      </c>
      <c r="P27" s="37">
        <f>SUMIF('XHDN TB'!$R:$R,'HDN P&amp;L'!$A27,'XHDN TB'!D:D)</f>
        <v/>
      </c>
      <c r="Q27" s="37">
        <f>SUMIF('XHDN TB'!$R:$R,'HDN P&amp;L'!$A27,'XHDN TB'!E:E)</f>
        <v/>
      </c>
      <c r="R27" s="37">
        <f>SUMIF('XHDN TB'!$R:$R,'HDN P&amp;L'!$A27,'XHDN TB'!F:F)</f>
        <v/>
      </c>
      <c r="S27" s="37">
        <f>SUMIF('XHDN TB'!$R:$R,'HDN P&amp;L'!$A27,'XHDN TB'!G:G)</f>
        <v/>
      </c>
      <c r="T27" s="37">
        <f>SUMIF('XHDN TB'!$R:$R,'HDN P&amp;L'!$A27,'XHDN TB'!H:H)</f>
        <v/>
      </c>
      <c r="U27" s="37">
        <f>SUMIF('HDN TB'!$R:$R,'HDN P&amp;L'!$A27,'HDN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239.5</v>
      </c>
      <c r="C28" s="35" t="n">
        <v>130.44</v>
      </c>
      <c r="D28" s="35" t="n">
        <v>274.74</v>
      </c>
      <c r="E28" s="35" t="n">
        <v>380.74</v>
      </c>
      <c r="F28" s="35" t="n">
        <v>1073</v>
      </c>
      <c r="G28" s="35" t="n">
        <v>48.17</v>
      </c>
      <c r="H28" s="35" t="n">
        <v>581.1899999999999</v>
      </c>
      <c r="I28" s="35" t="n">
        <v>236.38</v>
      </c>
      <c r="J28" s="35" t="n">
        <v>393.6</v>
      </c>
      <c r="K28" s="35" t="n">
        <v>22.42</v>
      </c>
      <c r="L28" s="35" t="n">
        <v>14.95</v>
      </c>
      <c r="M28" s="35" t="n">
        <v>53.27</v>
      </c>
      <c r="N28" s="36">
        <f>SUM(B28:M28)</f>
        <v/>
      </c>
      <c r="O28" s="37">
        <f>SUMIF('XHDN TB'!$R:$R,'HDN P&amp;L'!$A28,'XHDN TB'!C:C)</f>
        <v/>
      </c>
      <c r="P28" s="37">
        <f>SUMIF('XHDN TB'!$R:$R,'HDN P&amp;L'!$A28,'XHDN TB'!D:D)</f>
        <v/>
      </c>
      <c r="Q28" s="37">
        <f>SUMIF('XHDN TB'!$R:$R,'HDN P&amp;L'!$A28,'XHDN TB'!E:E)</f>
        <v/>
      </c>
      <c r="R28" s="37">
        <f>SUMIF('XHDN TB'!$R:$R,'HDN P&amp;L'!$A28,'XHDN TB'!F:F)</f>
        <v/>
      </c>
      <c r="S28" s="37">
        <f>SUMIF('XHDN TB'!$R:$R,'HDN P&amp;L'!$A28,'XHDN TB'!G:G)</f>
        <v/>
      </c>
      <c r="T28" s="37">
        <f>SUMIF('XHDN TB'!$R:$R,'HDN P&amp;L'!$A28,'XHDN TB'!H:H)</f>
        <v/>
      </c>
      <c r="U28" s="37">
        <f>SUMIF('HDN TB'!$R:$R,'HDN P&amp;L'!$A28,'HDN TB'!I:I)</f>
        <v/>
      </c>
      <c r="V28" s="38" t="n">
        <v>100</v>
      </c>
      <c r="W28" s="38" t="n">
        <v>100</v>
      </c>
      <c r="X28" s="38" t="n">
        <v>100</v>
      </c>
      <c r="Y28" s="38" t="n">
        <v>100</v>
      </c>
      <c r="Z28" s="38" t="n">
        <v>100</v>
      </c>
      <c r="AA28" s="36">
        <f>SUM(O28:U28)</f>
        <v/>
      </c>
      <c r="AB28" s="36">
        <f>SUM(O28:Z28)</f>
        <v/>
      </c>
      <c r="AC28" s="38" t="n">
        <v>100</v>
      </c>
      <c r="AD28" s="38" t="n">
        <v>100</v>
      </c>
      <c r="AE28" s="38" t="n">
        <v>100</v>
      </c>
      <c r="AF28" s="38" t="n">
        <v>100</v>
      </c>
      <c r="AG28" s="38" t="n">
        <v>100</v>
      </c>
      <c r="AH28" s="38" t="n">
        <v>100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13.32</v>
      </c>
      <c r="C29" s="35" t="n">
        <v>60.2</v>
      </c>
      <c r="D29" s="35" t="n">
        <v>60</v>
      </c>
      <c r="E29" s="35" t="n">
        <v>100.89</v>
      </c>
      <c r="F29" s="35" t="n">
        <v>161.81</v>
      </c>
      <c r="G29" s="35" t="n">
        <v>123.86</v>
      </c>
      <c r="H29" s="35" t="n">
        <v>29.36</v>
      </c>
      <c r="I29" s="35" t="n">
        <v>26.93</v>
      </c>
      <c r="J29" s="35" t="n">
        <v>0</v>
      </c>
      <c r="K29" s="35" t="n">
        <v>50.84</v>
      </c>
      <c r="L29" s="35" t="n">
        <v>163.6</v>
      </c>
      <c r="M29" s="35" t="n">
        <v>100.1</v>
      </c>
      <c r="N29" s="36">
        <f>SUM(B29:M29)</f>
        <v/>
      </c>
      <c r="O29" s="37">
        <f>SUMIF('XHDN TB'!$R:$R,'HDN P&amp;L'!$A29,'XHDN TB'!C:C)</f>
        <v/>
      </c>
      <c r="P29" s="37">
        <f>SUMIF('XHDN TB'!$R:$R,'HDN P&amp;L'!$A29,'XHDN TB'!D:D)</f>
        <v/>
      </c>
      <c r="Q29" s="37">
        <f>SUMIF('XHDN TB'!$R:$R,'HDN P&amp;L'!$A29,'XHDN TB'!E:E)</f>
        <v/>
      </c>
      <c r="R29" s="37">
        <f>SUMIF('XHDN TB'!$R:$R,'HDN P&amp;L'!$A29,'XHDN TB'!F:F)</f>
        <v/>
      </c>
      <c r="S29" s="37">
        <f>SUMIF('XHDN TB'!$R:$R,'HDN P&amp;L'!$A29,'XHDN TB'!G:G)</f>
        <v/>
      </c>
      <c r="T29" s="37">
        <f>SUMIF('XHDN TB'!$R:$R,'HDN P&amp;L'!$A29,'XHDN TB'!H:H)</f>
        <v/>
      </c>
      <c r="U29" s="37">
        <f>SUMIF('HDN TB'!$R:$R,'HDN P&amp;L'!$A29,'HDN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0.00312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SUMIF('XHDN TB'!$R:$R,'HDN P&amp;L'!$A30,'XHDN TB'!C:C)</f>
        <v/>
      </c>
      <c r="P30" s="37">
        <f>SUMIF('XHDN TB'!$R:$R,'HDN P&amp;L'!$A30,'XHDN TB'!D:D)</f>
        <v/>
      </c>
      <c r="Q30" s="37">
        <f>SUMIF('XHDN TB'!$R:$R,'HDN P&amp;L'!$A30,'XHDN TB'!E:E)</f>
        <v/>
      </c>
      <c r="R30" s="37">
        <f>SUMIF('XHDN TB'!$R:$R,'HDN P&amp;L'!$A30,'XHDN TB'!F:F)</f>
        <v/>
      </c>
      <c r="S30" s="37">
        <f>SUMIF('XHDN TB'!$R:$R,'HDN P&amp;L'!$A30,'XHDN TB'!G:G)</f>
        <v/>
      </c>
      <c r="T30" s="37">
        <f>SUMIF('XHDN TB'!$R:$R,'HDN P&amp;L'!$A30,'XHDN TB'!H:H)</f>
        <v/>
      </c>
      <c r="U30" s="37">
        <f>SUMIF('HDN TB'!$R:$R,'HDN P&amp;L'!$A30,'HDN TB'!I:I)</f>
        <v/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134.61</v>
      </c>
      <c r="C31" s="35" t="n">
        <v>25.96</v>
      </c>
      <c r="D31" s="35" t="n">
        <v>134.14</v>
      </c>
      <c r="E31" s="35" t="n">
        <v>13.99</v>
      </c>
      <c r="F31" s="35" t="n">
        <v>0</v>
      </c>
      <c r="G31" s="35" t="n">
        <v>166.09</v>
      </c>
      <c r="H31" s="35" t="n">
        <v>0</v>
      </c>
      <c r="I31" s="35" t="n">
        <v>0</v>
      </c>
      <c r="J31" s="35" t="n">
        <v>0</v>
      </c>
      <c r="K31" s="35" t="n">
        <v>524.03</v>
      </c>
      <c r="L31" s="35" t="n">
        <v>0</v>
      </c>
      <c r="M31" s="35" t="n">
        <v>12.98</v>
      </c>
      <c r="N31" s="36">
        <f>SUM(B31:M31)</f>
        <v/>
      </c>
      <c r="O31" s="37">
        <f>SUMIF('XHDN TB'!$R:$R,'HDN P&amp;L'!$A31,'XHDN TB'!C:C)</f>
        <v/>
      </c>
      <c r="P31" s="37">
        <f>SUMIF('XHDN TB'!$R:$R,'HDN P&amp;L'!$A31,'XHDN TB'!D:D)</f>
        <v/>
      </c>
      <c r="Q31" s="37">
        <f>SUMIF('XHDN TB'!$R:$R,'HDN P&amp;L'!$A31,'XHDN TB'!E:E)</f>
        <v/>
      </c>
      <c r="R31" s="37">
        <f>SUMIF('XHDN TB'!$R:$R,'HDN P&amp;L'!$A31,'XHDN TB'!F:F)</f>
        <v/>
      </c>
      <c r="S31" s="37">
        <f>SUMIF('XHDN TB'!$R:$R,'HDN P&amp;L'!$A31,'XHDN TB'!G:G)</f>
        <v/>
      </c>
      <c r="T31" s="37">
        <f>SUMIF('XHDN TB'!$R:$R,'HDN P&amp;L'!$A31,'XHDN TB'!H:H)</f>
        <v/>
      </c>
      <c r="U31" s="37">
        <f>SUMIF('HDN TB'!$R:$R,'HDN P&amp;L'!$A31,'HDN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101.07</v>
      </c>
      <c r="C32" s="35" t="n">
        <v>172.11</v>
      </c>
      <c r="D32" s="35" t="n">
        <v>274.74</v>
      </c>
      <c r="E32" s="35" t="n">
        <v>0</v>
      </c>
      <c r="F32" s="35" t="n">
        <v>0</v>
      </c>
      <c r="G32" s="35" t="n">
        <v>59.28</v>
      </c>
      <c r="H32" s="35" t="n">
        <v>101.58</v>
      </c>
      <c r="I32" s="35" t="n">
        <v>247.33</v>
      </c>
      <c r="J32" s="35" t="n">
        <v>0</v>
      </c>
      <c r="K32" s="35" t="n">
        <v>188.53</v>
      </c>
      <c r="L32" s="35" t="n">
        <v>0</v>
      </c>
      <c r="M32" s="35" t="n">
        <v>136.09</v>
      </c>
      <c r="N32" s="36">
        <f>SUM(B32:M32)</f>
        <v/>
      </c>
      <c r="O32" s="37">
        <f>SUMIF('XHDN TB'!$R:$R,'HDN P&amp;L'!$A32,'XHDN TB'!C:C)</f>
        <v/>
      </c>
      <c r="P32" s="37">
        <f>SUMIF('XHDN TB'!$R:$R,'HDN P&amp;L'!$A32,'XHDN TB'!D:D)</f>
        <v/>
      </c>
      <c r="Q32" s="37">
        <f>SUMIF('XHDN TB'!$R:$R,'HDN P&amp;L'!$A32,'XHDN TB'!E:E)</f>
        <v/>
      </c>
      <c r="R32" s="37">
        <f>SUMIF('XHDN TB'!$R:$R,'HDN P&amp;L'!$A32,'XHDN TB'!F:F)</f>
        <v/>
      </c>
      <c r="S32" s="37">
        <f>SUMIF('XHDN TB'!$R:$R,'HDN P&amp;L'!$A32,'XHDN TB'!G:G)</f>
        <v/>
      </c>
      <c r="T32" s="37">
        <f>SUMIF('XHDN TB'!$R:$R,'HDN P&amp;L'!$A32,'XHDN TB'!H:H)</f>
        <v/>
      </c>
      <c r="U32" s="37">
        <f>SUMIF('HDN TB'!$R:$R,'HDN P&amp;L'!$A32,'HDN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0.005200000000000001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SUMIF('XHDN TB'!$R:$R,'HDN P&amp;L'!$A33,'XHDN TB'!C:C)</f>
        <v/>
      </c>
      <c r="P33" s="37">
        <f>SUMIF('XHDN TB'!$R:$R,'HDN P&amp;L'!$A33,'XHDN TB'!D:D)</f>
        <v/>
      </c>
      <c r="Q33" s="37">
        <f>SUMIF('XHDN TB'!$R:$R,'HDN P&amp;L'!$A33,'XHDN TB'!E:E)</f>
        <v/>
      </c>
      <c r="R33" s="37">
        <f>SUMIF('XHDN TB'!$R:$R,'HDN P&amp;L'!$A33,'XHDN TB'!F:F)</f>
        <v/>
      </c>
      <c r="S33" s="37">
        <f>SUMIF('XHDN TB'!$R:$R,'HDN P&amp;L'!$A33,'XHDN TB'!G:G)</f>
        <v/>
      </c>
      <c r="T33" s="37">
        <f>SUMIF('XHDN TB'!$R:$R,'HDN P&amp;L'!$A33,'XHDN TB'!H:H)</f>
        <v/>
      </c>
      <c r="U33" s="37">
        <f>SUMIF('HDN TB'!$R:$R,'HDN P&amp;L'!$A33,'HDN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1469.78</v>
      </c>
      <c r="C34" s="42" t="n">
        <v>1705.09</v>
      </c>
      <c r="D34" s="42" t="n">
        <v>1971.58</v>
      </c>
      <c r="E34" s="42" t="n">
        <v>1586.44</v>
      </c>
      <c r="F34" s="42" t="n">
        <v>3075.92</v>
      </c>
      <c r="G34" s="42" t="n">
        <v>1604.7</v>
      </c>
      <c r="H34" s="42" t="n">
        <v>2199.56</v>
      </c>
      <c r="I34" s="42" t="n">
        <v>1885.68</v>
      </c>
      <c r="J34" s="42" t="n">
        <v>1315.26</v>
      </c>
      <c r="K34" s="42" t="n">
        <v>2513.63</v>
      </c>
      <c r="L34" s="42" t="n">
        <v>1507.19</v>
      </c>
      <c r="M34" s="42" t="n">
        <v>1523.65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SUMIF('XHDN TB'!$R:$R,'HDN P&amp;L'!$A36,'XHDN TB'!C:C)</f>
        <v/>
      </c>
      <c r="P36" s="37">
        <f>SUMIF('XHDN TB'!$R:$R,'HDN P&amp;L'!$A36,'XHDN TB'!D:D)</f>
        <v/>
      </c>
      <c r="Q36" s="37">
        <f>SUMIF('XHDN TB'!$R:$R,'HDN P&amp;L'!$A36,'XHDN TB'!E:E)</f>
        <v/>
      </c>
      <c r="R36" s="37">
        <f>SUMIF('XHDN TB'!$R:$R,'HDN P&amp;L'!$A36,'XHDN TB'!F:F)</f>
        <v/>
      </c>
      <c r="S36" s="37">
        <f>SUMIF('XHDN TB'!$R:$R,'HDN P&amp;L'!$A36,'XHDN TB'!G:G)</f>
        <v/>
      </c>
      <c r="T36" s="37">
        <f>SUMIF('XHDN TB'!$R:$R,'HDN P&amp;L'!$A36,'XHDN TB'!H:H)</f>
        <v/>
      </c>
      <c r="U36" s="37">
        <f>SUMIF('HDN TB'!$R:$R,'HDN P&amp;L'!$A36,'HDN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1850.46</v>
      </c>
      <c r="C37" s="35" t="n">
        <v>1850.46</v>
      </c>
      <c r="D37" s="35" t="n">
        <v>1850.46</v>
      </c>
      <c r="E37" s="35" t="n">
        <v>1850.42</v>
      </c>
      <c r="F37" s="35" t="n">
        <v>1850.42</v>
      </c>
      <c r="G37" s="35" t="n">
        <v>1850.42</v>
      </c>
      <c r="H37" s="35" t="n">
        <v>1850.42</v>
      </c>
      <c r="I37" s="35" t="n">
        <v>1850.42</v>
      </c>
      <c r="J37" s="35" t="n">
        <v>1850.42</v>
      </c>
      <c r="K37" s="35" t="n">
        <v>1850.42</v>
      </c>
      <c r="L37" s="35" t="n">
        <v>1850.42</v>
      </c>
      <c r="M37" s="35" t="n">
        <v>1850.42</v>
      </c>
      <c r="N37" s="36">
        <f>SUM(B37:M37)</f>
        <v/>
      </c>
      <c r="O37" s="37">
        <f>SUMIF('XHDN TB'!$R:$R,'HDN P&amp;L'!$A37,'XHDN TB'!C:C)</f>
        <v/>
      </c>
      <c r="P37" s="37">
        <f>SUMIF('XHDN TB'!$R:$R,'HDN P&amp;L'!$A37,'XHDN TB'!D:D)</f>
        <v/>
      </c>
      <c r="Q37" s="37">
        <f>SUMIF('XHDN TB'!$R:$R,'HDN P&amp;L'!$A37,'XHDN TB'!E:E)</f>
        <v/>
      </c>
      <c r="R37" s="37">
        <f>SUMIF('XHDN TB'!$R:$R,'HDN P&amp;L'!$A37,'XHDN TB'!F:F)</f>
        <v/>
      </c>
      <c r="S37" s="37">
        <f>SUMIF('XHDN TB'!$R:$R,'HDN P&amp;L'!$A37,'XHDN TB'!G:G)</f>
        <v/>
      </c>
      <c r="T37" s="37">
        <f>SUMIF('XHDN TB'!$R:$R,'HDN P&amp;L'!$A37,'XHDN TB'!H:H)</f>
        <v/>
      </c>
      <c r="U37" s="37">
        <f>SUMIF('HDN TB'!$R:$R,'HDN P&amp;L'!$A37,'HDN TB'!I:I)</f>
        <v/>
      </c>
      <c r="V37" s="38" t="n">
        <v>2128.03</v>
      </c>
      <c r="W37" s="38" t="n">
        <v>2128.03</v>
      </c>
      <c r="X37" s="38" t="n">
        <v>2128.03</v>
      </c>
      <c r="Y37" s="38" t="n">
        <v>2128.03</v>
      </c>
      <c r="Z37" s="38" t="n">
        <v>2128.03</v>
      </c>
      <c r="AA37" s="36">
        <f>SUM(O37:U37)</f>
        <v/>
      </c>
      <c r="AB37" s="36">
        <f>SUM(O37:Z37)</f>
        <v/>
      </c>
      <c r="AC37" s="38" t="n">
        <v>2128.03</v>
      </c>
      <c r="AD37" s="38" t="n">
        <v>2128.03</v>
      </c>
      <c r="AE37" s="38" t="n">
        <v>2128.03</v>
      </c>
      <c r="AF37" s="38" t="n">
        <v>2128.03</v>
      </c>
      <c r="AG37" s="38" t="n">
        <v>2128.03</v>
      </c>
      <c r="AH37" s="38" t="n">
        <v>2128.03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2368.8</v>
      </c>
      <c r="C38" s="35" t="n">
        <v>1729.63</v>
      </c>
      <c r="D38" s="35" t="n">
        <v>1859.19</v>
      </c>
      <c r="E38" s="35" t="n">
        <v>2094.4</v>
      </c>
      <c r="F38" s="35" t="n">
        <v>2433.41</v>
      </c>
      <c r="G38" s="35" t="n">
        <v>1489.28</v>
      </c>
      <c r="H38" s="35" t="n">
        <v>704.8299999999999</v>
      </c>
      <c r="I38" s="35" t="n">
        <v>-1889.83</v>
      </c>
      <c r="J38" s="35" t="n">
        <v>2474.2</v>
      </c>
      <c r="K38" s="35" t="n">
        <v>1184.78</v>
      </c>
      <c r="L38" s="35" t="n">
        <v>1550.31</v>
      </c>
      <c r="M38" s="35" t="n">
        <v>1669.51</v>
      </c>
      <c r="N38" s="36">
        <f>SUM(B38:M38)</f>
        <v/>
      </c>
      <c r="O38" s="37">
        <f>SUMIF('XHDN TB'!$R:$R,'HDN P&amp;L'!$A38,'XHDN TB'!C:C)</f>
        <v/>
      </c>
      <c r="P38" s="37">
        <f>SUMIF('XHDN TB'!$R:$R,'HDN P&amp;L'!$A38,'XHDN TB'!D:D)</f>
        <v/>
      </c>
      <c r="Q38" s="37">
        <f>SUMIF('XHDN TB'!$R:$R,'HDN P&amp;L'!$A38,'XHDN TB'!E:E)</f>
        <v/>
      </c>
      <c r="R38" s="37">
        <f>SUMIF('XHDN TB'!$R:$R,'HDN P&amp;L'!$A38,'XHDN TB'!F:F)</f>
        <v/>
      </c>
      <c r="S38" s="37">
        <f>SUMIF('XHDN TB'!$R:$R,'HDN P&amp;L'!$A38,'XHDN TB'!G:G)</f>
        <v/>
      </c>
      <c r="T38" s="37">
        <f>SUMIF('XHDN TB'!$R:$R,'HDN P&amp;L'!$A38,'XHDN TB'!H:H)</f>
        <v/>
      </c>
      <c r="U38" s="37">
        <f>SUMIF('HDN TB'!$R:$R,'HDN P&amp;L'!$A38,'HDN TB'!I:I)</f>
        <v/>
      </c>
      <c r="V38" s="38" t="n">
        <v>1625</v>
      </c>
      <c r="W38" s="38" t="n">
        <v>1625</v>
      </c>
      <c r="X38" s="38" t="n">
        <v>1625</v>
      </c>
      <c r="Y38" s="38" t="n">
        <v>1625</v>
      </c>
      <c r="Z38" s="38" t="n">
        <v>1625</v>
      </c>
      <c r="AA38" s="36">
        <f>SUM(O38:U38)</f>
        <v/>
      </c>
      <c r="AB38" s="36">
        <f>SUM(O38:Z38)</f>
        <v/>
      </c>
      <c r="AC38" s="38" t="n">
        <v>1625</v>
      </c>
      <c r="AD38" s="38" t="n">
        <v>1625</v>
      </c>
      <c r="AE38" s="38" t="n">
        <v>1625</v>
      </c>
      <c r="AF38" s="38" t="n">
        <v>1625</v>
      </c>
      <c r="AG38" s="38" t="n">
        <v>1625</v>
      </c>
      <c r="AH38" s="38" t="n">
        <v>1625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3031.86</v>
      </c>
      <c r="C39" s="35" t="n">
        <v>98.95</v>
      </c>
      <c r="D39" s="35" t="n">
        <v>578.95</v>
      </c>
      <c r="E39" s="35" t="n">
        <v>430.94</v>
      </c>
      <c r="F39" s="35" t="n">
        <v>435.0199999999997</v>
      </c>
      <c r="G39" s="35" t="n">
        <v>251.22</v>
      </c>
      <c r="H39" s="35" t="n">
        <v>107.95</v>
      </c>
      <c r="I39" s="35" t="n">
        <v>1347.21</v>
      </c>
      <c r="J39" s="35" t="n">
        <v>1756.7</v>
      </c>
      <c r="K39" s="35" t="n">
        <v>943.7199999999999</v>
      </c>
      <c r="L39" s="35" t="n">
        <v>994.7800000000002</v>
      </c>
      <c r="M39" s="35" t="n">
        <v>268.1</v>
      </c>
      <c r="N39" s="36">
        <f>SUM(B39:M39)</f>
        <v/>
      </c>
      <c r="O39" s="37">
        <f>SUMIF('XHDN TB'!$R:$R,'HDN P&amp;L'!$A39,'XHDN TB'!C:C)</f>
        <v/>
      </c>
      <c r="P39" s="37">
        <f>SUMIF('XHDN TB'!$R:$R,'HDN P&amp;L'!$A39,'XHDN TB'!D:D)</f>
        <v/>
      </c>
      <c r="Q39" s="37">
        <f>SUMIF('XHDN TB'!$R:$R,'HDN P&amp;L'!$A39,'XHDN TB'!E:E)</f>
        <v/>
      </c>
      <c r="R39" s="37">
        <f>SUMIF('XHDN TB'!$R:$R,'HDN P&amp;L'!$A39,'XHDN TB'!F:F)</f>
        <v/>
      </c>
      <c r="S39" s="37">
        <f>SUMIF('XHDN TB'!$R:$R,'HDN P&amp;L'!$A39,'XHDN TB'!G:G)</f>
        <v/>
      </c>
      <c r="T39" s="37">
        <f>SUMIF('XHDN TB'!$R:$R,'HDN P&amp;L'!$A39,'XHDN TB'!H:H)</f>
        <v/>
      </c>
      <c r="U39" s="37">
        <f>SUMIF('HDN TB'!$R:$R,'HDN P&amp;L'!$A39,'HDN TB'!I:I)</f>
        <v/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309.94</v>
      </c>
      <c r="C40" s="35" t="n">
        <v>0</v>
      </c>
      <c r="D40" s="35" t="n">
        <v>277.05</v>
      </c>
      <c r="E40" s="35" t="n">
        <v>362.46</v>
      </c>
      <c r="F40" s="35" t="n">
        <v>318.28</v>
      </c>
      <c r="G40" s="35" t="n">
        <v>106.85</v>
      </c>
      <c r="H40" s="35" t="n">
        <v>241.78</v>
      </c>
      <c r="I40" s="35" t="n">
        <v>110.35</v>
      </c>
      <c r="J40" s="35" t="n">
        <v>265.47</v>
      </c>
      <c r="K40" s="35" t="n">
        <v>161.46</v>
      </c>
      <c r="L40" s="35" t="n">
        <v>302.11</v>
      </c>
      <c r="M40" s="35" t="n">
        <v>146.87</v>
      </c>
      <c r="N40" s="36">
        <f>SUM(B40:M40)</f>
        <v/>
      </c>
      <c r="O40" s="37">
        <f>SUMIF('XHDN TB'!$R:$R,'HDN P&amp;L'!$A40,'XHDN TB'!C:C)</f>
        <v/>
      </c>
      <c r="P40" s="37">
        <f>SUMIF('XHDN TB'!$R:$R,'HDN P&amp;L'!$A40,'XHDN TB'!D:D)</f>
        <v/>
      </c>
      <c r="Q40" s="37">
        <f>SUMIF('XHDN TB'!$R:$R,'HDN P&amp;L'!$A40,'XHDN TB'!E:E)</f>
        <v/>
      </c>
      <c r="R40" s="37">
        <f>SUMIF('XHDN TB'!$R:$R,'HDN P&amp;L'!$A40,'XHDN TB'!F:F)</f>
        <v/>
      </c>
      <c r="S40" s="37">
        <f>SUMIF('XHDN TB'!$R:$R,'HDN P&amp;L'!$A40,'XHDN TB'!G:G)</f>
        <v/>
      </c>
      <c r="T40" s="37">
        <f>SUMIF('XHDN TB'!$R:$R,'HDN P&amp;L'!$A40,'XHDN TB'!H:H)</f>
        <v/>
      </c>
      <c r="U40" s="37">
        <f>SUMIF('HDN TB'!$R:$R,'HDN P&amp;L'!$A40,'HDN TB'!I:I)</f>
        <v/>
      </c>
      <c r="V40" s="38" t="n">
        <v>221</v>
      </c>
      <c r="W40" s="38" t="n">
        <v>221</v>
      </c>
      <c r="X40" s="38" t="n">
        <v>221</v>
      </c>
      <c r="Y40" s="38" t="n">
        <v>221</v>
      </c>
      <c r="Z40" s="38" t="n">
        <v>221</v>
      </c>
      <c r="AA40" s="36">
        <f>SUM(O40:U40)</f>
        <v/>
      </c>
      <c r="AB40" s="36">
        <f>SUM(O40:Z40)</f>
        <v/>
      </c>
      <c r="AC40" s="38" t="n">
        <v>221</v>
      </c>
      <c r="AD40" s="38" t="n">
        <v>221</v>
      </c>
      <c r="AE40" s="38" t="n">
        <v>221</v>
      </c>
      <c r="AF40" s="38" t="n">
        <v>221</v>
      </c>
      <c r="AG40" s="38" t="n">
        <v>221</v>
      </c>
      <c r="AH40" s="38" t="n">
        <v>221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379.15</v>
      </c>
      <c r="C41" s="35" t="n">
        <v>413.35</v>
      </c>
      <c r="D41" s="35" t="n">
        <v>531.62</v>
      </c>
      <c r="E41" s="35" t="n">
        <v>296.9299999999999</v>
      </c>
      <c r="F41" s="35" t="n">
        <v>430.74</v>
      </c>
      <c r="G41" s="35" t="n">
        <v>394.55</v>
      </c>
      <c r="H41" s="35" t="n">
        <v>313.24</v>
      </c>
      <c r="I41" s="35" t="n">
        <v>298.24</v>
      </c>
      <c r="J41" s="35" t="n">
        <v>444.35</v>
      </c>
      <c r="K41" s="35" t="n">
        <v>307.21</v>
      </c>
      <c r="L41" s="35" t="n">
        <v>426.55</v>
      </c>
      <c r="M41" s="35" t="n">
        <v>379.16</v>
      </c>
      <c r="N41" s="36">
        <f>SUM(B41:M41)</f>
        <v/>
      </c>
      <c r="O41" s="37">
        <f>SUMIF('XHDN TB'!$R:$R,'HDN P&amp;L'!$A41,'XHDN TB'!C:C)</f>
        <v/>
      </c>
      <c r="P41" s="37">
        <f>SUMIF('XHDN TB'!$R:$R,'HDN P&amp;L'!$A41,'XHDN TB'!D:D)</f>
        <v/>
      </c>
      <c r="Q41" s="37">
        <f>SUMIF('XHDN TB'!$R:$R,'HDN P&amp;L'!$A41,'XHDN TB'!E:E)</f>
        <v/>
      </c>
      <c r="R41" s="37">
        <f>SUMIF('XHDN TB'!$R:$R,'HDN P&amp;L'!$A41,'XHDN TB'!F:F)</f>
        <v/>
      </c>
      <c r="S41" s="37">
        <f>SUMIF('XHDN TB'!$R:$R,'HDN P&amp;L'!$A41,'XHDN TB'!G:G)</f>
        <v/>
      </c>
      <c r="T41" s="37">
        <f>SUMIF('XHDN TB'!$R:$R,'HDN P&amp;L'!$A41,'XHDN TB'!H:H)</f>
        <v/>
      </c>
      <c r="U41" s="37">
        <f>SUMIF('HDN TB'!$R:$R,'HDN P&amp;L'!$A41,'HDN TB'!I:I)</f>
        <v/>
      </c>
      <c r="V41" s="38" t="n">
        <v>389</v>
      </c>
      <c r="W41" s="38" t="n">
        <v>389</v>
      </c>
      <c r="X41" s="38" t="n">
        <v>389</v>
      </c>
      <c r="Y41" s="38" t="n">
        <v>389</v>
      </c>
      <c r="Z41" s="38" t="n">
        <v>389</v>
      </c>
      <c r="AA41" s="36">
        <f>SUM(O41:U41)</f>
        <v/>
      </c>
      <c r="AB41" s="36">
        <f>SUM(O41:Z41)</f>
        <v/>
      </c>
      <c r="AC41" s="38" t="n">
        <v>389</v>
      </c>
      <c r="AD41" s="38" t="n">
        <v>389</v>
      </c>
      <c r="AE41" s="38" t="n">
        <v>389</v>
      </c>
      <c r="AF41" s="38" t="n">
        <v>389</v>
      </c>
      <c r="AG41" s="38" t="n">
        <v>389</v>
      </c>
      <c r="AH41" s="38" t="n">
        <v>389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134.31</v>
      </c>
      <c r="C42" s="35" t="n">
        <v>193.15</v>
      </c>
      <c r="D42" s="35" t="n">
        <v>108.59</v>
      </c>
      <c r="E42" s="35" t="n">
        <v>158.57</v>
      </c>
      <c r="F42" s="35" t="n">
        <v>40.91</v>
      </c>
      <c r="G42" s="35" t="n">
        <v>188.02</v>
      </c>
      <c r="H42" s="35" t="n">
        <v>36.03</v>
      </c>
      <c r="I42" s="35" t="n">
        <v>140.04</v>
      </c>
      <c r="J42" s="35" t="n">
        <v>159.8</v>
      </c>
      <c r="K42" s="35" t="n">
        <v>546.86</v>
      </c>
      <c r="L42" s="35" t="n">
        <v>154.65</v>
      </c>
      <c r="M42" s="35" t="n">
        <v>163.62</v>
      </c>
      <c r="N42" s="36">
        <f>SUM(B42:M42)</f>
        <v/>
      </c>
      <c r="O42" s="37">
        <f>SUMIF('XHDN TB'!$R:$R,'HDN P&amp;L'!$A42,'XHDN TB'!C:C)</f>
        <v/>
      </c>
      <c r="P42" s="37">
        <f>SUMIF('XHDN TB'!$R:$R,'HDN P&amp;L'!$A42,'XHDN TB'!D:D)</f>
        <v/>
      </c>
      <c r="Q42" s="37">
        <f>SUMIF('XHDN TB'!$R:$R,'HDN P&amp;L'!$A42,'XHDN TB'!E:E)</f>
        <v/>
      </c>
      <c r="R42" s="37">
        <f>SUMIF('XHDN TB'!$R:$R,'HDN P&amp;L'!$A42,'XHDN TB'!F:F)</f>
        <v/>
      </c>
      <c r="S42" s="37">
        <f>SUMIF('XHDN TB'!$R:$R,'HDN P&amp;L'!$A42,'XHDN TB'!G:G)</f>
        <v/>
      </c>
      <c r="T42" s="37">
        <f>SUMIF('XHDN TB'!$R:$R,'HDN P&amp;L'!$A42,'XHDN TB'!H:H)</f>
        <v/>
      </c>
      <c r="U42" s="37">
        <f>SUMIF('HDN TB'!$R:$R,'HDN P&amp;L'!$A42,'HDN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SUMIF('XHDN TB'!$R:$R,'HDN P&amp;L'!$A43,'XHDN TB'!C:C)</f>
        <v/>
      </c>
      <c r="P43" s="37">
        <f>SUMIF('XHDN TB'!$R:$R,'HDN P&amp;L'!$A43,'XHDN TB'!D:D)</f>
        <v/>
      </c>
      <c r="Q43" s="37">
        <f>SUMIF('XHDN TB'!$R:$R,'HDN P&amp;L'!$A43,'XHDN TB'!E:E)</f>
        <v/>
      </c>
      <c r="R43" s="37">
        <f>SUMIF('XHDN TB'!$R:$R,'HDN P&amp;L'!$A43,'XHDN TB'!F:F)</f>
        <v/>
      </c>
      <c r="S43" s="37">
        <f>SUMIF('XHDN TB'!$R:$R,'HDN P&amp;L'!$A43,'XHDN TB'!G:G)</f>
        <v/>
      </c>
      <c r="T43" s="37">
        <f>SUMIF('XHDN TB'!$R:$R,'HDN P&amp;L'!$A43,'XHDN TB'!H:H)</f>
        <v/>
      </c>
      <c r="U43" s="37">
        <f>SUMIF('HDN TB'!$R:$R,'HDN P&amp;L'!$A43,'HDN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SUMIF('XHDN TB'!$R:$R,'HDN P&amp;L'!$A44,'XHDN TB'!C:C)</f>
        <v/>
      </c>
      <c r="P44" s="37">
        <f>SUMIF('XHDN TB'!$R:$R,'HDN P&amp;L'!$A44,'XHDN TB'!D:D)</f>
        <v/>
      </c>
      <c r="Q44" s="37">
        <f>SUMIF('XHDN TB'!$R:$R,'HDN P&amp;L'!$A44,'XHDN TB'!E:E)</f>
        <v/>
      </c>
      <c r="R44" s="37">
        <f>SUMIF('XHDN TB'!$R:$R,'HDN P&amp;L'!$A44,'XHDN TB'!F:F)</f>
        <v/>
      </c>
      <c r="S44" s="37">
        <f>SUMIF('XHDN TB'!$R:$R,'HDN P&amp;L'!$A44,'XHDN TB'!G:G)</f>
        <v/>
      </c>
      <c r="T44" s="37">
        <f>SUMIF('XHDN TB'!$R:$R,'HDN P&amp;L'!$A44,'XHDN TB'!H:H)</f>
        <v/>
      </c>
      <c r="U44" s="37">
        <f>SUMIF('HDN TB'!$R:$R,'HDN P&amp;L'!$A44,'HDN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29.98</v>
      </c>
      <c r="M45" s="35" t="n">
        <v>0</v>
      </c>
      <c r="N45" s="36">
        <f>SUM(B45:M45)</f>
        <v/>
      </c>
      <c r="O45" s="37">
        <f>SUMIF('XHDN TB'!$R:$R,'HDN P&amp;L'!$A45,'XHDN TB'!C:C)</f>
        <v/>
      </c>
      <c r="P45" s="37">
        <f>SUMIF('XHDN TB'!$R:$R,'HDN P&amp;L'!$A45,'XHDN TB'!D:D)</f>
        <v/>
      </c>
      <c r="Q45" s="37">
        <f>SUMIF('XHDN TB'!$R:$R,'HDN P&amp;L'!$A45,'XHDN TB'!E:E)</f>
        <v/>
      </c>
      <c r="R45" s="37">
        <f>SUMIF('XHDN TB'!$R:$R,'HDN P&amp;L'!$A45,'XHDN TB'!F:F)</f>
        <v/>
      </c>
      <c r="S45" s="37">
        <f>SUMIF('XHDN TB'!$R:$R,'HDN P&amp;L'!$A45,'XHDN TB'!G:G)</f>
        <v/>
      </c>
      <c r="T45" s="37">
        <f>SUMIF('XHDN TB'!$R:$R,'HDN P&amp;L'!$A45,'XHDN TB'!H:H)</f>
        <v/>
      </c>
      <c r="U45" s="37">
        <f>SUMIF('HDN TB'!$R:$R,'HDN P&amp;L'!$A45,'HDN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SUMIF('XHDN TB'!$R:$R,'HDN P&amp;L'!$A46,'XHDN TB'!C:C)</f>
        <v/>
      </c>
      <c r="P46" s="37">
        <f>SUMIF('XHDN TB'!$R:$R,'HDN P&amp;L'!$A46,'XHDN TB'!D:D)</f>
        <v/>
      </c>
      <c r="Q46" s="37">
        <f>SUMIF('XHDN TB'!$R:$R,'HDN P&amp;L'!$A46,'XHDN TB'!E:E)</f>
        <v/>
      </c>
      <c r="R46" s="37">
        <f>SUMIF('XHDN TB'!$R:$R,'HDN P&amp;L'!$A46,'XHDN TB'!F:F)</f>
        <v/>
      </c>
      <c r="S46" s="37">
        <f>SUMIF('XHDN TB'!$R:$R,'HDN P&amp;L'!$A46,'XHDN TB'!G:G)</f>
        <v/>
      </c>
      <c r="T46" s="37">
        <f>SUMIF('XHDN TB'!$R:$R,'HDN P&amp;L'!$A46,'XHDN TB'!H:H)</f>
        <v/>
      </c>
      <c r="U46" s="37">
        <f>SUMIF('HDN TB'!$R:$R,'HDN P&amp;L'!$A46,'HDN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8074.52</v>
      </c>
      <c r="C47" s="42" t="n">
        <v>4285.54</v>
      </c>
      <c r="D47" s="42" t="n">
        <v>5205.860000000001</v>
      </c>
      <c r="E47" s="42" t="n">
        <v>5193.72</v>
      </c>
      <c r="F47" s="42" t="n">
        <v>5508.779999999999</v>
      </c>
      <c r="G47" s="42" t="n">
        <v>4280.34</v>
      </c>
      <c r="H47" s="42" t="n">
        <v>3254.25</v>
      </c>
      <c r="I47" s="42" t="n">
        <v>1856.43</v>
      </c>
      <c r="J47" s="42" t="n">
        <v>6950.940000000001</v>
      </c>
      <c r="K47" s="42" t="n">
        <v>4994.45</v>
      </c>
      <c r="L47" s="42" t="n">
        <v>5308.799999999999</v>
      </c>
      <c r="M47" s="42" t="n">
        <v>4477.679999999999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39924.80999999999</v>
      </c>
      <c r="C48" s="23" t="n">
        <v>36486.27</v>
      </c>
      <c r="D48" s="23" t="n">
        <v>38535.4</v>
      </c>
      <c r="E48" s="23" t="n">
        <v>42802.35000000001</v>
      </c>
      <c r="F48" s="23" t="n">
        <v>42673.06</v>
      </c>
      <c r="G48" s="23" t="n">
        <v>39872.7</v>
      </c>
      <c r="H48" s="23" t="n">
        <v>46835.13</v>
      </c>
      <c r="I48" s="23" t="n">
        <v>41439.52</v>
      </c>
      <c r="J48" s="23" t="n">
        <v>45891.13</v>
      </c>
      <c r="K48" s="23" t="n">
        <v>49134.23</v>
      </c>
      <c r="L48" s="23" t="n">
        <v>47455.56</v>
      </c>
      <c r="M48" s="23" t="n">
        <v>47668.87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21076.90000000001</v>
      </c>
      <c r="C50" s="55" t="n">
        <v>16692.97</v>
      </c>
      <c r="D50" s="55" t="n">
        <v>31198.73</v>
      </c>
      <c r="E50" s="55" t="n">
        <v>26646.34</v>
      </c>
      <c r="F50" s="55" t="n">
        <v>18730.04</v>
      </c>
      <c r="G50" s="55" t="n">
        <v>19186.60000000001</v>
      </c>
      <c r="H50" s="55" t="n">
        <v>44355.74</v>
      </c>
      <c r="I50" s="55" t="n">
        <v>18608.74</v>
      </c>
      <c r="J50" s="55" t="n">
        <v>7164.869999999995</v>
      </c>
      <c r="K50" s="55" t="n">
        <v>3745.629999999997</v>
      </c>
      <c r="L50" s="55" t="n">
        <v>15267.35</v>
      </c>
      <c r="M50" s="55" t="n">
        <v>26674.6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6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SUMIF('XHDN TB'!$R:$R,'HDN P&amp;L'!$A53,'XHDN TB'!C:C)</f>
        <v/>
      </c>
      <c r="P53" s="37">
        <f>SUMIF('XHDN TB'!$R:$R,'HDN P&amp;L'!$A53,'XHDN TB'!D:D)</f>
        <v/>
      </c>
      <c r="Q53" s="37">
        <f>SUMIF('XHDN TB'!$R:$R,'HDN P&amp;L'!$A53,'XHDN TB'!E:E)</f>
        <v/>
      </c>
      <c r="R53" s="37">
        <f>SUMIF('XHDN TB'!$R:$R,'HDN P&amp;L'!$A53,'XHDN TB'!F:F)</f>
        <v/>
      </c>
      <c r="S53" s="37">
        <f>SUMIF('XHDN TB'!$R:$R,'HDN P&amp;L'!$A53,'XHDN TB'!G:G)</f>
        <v/>
      </c>
      <c r="T53" s="37">
        <f>SUMIF('XHDN TB'!$R:$R,'HDN P&amp;L'!$A53,'XHDN TB'!H:H)</f>
        <v/>
      </c>
      <c r="U53" s="37">
        <f>SUMIF('HDN TB'!$R:$R,'HDN P&amp;L'!$A53,'HDN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SUMIF('XHDN TB'!$R:$R,'HDN P&amp;L'!$A54,'XHDN TB'!C:C)</f>
        <v/>
      </c>
      <c r="P54" s="37">
        <f>SUMIF('XHDN TB'!$R:$R,'HDN P&amp;L'!$A54,'XHDN TB'!D:D)</f>
        <v/>
      </c>
      <c r="Q54" s="37">
        <f>SUMIF('XHDN TB'!$R:$R,'HDN P&amp;L'!$A54,'XHDN TB'!E:E)</f>
        <v/>
      </c>
      <c r="R54" s="37">
        <f>SUMIF('XHDN TB'!$R:$R,'HDN P&amp;L'!$A54,'XHDN TB'!F:F)</f>
        <v/>
      </c>
      <c r="S54" s="37">
        <f>SUMIF('XHDN TB'!$R:$R,'HDN P&amp;L'!$A54,'XHDN TB'!G:G)</f>
        <v/>
      </c>
      <c r="T54" s="37">
        <f>SUMIF('XHDN TB'!$R:$R,'HDN P&amp;L'!$A54,'XHDN TB'!H:H)</f>
        <v/>
      </c>
      <c r="U54" s="37">
        <f>SUMIF('HDN TB'!$R:$R,'HDN P&amp;L'!$A54,'HDN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SUMIF('XHDN TB'!$R:$R,'HDN P&amp;L'!$A55,'XHDN TB'!C:C)</f>
        <v/>
      </c>
      <c r="P55" s="37">
        <f>SUMIF('XHDN TB'!$R:$R,'HDN P&amp;L'!$A55,'XHDN TB'!D:D)</f>
        <v/>
      </c>
      <c r="Q55" s="37">
        <f>SUMIF('XHDN TB'!$R:$R,'HDN P&amp;L'!$A55,'XHDN TB'!E:E)</f>
        <v/>
      </c>
      <c r="R55" s="37">
        <f>SUMIF('XHDN TB'!$R:$R,'HDN P&amp;L'!$A55,'XHDN TB'!F:F)</f>
        <v/>
      </c>
      <c r="S55" s="37">
        <f>SUMIF('XHDN TB'!$R:$R,'HDN P&amp;L'!$A55,'XHDN TB'!G:G)</f>
        <v/>
      </c>
      <c r="T55" s="37">
        <f>SUMIF('XHDN TB'!$R:$R,'HDN P&amp;L'!$A55,'XHDN TB'!H:H)</f>
        <v/>
      </c>
      <c r="U55" s="37">
        <f>SUMIF('HDN TB'!$R:$R,'HDN P&amp;L'!$A55,'HDN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SUMIF('XHDN TB'!$R:$R,'HDN P&amp;L'!$A56,'XHDN TB'!C:C)</f>
        <v/>
      </c>
      <c r="P56" s="37">
        <f>SUMIF('XHDN TB'!$R:$R,'HDN P&amp;L'!$A56,'XHDN TB'!D:D)</f>
        <v/>
      </c>
      <c r="Q56" s="37">
        <f>SUMIF('XHDN TB'!$R:$R,'HDN P&amp;L'!$A56,'XHDN TB'!E:E)</f>
        <v/>
      </c>
      <c r="R56" s="37">
        <f>SUMIF('XHDN TB'!$R:$R,'HDN P&amp;L'!$A56,'XHDN TB'!F:F)</f>
        <v/>
      </c>
      <c r="S56" s="37">
        <f>SUMIF('XHDN TB'!$R:$R,'HDN P&amp;L'!$A56,'XHDN TB'!G:G)</f>
        <v/>
      </c>
      <c r="T56" s="37">
        <f>SUMIF('XHDN TB'!$R:$R,'HDN P&amp;L'!$A56,'XHDN TB'!H:H)</f>
        <v/>
      </c>
      <c r="U56" s="37">
        <f>SUMIF('HDN TB'!$R:$R,'HDN P&amp;L'!$A56,'HDN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109.5</v>
      </c>
      <c r="J57" s="35" t="n">
        <v>0</v>
      </c>
      <c r="K57" s="35" t="n">
        <v>0</v>
      </c>
      <c r="L57" s="35" t="n">
        <v>158.74</v>
      </c>
      <c r="M57" s="35" t="n">
        <v>212.52</v>
      </c>
      <c r="N57" s="36">
        <f>SUM(B57:M57)</f>
        <v/>
      </c>
      <c r="O57" s="37">
        <f>SUMIF('XHDN TB'!$R:$R,'HDN P&amp;L'!$A57,'XHDN TB'!C:C)</f>
        <v/>
      </c>
      <c r="P57" s="37">
        <f>SUMIF('XHDN TB'!$R:$R,'HDN P&amp;L'!$A57,'XHDN TB'!D:D)</f>
        <v/>
      </c>
      <c r="Q57" s="37">
        <f>SUMIF('XHDN TB'!$R:$R,'HDN P&amp;L'!$A57,'XHDN TB'!E:E)</f>
        <v/>
      </c>
      <c r="R57" s="37">
        <f>SUMIF('XHDN TB'!$R:$R,'HDN P&amp;L'!$A57,'XHDN TB'!F:F)</f>
        <v/>
      </c>
      <c r="S57" s="37">
        <f>SUMIF('XHDN TB'!$R:$R,'HDN P&amp;L'!$A57,'XHDN TB'!G:G)</f>
        <v/>
      </c>
      <c r="T57" s="37">
        <f>SUMIF('XHDN TB'!$R:$R,'HDN P&amp;L'!$A57,'XHDN TB'!H:H)</f>
        <v/>
      </c>
      <c r="U57" s="37">
        <f>SUMIF('HDN TB'!$R:$R,'HDN P&amp;L'!$A57,'HDN TB'!I:I)</f>
        <v/>
      </c>
      <c r="V57" s="38" t="n"/>
      <c r="W57" s="38" t="n"/>
      <c r="X57" s="38" t="n"/>
      <c r="Y57" s="38" t="n"/>
      <c r="Z57" s="38">
        <f>17*30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SUMIF('XHDN TB'!$R:$R,'HDN P&amp;L'!$A58,'XHDN TB'!C:C)</f>
        <v/>
      </c>
      <c r="P58" s="37">
        <f>SUMIF('XHDN TB'!$R:$R,'HDN P&amp;L'!$A58,'XHDN TB'!D:D)</f>
        <v/>
      </c>
      <c r="Q58" s="37">
        <f>SUMIF('XHDN TB'!$R:$R,'HDN P&amp;L'!$A58,'XHDN TB'!E:E)</f>
        <v/>
      </c>
      <c r="R58" s="37">
        <f>SUMIF('XHDN TB'!$R:$R,'HDN P&amp;L'!$A58,'XHDN TB'!F:F)</f>
        <v/>
      </c>
      <c r="S58" s="37">
        <f>SUMIF('XHDN TB'!$R:$R,'HDN P&amp;L'!$A58,'XHDN TB'!G:G)</f>
        <v/>
      </c>
      <c r="T58" s="37">
        <f>SUMIF('XHDN TB'!$R:$R,'HDN P&amp;L'!$A58,'XHDN TB'!H:H)</f>
        <v/>
      </c>
      <c r="U58" s="37">
        <f>SUMIF('HDN TB'!$R:$R,'HDN P&amp;L'!$A58,'HDN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201.37</v>
      </c>
      <c r="D59" s="35" t="n">
        <v>201.37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201.37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SUMIF('XHDN TB'!$R:$R,'HDN P&amp;L'!$A59,'XHDN TB'!C:C)</f>
        <v/>
      </c>
      <c r="P59" s="37">
        <f>SUMIF('XHDN TB'!$R:$R,'HDN P&amp;L'!$A59,'XHDN TB'!D:D)</f>
        <v/>
      </c>
      <c r="Q59" s="37">
        <f>SUMIF('XHDN TB'!$R:$R,'HDN P&amp;L'!$A59,'XHDN TB'!E:E)</f>
        <v/>
      </c>
      <c r="R59" s="37">
        <f>SUMIF('XHDN TB'!$R:$R,'HDN P&amp;L'!$A59,'XHDN TB'!F:F)</f>
        <v/>
      </c>
      <c r="S59" s="37">
        <f>SUMIF('XHDN TB'!$R:$R,'HDN P&amp;L'!$A59,'XHDN TB'!G:G)</f>
        <v/>
      </c>
      <c r="T59" s="37">
        <f>SUMIF('XHDN TB'!$R:$R,'HDN P&amp;L'!$A59,'XHDN TB'!H:H)</f>
        <v/>
      </c>
      <c r="U59" s="37">
        <f>SUMIF('HDN TB'!$R:$R,'HDN P&amp;L'!$A59,'HDN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231.99</v>
      </c>
      <c r="C60" s="35" t="n">
        <v>75.59</v>
      </c>
      <c r="D60" s="35" t="n">
        <v>147.2</v>
      </c>
      <c r="E60" s="35" t="n">
        <v>13.19</v>
      </c>
      <c r="F60" s="35" t="n">
        <v>12.59</v>
      </c>
      <c r="G60" s="35" t="n">
        <v>45</v>
      </c>
      <c r="H60" s="35" t="n">
        <v>13.19</v>
      </c>
      <c r="I60" s="35" t="n">
        <v>13.79</v>
      </c>
      <c r="J60" s="35" t="n">
        <v>14.39</v>
      </c>
      <c r="K60" s="35" t="n">
        <v>198.39</v>
      </c>
      <c r="L60" s="35" t="n">
        <v>14.39</v>
      </c>
      <c r="M60" s="35" t="n">
        <v>58.79</v>
      </c>
      <c r="N60" s="36">
        <f>SUM(B60:M60)</f>
        <v/>
      </c>
      <c r="O60" s="37">
        <f>SUMIF('XHDN TB'!$R:$R,'HDN P&amp;L'!$A60,'XHDN TB'!C:C)</f>
        <v/>
      </c>
      <c r="P60" s="37">
        <f>SUMIF('XHDN TB'!$R:$R,'HDN P&amp;L'!$A60,'XHDN TB'!D:D)</f>
        <v/>
      </c>
      <c r="Q60" s="37">
        <f>SUMIF('XHDN TB'!$R:$R,'HDN P&amp;L'!$A60,'XHDN TB'!E:E)</f>
        <v/>
      </c>
      <c r="R60" s="37">
        <f>SUMIF('XHDN TB'!$R:$R,'HDN P&amp;L'!$A60,'XHDN TB'!F:F)</f>
        <v/>
      </c>
      <c r="S60" s="37">
        <f>SUMIF('XHDN TB'!$R:$R,'HDN P&amp;L'!$A60,'XHDN TB'!G:G)</f>
        <v/>
      </c>
      <c r="T60" s="37">
        <f>SUMIF('XHDN TB'!$R:$R,'HDN P&amp;L'!$A60,'XHDN TB'!H:H)</f>
        <v/>
      </c>
      <c r="U60" s="37">
        <f>SUMIF('HDN TB'!$R:$R,'HDN P&amp;L'!$A60,'HDN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17.95</v>
      </c>
      <c r="D61" s="35" t="n">
        <v>0</v>
      </c>
      <c r="E61" s="35" t="n">
        <v>26.97</v>
      </c>
      <c r="F61" s="35" t="n">
        <v>5.89</v>
      </c>
      <c r="G61" s="35" t="n">
        <v>125.77</v>
      </c>
      <c r="H61" s="35" t="n">
        <v>53.8</v>
      </c>
      <c r="I61" s="35" t="n">
        <v>0</v>
      </c>
      <c r="J61" s="35" t="n">
        <v>0</v>
      </c>
      <c r="K61" s="35" t="n">
        <v>0</v>
      </c>
      <c r="L61" s="35" t="n">
        <v>63.35000000000001</v>
      </c>
      <c r="M61" s="35" t="n">
        <v>6.01</v>
      </c>
      <c r="N61" s="36">
        <f>SUM(B61:M61)</f>
        <v/>
      </c>
      <c r="O61" s="37">
        <f>SUMIF('XHDN TB'!$R:$R,'HDN P&amp;L'!$A61,'XHDN TB'!C:C)</f>
        <v/>
      </c>
      <c r="P61" s="37">
        <f>SUMIF('XHDN TB'!$R:$R,'HDN P&amp;L'!$A61,'XHDN TB'!D:D)</f>
        <v/>
      </c>
      <c r="Q61" s="37">
        <f>SUMIF('XHDN TB'!$R:$R,'HDN P&amp;L'!$A61,'XHDN TB'!E:E)</f>
        <v/>
      </c>
      <c r="R61" s="37">
        <f>SUMIF('XHDN TB'!$R:$R,'HDN P&amp;L'!$A61,'XHDN TB'!F:F)</f>
        <v/>
      </c>
      <c r="S61" s="37">
        <f>SUMIF('XHDN TB'!$R:$R,'HDN P&amp;L'!$A61,'XHDN TB'!G:G)</f>
        <v/>
      </c>
      <c r="T61" s="37">
        <f>SUMIF('XHDN TB'!$R:$R,'HDN P&amp;L'!$A61,'XHDN TB'!H:H)</f>
        <v/>
      </c>
      <c r="U61" s="37">
        <f>SUMIF('HDN TB'!$R:$R,'HDN P&amp;L'!$A61,'HDN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68</v>
      </c>
      <c r="D62" s="35" t="n">
        <v>74</v>
      </c>
      <c r="E62" s="35" t="n">
        <v>110.5</v>
      </c>
      <c r="F62" s="35" t="n">
        <v>0</v>
      </c>
      <c r="G62" s="35" t="n">
        <v>0</v>
      </c>
      <c r="H62" s="35" t="n">
        <v>32</v>
      </c>
      <c r="I62" s="35" t="n">
        <v>20.99</v>
      </c>
      <c r="J62" s="35" t="n">
        <v>112</v>
      </c>
      <c r="K62" s="35" t="n">
        <v>184</v>
      </c>
      <c r="L62" s="35" t="n">
        <v>108</v>
      </c>
      <c r="M62" s="35" t="n">
        <v>44</v>
      </c>
      <c r="N62" s="36">
        <f>SUM(B62:M62)</f>
        <v/>
      </c>
      <c r="O62" s="37">
        <f>SUMIF('XHDN TB'!$R:$R,'HDN P&amp;L'!$A62,'XHDN TB'!C:C)</f>
        <v/>
      </c>
      <c r="P62" s="37">
        <f>SUMIF('XHDN TB'!$R:$R,'HDN P&amp;L'!$A62,'XHDN TB'!D:D)</f>
        <v/>
      </c>
      <c r="Q62" s="37">
        <f>SUMIF('XHDN TB'!$R:$R,'HDN P&amp;L'!$A62,'XHDN TB'!E:E)</f>
        <v/>
      </c>
      <c r="R62" s="37">
        <f>SUMIF('XHDN TB'!$R:$R,'HDN P&amp;L'!$A62,'XHDN TB'!F:F)</f>
        <v/>
      </c>
      <c r="S62" s="37">
        <f>SUMIF('XHDN TB'!$R:$R,'HDN P&amp;L'!$A62,'XHDN TB'!G:G)</f>
        <v/>
      </c>
      <c r="T62" s="37">
        <f>SUMIF('XHDN TB'!$R:$R,'HDN P&amp;L'!$A62,'XHDN TB'!H:H)</f>
        <v/>
      </c>
      <c r="U62" s="37">
        <f>SUMIF('HDN TB'!$R:$R,'HDN P&amp;L'!$A62,'HDN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SUMIF('XHDN TB'!$R:$R,'HDN P&amp;L'!$A63,'XHDN TB'!C:C)</f>
        <v/>
      </c>
      <c r="P63" s="37">
        <f>SUMIF('XHDN TB'!$R:$R,'HDN P&amp;L'!$A63,'XHDN TB'!D:D)</f>
        <v/>
      </c>
      <c r="Q63" s="37">
        <f>SUMIF('XHDN TB'!$R:$R,'HDN P&amp;L'!$A63,'XHDN TB'!E:E)</f>
        <v/>
      </c>
      <c r="R63" s="37">
        <f>SUMIF('XHDN TB'!$R:$R,'HDN P&amp;L'!$A63,'XHDN TB'!F:F)</f>
        <v/>
      </c>
      <c r="S63" s="37">
        <f>SUMIF('XHDN TB'!$R:$R,'HDN P&amp;L'!$A63,'XHDN TB'!G:G)</f>
        <v/>
      </c>
      <c r="T63" s="37">
        <f>SUMIF('XHDN TB'!$R:$R,'HDN P&amp;L'!$A63,'XHDN TB'!H:H)</f>
        <v/>
      </c>
      <c r="U63" s="37">
        <f>SUMIF('HDN TB'!$R:$R,'HDN P&amp;L'!$A63,'HDN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SUMIF('XHDN TB'!$R:$R,'HDN P&amp;L'!$A64,'XHDN TB'!C:C)</f>
        <v/>
      </c>
      <c r="P64" s="37">
        <f>SUMIF('XHDN TB'!$R:$R,'HDN P&amp;L'!$A64,'XHDN TB'!D:D)</f>
        <v/>
      </c>
      <c r="Q64" s="37">
        <f>SUMIF('XHDN TB'!$R:$R,'HDN P&amp;L'!$A64,'XHDN TB'!E:E)</f>
        <v/>
      </c>
      <c r="R64" s="37">
        <f>SUMIF('XHDN TB'!$R:$R,'HDN P&amp;L'!$A64,'XHDN TB'!F:F)</f>
        <v/>
      </c>
      <c r="S64" s="37">
        <f>SUMIF('XHDN TB'!$R:$R,'HDN P&amp;L'!$A64,'XHDN TB'!G:G)</f>
        <v/>
      </c>
      <c r="T64" s="37">
        <f>SUMIF('XHDN TB'!$R:$R,'HDN P&amp;L'!$A64,'XHDN TB'!H:H)</f>
        <v/>
      </c>
      <c r="U64" s="37">
        <f>SUMIF('HDN TB'!$R:$R,'HDN P&amp;L'!$A64,'HDN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SUMIF('XHDN TB'!$R:$R,'HDN P&amp;L'!$A65,'XHDN TB'!C:C)</f>
        <v/>
      </c>
      <c r="P65" s="37">
        <f>SUMIF('XHDN TB'!$R:$R,'HDN P&amp;L'!$A65,'XHDN TB'!D:D)</f>
        <v/>
      </c>
      <c r="Q65" s="37">
        <f>SUMIF('XHDN TB'!$R:$R,'HDN P&amp;L'!$A65,'XHDN TB'!E:E)</f>
        <v/>
      </c>
      <c r="R65" s="37">
        <f>SUMIF('XHDN TB'!$R:$R,'HDN P&amp;L'!$A65,'XHDN TB'!F:F)</f>
        <v/>
      </c>
      <c r="S65" s="37">
        <f>SUMIF('XHDN TB'!$R:$R,'HDN P&amp;L'!$A65,'XHDN TB'!G:G)</f>
        <v/>
      </c>
      <c r="T65" s="37">
        <f>SUMIF('XHDN TB'!$R:$R,'HDN P&amp;L'!$A65,'XHDN TB'!H:H)</f>
        <v/>
      </c>
      <c r="U65" s="37">
        <f>SUMIF('HDN TB'!$R:$R,'HDN P&amp;L'!$A65,'HDN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SUMIF('XHDN TB'!$R:$R,'HDN P&amp;L'!$A66,'XHDN TB'!C:C)</f>
        <v/>
      </c>
      <c r="P66" s="37">
        <f>SUMIF('XHDN TB'!$R:$R,'HDN P&amp;L'!$A66,'XHDN TB'!D:D)</f>
        <v/>
      </c>
      <c r="Q66" s="37">
        <f>SUMIF('XHDN TB'!$R:$R,'HDN P&amp;L'!$A66,'XHDN TB'!E:E)</f>
        <v/>
      </c>
      <c r="R66" s="37">
        <f>SUMIF('XHDN TB'!$R:$R,'HDN P&amp;L'!$A66,'XHDN TB'!F:F)</f>
        <v/>
      </c>
      <c r="S66" s="37">
        <f>SUMIF('XHDN TB'!$R:$R,'HDN P&amp;L'!$A66,'XHDN TB'!G:G)</f>
        <v/>
      </c>
      <c r="T66" s="37">
        <f>SUMIF('XHDN TB'!$R:$R,'HDN P&amp;L'!$A66,'XHDN TB'!H:H)</f>
        <v/>
      </c>
      <c r="U66" s="37">
        <f>SUMIF('HDN TB'!$R:$R,'HDN P&amp;L'!$A66,'HDN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SUMIF('XHDN TB'!$R:$R,'HDN P&amp;L'!$A67,'XHDN TB'!C:C)</f>
        <v/>
      </c>
      <c r="P67" s="37">
        <f>SUMIF('XHDN TB'!$R:$R,'HDN P&amp;L'!$A67,'XHDN TB'!D:D)</f>
        <v/>
      </c>
      <c r="Q67" s="37">
        <f>SUMIF('XHDN TB'!$R:$R,'HDN P&amp;L'!$A67,'XHDN TB'!E:E)</f>
        <v/>
      </c>
      <c r="R67" s="37">
        <f>SUMIF('XHDN TB'!$R:$R,'HDN P&amp;L'!$A67,'XHDN TB'!F:F)</f>
        <v/>
      </c>
      <c r="S67" s="37">
        <f>SUMIF('XHDN TB'!$R:$R,'HDN P&amp;L'!$A67,'XHDN TB'!G:G)</f>
        <v/>
      </c>
      <c r="T67" s="37">
        <f>SUMIF('XHDN TB'!$R:$R,'HDN P&amp;L'!$A67,'XHDN TB'!H:H)</f>
        <v/>
      </c>
      <c r="U67" s="37">
        <f>SUMIF('HDN TB'!$R:$R,'HDN P&amp;L'!$A67,'HDN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SUMIF('XHDN TB'!$R:$R,'HDN P&amp;L'!$A68,'XHDN TB'!C:C)</f>
        <v/>
      </c>
      <c r="P68" s="37">
        <f>SUMIF('XHDN TB'!$R:$R,'HDN P&amp;L'!$A68,'XHDN TB'!D:D)</f>
        <v/>
      </c>
      <c r="Q68" s="37">
        <f>SUMIF('XHDN TB'!$R:$R,'HDN P&amp;L'!$A68,'XHDN TB'!E:E)</f>
        <v/>
      </c>
      <c r="R68" s="37">
        <f>SUMIF('XHDN TB'!$R:$R,'HDN P&amp;L'!$A68,'XHDN TB'!F:F)</f>
        <v/>
      </c>
      <c r="S68" s="37">
        <f>SUMIF('XHDN TB'!$R:$R,'HDN P&amp;L'!$A68,'XHDN TB'!G:G)</f>
        <v/>
      </c>
      <c r="T68" s="37">
        <f>SUMIF('XHDN TB'!$R:$R,'HDN P&amp;L'!$A68,'XHDN TB'!H:H)</f>
        <v/>
      </c>
      <c r="U68" s="37">
        <f>SUMIF('HDN TB'!$R:$R,'HDN P&amp;L'!$A68,'HDN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433.37</v>
      </c>
      <c r="C69" s="42" t="n">
        <v>362.91</v>
      </c>
      <c r="D69" s="42" t="n">
        <v>422.57</v>
      </c>
      <c r="E69" s="42" t="n">
        <v>352.04</v>
      </c>
      <c r="F69" s="42" t="n">
        <v>219.86</v>
      </c>
      <c r="G69" s="42" t="n">
        <v>372.15</v>
      </c>
      <c r="H69" s="42" t="n">
        <v>300.37</v>
      </c>
      <c r="I69" s="42" t="n">
        <v>345.66</v>
      </c>
      <c r="J69" s="42" t="n">
        <v>327.76</v>
      </c>
      <c r="K69" s="42" t="n">
        <v>597.1900000000001</v>
      </c>
      <c r="L69" s="42" t="n">
        <v>559.28</v>
      </c>
      <c r="M69" s="42" t="n">
        <v>536.1200000000001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20643.53000000001</v>
      </c>
      <c r="C70" s="55" t="n">
        <v>16330.06</v>
      </c>
      <c r="D70" s="55" t="n">
        <v>30776.16</v>
      </c>
      <c r="E70" s="55" t="n">
        <v>26294.3</v>
      </c>
      <c r="F70" s="55" t="n">
        <v>18510.18</v>
      </c>
      <c r="G70" s="55" t="n">
        <v>18814.45</v>
      </c>
      <c r="H70" s="55" t="n">
        <v>44055.37</v>
      </c>
      <c r="I70" s="55" t="n">
        <v>18263.08</v>
      </c>
      <c r="J70" s="55" t="n">
        <v>6837.109999999995</v>
      </c>
      <c r="K70" s="55" t="n">
        <v>3148.439999999997</v>
      </c>
      <c r="L70" s="55" t="n">
        <v>14708.07</v>
      </c>
      <c r="M70" s="55" t="n">
        <v>26138.48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6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40" t="n"/>
      <c r="AK72" s="40" t="n"/>
      <c r="AL72" s="40" t="n"/>
      <c r="AM72" s="40" t="n"/>
      <c r="AN72" s="40" t="n"/>
      <c r="AO72" s="40" t="n"/>
      <c r="AP72" s="40" t="n"/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8" t="n"/>
      <c r="AJ73" s="59" t="inlineStr">
        <is>
          <t>Model assumptions 2027:</t>
        </is>
      </c>
      <c r="AK73" s="8" t="n"/>
      <c r="AL73" s="8" t="n"/>
      <c r="AM73" s="8" t="n"/>
      <c r="AN73" s="40" t="n"/>
      <c r="AO73" s="40" t="n"/>
      <c r="AP73" s="40" t="n"/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40" t="n"/>
      <c r="AO74" s="40" t="n"/>
      <c r="AP74" s="40" t="n"/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40" t="n"/>
      <c r="AO75" s="40" t="n"/>
      <c r="AP75" s="40" t="n"/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40" t="n"/>
      <c r="AO76" s="40" t="n"/>
      <c r="AP76" s="40" t="n"/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40" t="n"/>
      <c r="AO77" s="40" t="n"/>
      <c r="AP77" s="40" t="n"/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20643.53000000001</v>
      </c>
      <c r="C79" s="57" t="n">
        <v>16330.06</v>
      </c>
      <c r="D79" s="57" t="n">
        <v>30776.16</v>
      </c>
      <c r="E79" s="57" t="n">
        <v>26294.3</v>
      </c>
      <c r="F79" s="57" t="n">
        <v>18510.18</v>
      </c>
      <c r="G79" s="57" t="n">
        <v>18814.45</v>
      </c>
      <c r="H79" s="57" t="n">
        <v>44055.37</v>
      </c>
      <c r="I79" s="57" t="n">
        <v>18263.08</v>
      </c>
      <c r="J79" s="57" t="n">
        <v>6837.109999999995</v>
      </c>
      <c r="K79" s="57" t="n">
        <v>3148.439999999997</v>
      </c>
      <c r="L79" s="57" t="n">
        <v>14708.07</v>
      </c>
      <c r="M79" s="57" t="n">
        <v>26138.48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6" t="n"/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8" t="n"/>
      <c r="AJ79" s="56" t="n"/>
      <c r="AK79" s="56" t="n"/>
      <c r="AL79" s="56" t="n"/>
      <c r="AM79" s="56" t="n"/>
      <c r="AN79" s="56" t="n"/>
      <c r="AO79" s="56" t="n"/>
      <c r="AP79" s="56" t="n"/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61001.71</v>
      </c>
      <c r="C87" s="60" t="n">
        <v>53179.24</v>
      </c>
      <c r="D87" s="60" t="n">
        <v>69734.13</v>
      </c>
      <c r="E87" s="60" t="n">
        <v>69448.69</v>
      </c>
      <c r="F87" s="60" t="n">
        <v>61403.1</v>
      </c>
      <c r="G87" s="60" t="n">
        <v>59059.3</v>
      </c>
      <c r="H87" s="60" t="n">
        <v>91190.87</v>
      </c>
      <c r="I87" s="60" t="n">
        <v>60048.26</v>
      </c>
      <c r="J87" s="60" t="n">
        <v>53056</v>
      </c>
      <c r="K87" s="60" t="n">
        <v>52879.86</v>
      </c>
      <c r="L87" s="60" t="n">
        <v>62722.91</v>
      </c>
      <c r="M87" s="8" t="n"/>
      <c r="N87" s="8" t="n"/>
      <c r="O87" s="60">
        <f>-SUMIF('XHDN TB'!$T:$T,'HDN P&amp;L'!$A87,'XHDN TB'!C:C)</f>
        <v/>
      </c>
      <c r="P87" s="60">
        <f>-SUMIF('XHDN TB'!$T:$T,'HDN P&amp;L'!$A87,'XHDN TB'!D:D)</f>
        <v/>
      </c>
      <c r="Q87" s="60">
        <f>-SUMIF('XHDN TB'!$T:$T,'HDN P&amp;L'!$A87,'XHDN TB'!E:E)</f>
        <v/>
      </c>
      <c r="R87" s="60">
        <f>-SUMIF('XHDN TB'!$T:$T,'HDN P&amp;L'!$A87,'XHDN TB'!F:F)</f>
        <v/>
      </c>
      <c r="S87" s="60">
        <f>-SUMIF('XHDN TB'!$T:$T,'HDN P&amp;L'!$A87,'XHDN TB'!G:G)</f>
        <v/>
      </c>
      <c r="T87" s="60">
        <f>-SUMIF('XHDN TB'!$T:$T,'HDN P&amp;L'!$A87,'XHDN TB'!H:H)</f>
        <v/>
      </c>
      <c r="U87" s="60">
        <f>-SUMIF('XHDN TB'!$T:$T,'HDN P&amp;L'!$A87,'XHDN TB'!I:I)</f>
        <v/>
      </c>
      <c r="V87" s="60">
        <f>-SUMIF('XHDN TB'!$T:$T,'HDN P&amp;L'!$A87,'XHDN TB'!J:J)</f>
        <v/>
      </c>
      <c r="W87" s="60">
        <f>-SUMIF('XHDN TB'!$T:$T,'HDN P&amp;L'!$A87,'XHDN TB'!K:K)</f>
        <v/>
      </c>
      <c r="X87" s="60">
        <f>-SUMIF('XHDN TB'!$T:$T,'HDN P&amp;L'!$A87,'XHDN TB'!L:L)</f>
        <v/>
      </c>
      <c r="Y87" s="60">
        <f>-SUMIF('XHDN TB'!$T:$T,'HDN P&amp;L'!$A87,'XHDN TB'!M:M)</f>
        <v/>
      </c>
      <c r="Z87" s="60">
        <f>-SUMIF('XHDN TB'!$T:$T,'HDN P&amp;L'!$A87,'XHDN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34" t="inlineStr">
        <is>
          <t>Direct - Staff Cost</t>
        </is>
      </c>
      <c r="B88" s="18" t="n">
        <v>-30380.50999999999</v>
      </c>
      <c r="C88" s="18" t="n">
        <v>-30495.64</v>
      </c>
      <c r="D88" s="18" t="n">
        <v>-31357.96</v>
      </c>
      <c r="E88" s="18" t="n">
        <v>-36022.19</v>
      </c>
      <c r="F88" s="18" t="n">
        <v>-34088.36</v>
      </c>
      <c r="G88" s="18" t="n">
        <v>-33987.66</v>
      </c>
      <c r="H88" s="18" t="n">
        <v>-41381.32</v>
      </c>
      <c r="I88" s="18" t="n">
        <v>-37697.41</v>
      </c>
      <c r="J88" s="18" t="n">
        <v>-37624.93</v>
      </c>
      <c r="K88" s="18" t="n">
        <v>-41626.15000000001</v>
      </c>
      <c r="L88" s="18" t="n">
        <v>-40639.57</v>
      </c>
      <c r="M88" s="18" t="n"/>
      <c r="N88" s="8" t="n"/>
      <c r="O88" s="60">
        <f>-SUMIF('XHDN TB'!$T:$T,'HDN P&amp;L'!$A88,'XHDN TB'!C:C)</f>
        <v/>
      </c>
      <c r="P88" s="60">
        <f>-SUMIF('XHDN TB'!$T:$T,'HDN P&amp;L'!$A88,'XHDN TB'!D:D)</f>
        <v/>
      </c>
      <c r="Q88" s="60">
        <f>-SUMIF('XHDN TB'!$T:$T,'HDN P&amp;L'!$A88,'XHDN TB'!E:E)</f>
        <v/>
      </c>
      <c r="R88" s="60">
        <f>-SUMIF('XHDN TB'!$T:$T,'HDN P&amp;L'!$A88,'XHDN TB'!F:F)</f>
        <v/>
      </c>
      <c r="S88" s="60">
        <f>-SUMIF('XHDN TB'!$T:$T,'HDN P&amp;L'!$A88,'XHDN TB'!G:G)</f>
        <v/>
      </c>
      <c r="T88" s="60">
        <f>-SUMIF('XHDN TB'!$T:$T,'HDN P&amp;L'!$A88,'XHDN TB'!H:H)</f>
        <v/>
      </c>
      <c r="U88" s="60">
        <f>-SUMIF('XHDN TB'!$T:$T,'HDN P&amp;L'!$A88,'XHDN TB'!I:I)</f>
        <v/>
      </c>
      <c r="V88" s="60">
        <f>-SUMIF('XHDN TB'!$T:$T,'HDN P&amp;L'!$A88,'XHDN TB'!J:J)</f>
        <v/>
      </c>
      <c r="W88" s="60">
        <f>-SUMIF('XHDN TB'!$T:$T,'HDN P&amp;L'!$A88,'XHDN TB'!K:K)</f>
        <v/>
      </c>
      <c r="X88" s="60">
        <f>-SUMIF('XHDN TB'!$T:$T,'HDN P&amp;L'!$A88,'XHDN TB'!L:L)</f>
        <v/>
      </c>
      <c r="Y88" s="60">
        <f>-SUMIF('XHDN TB'!$T:$T,'HDN P&amp;L'!$A88,'XHDN TB'!M:M)</f>
        <v/>
      </c>
      <c r="Z88" s="60">
        <f>-SUMIF('XHDN TB'!$T:$T,'HDN P&amp;L'!$A88,'XHDN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60" t="inlineStr">
        <is>
          <t>Direct - Childcare Cost</t>
        </is>
      </c>
      <c r="B89" s="18" t="n">
        <v>-1469.78</v>
      </c>
      <c r="C89" s="18" t="n">
        <v>-1705.09</v>
      </c>
      <c r="D89" s="18" t="n">
        <v>-1971.58</v>
      </c>
      <c r="E89" s="18" t="n">
        <v>-1586.44</v>
      </c>
      <c r="F89" s="18" t="n">
        <v>-3075.92</v>
      </c>
      <c r="G89" s="18" t="n">
        <v>-1604.7</v>
      </c>
      <c r="H89" s="18" t="n">
        <v>-2199.56</v>
      </c>
      <c r="I89" s="18" t="n">
        <v>-1885.68</v>
      </c>
      <c r="J89" s="18" t="n">
        <v>-1315.26</v>
      </c>
      <c r="K89" s="18" t="n">
        <v>-2513.63</v>
      </c>
      <c r="L89" s="18" t="n">
        <v>-1507.19</v>
      </c>
      <c r="M89" s="18" t="n">
        <v>-1523.65</v>
      </c>
      <c r="N89" s="8" t="n"/>
      <c r="O89" s="60">
        <f>-SUMIF('XHDN TB'!$T:$T,'HDN P&amp;L'!$A89,'XHDN TB'!C:C)</f>
        <v/>
      </c>
      <c r="P89" s="60">
        <f>-SUMIF('XHDN TB'!$T:$T,'HDN P&amp;L'!$A89,'XHDN TB'!D:D)</f>
        <v/>
      </c>
      <c r="Q89" s="60">
        <f>-SUMIF('XHDN TB'!$T:$T,'HDN P&amp;L'!$A89,'XHDN TB'!E:E)</f>
        <v/>
      </c>
      <c r="R89" s="60">
        <f>-SUMIF('XHDN TB'!$T:$T,'HDN P&amp;L'!$A89,'XHDN TB'!F:F)</f>
        <v/>
      </c>
      <c r="S89" s="60">
        <f>-SUMIF('XHDN TB'!$T:$T,'HDN P&amp;L'!$A89,'XHDN TB'!G:G)</f>
        <v/>
      </c>
      <c r="T89" s="60">
        <f>-SUMIF('XHDN TB'!$T:$T,'HDN P&amp;L'!$A89,'XHDN TB'!H:H)</f>
        <v/>
      </c>
      <c r="U89" s="60">
        <f>-SUMIF('XHDN TB'!$T:$T,'HDN P&amp;L'!$A89,'XHDN TB'!I:I)</f>
        <v/>
      </c>
      <c r="V89" s="60">
        <f>-SUMIF('XHDN TB'!$T:$T,'HDN P&amp;L'!$A89,'XHDN TB'!J:J)</f>
        <v/>
      </c>
      <c r="W89" s="60">
        <f>-SUMIF('XHDN TB'!$T:$T,'HDN P&amp;L'!$A89,'XHDN TB'!K:K)</f>
        <v/>
      </c>
      <c r="X89" s="60">
        <f>-SUMIF('XHDN TB'!$T:$T,'HDN P&amp;L'!$A89,'XHDN TB'!L:L)</f>
        <v/>
      </c>
      <c r="Y89" s="60">
        <f>-SUMIF('XHDN TB'!$T:$T,'HDN P&amp;L'!$A89,'XHDN TB'!M:M)</f>
        <v/>
      </c>
      <c r="Z89" s="60">
        <f>-SUMIF('XHDN TB'!$T:$T,'HDN P&amp;L'!$A89,'XHDN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60" t="inlineStr">
        <is>
          <t>Direct - Premises &amp; Admin</t>
        </is>
      </c>
      <c r="B90" s="18" t="n">
        <v>-8074.519999999999</v>
      </c>
      <c r="C90" s="18" t="n">
        <v>-4285.54</v>
      </c>
      <c r="D90" s="18" t="n">
        <v>-5205.86</v>
      </c>
      <c r="E90" s="18" t="n">
        <v>-5193.719999999999</v>
      </c>
      <c r="F90" s="18" t="n">
        <v>-5508.78</v>
      </c>
      <c r="G90" s="18" t="n">
        <v>-4280.339999999999</v>
      </c>
      <c r="H90" s="18" t="n">
        <v>-3254.25</v>
      </c>
      <c r="I90" s="18" t="n">
        <v>-1856.43</v>
      </c>
      <c r="J90" s="18" t="n">
        <v>-6950.940000000001</v>
      </c>
      <c r="K90" s="18" t="n">
        <v>-4994.450000000001</v>
      </c>
      <c r="L90" s="18" t="n">
        <v>-5308.799999999999</v>
      </c>
      <c r="M90" s="18" t="n">
        <v>-4477.679999999999</v>
      </c>
      <c r="N90" s="8" t="n"/>
      <c r="O90" s="60">
        <f>-SUMIF('XHDN TB'!$T:$T,'HDN P&amp;L'!$A90,'XHDN TB'!C:C)</f>
        <v/>
      </c>
      <c r="P90" s="60">
        <f>-SUMIF('XHDN TB'!$T:$T,'HDN P&amp;L'!$A90,'XHDN TB'!D:D)</f>
        <v/>
      </c>
      <c r="Q90" s="60">
        <f>-SUMIF('XHDN TB'!$T:$T,'HDN P&amp;L'!$A90,'XHDN TB'!E:E)</f>
        <v/>
      </c>
      <c r="R90" s="60">
        <f>-SUMIF('XHDN TB'!$T:$T,'HDN P&amp;L'!$A90,'XHDN TB'!F:F)</f>
        <v/>
      </c>
      <c r="S90" s="60">
        <f>-SUMIF('XHDN TB'!$T:$T,'HDN P&amp;L'!$A90,'XHDN TB'!G:G)</f>
        <v/>
      </c>
      <c r="T90" s="60">
        <f>-SUMIF('XHDN TB'!$T:$T,'HDN P&amp;L'!$A90,'XHDN TB'!H:H)</f>
        <v/>
      </c>
      <c r="U90" s="60">
        <f>-SUMIF('XHDN TB'!$T:$T,'HDN P&amp;L'!$A90,'XHDN TB'!I:I)</f>
        <v/>
      </c>
      <c r="V90" s="60">
        <f>-SUMIF('XHDN TB'!$T:$T,'HDN P&amp;L'!$A90,'XHDN TB'!J:J)</f>
        <v/>
      </c>
      <c r="W90" s="60">
        <f>-SUMIF('XHDN TB'!$T:$T,'HDN P&amp;L'!$A90,'XHDN TB'!K:K)</f>
        <v/>
      </c>
      <c r="X90" s="60">
        <f>-SUMIF('XHDN TB'!$T:$T,'HDN P&amp;L'!$A90,'XHDN TB'!L:L)</f>
        <v/>
      </c>
      <c r="Y90" s="60">
        <f>-SUMIF('XHDN TB'!$T:$T,'HDN P&amp;L'!$A90,'XHDN TB'!M:M)</f>
        <v/>
      </c>
      <c r="Z90" s="60">
        <f>-SUMIF('XHDN TB'!$T:$T,'HDN P&amp;L'!$A90,'XHDN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-SUMIF('XHDN TB'!$T:$T,'HDN P&amp;L'!$A91,'XHDN TB'!C:C)</f>
        <v/>
      </c>
      <c r="P91" s="60">
        <f>-SUMIF('XHDN TB'!$T:$T,'HDN P&amp;L'!$A91,'XHDN TB'!D:D)</f>
        <v/>
      </c>
      <c r="Q91" s="60">
        <f>-SUMIF('XHDN TB'!$T:$T,'HDN P&amp;L'!$A91,'XHDN TB'!E:E)</f>
        <v/>
      </c>
      <c r="R91" s="60">
        <f>-SUMIF('XHDN TB'!$T:$T,'HDN P&amp;L'!$A91,'XHDN TB'!F:F)</f>
        <v/>
      </c>
      <c r="S91" s="60">
        <f>-SUMIF('XHDN TB'!$T:$T,'HDN P&amp;L'!$A91,'XHDN TB'!G:G)</f>
        <v/>
      </c>
      <c r="T91" s="60">
        <f>-SUMIF('XHDN TB'!$T:$T,'HDN P&amp;L'!$A91,'XHDN TB'!H:H)</f>
        <v/>
      </c>
      <c r="U91" s="60">
        <f>-SUMIF('XHDN TB'!$T:$T,'HDN P&amp;L'!$A91,'XHDN TB'!I:I)</f>
        <v/>
      </c>
      <c r="V91" s="60">
        <f>-SUMIF('XHDN TB'!$T:$T,'HDN P&amp;L'!$A91,'XHDN TB'!J:J)</f>
        <v/>
      </c>
      <c r="W91" s="60">
        <f>-SUMIF('XHDN TB'!$T:$T,'HDN P&amp;L'!$A91,'XHDN TB'!K:K)</f>
        <v/>
      </c>
      <c r="X91" s="60">
        <f>-SUMIF('XHDN TB'!$T:$T,'HDN P&amp;L'!$A91,'XHDN TB'!L:L)</f>
        <v/>
      </c>
      <c r="Y91" s="60">
        <f>-SUMIF('XHDN TB'!$T:$T,'HDN P&amp;L'!$A91,'XHDN TB'!M:M)</f>
        <v/>
      </c>
      <c r="Z91" s="60">
        <f>-SUMIF('XHDN TB'!$T:$T,'HDN P&amp;L'!$A91,'XHDN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60" t="inlineStr">
        <is>
          <t>In-Direct - Overheads</t>
        </is>
      </c>
      <c r="B92" s="18" t="n">
        <v>-433.37</v>
      </c>
      <c r="C92" s="18" t="n">
        <v>-362.91</v>
      </c>
      <c r="D92" s="18" t="n">
        <v>-422.57</v>
      </c>
      <c r="E92" s="18" t="n">
        <v>-352.04</v>
      </c>
      <c r="F92" s="18" t="n">
        <v>-219.86</v>
      </c>
      <c r="G92" s="18" t="n">
        <v>-372.15</v>
      </c>
      <c r="H92" s="18" t="n">
        <v>-300.37</v>
      </c>
      <c r="I92" s="18" t="n">
        <v>-345.66</v>
      </c>
      <c r="J92" s="18" t="n">
        <v>-327.76</v>
      </c>
      <c r="K92" s="18" t="n">
        <v>-597.1900000000001</v>
      </c>
      <c r="L92" s="18" t="n">
        <v>-559.28</v>
      </c>
      <c r="M92" s="18" t="n">
        <v>-536.1200000000001</v>
      </c>
      <c r="N92" s="8" t="n"/>
      <c r="O92" s="60">
        <f>-SUMIF('XHDN TB'!$T:$T,'HDN P&amp;L'!$A92,'XHDN TB'!C:C)</f>
        <v/>
      </c>
      <c r="P92" s="60">
        <f>-SUMIF('XHDN TB'!$T:$T,'HDN P&amp;L'!$A92,'XHDN TB'!D:D)</f>
        <v/>
      </c>
      <c r="Q92" s="60">
        <f>-SUMIF('XHDN TB'!$T:$T,'HDN P&amp;L'!$A92,'XHDN TB'!E:E)</f>
        <v/>
      </c>
      <c r="R92" s="60">
        <f>-SUMIF('XHDN TB'!$T:$T,'HDN P&amp;L'!$A92,'XHDN TB'!F:F)</f>
        <v/>
      </c>
      <c r="S92" s="60">
        <f>-SUMIF('XHDN TB'!$T:$T,'HDN P&amp;L'!$A92,'XHDN TB'!G:G)</f>
        <v/>
      </c>
      <c r="T92" s="60">
        <f>-SUMIF('XHDN TB'!$T:$T,'HDN P&amp;L'!$A92,'XHDN TB'!H:H)</f>
        <v/>
      </c>
      <c r="U92" s="60">
        <f>-SUMIF('XHDN TB'!$T:$T,'HDN P&amp;L'!$A92,'XHDN TB'!I:I)</f>
        <v/>
      </c>
      <c r="V92" s="60">
        <f>-SUMIF('XHDN TB'!$T:$T,'HDN P&amp;L'!$A92,'XHDN TB'!J:J)</f>
        <v/>
      </c>
      <c r="W92" s="60">
        <f>-SUMIF('XHDN TB'!$T:$T,'HDN P&amp;L'!$A92,'XHDN TB'!K:K)</f>
        <v/>
      </c>
      <c r="X92" s="60">
        <f>-SUMIF('XHDN TB'!$T:$T,'HDN P&amp;L'!$A92,'XHDN TB'!L:L)</f>
        <v/>
      </c>
      <c r="Y92" s="60">
        <f>-SUMIF('XHDN TB'!$T:$T,'HDN P&amp;L'!$A92,'XHDN TB'!M:M)</f>
        <v/>
      </c>
      <c r="Z92" s="60">
        <f>-SUMIF('XHDN TB'!$T:$T,'HDN P&amp;L'!$A92,'XHDN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 ht="15.75" customHeight="1">
      <c r="A93" s="8" t="n"/>
      <c r="B93" s="67" t="n">
        <v>20643.53000000001</v>
      </c>
      <c r="C93" s="67" t="n">
        <v>16330.06</v>
      </c>
      <c r="D93" s="67" t="n">
        <v>30776.16</v>
      </c>
      <c r="E93" s="67" t="n">
        <v>26294.3</v>
      </c>
      <c r="F93" s="67" t="n">
        <v>18510.18</v>
      </c>
      <c r="G93" s="67" t="n">
        <v>18814.45</v>
      </c>
      <c r="H93" s="67" t="n">
        <v>44055.37</v>
      </c>
      <c r="I93" s="67" t="n">
        <v>18263.08</v>
      </c>
      <c r="J93" s="67" t="n">
        <v>6837.109999999999</v>
      </c>
      <c r="K93" s="67" t="n">
        <v>3148.43999999999</v>
      </c>
      <c r="L93" s="67" t="n">
        <v>14708.07</v>
      </c>
      <c r="M93" s="67" t="n">
        <v>-6537.449999999999</v>
      </c>
      <c r="N93" s="8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8" t="n"/>
      <c r="AB93" s="8" t="n"/>
      <c r="AC93" s="64" t="n"/>
      <c r="AD93" s="64" t="n"/>
      <c r="AE93" s="64" t="n"/>
      <c r="AF93" s="64" t="n"/>
      <c r="AG93" s="64" t="n"/>
      <c r="AH93" s="64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 ht="15.75" customHeight="1">
      <c r="A94" s="8" t="n"/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0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7.275957614183426e-12</v>
      </c>
      <c r="L94" s="18" t="n">
        <v>0</v>
      </c>
      <c r="M94" s="18" t="n">
        <v>32675.93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0</v>
      </c>
      <c r="C96" s="18" t="n">
        <v>0</v>
      </c>
      <c r="D96" s="18" t="n">
        <v>-2.91038304567337e-11</v>
      </c>
      <c r="E96" s="18" t="n">
        <v>0</v>
      </c>
      <c r="F96" s="18" t="n">
        <v>0</v>
      </c>
      <c r="G96" s="18" t="n">
        <v>0</v>
      </c>
      <c r="H96" s="18" t="n">
        <v>0</v>
      </c>
      <c r="I96" s="18" t="n">
        <v>0</v>
      </c>
      <c r="J96" s="18" t="n">
        <v>0</v>
      </c>
      <c r="K96" s="18" t="n">
        <v>-5.456968210637569e-12</v>
      </c>
      <c r="L96" s="18" t="n">
        <v>0</v>
      </c>
      <c r="M96" s="18" t="n">
        <v>-32675.93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>
        <v>-20643.53</v>
      </c>
      <c r="C97" s="18" t="n">
        <v>-16330.06000000001</v>
      </c>
      <c r="D97" s="18" t="n">
        <v>-30776.16000000003</v>
      </c>
      <c r="E97" s="18" t="n">
        <v>-26294.29999999999</v>
      </c>
      <c r="F97" s="18" t="n">
        <v>-18510.17999999999</v>
      </c>
      <c r="G97" s="18" t="n">
        <v>-18814.45</v>
      </c>
      <c r="H97" s="18" t="n">
        <v>-44055.37</v>
      </c>
      <c r="I97" s="18" t="n">
        <v>-18263.07999999999</v>
      </c>
      <c r="J97" s="18" t="n">
        <v>-6837.109999999999</v>
      </c>
      <c r="K97" s="18" t="n">
        <v>-3148.439999999996</v>
      </c>
      <c r="L97" s="18" t="n">
        <v>-14708.06999999999</v>
      </c>
      <c r="M97" s="18" t="n">
        <v>-26138.48</v>
      </c>
      <c r="N97" s="8" t="n"/>
      <c r="O97" s="60">
        <f>SUM('XHDN TB'!C2:C43)</f>
        <v/>
      </c>
      <c r="P97" s="60">
        <f>SUM('XHDN TB'!D2:D43)</f>
        <v/>
      </c>
      <c r="Q97" s="60">
        <f>SUM('XHDN TB'!E2:E43)</f>
        <v/>
      </c>
      <c r="R97" s="60">
        <f>SUM('XHDN TB'!F2:F43)</f>
        <v/>
      </c>
      <c r="S97" s="60">
        <f>SUM('XHDN TB'!G2:G43)</f>
        <v/>
      </c>
      <c r="T97" s="60">
        <f>SUM('XHDN TB'!H2:H43)</f>
        <v/>
      </c>
      <c r="U97" s="60">
        <f>SUM('XHDN TB'!I2:I43)</f>
        <v/>
      </c>
      <c r="V97" s="60">
        <f>SUM('XHDN TB'!J2:J43)</f>
        <v/>
      </c>
      <c r="W97" s="60">
        <f>SUM('XHDN TB'!K2:K43)</f>
        <v/>
      </c>
      <c r="X97" s="60">
        <f>SUM('XHDN TB'!L2:L43)</f>
        <v/>
      </c>
      <c r="Y97" s="60">
        <f>SUM('XHDN TB'!M2:M43)</f>
        <v/>
      </c>
      <c r="Z97" s="60">
        <f>SUM('XHDN TB'!N2:N43)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Kingsclere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22870.34</v>
      </c>
      <c r="C8" s="35" t="n">
        <v>20355.4</v>
      </c>
      <c r="D8" s="35" t="n">
        <v>23704.42</v>
      </c>
      <c r="E8" s="35" t="n">
        <v>26731.27</v>
      </c>
      <c r="F8" s="35" t="n">
        <v>24249.3</v>
      </c>
      <c r="G8" s="35" t="n">
        <v>26195.06</v>
      </c>
      <c r="H8" s="35" t="n">
        <v>34918.49</v>
      </c>
      <c r="I8" s="35" t="n">
        <v>29544.89</v>
      </c>
      <c r="J8" s="35" t="n">
        <v>19810.11</v>
      </c>
      <c r="K8" s="35" t="n">
        <v>19723.77</v>
      </c>
      <c r="L8" s="35" t="n">
        <v>17281.63</v>
      </c>
      <c r="M8" s="35" t="n">
        <v>23883.61</v>
      </c>
      <c r="N8" s="36">
        <f>SUM(B8:M8)</f>
        <v/>
      </c>
      <c r="O8" s="37">
        <f>-SUMIF('KIN TB'!$R:$R,'KIN P&amp;L'!$A8,'KIN TB'!C:C)</f>
        <v/>
      </c>
      <c r="P8" s="37">
        <f>-SUMIF('KIN TB'!$R:$R,'KIN P&amp;L'!$A8,'KIN TB'!D:D)</f>
        <v/>
      </c>
      <c r="Q8" s="37">
        <f>-SUMIF('KIN TB'!$R:$R,'KIN P&amp;L'!$A8,'KIN TB'!E:E)</f>
        <v/>
      </c>
      <c r="R8" s="37">
        <f>-SUMIF('KIN TB'!$R:$R,'KIN P&amp;L'!$A8,'KIN TB'!F:F)</f>
        <v/>
      </c>
      <c r="S8" s="37">
        <f>-SUMIF('KIN TB'!$R:$R,'KIN P&amp;L'!$A8,'KIN TB'!G:G)</f>
        <v/>
      </c>
      <c r="T8" s="37">
        <f>-SUMIF('KIN TB'!$R:$R,'KIN P&amp;L'!$A8,'KIN TB'!H:H)</f>
        <v/>
      </c>
      <c r="U8" s="37">
        <f>-SUMIF('KIN TB'!$R:$R,'KIN P&amp;L'!$A8,'KIN TB'!I:I)</f>
        <v/>
      </c>
      <c r="V8" s="38" t="n">
        <v>30985</v>
      </c>
      <c r="W8" s="38" t="n">
        <v>25687</v>
      </c>
      <c r="X8" s="38" t="n">
        <v>23914</v>
      </c>
      <c r="Y8" s="38" t="n">
        <v>24573</v>
      </c>
      <c r="Z8" s="38" t="n">
        <v>32094</v>
      </c>
      <c r="AA8" s="36">
        <f>SUM(O8:U8)</f>
        <v/>
      </c>
      <c r="AB8" s="36">
        <f>SUM(O8:Z8)</f>
        <v/>
      </c>
      <c r="AC8" s="38" t="n">
        <v>39926.56</v>
      </c>
      <c r="AD8" s="38" t="n">
        <v>37674.64</v>
      </c>
      <c r="AE8" s="38" t="n">
        <v>44411.48</v>
      </c>
      <c r="AF8" s="38" t="n">
        <v>42605.35</v>
      </c>
      <c r="AG8" s="38" t="n">
        <v>42601.69</v>
      </c>
      <c r="AH8" s="38" t="n">
        <v>43952.64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6489.72</v>
      </c>
      <c r="C9" s="35" t="n">
        <v>6489.72</v>
      </c>
      <c r="D9" s="35" t="n">
        <v>6776.320000000001</v>
      </c>
      <c r="E9" s="35" t="n">
        <v>7503.04</v>
      </c>
      <c r="F9" s="35" t="n">
        <v>7503.04</v>
      </c>
      <c r="G9" s="35" t="n">
        <v>7503.04</v>
      </c>
      <c r="H9" s="35" t="n">
        <v>15996.92</v>
      </c>
      <c r="I9" s="35" t="n">
        <v>0</v>
      </c>
      <c r="J9" s="35" t="n">
        <v>6466.01</v>
      </c>
      <c r="K9" s="35" t="n">
        <v>6466.01</v>
      </c>
      <c r="L9" s="35" t="n">
        <v>17054.35</v>
      </c>
      <c r="M9" s="35" t="n">
        <v>17215.99</v>
      </c>
      <c r="N9" s="36">
        <f>SUM(B9:M9)</f>
        <v/>
      </c>
      <c r="O9" s="37">
        <f>-SUMIF('KIN TB'!$R:$R,'KIN P&amp;L'!$A9,'KIN TB'!C:C)</f>
        <v/>
      </c>
      <c r="P9" s="37">
        <f>-SUMIF('KIN TB'!$R:$R,'KIN P&amp;L'!$A9,'KIN TB'!D:D)</f>
        <v/>
      </c>
      <c r="Q9" s="37">
        <f>-SUMIF('KIN TB'!$R:$R,'KIN P&amp;L'!$A9,'KIN TB'!E:E)</f>
        <v/>
      </c>
      <c r="R9" s="37">
        <f>-SUMIF('KIN TB'!$R:$R,'KIN P&amp;L'!$A9,'KIN TB'!F:F)</f>
        <v/>
      </c>
      <c r="S9" s="37">
        <f>-SUMIF('KIN TB'!$R:$R,'KIN P&amp;L'!$A9,'KIN TB'!G:G)</f>
        <v/>
      </c>
      <c r="T9" s="37">
        <f>-SUMIF('KIN TB'!$R:$R,'KIN P&amp;L'!$A9,'KIN TB'!H:H)</f>
        <v/>
      </c>
      <c r="U9" s="37">
        <f>-SUMIF('KIN TB'!$R:$R,'KIN P&amp;L'!$A9,'KIN TB'!I:I)</f>
        <v/>
      </c>
      <c r="V9" s="38" t="n"/>
      <c r="W9" s="38" t="n">
        <v>12715</v>
      </c>
      <c r="X9" s="38" t="n">
        <v>15723</v>
      </c>
      <c r="Y9" s="38" t="n">
        <v>15334</v>
      </c>
      <c r="Z9" s="38" t="n">
        <v>6695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1724.64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-SUMIF('KIN TB'!$R:$R,'KIN P&amp;L'!$A10,'KIN TB'!C:C)</f>
        <v/>
      </c>
      <c r="P10" s="37">
        <f>-SUMIF('KIN TB'!$R:$R,'KIN P&amp;L'!$A10,'KIN TB'!D:D)</f>
        <v/>
      </c>
      <c r="Q10" s="37">
        <f>-SUMIF('KIN TB'!$R:$R,'KIN P&amp;L'!$A10,'KIN TB'!E:E)</f>
        <v/>
      </c>
      <c r="R10" s="37">
        <f>-SUMIF('KIN TB'!$R:$R,'KIN P&amp;L'!$A10,'KIN TB'!F:F)</f>
        <v/>
      </c>
      <c r="S10" s="37">
        <f>-SUMIF('KIN TB'!$R:$R,'KIN P&amp;L'!$A10,'KIN TB'!G:G)</f>
        <v/>
      </c>
      <c r="T10" s="37">
        <f>-SUMIF('KIN TB'!$R:$R,'KIN P&amp;L'!$A10,'KIN TB'!H:H)</f>
        <v/>
      </c>
      <c r="U10" s="37">
        <f>-SUMIF('KIN TB'!$R:$R,'KIN P&amp;L'!$A10,'KIN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29360.06</v>
      </c>
      <c r="C11" s="42" t="n">
        <v>26845.12</v>
      </c>
      <c r="D11" s="42" t="n">
        <v>30480.74</v>
      </c>
      <c r="E11" s="42" t="n">
        <v>34234.31</v>
      </c>
      <c r="F11" s="42" t="n">
        <v>31752.34</v>
      </c>
      <c r="G11" s="42" t="n">
        <v>33698.1</v>
      </c>
      <c r="H11" s="42" t="n">
        <v>50915.41</v>
      </c>
      <c r="I11" s="42" t="n">
        <v>31269.53</v>
      </c>
      <c r="J11" s="42" t="n">
        <v>26276.12</v>
      </c>
      <c r="K11" s="42" t="n">
        <v>26189.78</v>
      </c>
      <c r="L11" s="42" t="n">
        <v>34335.98</v>
      </c>
      <c r="M11" s="42" t="n">
        <v>41099.6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13592.8</v>
      </c>
      <c r="C16" s="35" t="n">
        <v>16596.28</v>
      </c>
      <c r="D16" s="35" t="n">
        <v>16290.85</v>
      </c>
      <c r="E16" s="35" t="n">
        <v>16097.89</v>
      </c>
      <c r="F16" s="35" t="n">
        <v>16253.33</v>
      </c>
      <c r="G16" s="35" t="n">
        <v>16542.65</v>
      </c>
      <c r="H16" s="35" t="n">
        <v>16564.15</v>
      </c>
      <c r="I16" s="35" t="n">
        <v>15091.52</v>
      </c>
      <c r="J16" s="35" t="n">
        <v>15920.49</v>
      </c>
      <c r="K16" s="35" t="n">
        <v>15616.67</v>
      </c>
      <c r="L16" s="35" t="n">
        <v>15962.02</v>
      </c>
      <c r="M16" s="35" t="n">
        <v>14849.14</v>
      </c>
      <c r="N16" s="36">
        <f>SUM(B16:M16)</f>
        <v/>
      </c>
      <c r="O16" s="37">
        <f>SUMIF('KIN TB'!$R:$R,'KIN P&amp;L'!$A16,'KIN TB'!C:C)</f>
        <v/>
      </c>
      <c r="P16" s="37">
        <f>SUMIF('KIN TB'!$R:$R,'KIN P&amp;L'!$A16,'KIN TB'!D:D)</f>
        <v/>
      </c>
      <c r="Q16" s="37">
        <f>SUMIF('KIN TB'!$R:$R,'KIN P&amp;L'!$A16,'KIN TB'!E:E)</f>
        <v/>
      </c>
      <c r="R16" s="37">
        <f>SUMIF('KIN TB'!$R:$R,'KIN P&amp;L'!$A16,'KIN TB'!F:F)</f>
        <v/>
      </c>
      <c r="S16" s="37">
        <f>SUMIF('KIN TB'!$R:$R,'KIN P&amp;L'!$A16,'KIN TB'!G:G)</f>
        <v/>
      </c>
      <c r="T16" s="37">
        <f>SUMIF('KIN TB'!$R:$R,'KIN P&amp;L'!$A16,'KIN TB'!H:H)</f>
        <v/>
      </c>
      <c r="U16" s="37">
        <f>SUMIF('KIN TB'!$R:$R,'KIN P&amp;L'!$A16,'KIN TB'!I:I)</f>
        <v/>
      </c>
      <c r="V16" s="38" t="n">
        <v>16231.3</v>
      </c>
      <c r="W16" s="38" t="n">
        <v>16231.3</v>
      </c>
      <c r="X16" s="38" t="n">
        <v>16231.3</v>
      </c>
      <c r="Y16" s="38" t="n">
        <v>16231.3</v>
      </c>
      <c r="Z16" s="38" t="n">
        <v>16231.3</v>
      </c>
      <c r="AA16" s="36">
        <f>SUM(O16:U16)</f>
        <v/>
      </c>
      <c r="AB16" s="36">
        <f>SUM(O16:Z16)</f>
        <v/>
      </c>
      <c r="AC16" s="38" t="n">
        <v>16231.3</v>
      </c>
      <c r="AD16" s="38" t="n">
        <v>16231.3</v>
      </c>
      <c r="AE16" s="38" t="n">
        <v>16231.3</v>
      </c>
      <c r="AF16" s="38" t="n">
        <v>16231.3</v>
      </c>
      <c r="AG16" s="38" t="n">
        <v>16231.3</v>
      </c>
      <c r="AH16" s="38" t="n">
        <v>16231.3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996.45</v>
      </c>
      <c r="C17" s="35" t="n">
        <v>1024.17</v>
      </c>
      <c r="D17" s="35" t="n">
        <v>1057.44</v>
      </c>
      <c r="E17" s="35" t="n">
        <v>1332.69</v>
      </c>
      <c r="F17" s="35" t="n">
        <v>1575.02</v>
      </c>
      <c r="G17" s="35" t="n">
        <v>1629.49</v>
      </c>
      <c r="H17" s="35" t="n">
        <v>1641.72</v>
      </c>
      <c r="I17" s="35" t="n">
        <v>1473.5</v>
      </c>
      <c r="J17" s="35" t="n">
        <v>1458.61</v>
      </c>
      <c r="K17" s="35" t="n">
        <v>1759.2</v>
      </c>
      <c r="L17" s="35" t="n">
        <v>1810.4</v>
      </c>
      <c r="M17" s="35" t="n">
        <v>1642.86</v>
      </c>
      <c r="N17" s="36">
        <f>SUM(B17:M17)</f>
        <v/>
      </c>
      <c r="O17" s="37">
        <f>SUMIF('KIN TB'!$R:$R,'KIN P&amp;L'!$A17,'KIN TB'!C:C)</f>
        <v/>
      </c>
      <c r="P17" s="37">
        <f>SUMIF('KIN TB'!$R:$R,'KIN P&amp;L'!$A17,'KIN TB'!D:D)</f>
        <v/>
      </c>
      <c r="Q17" s="37">
        <f>SUMIF('KIN TB'!$R:$R,'KIN P&amp;L'!$A17,'KIN TB'!E:E)</f>
        <v/>
      </c>
      <c r="R17" s="37">
        <f>SUMIF('KIN TB'!$R:$R,'KIN P&amp;L'!$A17,'KIN TB'!F:F)</f>
        <v/>
      </c>
      <c r="S17" s="37">
        <f>SUMIF('KIN TB'!$R:$R,'KIN P&amp;L'!$A17,'KIN TB'!G:G)</f>
        <v/>
      </c>
      <c r="T17" s="37">
        <f>SUMIF('KIN TB'!$R:$R,'KIN P&amp;L'!$A17,'KIN TB'!H:H)</f>
        <v/>
      </c>
      <c r="U17" s="37">
        <f>SUMIF('KIN TB'!$R:$R,'KIN P&amp;L'!$A17,'KIN TB'!I:I)</f>
        <v/>
      </c>
      <c r="V17" s="38" t="n">
        <v>1608.31</v>
      </c>
      <c r="W17" s="38" t="n">
        <v>1608.31</v>
      </c>
      <c r="X17" s="38" t="n">
        <v>1608.31</v>
      </c>
      <c r="Y17" s="38" t="n">
        <v>1608.31</v>
      </c>
      <c r="Z17" s="38" t="n">
        <v>1608.31</v>
      </c>
      <c r="AA17" s="36">
        <f>SUM(O17:U17)</f>
        <v/>
      </c>
      <c r="AB17" s="36">
        <f>SUM(O17:Z17)</f>
        <v/>
      </c>
      <c r="AC17" s="38" t="n">
        <v>1608.31</v>
      </c>
      <c r="AD17" s="38" t="n">
        <v>1608.31</v>
      </c>
      <c r="AE17" s="38" t="n">
        <v>1608.31</v>
      </c>
      <c r="AF17" s="38" t="n">
        <v>1608.31</v>
      </c>
      <c r="AG17" s="38" t="n">
        <v>1608.31</v>
      </c>
      <c r="AH17" s="38" t="n">
        <v>1608.31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245.17</v>
      </c>
      <c r="C18" s="35" t="n">
        <v>251.2</v>
      </c>
      <c r="D18" s="35" t="n">
        <v>244.04</v>
      </c>
      <c r="E18" s="35" t="n">
        <v>193.55</v>
      </c>
      <c r="F18" s="35" t="n">
        <v>236.58</v>
      </c>
      <c r="G18" s="35" t="n">
        <v>310.42</v>
      </c>
      <c r="H18" s="35" t="n">
        <v>312.87</v>
      </c>
      <c r="I18" s="35" t="n">
        <v>279.23</v>
      </c>
      <c r="J18" s="35" t="n">
        <v>273.16</v>
      </c>
      <c r="K18" s="35" t="n">
        <v>280.62</v>
      </c>
      <c r="L18" s="35" t="n">
        <v>291.55</v>
      </c>
      <c r="M18" s="35" t="n">
        <v>252.72</v>
      </c>
      <c r="N18" s="36">
        <f>SUM(B18:M18)</f>
        <v/>
      </c>
      <c r="O18" s="37">
        <f>SUMIF('KIN TB'!$R:$R,'KIN P&amp;L'!$A18,'KIN TB'!C:C)</f>
        <v/>
      </c>
      <c r="P18" s="37">
        <f>SUMIF('KIN TB'!$R:$R,'KIN P&amp;L'!$A18,'KIN TB'!D:D)</f>
        <v/>
      </c>
      <c r="Q18" s="37">
        <f>SUMIF('KIN TB'!$R:$R,'KIN P&amp;L'!$A18,'KIN TB'!E:E)</f>
        <v/>
      </c>
      <c r="R18" s="37">
        <f>SUMIF('KIN TB'!$R:$R,'KIN P&amp;L'!$A18,'KIN TB'!F:F)</f>
        <v/>
      </c>
      <c r="S18" s="37">
        <f>SUMIF('KIN TB'!$R:$R,'KIN P&amp;L'!$A18,'KIN TB'!G:G)</f>
        <v/>
      </c>
      <c r="T18" s="37">
        <f>SUMIF('KIN TB'!$R:$R,'KIN P&amp;L'!$A18,'KIN TB'!H:H)</f>
        <v/>
      </c>
      <c r="U18" s="37">
        <f>SUMIF('KIN TB'!$R:$R,'KIN P&amp;L'!$A18,'KIN TB'!I:I)</f>
        <v/>
      </c>
      <c r="V18" s="38" t="n">
        <v>303.09</v>
      </c>
      <c r="W18" s="38" t="n">
        <v>303.09</v>
      </c>
      <c r="X18" s="38" t="n">
        <v>303.09</v>
      </c>
      <c r="Y18" s="38" t="n">
        <v>303.09</v>
      </c>
      <c r="Z18" s="38" t="n">
        <v>303.09</v>
      </c>
      <c r="AA18" s="36">
        <f>SUM(O18:U18)</f>
        <v/>
      </c>
      <c r="AB18" s="36">
        <f>SUM(O18:Z18)</f>
        <v/>
      </c>
      <c r="AC18" s="38" t="n">
        <v>303.09</v>
      </c>
      <c r="AD18" s="38" t="n">
        <v>303.09</v>
      </c>
      <c r="AE18" s="38" t="n">
        <v>303.09</v>
      </c>
      <c r="AF18" s="38" t="n">
        <v>303.09</v>
      </c>
      <c r="AG18" s="38" t="n">
        <v>303.09</v>
      </c>
      <c r="AH18" s="38" t="n">
        <v>303.09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50.22</v>
      </c>
      <c r="C19" s="35" t="n">
        <v>0</v>
      </c>
      <c r="D19" s="35" t="n">
        <v>0</v>
      </c>
      <c r="E19" s="35" t="n">
        <v>0</v>
      </c>
      <c r="F19" s="35" t="n">
        <v>57.3</v>
      </c>
      <c r="G19" s="35" t="n">
        <v>0</v>
      </c>
      <c r="H19" s="35" t="n">
        <v>160.14</v>
      </c>
      <c r="I19" s="35" t="n">
        <v>0</v>
      </c>
      <c r="J19" s="35" t="n">
        <v>185.22</v>
      </c>
      <c r="K19" s="35" t="n">
        <v>70.14</v>
      </c>
      <c r="L19" s="35" t="n">
        <v>28.68</v>
      </c>
      <c r="M19" s="35" t="n">
        <v>7.99</v>
      </c>
      <c r="N19" s="36">
        <f>SUM(B19:M19)</f>
        <v/>
      </c>
      <c r="O19" s="37">
        <f>SUMIF('KIN TB'!$R:$R,'KIN P&amp;L'!$A19,'KIN TB'!C:C)</f>
        <v/>
      </c>
      <c r="P19" s="37">
        <f>SUMIF('KIN TB'!$R:$R,'KIN P&amp;L'!$A19,'KIN TB'!D:D)</f>
        <v/>
      </c>
      <c r="Q19" s="37">
        <f>SUMIF('KIN TB'!$R:$R,'KIN P&amp;L'!$A19,'KIN TB'!E:E)</f>
        <v/>
      </c>
      <c r="R19" s="37">
        <f>SUMIF('KIN TB'!$R:$R,'KIN P&amp;L'!$A19,'KIN TB'!F:F)</f>
        <v/>
      </c>
      <c r="S19" s="37">
        <f>SUMIF('KIN TB'!$R:$R,'KIN P&amp;L'!$A19,'KIN TB'!G:G)</f>
        <v/>
      </c>
      <c r="T19" s="37">
        <f>SUMIF('KIN TB'!$R:$R,'KIN P&amp;L'!$A19,'KIN TB'!H:H)</f>
        <v/>
      </c>
      <c r="U19" s="37">
        <f>SUMIF('KIN TB'!$R:$R,'KIN P&amp;L'!$A19,'KIN TB'!I:I)</f>
        <v/>
      </c>
      <c r="V19" s="38" t="n">
        <v>50</v>
      </c>
      <c r="W19" s="38" t="n">
        <v>50</v>
      </c>
      <c r="X19" s="38" t="n">
        <v>50</v>
      </c>
      <c r="Y19" s="38" t="n">
        <v>50</v>
      </c>
      <c r="Z19" s="38" t="n">
        <v>50</v>
      </c>
      <c r="AA19" s="36">
        <f>SUM(O19:U19)</f>
        <v/>
      </c>
      <c r="AB19" s="36">
        <f>SUM(O19:Z19)</f>
        <v/>
      </c>
      <c r="AC19" s="38" t="n">
        <v>50</v>
      </c>
      <c r="AD19" s="38" t="n">
        <v>50</v>
      </c>
      <c r="AE19" s="38" t="n">
        <v>50</v>
      </c>
      <c r="AF19" s="38" t="n">
        <v>50</v>
      </c>
      <c r="AG19" s="38" t="n">
        <v>50</v>
      </c>
      <c r="AH19" s="38" t="n">
        <v>50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56</v>
      </c>
      <c r="C20" s="35" t="n">
        <v>0</v>
      </c>
      <c r="D20" s="35" t="n">
        <v>0</v>
      </c>
      <c r="E20" s="35" t="n">
        <v>46.2</v>
      </c>
      <c r="F20" s="35" t="n">
        <v>18</v>
      </c>
      <c r="G20" s="35" t="n">
        <v>20</v>
      </c>
      <c r="H20" s="35" t="n">
        <v>0</v>
      </c>
      <c r="I20" s="35" t="n">
        <v>70.5</v>
      </c>
      <c r="J20" s="35" t="n">
        <v>0</v>
      </c>
      <c r="K20" s="35" t="n">
        <v>0</v>
      </c>
      <c r="L20" s="35" t="n">
        <v>542.9</v>
      </c>
      <c r="M20" s="35" t="n">
        <v>0</v>
      </c>
      <c r="N20" s="36">
        <f>SUM(B20:M20)</f>
        <v/>
      </c>
      <c r="O20" s="37">
        <f>SUMIF('KIN TB'!$R:$R,'KIN P&amp;L'!$A20,'KIN TB'!C:C)</f>
        <v/>
      </c>
      <c r="P20" s="37">
        <f>SUMIF('KIN TB'!$R:$R,'KIN P&amp;L'!$A20,'KIN TB'!D:D)</f>
        <v/>
      </c>
      <c r="Q20" s="37">
        <f>SUMIF('KIN TB'!$R:$R,'KIN P&amp;L'!$A20,'KIN TB'!E:E)</f>
        <v/>
      </c>
      <c r="R20" s="37">
        <f>SUMIF('KIN TB'!$R:$R,'KIN P&amp;L'!$A20,'KIN TB'!F:F)</f>
        <v/>
      </c>
      <c r="S20" s="37">
        <f>SUMIF('KIN TB'!$R:$R,'KIN P&amp;L'!$A20,'KIN TB'!G:G)</f>
        <v/>
      </c>
      <c r="T20" s="37">
        <f>SUMIF('KIN TB'!$R:$R,'KIN P&amp;L'!$A20,'KIN TB'!H:H)</f>
        <v/>
      </c>
      <c r="U20" s="37">
        <f>SUMIF('KIN TB'!$R:$R,'KIN P&amp;L'!$A20,'KIN TB'!I:I)</f>
        <v/>
      </c>
      <c r="V20" s="38" t="n">
        <v>50</v>
      </c>
      <c r="W20" s="38" t="n">
        <v>50</v>
      </c>
      <c r="X20" s="38" t="n">
        <v>50</v>
      </c>
      <c r="Y20" s="38" t="n">
        <v>50</v>
      </c>
      <c r="Z20" s="38" t="n">
        <v>50</v>
      </c>
      <c r="AA20" s="36">
        <f>SUM(O20:U20)</f>
        <v/>
      </c>
      <c r="AB20" s="36">
        <f>SUM(O20:Z20)</f>
        <v/>
      </c>
      <c r="AC20" s="38" t="n">
        <v>50</v>
      </c>
      <c r="AD20" s="38" t="n">
        <v>50</v>
      </c>
      <c r="AE20" s="38" t="n">
        <v>50</v>
      </c>
      <c r="AF20" s="38" t="n">
        <v>50</v>
      </c>
      <c r="AG20" s="38" t="n">
        <v>50</v>
      </c>
      <c r="AH20" s="38" t="n">
        <v>50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84.36</v>
      </c>
      <c r="C21" s="35" t="n">
        <v>530.3099999999999</v>
      </c>
      <c r="D21" s="35" t="n">
        <v>35.12</v>
      </c>
      <c r="E21" s="35" t="n">
        <v>69.5</v>
      </c>
      <c r="F21" s="35" t="n">
        <v>103.74</v>
      </c>
      <c r="G21" s="35" t="n">
        <v>23.19</v>
      </c>
      <c r="H21" s="35" t="n">
        <v>104.06</v>
      </c>
      <c r="I21" s="35" t="n">
        <v>211.05</v>
      </c>
      <c r="J21" s="35" t="n">
        <v>87.06</v>
      </c>
      <c r="K21" s="35" t="n">
        <v>323.12</v>
      </c>
      <c r="L21" s="35" t="n">
        <v>235.68</v>
      </c>
      <c r="M21" s="35" t="n">
        <v>142.07</v>
      </c>
      <c r="N21" s="36">
        <f>SUM(B21:M21)</f>
        <v/>
      </c>
      <c r="O21" s="37">
        <f>SUMIF('KIN TB'!$R:$R,'KIN P&amp;L'!$A21,'KIN TB'!C:C)</f>
        <v/>
      </c>
      <c r="P21" s="37">
        <f>SUMIF('KIN TB'!$R:$R,'KIN P&amp;L'!$A21,'KIN TB'!D:D)</f>
        <v/>
      </c>
      <c r="Q21" s="37">
        <f>SUMIF('KIN TB'!$R:$R,'KIN P&amp;L'!$A21,'KIN TB'!E:E)</f>
        <v/>
      </c>
      <c r="R21" s="37">
        <f>SUMIF('KIN TB'!$R:$R,'KIN P&amp;L'!$A21,'KIN TB'!F:F)</f>
        <v/>
      </c>
      <c r="S21" s="37">
        <f>SUMIF('KIN TB'!$R:$R,'KIN P&amp;L'!$A21,'KIN TB'!G:G)</f>
        <v/>
      </c>
      <c r="T21" s="37">
        <f>SUMIF('KIN TB'!$R:$R,'KIN P&amp;L'!$A21,'KIN TB'!H:H)</f>
        <v/>
      </c>
      <c r="U21" s="37">
        <f>SUMIF('KIN TB'!$R:$R,'KIN P&amp;L'!$A21,'KIN TB'!I:I)</f>
        <v/>
      </c>
      <c r="V21" s="38" t="n">
        <v>80</v>
      </c>
      <c r="W21" s="38" t="n">
        <v>80</v>
      </c>
      <c r="X21" s="38" t="n">
        <v>80</v>
      </c>
      <c r="Y21" s="38" t="n">
        <v>80</v>
      </c>
      <c r="Z21" s="38" t="n">
        <v>80</v>
      </c>
      <c r="AA21" s="36">
        <f>SUM(O21:U21)</f>
        <v/>
      </c>
      <c r="AB21" s="36">
        <f>SUM(O21:Z21)</f>
        <v/>
      </c>
      <c r="AC21" s="38" t="n">
        <v>80</v>
      </c>
      <c r="AD21" s="38" t="n">
        <v>80</v>
      </c>
      <c r="AE21" s="38" t="n">
        <v>80</v>
      </c>
      <c r="AF21" s="38" t="n">
        <v>80</v>
      </c>
      <c r="AG21" s="38" t="n">
        <v>80</v>
      </c>
      <c r="AH21" s="38" t="n">
        <v>80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SUMIF('KIN TB'!$R:$R,'KIN P&amp;L'!$A22,'KIN TB'!C:C)</f>
        <v/>
      </c>
      <c r="P22" s="37">
        <f>SUMIF('KIN TB'!$R:$R,'KIN P&amp;L'!$A22,'KIN TB'!D:D)</f>
        <v/>
      </c>
      <c r="Q22" s="37">
        <f>SUMIF('KIN TB'!$R:$R,'KIN P&amp;L'!$A22,'KIN TB'!E:E)</f>
        <v/>
      </c>
      <c r="R22" s="37">
        <f>SUMIF('KIN TB'!$R:$R,'KIN P&amp;L'!$A22,'KIN TB'!F:F)</f>
        <v/>
      </c>
      <c r="S22" s="37">
        <f>SUMIF('KIN TB'!$R:$R,'KIN P&amp;L'!$A22,'KIN TB'!G:G)</f>
        <v/>
      </c>
      <c r="T22" s="37">
        <f>SUMIF('KIN TB'!$R:$R,'KIN P&amp;L'!$A22,'KIN TB'!H:H)</f>
        <v/>
      </c>
      <c r="U22" s="37">
        <f>SUMIF('KIN TB'!$R:$R,'KIN P&amp;L'!$A22,'KIN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13.9</v>
      </c>
      <c r="I23" s="35" t="n">
        <v>55.46</v>
      </c>
      <c r="J23" s="35" t="n">
        <v>0</v>
      </c>
      <c r="K23" s="35" t="n">
        <v>0</v>
      </c>
      <c r="L23" s="35" t="n">
        <v>72.23999999999999</v>
      </c>
      <c r="M23" s="35" t="n">
        <v>0</v>
      </c>
      <c r="N23" s="36">
        <f>SUM(B23:M23)</f>
        <v/>
      </c>
      <c r="O23" s="37">
        <f>SUMIF('KIN TB'!$R:$R,'KIN P&amp;L'!$A23,'KIN TB'!C:C)</f>
        <v/>
      </c>
      <c r="P23" s="37">
        <f>SUMIF('KIN TB'!$R:$R,'KIN P&amp;L'!$A23,'KIN TB'!D:D)</f>
        <v/>
      </c>
      <c r="Q23" s="37">
        <f>SUMIF('KIN TB'!$R:$R,'KIN P&amp;L'!$A23,'KIN TB'!E:E)</f>
        <v/>
      </c>
      <c r="R23" s="37">
        <f>SUMIF('KIN TB'!$R:$R,'KIN P&amp;L'!$A23,'KIN TB'!F:F)</f>
        <v/>
      </c>
      <c r="S23" s="37">
        <f>SUMIF('KIN TB'!$R:$R,'KIN P&amp;L'!$A23,'KIN TB'!G:G)</f>
        <v/>
      </c>
      <c r="T23" s="37">
        <f>SUMIF('KIN TB'!$R:$R,'KIN P&amp;L'!$A23,'KIN TB'!H:H)</f>
        <v/>
      </c>
      <c r="U23" s="37">
        <f>SUMIF('KIN TB'!$R:$R,'KIN P&amp;L'!$A23,'KIN TB'!I:I)</f>
        <v/>
      </c>
      <c r="V23" s="38" t="n">
        <v>33</v>
      </c>
      <c r="W23" s="38" t="n">
        <v>33</v>
      </c>
      <c r="X23" s="38" t="n">
        <v>33</v>
      </c>
      <c r="Y23" s="38" t="n">
        <v>33</v>
      </c>
      <c r="Z23" s="38" t="n">
        <v>33</v>
      </c>
      <c r="AA23" s="36">
        <f>SUM(O23:U23)</f>
        <v/>
      </c>
      <c r="AB23" s="36">
        <f>SUM(O23:Z23)</f>
        <v/>
      </c>
      <c r="AC23" s="38" t="n">
        <v>33</v>
      </c>
      <c r="AD23" s="38" t="n">
        <v>33</v>
      </c>
      <c r="AE23" s="38" t="n">
        <v>33</v>
      </c>
      <c r="AF23" s="38" t="n">
        <v>33</v>
      </c>
      <c r="AG23" s="38" t="n">
        <v>33</v>
      </c>
      <c r="AH23" s="38" t="n">
        <v>33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1410.72</v>
      </c>
      <c r="K24" s="35" t="n">
        <v>483.23</v>
      </c>
      <c r="L24" s="35" t="n">
        <v>0</v>
      </c>
      <c r="M24" s="35" t="n">
        <v>0</v>
      </c>
      <c r="N24" s="36">
        <f>SUM(B24:M24)</f>
        <v/>
      </c>
      <c r="O24" s="37">
        <f>SUMIF('KIN TB'!$R:$R,'KIN P&amp;L'!$A24,'KIN TB'!C:C)</f>
        <v/>
      </c>
      <c r="P24" s="37">
        <f>SUMIF('KIN TB'!$R:$R,'KIN P&amp;L'!$A24,'KIN TB'!D:D)</f>
        <v/>
      </c>
      <c r="Q24" s="37">
        <f>SUMIF('KIN TB'!$R:$R,'KIN P&amp;L'!$A24,'KIN TB'!E:E)</f>
        <v/>
      </c>
      <c r="R24" s="37">
        <f>SUMIF('KIN TB'!$R:$R,'KIN P&amp;L'!$A24,'KIN TB'!F:F)</f>
        <v/>
      </c>
      <c r="S24" s="37">
        <f>SUMIF('KIN TB'!$R:$R,'KIN P&amp;L'!$A24,'KIN TB'!G:G)</f>
        <v/>
      </c>
      <c r="T24" s="37">
        <f>SUMIF('KIN TB'!$R:$R,'KIN P&amp;L'!$A24,'KIN TB'!H:H)</f>
        <v/>
      </c>
      <c r="U24" s="37">
        <f>SUMIF('KIN TB'!$R:$R,'KIN P&amp;L'!$A24,'KIN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15025</v>
      </c>
      <c r="C25" s="42" t="n">
        <v>18401.96</v>
      </c>
      <c r="D25" s="42" t="n">
        <v>17627.45</v>
      </c>
      <c r="E25" s="42" t="n">
        <v>17739.83</v>
      </c>
      <c r="F25" s="42" t="n">
        <v>18243.97</v>
      </c>
      <c r="G25" s="42" t="n">
        <v>18525.75</v>
      </c>
      <c r="H25" s="42" t="n">
        <v>18796.84</v>
      </c>
      <c r="I25" s="42" t="n">
        <v>17181.26</v>
      </c>
      <c r="J25" s="42" t="n">
        <v>19335.26</v>
      </c>
      <c r="K25" s="42" t="n">
        <v>18532.98</v>
      </c>
      <c r="L25" s="42" t="n">
        <v>18943.47</v>
      </c>
      <c r="M25" s="42" t="n">
        <v>16894.78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 t="n"/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871.84</v>
      </c>
      <c r="C27" s="35" t="n">
        <v>1119.88</v>
      </c>
      <c r="D27" s="35" t="n">
        <v>883.4</v>
      </c>
      <c r="E27" s="35" t="n">
        <v>772.98</v>
      </c>
      <c r="F27" s="35" t="n">
        <v>885.8099999999999</v>
      </c>
      <c r="G27" s="35" t="n">
        <v>1206.2</v>
      </c>
      <c r="H27" s="35" t="n">
        <v>1152.02</v>
      </c>
      <c r="I27" s="35" t="n">
        <v>1021.21</v>
      </c>
      <c r="J27" s="35" t="n">
        <v>906.02</v>
      </c>
      <c r="K27" s="35" t="n">
        <v>1197.66</v>
      </c>
      <c r="L27" s="35" t="n">
        <v>867.37</v>
      </c>
      <c r="M27" s="35" t="n">
        <v>895.21</v>
      </c>
      <c r="N27" s="36">
        <f>SUM(B27:M27)</f>
        <v/>
      </c>
      <c r="O27" s="37">
        <f>SUMIF('KIN TB'!$R:$R,'KIN P&amp;L'!$A27,'KIN TB'!C:C)</f>
        <v/>
      </c>
      <c r="P27" s="37">
        <f>SUMIF('KIN TB'!$R:$R,'KIN P&amp;L'!$A27,'KIN TB'!D:D)</f>
        <v/>
      </c>
      <c r="Q27" s="37">
        <f>SUMIF('KIN TB'!$R:$R,'KIN P&amp;L'!$A27,'KIN TB'!E:E)</f>
        <v/>
      </c>
      <c r="R27" s="37">
        <f>SUMIF('KIN TB'!$R:$R,'KIN P&amp;L'!$A27,'KIN TB'!F:F)</f>
        <v/>
      </c>
      <c r="S27" s="37">
        <f>SUMIF('KIN TB'!$R:$R,'KIN P&amp;L'!$A27,'KIN TB'!G:G)</f>
        <v/>
      </c>
      <c r="T27" s="37">
        <f>SUMIF('KIN TB'!$R:$R,'KIN P&amp;L'!$A27,'KIN TB'!H:H)</f>
        <v/>
      </c>
      <c r="U27" s="37">
        <f>SUMIF('KIN TB'!$R:$R,'KIN P&amp;L'!$A27,'KIN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67.66</v>
      </c>
      <c r="C28" s="35" t="n">
        <v>15.5</v>
      </c>
      <c r="D28" s="35" t="n">
        <v>101.01</v>
      </c>
      <c r="E28" s="35" t="n">
        <v>148.99</v>
      </c>
      <c r="F28" s="35" t="n">
        <v>199.49</v>
      </c>
      <c r="G28" s="35" t="n">
        <v>26.91</v>
      </c>
      <c r="H28" s="35" t="n">
        <v>73.44</v>
      </c>
      <c r="I28" s="35" t="n">
        <v>738</v>
      </c>
      <c r="J28" s="35" t="n">
        <v>21.8</v>
      </c>
      <c r="K28" s="35" t="n">
        <v>28.47</v>
      </c>
      <c r="L28" s="35" t="n">
        <v>0</v>
      </c>
      <c r="M28" s="35" t="n">
        <v>113.69</v>
      </c>
      <c r="N28" s="36">
        <f>SUM(B28:M28)</f>
        <v/>
      </c>
      <c r="O28" s="37">
        <f>SUMIF('KIN TB'!$R:$R,'KIN P&amp;L'!$A28,'KIN TB'!C:C)</f>
        <v/>
      </c>
      <c r="P28" s="37">
        <f>SUMIF('KIN TB'!$R:$R,'KIN P&amp;L'!$A28,'KIN TB'!D:D)</f>
        <v/>
      </c>
      <c r="Q28" s="37">
        <f>SUMIF('KIN TB'!$R:$R,'KIN P&amp;L'!$A28,'KIN TB'!E:E)</f>
        <v/>
      </c>
      <c r="R28" s="37">
        <f>SUMIF('KIN TB'!$R:$R,'KIN P&amp;L'!$A28,'KIN TB'!F:F)</f>
        <v/>
      </c>
      <c r="S28" s="37">
        <f>SUMIF('KIN TB'!$R:$R,'KIN P&amp;L'!$A28,'KIN TB'!G:G)</f>
        <v/>
      </c>
      <c r="T28" s="37">
        <f>SUMIF('KIN TB'!$R:$R,'KIN P&amp;L'!$A28,'KIN TB'!H:H)</f>
        <v/>
      </c>
      <c r="U28" s="37">
        <f>SUMIF('KIN TB'!$R:$R,'KIN P&amp;L'!$A28,'KIN TB'!I:I)</f>
        <v/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124.79</v>
      </c>
      <c r="C29" s="35" t="n">
        <v>116.31</v>
      </c>
      <c r="D29" s="35" t="n">
        <v>123.91</v>
      </c>
      <c r="E29" s="35" t="n">
        <v>60.02</v>
      </c>
      <c r="F29" s="35" t="n">
        <v>69.12</v>
      </c>
      <c r="G29" s="35" t="n">
        <v>80.59</v>
      </c>
      <c r="H29" s="35" t="n">
        <v>17.78</v>
      </c>
      <c r="I29" s="35" t="n">
        <v>117.92</v>
      </c>
      <c r="J29" s="35" t="n">
        <v>19.37</v>
      </c>
      <c r="K29" s="35" t="n">
        <v>15.25</v>
      </c>
      <c r="L29" s="35" t="n">
        <v>168.9</v>
      </c>
      <c r="M29" s="35" t="n">
        <v>24.97</v>
      </c>
      <c r="N29" s="36">
        <f>SUM(B29:M29)</f>
        <v/>
      </c>
      <c r="O29" s="37">
        <f>SUMIF('KIN TB'!$R:$R,'KIN P&amp;L'!$A29,'KIN TB'!C:C)</f>
        <v/>
      </c>
      <c r="P29" s="37">
        <f>SUMIF('KIN TB'!$R:$R,'KIN P&amp;L'!$A29,'KIN TB'!D:D)</f>
        <v/>
      </c>
      <c r="Q29" s="37">
        <f>SUMIF('KIN TB'!$R:$R,'KIN P&amp;L'!$A29,'KIN TB'!E:E)</f>
        <v/>
      </c>
      <c r="R29" s="37">
        <f>SUMIF('KIN TB'!$R:$R,'KIN P&amp;L'!$A29,'KIN TB'!F:F)</f>
        <v/>
      </c>
      <c r="S29" s="37">
        <f>SUMIF('KIN TB'!$R:$R,'KIN P&amp;L'!$A29,'KIN TB'!G:G)</f>
        <v/>
      </c>
      <c r="T29" s="37">
        <f>SUMIF('KIN TB'!$R:$R,'KIN P&amp;L'!$A29,'KIN TB'!H:H)</f>
        <v/>
      </c>
      <c r="U29" s="37">
        <f>SUMIF('KIN TB'!$R:$R,'KIN P&amp;L'!$A29,'KIN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0.004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36.35</v>
      </c>
      <c r="C30" s="35" t="n">
        <v>28.59</v>
      </c>
      <c r="D30" s="35" t="n">
        <v>0</v>
      </c>
      <c r="E30" s="35" t="n">
        <v>16.15</v>
      </c>
      <c r="F30" s="35" t="n">
        <v>21.12</v>
      </c>
      <c r="G30" s="35" t="n">
        <v>0</v>
      </c>
      <c r="H30" s="35" t="n">
        <v>14.52</v>
      </c>
      <c r="I30" s="35" t="n">
        <v>18.44</v>
      </c>
      <c r="J30" s="35" t="n">
        <v>7.88</v>
      </c>
      <c r="K30" s="35" t="n">
        <v>0</v>
      </c>
      <c r="L30" s="35" t="n">
        <v>4.99</v>
      </c>
      <c r="M30" s="35" t="n">
        <v>57.13</v>
      </c>
      <c r="N30" s="36">
        <f>SUM(B30:M30)</f>
        <v/>
      </c>
      <c r="O30" s="37">
        <f>SUMIF('KIN TB'!$R:$R,'KIN P&amp;L'!$A30,'KIN TB'!C:C)</f>
        <v/>
      </c>
      <c r="P30" s="37">
        <f>SUMIF('KIN TB'!$R:$R,'KIN P&amp;L'!$A30,'KIN TB'!D:D)</f>
        <v/>
      </c>
      <c r="Q30" s="37">
        <f>SUMIF('KIN TB'!$R:$R,'KIN P&amp;L'!$A30,'KIN TB'!E:E)</f>
        <v/>
      </c>
      <c r="R30" s="37">
        <f>SUMIF('KIN TB'!$R:$R,'KIN P&amp;L'!$A30,'KIN TB'!F:F)</f>
        <v/>
      </c>
      <c r="S30" s="37">
        <f>SUMIF('KIN TB'!$R:$R,'KIN P&amp;L'!$A30,'KIN TB'!G:G)</f>
        <v/>
      </c>
      <c r="T30" s="37">
        <f>SUMIF('KIN TB'!$R:$R,'KIN P&amp;L'!$A30,'KIN TB'!H:H)</f>
        <v/>
      </c>
      <c r="U30" s="37">
        <f>SUMIF('KIN TB'!$R:$R,'KIN P&amp;L'!$A30,'KIN TB'!I:I)</f>
        <v/>
      </c>
      <c r="V30" s="38" t="n">
        <v>75</v>
      </c>
      <c r="W30" s="38" t="n">
        <v>75</v>
      </c>
      <c r="X30" s="38" t="n">
        <v>75</v>
      </c>
      <c r="Y30" s="38" t="n">
        <v>75</v>
      </c>
      <c r="Z30" s="38" t="n">
        <v>75</v>
      </c>
      <c r="AA30" s="36">
        <f>SUM(O30:U30)</f>
        <v/>
      </c>
      <c r="AB30" s="36">
        <f>SUM(O30:Z30)</f>
        <v/>
      </c>
      <c r="AC30" s="38" t="n">
        <v>75</v>
      </c>
      <c r="AD30" s="38" t="n">
        <v>75</v>
      </c>
      <c r="AE30" s="38" t="n">
        <v>75</v>
      </c>
      <c r="AF30" s="38" t="n">
        <v>75</v>
      </c>
      <c r="AG30" s="38" t="n">
        <v>75</v>
      </c>
      <c r="AH30" s="38" t="n">
        <v>75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37.02</v>
      </c>
      <c r="C31" s="35" t="n">
        <v>112.99</v>
      </c>
      <c r="D31" s="35" t="n">
        <v>13.99</v>
      </c>
      <c r="E31" s="35" t="n">
        <v>53.88</v>
      </c>
      <c r="F31" s="35" t="n">
        <v>650.1800000000001</v>
      </c>
      <c r="G31" s="35" t="n">
        <v>57.55</v>
      </c>
      <c r="H31" s="35" t="n">
        <v>14.48</v>
      </c>
      <c r="I31" s="35" t="n">
        <v>16</v>
      </c>
      <c r="J31" s="35" t="n">
        <v>121.89</v>
      </c>
      <c r="K31" s="35" t="n">
        <v>116.71</v>
      </c>
      <c r="L31" s="35" t="n">
        <v>84.96000000000001</v>
      </c>
      <c r="M31" s="35" t="n">
        <v>51.93</v>
      </c>
      <c r="N31" s="36">
        <f>SUM(B31:M31)</f>
        <v/>
      </c>
      <c r="O31" s="37">
        <f>SUMIF('KIN TB'!$R:$R,'KIN P&amp;L'!$A31,'KIN TB'!C:C)</f>
        <v/>
      </c>
      <c r="P31" s="37">
        <f>SUMIF('KIN TB'!$R:$R,'KIN P&amp;L'!$A31,'KIN TB'!D:D)</f>
        <v/>
      </c>
      <c r="Q31" s="37">
        <f>SUMIF('KIN TB'!$R:$R,'KIN P&amp;L'!$A31,'KIN TB'!E:E)</f>
        <v/>
      </c>
      <c r="R31" s="37">
        <f>SUMIF('KIN TB'!$R:$R,'KIN P&amp;L'!$A31,'KIN TB'!F:F)</f>
        <v/>
      </c>
      <c r="S31" s="37">
        <f>SUMIF('KIN TB'!$R:$R,'KIN P&amp;L'!$A31,'KIN TB'!G:G)</f>
        <v/>
      </c>
      <c r="T31" s="37">
        <f>SUMIF('KIN TB'!$R:$R,'KIN P&amp;L'!$A31,'KIN TB'!H:H)</f>
        <v/>
      </c>
      <c r="U31" s="37">
        <f>SUMIF('KIN TB'!$R:$R,'KIN P&amp;L'!$A31,'KIN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135.4</v>
      </c>
      <c r="C32" s="35" t="n">
        <v>97.50999999999999</v>
      </c>
      <c r="D32" s="35" t="n">
        <v>105.56</v>
      </c>
      <c r="E32" s="35" t="n">
        <v>101.9</v>
      </c>
      <c r="F32" s="35" t="n">
        <v>34.62</v>
      </c>
      <c r="G32" s="35" t="n">
        <v>0</v>
      </c>
      <c r="H32" s="35" t="n">
        <v>159.02</v>
      </c>
      <c r="I32" s="35" t="n">
        <v>147.67</v>
      </c>
      <c r="J32" s="35" t="n">
        <v>116.18</v>
      </c>
      <c r="K32" s="35" t="n">
        <v>77.15000000000001</v>
      </c>
      <c r="L32" s="35" t="n">
        <v>76.42</v>
      </c>
      <c r="M32" s="35" t="n">
        <v>23.18</v>
      </c>
      <c r="N32" s="36">
        <f>SUM(B32:M32)</f>
        <v/>
      </c>
      <c r="O32" s="37">
        <f>SUMIF('KIN TB'!$R:$R,'KIN P&amp;L'!$A32,'KIN TB'!C:C)</f>
        <v/>
      </c>
      <c r="P32" s="37">
        <f>SUMIF('KIN TB'!$R:$R,'KIN P&amp;L'!$A32,'KIN TB'!D:D)</f>
        <v/>
      </c>
      <c r="Q32" s="37">
        <f>SUMIF('KIN TB'!$R:$R,'KIN P&amp;L'!$A32,'KIN TB'!E:E)</f>
        <v/>
      </c>
      <c r="R32" s="37">
        <f>SUMIF('KIN TB'!$R:$R,'KIN P&amp;L'!$A32,'KIN TB'!F:F)</f>
        <v/>
      </c>
      <c r="S32" s="37">
        <f>SUMIF('KIN TB'!$R:$R,'KIN P&amp;L'!$A32,'KIN TB'!G:G)</f>
        <v/>
      </c>
      <c r="T32" s="37">
        <f>SUMIF('KIN TB'!$R:$R,'KIN P&amp;L'!$A32,'KIN TB'!H:H)</f>
        <v/>
      </c>
      <c r="U32" s="37">
        <f>SUMIF('KIN TB'!$R:$R,'KIN P&amp;L'!$A32,'KIN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0.006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SUMIF('KIN TB'!$R:$R,'KIN P&amp;L'!$A33,'KIN TB'!C:C)</f>
        <v/>
      </c>
      <c r="P33" s="37">
        <f>SUMIF('KIN TB'!$R:$R,'KIN P&amp;L'!$A33,'KIN TB'!D:D)</f>
        <v/>
      </c>
      <c r="Q33" s="37">
        <f>SUMIF('KIN TB'!$R:$R,'KIN P&amp;L'!$A33,'KIN TB'!E:E)</f>
        <v/>
      </c>
      <c r="R33" s="37">
        <f>SUMIF('KIN TB'!$R:$R,'KIN P&amp;L'!$A33,'KIN TB'!F:F)</f>
        <v/>
      </c>
      <c r="S33" s="37">
        <f>SUMIF('KIN TB'!$R:$R,'KIN P&amp;L'!$A33,'KIN TB'!G:G)</f>
        <v/>
      </c>
      <c r="T33" s="37">
        <f>SUMIF('KIN TB'!$R:$R,'KIN P&amp;L'!$A33,'KIN TB'!H:H)</f>
        <v/>
      </c>
      <c r="U33" s="37">
        <f>SUMIF('KIN TB'!$R:$R,'KIN P&amp;L'!$A33,'KIN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1273.06</v>
      </c>
      <c r="C34" s="42" t="n">
        <v>1490.78</v>
      </c>
      <c r="D34" s="42" t="n">
        <v>1227.87</v>
      </c>
      <c r="E34" s="42" t="n">
        <v>1153.92</v>
      </c>
      <c r="F34" s="42" t="n">
        <v>1860.34</v>
      </c>
      <c r="G34" s="42" t="n">
        <v>1371.25</v>
      </c>
      <c r="H34" s="42" t="n">
        <v>1431.26</v>
      </c>
      <c r="I34" s="42" t="n">
        <v>2059.24</v>
      </c>
      <c r="J34" s="42" t="n">
        <v>1193.14</v>
      </c>
      <c r="K34" s="42" t="n">
        <v>1435.24</v>
      </c>
      <c r="L34" s="42" t="n">
        <v>1202.64</v>
      </c>
      <c r="M34" s="42" t="n">
        <v>1166.11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SUMIF('KIN TB'!$R:$R,'KIN P&amp;L'!$A36,'KIN TB'!C:C)</f>
        <v/>
      </c>
      <c r="P36" s="37">
        <f>SUMIF('KIN TB'!$R:$R,'KIN P&amp;L'!$A36,'KIN TB'!D:D)</f>
        <v/>
      </c>
      <c r="Q36" s="37">
        <f>SUMIF('KIN TB'!$R:$R,'KIN P&amp;L'!$A36,'KIN TB'!E:E)</f>
        <v/>
      </c>
      <c r="R36" s="37">
        <f>SUMIF('KIN TB'!$R:$R,'KIN P&amp;L'!$A36,'KIN TB'!F:F)</f>
        <v/>
      </c>
      <c r="S36" s="37">
        <f>SUMIF('KIN TB'!$R:$R,'KIN P&amp;L'!$A36,'KIN TB'!G:G)</f>
        <v/>
      </c>
      <c r="T36" s="37">
        <f>SUMIF('KIN TB'!$R:$R,'KIN P&amp;L'!$A36,'KIN TB'!H:H)</f>
        <v/>
      </c>
      <c r="U36" s="37">
        <f>SUMIF('KIN TB'!$R:$R,'KIN P&amp;L'!$A36,'KIN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758.9</v>
      </c>
      <c r="C37" s="35" t="n">
        <v>758.9</v>
      </c>
      <c r="D37" s="35" t="n">
        <v>758.9</v>
      </c>
      <c r="E37" s="35" t="n">
        <v>758.9</v>
      </c>
      <c r="F37" s="35" t="n">
        <v>758.9</v>
      </c>
      <c r="G37" s="35" t="n">
        <v>758.9</v>
      </c>
      <c r="H37" s="35" t="n">
        <v>758.9</v>
      </c>
      <c r="I37" s="35" t="n">
        <v>758.9</v>
      </c>
      <c r="J37" s="35" t="n">
        <v>758.9</v>
      </c>
      <c r="K37" s="35" t="n">
        <v>758.9</v>
      </c>
      <c r="L37" s="35" t="n">
        <v>758.9</v>
      </c>
      <c r="M37" s="35" t="n">
        <v>758.9</v>
      </c>
      <c r="N37" s="36">
        <f>SUM(B37:M37)</f>
        <v/>
      </c>
      <c r="O37" s="37">
        <f>SUMIF('KIN TB'!$R:$R,'KIN P&amp;L'!$A37,'KIN TB'!C:C)</f>
        <v/>
      </c>
      <c r="P37" s="37">
        <f>SUMIF('KIN TB'!$R:$R,'KIN P&amp;L'!$A37,'KIN TB'!D:D)</f>
        <v/>
      </c>
      <c r="Q37" s="37">
        <f>SUMIF('KIN TB'!$R:$R,'KIN P&amp;L'!$A37,'KIN TB'!E:E)</f>
        <v/>
      </c>
      <c r="R37" s="37">
        <f>SUMIF('KIN TB'!$R:$R,'KIN P&amp;L'!$A37,'KIN TB'!F:F)</f>
        <v/>
      </c>
      <c r="S37" s="37">
        <f>SUMIF('KIN TB'!$R:$R,'KIN P&amp;L'!$A37,'KIN TB'!G:G)</f>
        <v/>
      </c>
      <c r="T37" s="37">
        <f>SUMIF('KIN TB'!$R:$R,'KIN P&amp;L'!$A37,'KIN TB'!H:H)</f>
        <v/>
      </c>
      <c r="U37" s="37">
        <f>SUMIF('KIN TB'!$R:$R,'KIN P&amp;L'!$A37,'KIN TB'!I:I)</f>
        <v/>
      </c>
      <c r="V37" s="38" t="n">
        <v>682</v>
      </c>
      <c r="W37" s="38" t="n">
        <v>682</v>
      </c>
      <c r="X37" s="38" t="n">
        <v>682</v>
      </c>
      <c r="Y37" s="38" t="n">
        <v>682</v>
      </c>
      <c r="Z37" s="38" t="n">
        <v>682</v>
      </c>
      <c r="AA37" s="36">
        <f>SUM(O37:U37)</f>
        <v/>
      </c>
      <c r="AB37" s="36">
        <f>SUM(O37:Z37)</f>
        <v/>
      </c>
      <c r="AC37" s="38" t="n">
        <v>682</v>
      </c>
      <c r="AD37" s="38" t="n">
        <v>682</v>
      </c>
      <c r="AE37" s="38" t="n">
        <v>682</v>
      </c>
      <c r="AF37" s="38" t="n">
        <v>682</v>
      </c>
      <c r="AG37" s="38" t="n">
        <v>682</v>
      </c>
      <c r="AH37" s="38" t="n">
        <v>682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872.46</v>
      </c>
      <c r="C38" s="35" t="n">
        <v>507.52</v>
      </c>
      <c r="D38" s="35" t="n">
        <v>466.58</v>
      </c>
      <c r="E38" s="35" t="n">
        <v>2967.25</v>
      </c>
      <c r="F38" s="35" t="n">
        <v>84.62</v>
      </c>
      <c r="G38" s="35" t="n">
        <v>279.5</v>
      </c>
      <c r="H38" s="35" t="n">
        <v>221.45</v>
      </c>
      <c r="I38" s="35" t="n">
        <v>960.99</v>
      </c>
      <c r="J38" s="35" t="n">
        <v>501.45</v>
      </c>
      <c r="K38" s="35" t="n">
        <v>437.86</v>
      </c>
      <c r="L38" s="35" t="n">
        <v>626.24</v>
      </c>
      <c r="M38" s="35" t="n">
        <v>739.01</v>
      </c>
      <c r="N38" s="36">
        <f>SUM(B38:M38)</f>
        <v/>
      </c>
      <c r="O38" s="37">
        <f>SUMIF('KIN TB'!$R:$R,'KIN P&amp;L'!$A38,'KIN TB'!C:C)</f>
        <v/>
      </c>
      <c r="P38" s="37">
        <f>SUMIF('KIN TB'!$R:$R,'KIN P&amp;L'!$A38,'KIN TB'!D:D)</f>
        <v/>
      </c>
      <c r="Q38" s="37">
        <f>SUMIF('KIN TB'!$R:$R,'KIN P&amp;L'!$A38,'KIN TB'!E:E)</f>
        <v/>
      </c>
      <c r="R38" s="37">
        <f>SUMIF('KIN TB'!$R:$R,'KIN P&amp;L'!$A38,'KIN TB'!F:F)</f>
        <v/>
      </c>
      <c r="S38" s="37">
        <f>SUMIF('KIN TB'!$R:$R,'KIN P&amp;L'!$A38,'KIN TB'!G:G)</f>
        <v/>
      </c>
      <c r="T38" s="37">
        <f>SUMIF('KIN TB'!$R:$R,'KIN P&amp;L'!$A38,'KIN TB'!H:H)</f>
        <v/>
      </c>
      <c r="U38" s="37">
        <f>SUMIF('KIN TB'!$R:$R,'KIN P&amp;L'!$A38,'KIN TB'!I:I)</f>
        <v/>
      </c>
      <c r="V38" s="38" t="n">
        <v>755</v>
      </c>
      <c r="W38" s="38" t="n">
        <v>755</v>
      </c>
      <c r="X38" s="38" t="n">
        <v>755</v>
      </c>
      <c r="Y38" s="38" t="n">
        <v>755</v>
      </c>
      <c r="Z38" s="38" t="n">
        <v>755</v>
      </c>
      <c r="AA38" s="36">
        <f>SUM(O38:U38)</f>
        <v/>
      </c>
      <c r="AB38" s="36">
        <f>SUM(O38:Z38)</f>
        <v/>
      </c>
      <c r="AC38" s="38" t="n">
        <v>755</v>
      </c>
      <c r="AD38" s="38" t="n">
        <v>755</v>
      </c>
      <c r="AE38" s="38" t="n">
        <v>755</v>
      </c>
      <c r="AF38" s="38" t="n">
        <v>755</v>
      </c>
      <c r="AG38" s="38" t="n">
        <v>755</v>
      </c>
      <c r="AH38" s="38" t="n">
        <v>755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387.14</v>
      </c>
      <c r="C39" s="35" t="n">
        <v>108.38</v>
      </c>
      <c r="D39" s="35" t="n">
        <v>277.96</v>
      </c>
      <c r="E39" s="35" t="n">
        <v>372.75</v>
      </c>
      <c r="F39" s="35" t="n">
        <v>389.89</v>
      </c>
      <c r="G39" s="35" t="n">
        <v>0</v>
      </c>
      <c r="H39" s="35" t="n">
        <v>421.2</v>
      </c>
      <c r="I39" s="35" t="n">
        <v>252</v>
      </c>
      <c r="J39" s="35" t="n">
        <v>69.92</v>
      </c>
      <c r="K39" s="35" t="n">
        <v>0</v>
      </c>
      <c r="L39" s="35" t="n">
        <v>147.46</v>
      </c>
      <c r="M39" s="35" t="n">
        <v>108</v>
      </c>
      <c r="N39" s="36">
        <f>SUM(B39:M39)</f>
        <v/>
      </c>
      <c r="O39" s="37">
        <f>SUMIF('KIN TB'!$R:$R,'KIN P&amp;L'!$A39,'KIN TB'!C:C)</f>
        <v/>
      </c>
      <c r="P39" s="37">
        <f>SUMIF('KIN TB'!$R:$R,'KIN P&amp;L'!$A39,'KIN TB'!D:D)</f>
        <v/>
      </c>
      <c r="Q39" s="37">
        <f>SUMIF('KIN TB'!$R:$R,'KIN P&amp;L'!$A39,'KIN TB'!E:E)</f>
        <v/>
      </c>
      <c r="R39" s="37">
        <f>SUMIF('KIN TB'!$R:$R,'KIN P&amp;L'!$A39,'KIN TB'!F:F)</f>
        <v/>
      </c>
      <c r="S39" s="37">
        <f>SUMIF('KIN TB'!$R:$R,'KIN P&amp;L'!$A39,'KIN TB'!G:G)</f>
        <v/>
      </c>
      <c r="T39" s="37">
        <f>SUMIF('KIN TB'!$R:$R,'KIN P&amp;L'!$A39,'KIN TB'!H:H)</f>
        <v/>
      </c>
      <c r="U39" s="37">
        <f>SUMIF('KIN TB'!$R:$R,'KIN P&amp;L'!$A39,'KIN TB'!I:I)</f>
        <v/>
      </c>
      <c r="V39" s="38" t="n">
        <v>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165.33</v>
      </c>
      <c r="C40" s="35" t="n">
        <v>90.19</v>
      </c>
      <c r="D40" s="35" t="n">
        <v>168.34</v>
      </c>
      <c r="E40" s="35" t="n">
        <v>290</v>
      </c>
      <c r="F40" s="35" t="n">
        <v>234.76</v>
      </c>
      <c r="G40" s="35" t="n">
        <v>142.75</v>
      </c>
      <c r="H40" s="35" t="n">
        <v>227.02</v>
      </c>
      <c r="I40" s="35" t="n">
        <v>220.38</v>
      </c>
      <c r="J40" s="35" t="n">
        <v>109.95</v>
      </c>
      <c r="K40" s="35" t="n">
        <v>206.87</v>
      </c>
      <c r="L40" s="35" t="n">
        <v>200.81</v>
      </c>
      <c r="M40" s="35" t="n">
        <v>0</v>
      </c>
      <c r="N40" s="36">
        <f>SUM(B40:M40)</f>
        <v/>
      </c>
      <c r="O40" s="37">
        <f>SUMIF('KIN TB'!$R:$R,'KIN P&amp;L'!$A40,'KIN TB'!C:C)</f>
        <v/>
      </c>
      <c r="P40" s="37">
        <f>SUMIF('KIN TB'!$R:$R,'KIN P&amp;L'!$A40,'KIN TB'!D:D)</f>
        <v/>
      </c>
      <c r="Q40" s="37">
        <f>SUMIF('KIN TB'!$R:$R,'KIN P&amp;L'!$A40,'KIN TB'!E:E)</f>
        <v/>
      </c>
      <c r="R40" s="37">
        <f>SUMIF('KIN TB'!$R:$R,'KIN P&amp;L'!$A40,'KIN TB'!F:F)</f>
        <v/>
      </c>
      <c r="S40" s="37">
        <f>SUMIF('KIN TB'!$R:$R,'KIN P&amp;L'!$A40,'KIN TB'!G:G)</f>
        <v/>
      </c>
      <c r="T40" s="37">
        <f>SUMIF('KIN TB'!$R:$R,'KIN P&amp;L'!$A40,'KIN TB'!H:H)</f>
        <v/>
      </c>
      <c r="U40" s="37">
        <f>SUMIF('KIN TB'!$R:$R,'KIN P&amp;L'!$A40,'KIN TB'!I:I)</f>
        <v/>
      </c>
      <c r="V40" s="38" t="n">
        <v>185</v>
      </c>
      <c r="W40" s="38" t="n">
        <v>185</v>
      </c>
      <c r="X40" s="38" t="n">
        <v>185</v>
      </c>
      <c r="Y40" s="38" t="n">
        <v>185</v>
      </c>
      <c r="Z40" s="38" t="n">
        <v>185</v>
      </c>
      <c r="AA40" s="36">
        <f>SUM(O40:U40)</f>
        <v/>
      </c>
      <c r="AB40" s="36">
        <f>SUM(O40:Z40)</f>
        <v/>
      </c>
      <c r="AC40" s="38" t="n">
        <v>185</v>
      </c>
      <c r="AD40" s="38" t="n">
        <v>185</v>
      </c>
      <c r="AE40" s="38" t="n">
        <v>185</v>
      </c>
      <c r="AF40" s="38" t="n">
        <v>185</v>
      </c>
      <c r="AG40" s="38" t="n">
        <v>185</v>
      </c>
      <c r="AH40" s="38" t="n">
        <v>185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403.55</v>
      </c>
      <c r="C41" s="35" t="n">
        <v>655.55</v>
      </c>
      <c r="D41" s="35" t="n">
        <v>533.88</v>
      </c>
      <c r="E41" s="35" t="n">
        <v>385.87</v>
      </c>
      <c r="F41" s="35" t="n">
        <v>337.46</v>
      </c>
      <c r="G41" s="35" t="n">
        <v>361.96</v>
      </c>
      <c r="H41" s="35" t="n">
        <v>308.55</v>
      </c>
      <c r="I41" s="35" t="n">
        <v>322.85</v>
      </c>
      <c r="J41" s="35" t="n">
        <v>483.96</v>
      </c>
      <c r="K41" s="35" t="n">
        <v>430.55</v>
      </c>
      <c r="L41" s="35" t="n">
        <v>322.85</v>
      </c>
      <c r="M41" s="35" t="n">
        <v>376.2599999999999</v>
      </c>
      <c r="N41" s="36">
        <f>SUM(B41:M41)</f>
        <v/>
      </c>
      <c r="O41" s="37">
        <f>SUMIF('KIN TB'!$R:$R,'KIN P&amp;L'!$A41,'KIN TB'!C:C)</f>
        <v/>
      </c>
      <c r="P41" s="37">
        <f>SUMIF('KIN TB'!$R:$R,'KIN P&amp;L'!$A41,'KIN TB'!D:D)</f>
        <v/>
      </c>
      <c r="Q41" s="37">
        <f>SUMIF('KIN TB'!$R:$R,'KIN P&amp;L'!$A41,'KIN TB'!E:E)</f>
        <v/>
      </c>
      <c r="R41" s="37">
        <f>SUMIF('KIN TB'!$R:$R,'KIN P&amp;L'!$A41,'KIN TB'!F:F)</f>
        <v/>
      </c>
      <c r="S41" s="37">
        <f>SUMIF('KIN TB'!$R:$R,'KIN P&amp;L'!$A41,'KIN TB'!G:G)</f>
        <v/>
      </c>
      <c r="T41" s="37">
        <f>SUMIF('KIN TB'!$R:$R,'KIN P&amp;L'!$A41,'KIN TB'!H:H)</f>
        <v/>
      </c>
      <c r="U41" s="37">
        <f>SUMIF('KIN TB'!$R:$R,'KIN P&amp;L'!$A41,'KIN TB'!I:I)</f>
        <v/>
      </c>
      <c r="V41" s="38" t="n">
        <v>422</v>
      </c>
      <c r="W41" s="38" t="n">
        <v>422</v>
      </c>
      <c r="X41" s="38" t="n">
        <v>422</v>
      </c>
      <c r="Y41" s="38" t="n">
        <v>422</v>
      </c>
      <c r="Z41" s="38" t="n">
        <v>422</v>
      </c>
      <c r="AA41" s="36">
        <f>SUM(O41:U41)</f>
        <v/>
      </c>
      <c r="AB41" s="36">
        <f>SUM(O41:Z41)</f>
        <v/>
      </c>
      <c r="AC41" s="38" t="n">
        <v>422</v>
      </c>
      <c r="AD41" s="38" t="n">
        <v>422</v>
      </c>
      <c r="AE41" s="38" t="n">
        <v>422</v>
      </c>
      <c r="AF41" s="38" t="n">
        <v>422</v>
      </c>
      <c r="AG41" s="38" t="n">
        <v>422</v>
      </c>
      <c r="AH41" s="38" t="n">
        <v>422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43.45</v>
      </c>
      <c r="C42" s="35" t="n">
        <v>71.89999999999999</v>
      </c>
      <c r="D42" s="35" t="n">
        <v>34.49</v>
      </c>
      <c r="E42" s="35" t="n">
        <v>38.27</v>
      </c>
      <c r="F42" s="35" t="n">
        <v>56.39</v>
      </c>
      <c r="G42" s="35" t="n">
        <v>29.28</v>
      </c>
      <c r="H42" s="35" t="n">
        <v>17.79</v>
      </c>
      <c r="I42" s="35" t="n">
        <v>23.77</v>
      </c>
      <c r="J42" s="35" t="n">
        <v>49.73</v>
      </c>
      <c r="K42" s="35" t="n">
        <v>24.86</v>
      </c>
      <c r="L42" s="35" t="n">
        <v>23.78</v>
      </c>
      <c r="M42" s="35" t="n">
        <v>25.28</v>
      </c>
      <c r="N42" s="36">
        <f>SUM(B42:M42)</f>
        <v/>
      </c>
      <c r="O42" s="37">
        <f>SUMIF('KIN TB'!$R:$R,'KIN P&amp;L'!$A42,'KIN TB'!C:C)</f>
        <v/>
      </c>
      <c r="P42" s="37">
        <f>SUMIF('KIN TB'!$R:$R,'KIN P&amp;L'!$A42,'KIN TB'!D:D)</f>
        <v/>
      </c>
      <c r="Q42" s="37">
        <f>SUMIF('KIN TB'!$R:$R,'KIN P&amp;L'!$A42,'KIN TB'!E:E)</f>
        <v/>
      </c>
      <c r="R42" s="37">
        <f>SUMIF('KIN TB'!$R:$R,'KIN P&amp;L'!$A42,'KIN TB'!F:F)</f>
        <v/>
      </c>
      <c r="S42" s="37">
        <f>SUMIF('KIN TB'!$R:$R,'KIN P&amp;L'!$A42,'KIN TB'!G:G)</f>
        <v/>
      </c>
      <c r="T42" s="37">
        <f>SUMIF('KIN TB'!$R:$R,'KIN P&amp;L'!$A42,'KIN TB'!H:H)</f>
        <v/>
      </c>
      <c r="U42" s="37">
        <f>SUMIF('KIN TB'!$R:$R,'KIN P&amp;L'!$A42,'KIN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SUMIF('KIN TB'!$R:$R,'KIN P&amp;L'!$A43,'KIN TB'!C:C)</f>
        <v/>
      </c>
      <c r="P43" s="37">
        <f>SUMIF('KIN TB'!$R:$R,'KIN P&amp;L'!$A43,'KIN TB'!D:D)</f>
        <v/>
      </c>
      <c r="Q43" s="37">
        <f>SUMIF('KIN TB'!$R:$R,'KIN P&amp;L'!$A43,'KIN TB'!E:E)</f>
        <v/>
      </c>
      <c r="R43" s="37">
        <f>SUMIF('KIN TB'!$R:$R,'KIN P&amp;L'!$A43,'KIN TB'!F:F)</f>
        <v/>
      </c>
      <c r="S43" s="37">
        <f>SUMIF('KIN TB'!$R:$R,'KIN P&amp;L'!$A43,'KIN TB'!G:G)</f>
        <v/>
      </c>
      <c r="T43" s="37">
        <f>SUMIF('KIN TB'!$R:$R,'KIN P&amp;L'!$A43,'KIN TB'!H:H)</f>
        <v/>
      </c>
      <c r="U43" s="37">
        <f>SUMIF('KIN TB'!$R:$R,'KIN P&amp;L'!$A43,'KIN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SUMIF('KIN TB'!$R:$R,'KIN P&amp;L'!$A44,'KIN TB'!C:C)</f>
        <v/>
      </c>
      <c r="P44" s="37">
        <f>SUMIF('KIN TB'!$R:$R,'KIN P&amp;L'!$A44,'KIN TB'!D:D)</f>
        <v/>
      </c>
      <c r="Q44" s="37">
        <f>SUMIF('KIN TB'!$R:$R,'KIN P&amp;L'!$A44,'KIN TB'!E:E)</f>
        <v/>
      </c>
      <c r="R44" s="37">
        <f>SUMIF('KIN TB'!$R:$R,'KIN P&amp;L'!$A44,'KIN TB'!F:F)</f>
        <v/>
      </c>
      <c r="S44" s="37">
        <f>SUMIF('KIN TB'!$R:$R,'KIN P&amp;L'!$A44,'KIN TB'!G:G)</f>
        <v/>
      </c>
      <c r="T44" s="37">
        <f>SUMIF('KIN TB'!$R:$R,'KIN P&amp;L'!$A44,'KIN TB'!H:H)</f>
        <v/>
      </c>
      <c r="U44" s="37">
        <f>SUMIF('KIN TB'!$R:$R,'KIN P&amp;L'!$A44,'KIN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7.99</v>
      </c>
      <c r="C45" s="35" t="n">
        <v>0</v>
      </c>
      <c r="D45" s="35" t="n">
        <v>143.21</v>
      </c>
      <c r="E45" s="35" t="n">
        <v>0</v>
      </c>
      <c r="F45" s="35" t="n">
        <v>0</v>
      </c>
      <c r="G45" s="35" t="n">
        <v>265</v>
      </c>
      <c r="H45" s="35" t="n">
        <v>0</v>
      </c>
      <c r="I45" s="35" t="n">
        <v>45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SUMIF('KIN TB'!$R:$R,'KIN P&amp;L'!$A45,'KIN TB'!C:C)</f>
        <v/>
      </c>
      <c r="P45" s="37">
        <f>SUMIF('KIN TB'!$R:$R,'KIN P&amp;L'!$A45,'KIN TB'!D:D)</f>
        <v/>
      </c>
      <c r="Q45" s="37">
        <f>SUMIF('KIN TB'!$R:$R,'KIN P&amp;L'!$A45,'KIN TB'!E:E)</f>
        <v/>
      </c>
      <c r="R45" s="37">
        <f>SUMIF('KIN TB'!$R:$R,'KIN P&amp;L'!$A45,'KIN TB'!F:F)</f>
        <v/>
      </c>
      <c r="S45" s="37">
        <f>SUMIF('KIN TB'!$R:$R,'KIN P&amp;L'!$A45,'KIN TB'!G:G)</f>
        <v/>
      </c>
      <c r="T45" s="37">
        <f>SUMIF('KIN TB'!$R:$R,'KIN P&amp;L'!$A45,'KIN TB'!H:H)</f>
        <v/>
      </c>
      <c r="U45" s="37">
        <f>SUMIF('KIN TB'!$R:$R,'KIN P&amp;L'!$A45,'KIN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SUMIF('KIN TB'!$R:$R,'KIN P&amp;L'!$A46,'KIN TB'!C:C)</f>
        <v/>
      </c>
      <c r="P46" s="37">
        <f>SUMIF('KIN TB'!$R:$R,'KIN P&amp;L'!$A46,'KIN TB'!D:D)</f>
        <v/>
      </c>
      <c r="Q46" s="37">
        <f>SUMIF('KIN TB'!$R:$R,'KIN P&amp;L'!$A46,'KIN TB'!E:E)</f>
        <v/>
      </c>
      <c r="R46" s="37">
        <f>SUMIF('KIN TB'!$R:$R,'KIN P&amp;L'!$A46,'KIN TB'!F:F)</f>
        <v/>
      </c>
      <c r="S46" s="37">
        <f>SUMIF('KIN TB'!$R:$R,'KIN P&amp;L'!$A46,'KIN TB'!G:G)</f>
        <v/>
      </c>
      <c r="T46" s="37">
        <f>SUMIF('KIN TB'!$R:$R,'KIN P&amp;L'!$A46,'KIN TB'!H:H)</f>
        <v/>
      </c>
      <c r="U46" s="37">
        <f>SUMIF('KIN TB'!$R:$R,'KIN P&amp;L'!$A46,'KIN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2638.82</v>
      </c>
      <c r="C47" s="42" t="n">
        <v>2192.44</v>
      </c>
      <c r="D47" s="42" t="n">
        <v>2383.36</v>
      </c>
      <c r="E47" s="42" t="n">
        <v>4813.04</v>
      </c>
      <c r="F47" s="42" t="n">
        <v>1862.02</v>
      </c>
      <c r="G47" s="42" t="n">
        <v>1837.39</v>
      </c>
      <c r="H47" s="42" t="n">
        <v>1954.91</v>
      </c>
      <c r="I47" s="42" t="n">
        <v>2583.89</v>
      </c>
      <c r="J47" s="42" t="n">
        <v>1973.91</v>
      </c>
      <c r="K47" s="42" t="n">
        <v>1859.04</v>
      </c>
      <c r="L47" s="42" t="n">
        <v>2080.04</v>
      </c>
      <c r="M47" s="42" t="n">
        <v>2007.45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18936.88</v>
      </c>
      <c r="C48" s="23" t="n">
        <v>22085.18</v>
      </c>
      <c r="D48" s="23" t="n">
        <v>21238.68</v>
      </c>
      <c r="E48" s="23" t="n">
        <v>23706.79</v>
      </c>
      <c r="F48" s="23" t="n">
        <v>21966.33</v>
      </c>
      <c r="G48" s="23" t="n">
        <v>21734.39</v>
      </c>
      <c r="H48" s="23" t="n">
        <v>22183.01</v>
      </c>
      <c r="I48" s="23" t="n">
        <v>21824.39</v>
      </c>
      <c r="J48" s="23" t="n">
        <v>22502.31</v>
      </c>
      <c r="K48" s="23" t="n">
        <v>21827.26</v>
      </c>
      <c r="L48" s="23" t="n">
        <v>22226.15000000001</v>
      </c>
      <c r="M48" s="23" t="n">
        <v>20068.34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10423.18</v>
      </c>
      <c r="C50" s="55" t="n">
        <v>4759.940000000002</v>
      </c>
      <c r="D50" s="55" t="n">
        <v>9242.059999999998</v>
      </c>
      <c r="E50" s="55" t="n">
        <v>10527.52</v>
      </c>
      <c r="F50" s="55" t="n">
        <v>9786.009999999998</v>
      </c>
      <c r="G50" s="55" t="n">
        <v>11963.71</v>
      </c>
      <c r="H50" s="55" t="n">
        <v>28732.39999999999</v>
      </c>
      <c r="I50" s="55" t="n">
        <v>9445.139999999999</v>
      </c>
      <c r="J50" s="55" t="n">
        <v>3773.810000000001</v>
      </c>
      <c r="K50" s="55" t="n">
        <v>4362.52</v>
      </c>
      <c r="L50" s="55" t="n">
        <v>12109.82999999999</v>
      </c>
      <c r="M50" s="55" t="n">
        <v>21031.25999999999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SUMIF('KIN TB'!$R:$R,'KIN P&amp;L'!$A53,'KIN TB'!C:C)</f>
        <v/>
      </c>
      <c r="P53" s="37">
        <f>SUMIF('KIN TB'!$R:$R,'KIN P&amp;L'!$A53,'KIN TB'!D:D)</f>
        <v/>
      </c>
      <c r="Q53" s="37">
        <f>SUMIF('KIN TB'!$R:$R,'KIN P&amp;L'!$A53,'KIN TB'!E:E)</f>
        <v/>
      </c>
      <c r="R53" s="37">
        <f>SUMIF('KIN TB'!$R:$R,'KIN P&amp;L'!$A53,'KIN TB'!F:F)</f>
        <v/>
      </c>
      <c r="S53" s="37">
        <f>SUMIF('KIN TB'!$R:$R,'KIN P&amp;L'!$A53,'KIN TB'!G:G)</f>
        <v/>
      </c>
      <c r="T53" s="37">
        <f>SUMIF('KIN TB'!$R:$R,'KIN P&amp;L'!$A53,'KIN TB'!H:H)</f>
        <v/>
      </c>
      <c r="U53" s="37">
        <f>SUMIF('KIN TB'!$R:$R,'KIN P&amp;L'!$A53,'KIN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SUMIF('KIN TB'!$R:$R,'KIN P&amp;L'!$A54,'KIN TB'!C:C)</f>
        <v/>
      </c>
      <c r="P54" s="37">
        <f>SUMIF('KIN TB'!$R:$R,'KIN P&amp;L'!$A54,'KIN TB'!D:D)</f>
        <v/>
      </c>
      <c r="Q54" s="37">
        <f>SUMIF('KIN TB'!$R:$R,'KIN P&amp;L'!$A54,'KIN TB'!E:E)</f>
        <v/>
      </c>
      <c r="R54" s="37">
        <f>SUMIF('KIN TB'!$R:$R,'KIN P&amp;L'!$A54,'KIN TB'!F:F)</f>
        <v/>
      </c>
      <c r="S54" s="37">
        <f>SUMIF('KIN TB'!$R:$R,'KIN P&amp;L'!$A54,'KIN TB'!G:G)</f>
        <v/>
      </c>
      <c r="T54" s="37">
        <f>SUMIF('KIN TB'!$R:$R,'KIN P&amp;L'!$A54,'KIN TB'!H:H)</f>
        <v/>
      </c>
      <c r="U54" s="37">
        <f>SUMIF('KIN TB'!$R:$R,'KIN P&amp;L'!$A54,'KIN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SUMIF('KIN TB'!$R:$R,'KIN P&amp;L'!$A55,'KIN TB'!C:C)</f>
        <v/>
      </c>
      <c r="P55" s="37">
        <f>SUMIF('KIN TB'!$R:$R,'KIN P&amp;L'!$A55,'KIN TB'!D:D)</f>
        <v/>
      </c>
      <c r="Q55" s="37">
        <f>SUMIF('KIN TB'!$R:$R,'KIN P&amp;L'!$A55,'KIN TB'!E:E)</f>
        <v/>
      </c>
      <c r="R55" s="37">
        <f>SUMIF('KIN TB'!$R:$R,'KIN P&amp;L'!$A55,'KIN TB'!F:F)</f>
        <v/>
      </c>
      <c r="S55" s="37">
        <f>SUMIF('KIN TB'!$R:$R,'KIN P&amp;L'!$A55,'KIN TB'!G:G)</f>
        <v/>
      </c>
      <c r="T55" s="37">
        <f>SUMIF('KIN TB'!$R:$R,'KIN P&amp;L'!$A55,'KIN TB'!H:H)</f>
        <v/>
      </c>
      <c r="U55" s="37">
        <f>SUMIF('KIN TB'!$R:$R,'KIN P&amp;L'!$A55,'KIN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SUMIF('KIN TB'!$R:$R,'KIN P&amp;L'!$A56,'KIN TB'!C:C)</f>
        <v/>
      </c>
      <c r="P56" s="37">
        <f>SUMIF('KIN TB'!$R:$R,'KIN P&amp;L'!$A56,'KIN TB'!D:D)</f>
        <v/>
      </c>
      <c r="Q56" s="37">
        <f>SUMIF('KIN TB'!$R:$R,'KIN P&amp;L'!$A56,'KIN TB'!E:E)</f>
        <v/>
      </c>
      <c r="R56" s="37">
        <f>SUMIF('KIN TB'!$R:$R,'KIN P&amp;L'!$A56,'KIN TB'!F:F)</f>
        <v/>
      </c>
      <c r="S56" s="37">
        <f>SUMIF('KIN TB'!$R:$R,'KIN P&amp;L'!$A56,'KIN TB'!G:G)</f>
        <v/>
      </c>
      <c r="T56" s="37">
        <f>SUMIF('KIN TB'!$R:$R,'KIN P&amp;L'!$A56,'KIN TB'!H:H)</f>
        <v/>
      </c>
      <c r="U56" s="37">
        <f>SUMIF('KIN TB'!$R:$R,'KIN P&amp;L'!$A56,'KIN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270</v>
      </c>
      <c r="M57" s="35" t="n">
        <v>0</v>
      </c>
      <c r="N57" s="36">
        <f>SUM(B57:M57)</f>
        <v/>
      </c>
      <c r="O57" s="37">
        <f>SUMIF('KIN TB'!$R:$R,'KIN P&amp;L'!$A57,'KIN TB'!C:C)</f>
        <v/>
      </c>
      <c r="P57" s="37">
        <f>SUMIF('KIN TB'!$R:$R,'KIN P&amp;L'!$A57,'KIN TB'!D:D)</f>
        <v/>
      </c>
      <c r="Q57" s="37">
        <f>SUMIF('KIN TB'!$R:$R,'KIN P&amp;L'!$A57,'KIN TB'!E:E)</f>
        <v/>
      </c>
      <c r="R57" s="37">
        <f>SUMIF('KIN TB'!$R:$R,'KIN P&amp;L'!$A57,'KIN TB'!F:F)</f>
        <v/>
      </c>
      <c r="S57" s="37">
        <f>SUMIF('KIN TB'!$R:$R,'KIN P&amp;L'!$A57,'KIN TB'!G:G)</f>
        <v/>
      </c>
      <c r="T57" s="37">
        <f>SUMIF('KIN TB'!$R:$R,'KIN P&amp;L'!$A57,'KIN TB'!H:H)</f>
        <v/>
      </c>
      <c r="U57" s="37">
        <f>SUMIF('KIN TB'!$R:$R,'KIN P&amp;L'!$A57,'KIN TB'!I:I)</f>
        <v/>
      </c>
      <c r="V57" s="38" t="n"/>
      <c r="W57" s="38" t="n"/>
      <c r="X57" s="38" t="n"/>
      <c r="Y57" s="38" t="n"/>
      <c r="Z57" s="38">
        <f>8*30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SUMIF('KIN TB'!$R:$R,'KIN P&amp;L'!$A58,'KIN TB'!C:C)</f>
        <v/>
      </c>
      <c r="P58" s="37">
        <f>SUMIF('KIN TB'!$R:$R,'KIN P&amp;L'!$A58,'KIN TB'!D:D)</f>
        <v/>
      </c>
      <c r="Q58" s="37">
        <f>SUMIF('KIN TB'!$R:$R,'KIN P&amp;L'!$A58,'KIN TB'!E:E)</f>
        <v/>
      </c>
      <c r="R58" s="37">
        <f>SUMIF('KIN TB'!$R:$R,'KIN P&amp;L'!$A58,'KIN TB'!F:F)</f>
        <v/>
      </c>
      <c r="S58" s="37">
        <f>SUMIF('KIN TB'!$R:$R,'KIN P&amp;L'!$A58,'KIN TB'!G:G)</f>
        <v/>
      </c>
      <c r="T58" s="37">
        <f>SUMIF('KIN TB'!$R:$R,'KIN P&amp;L'!$A58,'KIN TB'!H:H)</f>
        <v/>
      </c>
      <c r="U58" s="37">
        <f>SUMIF('KIN TB'!$R:$R,'KIN P&amp;L'!$A58,'KIN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SUMIF('KIN TB'!$R:$R,'KIN P&amp;L'!$A59,'KIN TB'!C:C)</f>
        <v/>
      </c>
      <c r="P59" s="37">
        <f>SUMIF('KIN TB'!$R:$R,'KIN P&amp;L'!$A59,'KIN TB'!D:D)</f>
        <v/>
      </c>
      <c r="Q59" s="37">
        <f>SUMIF('KIN TB'!$R:$R,'KIN P&amp;L'!$A59,'KIN TB'!E:E)</f>
        <v/>
      </c>
      <c r="R59" s="37">
        <f>SUMIF('KIN TB'!$R:$R,'KIN P&amp;L'!$A59,'KIN TB'!F:F)</f>
        <v/>
      </c>
      <c r="S59" s="37">
        <f>SUMIF('KIN TB'!$R:$R,'KIN P&amp;L'!$A59,'KIN TB'!G:G)</f>
        <v/>
      </c>
      <c r="T59" s="37">
        <f>SUMIF('KIN TB'!$R:$R,'KIN P&amp;L'!$A59,'KIN TB'!H:H)</f>
        <v/>
      </c>
      <c r="U59" s="37">
        <f>SUMIF('KIN TB'!$R:$R,'KIN P&amp;L'!$A59,'KIN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1.8</v>
      </c>
      <c r="C60" s="35" t="n">
        <v>0.6</v>
      </c>
      <c r="D60" s="35" t="n">
        <v>3.6</v>
      </c>
      <c r="E60" s="35" t="n">
        <v>0.6</v>
      </c>
      <c r="F60" s="35" t="n">
        <v>1.2</v>
      </c>
      <c r="G60" s="35" t="n">
        <v>1.8</v>
      </c>
      <c r="H60" s="35" t="n">
        <v>2.4</v>
      </c>
      <c r="I60" s="35" t="n">
        <v>2.4</v>
      </c>
      <c r="J60" s="35" t="n">
        <v>2.4</v>
      </c>
      <c r="K60" s="35" t="n">
        <v>69.39999999999999</v>
      </c>
      <c r="L60" s="35" t="n">
        <v>2.4</v>
      </c>
      <c r="M60" s="35" t="n">
        <v>2.4</v>
      </c>
      <c r="N60" s="36">
        <f>SUM(B60:M60)</f>
        <v/>
      </c>
      <c r="O60" s="37">
        <f>SUMIF('KIN TB'!$R:$R,'KIN P&amp;L'!$A60,'KIN TB'!C:C)</f>
        <v/>
      </c>
      <c r="P60" s="37">
        <f>SUMIF('KIN TB'!$R:$R,'KIN P&amp;L'!$A60,'KIN TB'!D:D)</f>
        <v/>
      </c>
      <c r="Q60" s="37">
        <f>SUMIF('KIN TB'!$R:$R,'KIN P&amp;L'!$A60,'KIN TB'!E:E)</f>
        <v/>
      </c>
      <c r="R60" s="37">
        <f>SUMIF('KIN TB'!$R:$R,'KIN P&amp;L'!$A60,'KIN TB'!F:F)</f>
        <v/>
      </c>
      <c r="S60" s="37">
        <f>SUMIF('KIN TB'!$R:$R,'KIN P&amp;L'!$A60,'KIN TB'!G:G)</f>
        <v/>
      </c>
      <c r="T60" s="37">
        <f>SUMIF('KIN TB'!$R:$R,'KIN P&amp;L'!$A60,'KIN TB'!H:H)</f>
        <v/>
      </c>
      <c r="U60" s="37">
        <f>SUMIF('KIN TB'!$R:$R,'KIN P&amp;L'!$A60,'KIN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3.25</v>
      </c>
      <c r="E61" s="35" t="n">
        <v>118.59</v>
      </c>
      <c r="F61" s="35" t="n">
        <v>48.23</v>
      </c>
      <c r="G61" s="35" t="n">
        <v>16.7</v>
      </c>
      <c r="H61" s="35" t="n">
        <v>47.99</v>
      </c>
      <c r="I61" s="35" t="n">
        <v>0</v>
      </c>
      <c r="J61" s="35" t="n">
        <v>0</v>
      </c>
      <c r="K61" s="35" t="n">
        <v>169.7</v>
      </c>
      <c r="L61" s="35" t="n">
        <v>63.97</v>
      </c>
      <c r="M61" s="35" t="n">
        <v>25.63</v>
      </c>
      <c r="N61" s="36">
        <f>SUM(B61:M61)</f>
        <v/>
      </c>
      <c r="O61" s="37">
        <f>SUMIF('KIN TB'!$R:$R,'KIN P&amp;L'!$A61,'KIN TB'!C:C)</f>
        <v/>
      </c>
      <c r="P61" s="37">
        <f>SUMIF('KIN TB'!$R:$R,'KIN P&amp;L'!$A61,'KIN TB'!D:D)</f>
        <v/>
      </c>
      <c r="Q61" s="37">
        <f>SUMIF('KIN TB'!$R:$R,'KIN P&amp;L'!$A61,'KIN TB'!E:E)</f>
        <v/>
      </c>
      <c r="R61" s="37">
        <f>SUMIF('KIN TB'!$R:$R,'KIN P&amp;L'!$A61,'KIN TB'!F:F)</f>
        <v/>
      </c>
      <c r="S61" s="37">
        <f>SUMIF('KIN TB'!$R:$R,'KIN P&amp;L'!$A61,'KIN TB'!G:G)</f>
        <v/>
      </c>
      <c r="T61" s="37">
        <f>SUMIF('KIN TB'!$R:$R,'KIN P&amp;L'!$A61,'KIN TB'!H:H)</f>
        <v/>
      </c>
      <c r="U61" s="37">
        <f>SUMIF('KIN TB'!$R:$R,'KIN P&amp;L'!$A61,'KIN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40</v>
      </c>
      <c r="D62" s="35" t="n">
        <v>0</v>
      </c>
      <c r="E62" s="35" t="n">
        <v>30</v>
      </c>
      <c r="F62" s="35" t="n">
        <v>0</v>
      </c>
      <c r="G62" s="35" t="n">
        <v>0</v>
      </c>
      <c r="H62" s="35" t="n">
        <v>71.5</v>
      </c>
      <c r="I62" s="35" t="n">
        <v>0</v>
      </c>
      <c r="J62" s="35" t="n">
        <v>18</v>
      </c>
      <c r="K62" s="35" t="n">
        <v>56</v>
      </c>
      <c r="L62" s="35" t="n">
        <v>15</v>
      </c>
      <c r="M62" s="35" t="n">
        <v>20</v>
      </c>
      <c r="N62" s="36">
        <f>SUM(B62:M62)</f>
        <v/>
      </c>
      <c r="O62" s="37">
        <f>SUMIF('KIN TB'!$R:$R,'KIN P&amp;L'!$A62,'KIN TB'!C:C)</f>
        <v/>
      </c>
      <c r="P62" s="37">
        <f>SUMIF('KIN TB'!$R:$R,'KIN P&amp;L'!$A62,'KIN TB'!D:D)</f>
        <v/>
      </c>
      <c r="Q62" s="37">
        <f>SUMIF('KIN TB'!$R:$R,'KIN P&amp;L'!$A62,'KIN TB'!E:E)</f>
        <v/>
      </c>
      <c r="R62" s="37">
        <f>SUMIF('KIN TB'!$R:$R,'KIN P&amp;L'!$A62,'KIN TB'!F:F)</f>
        <v/>
      </c>
      <c r="S62" s="37">
        <f>SUMIF('KIN TB'!$R:$R,'KIN P&amp;L'!$A62,'KIN TB'!G:G)</f>
        <v/>
      </c>
      <c r="T62" s="37">
        <f>SUMIF('KIN TB'!$R:$R,'KIN P&amp;L'!$A62,'KIN TB'!H:H)</f>
        <v/>
      </c>
      <c r="U62" s="37">
        <f>SUMIF('KIN TB'!$R:$R,'KIN P&amp;L'!$A62,'KIN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SUMIF('KIN TB'!$R:$R,'KIN P&amp;L'!$A63,'KIN TB'!C:C)</f>
        <v/>
      </c>
      <c r="P63" s="37">
        <f>SUMIF('KIN TB'!$R:$R,'KIN P&amp;L'!$A63,'KIN TB'!D:D)</f>
        <v/>
      </c>
      <c r="Q63" s="37">
        <f>SUMIF('KIN TB'!$R:$R,'KIN P&amp;L'!$A63,'KIN TB'!E:E)</f>
        <v/>
      </c>
      <c r="R63" s="37">
        <f>SUMIF('KIN TB'!$R:$R,'KIN P&amp;L'!$A63,'KIN TB'!F:F)</f>
        <v/>
      </c>
      <c r="S63" s="37">
        <f>SUMIF('KIN TB'!$R:$R,'KIN P&amp;L'!$A63,'KIN TB'!G:G)</f>
        <v/>
      </c>
      <c r="T63" s="37">
        <f>SUMIF('KIN TB'!$R:$R,'KIN P&amp;L'!$A63,'KIN TB'!H:H)</f>
        <v/>
      </c>
      <c r="U63" s="37">
        <f>SUMIF('KIN TB'!$R:$R,'KIN P&amp;L'!$A63,'KIN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SUMIF('KIN TB'!$R:$R,'KIN P&amp;L'!$A64,'KIN TB'!C:C)</f>
        <v/>
      </c>
      <c r="P64" s="37">
        <f>SUMIF('KIN TB'!$R:$R,'KIN P&amp;L'!$A64,'KIN TB'!D:D)</f>
        <v/>
      </c>
      <c r="Q64" s="37">
        <f>SUMIF('KIN TB'!$R:$R,'KIN P&amp;L'!$A64,'KIN TB'!E:E)</f>
        <v/>
      </c>
      <c r="R64" s="37">
        <f>SUMIF('KIN TB'!$R:$R,'KIN P&amp;L'!$A64,'KIN TB'!F:F)</f>
        <v/>
      </c>
      <c r="S64" s="37">
        <f>SUMIF('KIN TB'!$R:$R,'KIN P&amp;L'!$A64,'KIN TB'!G:G)</f>
        <v/>
      </c>
      <c r="T64" s="37">
        <f>SUMIF('KIN TB'!$R:$R,'KIN P&amp;L'!$A64,'KIN TB'!H:H)</f>
        <v/>
      </c>
      <c r="U64" s="37">
        <f>SUMIF('KIN TB'!$R:$R,'KIN P&amp;L'!$A64,'KIN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SUMIF('KIN TB'!$R:$R,'KIN P&amp;L'!$A65,'KIN TB'!C:C)</f>
        <v/>
      </c>
      <c r="P65" s="37">
        <f>SUMIF('KIN TB'!$R:$R,'KIN P&amp;L'!$A65,'KIN TB'!D:D)</f>
        <v/>
      </c>
      <c r="Q65" s="37">
        <f>SUMIF('KIN TB'!$R:$R,'KIN P&amp;L'!$A65,'KIN TB'!E:E)</f>
        <v/>
      </c>
      <c r="R65" s="37">
        <f>SUMIF('KIN TB'!$R:$R,'KIN P&amp;L'!$A65,'KIN TB'!F:F)</f>
        <v/>
      </c>
      <c r="S65" s="37">
        <f>SUMIF('KIN TB'!$R:$R,'KIN P&amp;L'!$A65,'KIN TB'!G:G)</f>
        <v/>
      </c>
      <c r="T65" s="37">
        <f>SUMIF('KIN TB'!$R:$R,'KIN P&amp;L'!$A65,'KIN TB'!H:H)</f>
        <v/>
      </c>
      <c r="U65" s="37">
        <f>SUMIF('KIN TB'!$R:$R,'KIN P&amp;L'!$A65,'KIN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SUMIF('KIN TB'!$R:$R,'KIN P&amp;L'!$A66,'KIN TB'!C:C)</f>
        <v/>
      </c>
      <c r="P66" s="37">
        <f>SUMIF('KIN TB'!$R:$R,'KIN P&amp;L'!$A66,'KIN TB'!D:D)</f>
        <v/>
      </c>
      <c r="Q66" s="37">
        <f>SUMIF('KIN TB'!$R:$R,'KIN P&amp;L'!$A66,'KIN TB'!E:E)</f>
        <v/>
      </c>
      <c r="R66" s="37">
        <f>SUMIF('KIN TB'!$R:$R,'KIN P&amp;L'!$A66,'KIN TB'!F:F)</f>
        <v/>
      </c>
      <c r="S66" s="37">
        <f>SUMIF('KIN TB'!$R:$R,'KIN P&amp;L'!$A66,'KIN TB'!G:G)</f>
        <v/>
      </c>
      <c r="T66" s="37">
        <f>SUMIF('KIN TB'!$R:$R,'KIN P&amp;L'!$A66,'KIN TB'!H:H)</f>
        <v/>
      </c>
      <c r="U66" s="37">
        <f>SUMIF('KIN TB'!$R:$R,'KIN P&amp;L'!$A66,'KIN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SUMIF('KIN TB'!$R:$R,'KIN P&amp;L'!$A67,'KIN TB'!C:C)</f>
        <v/>
      </c>
      <c r="P67" s="37">
        <f>SUMIF('KIN TB'!$R:$R,'KIN P&amp;L'!$A67,'KIN TB'!D:D)</f>
        <v/>
      </c>
      <c r="Q67" s="37">
        <f>SUMIF('KIN TB'!$R:$R,'KIN P&amp;L'!$A67,'KIN TB'!E:E)</f>
        <v/>
      </c>
      <c r="R67" s="37">
        <f>SUMIF('KIN TB'!$R:$R,'KIN P&amp;L'!$A67,'KIN TB'!F:F)</f>
        <v/>
      </c>
      <c r="S67" s="37">
        <f>SUMIF('KIN TB'!$R:$R,'KIN P&amp;L'!$A67,'KIN TB'!G:G)</f>
        <v/>
      </c>
      <c r="T67" s="37">
        <f>SUMIF('KIN TB'!$R:$R,'KIN P&amp;L'!$A67,'KIN TB'!H:H)</f>
        <v/>
      </c>
      <c r="U67" s="37">
        <f>SUMIF('KIN TB'!$R:$R,'KIN P&amp;L'!$A67,'KIN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SUMIF('KIN TB'!$R:$R,'KIN P&amp;L'!$A68,'KIN TB'!C:C)</f>
        <v/>
      </c>
      <c r="P68" s="37">
        <f>SUMIF('KIN TB'!$R:$R,'KIN P&amp;L'!$A68,'KIN TB'!D:D)</f>
        <v/>
      </c>
      <c r="Q68" s="37">
        <f>SUMIF('KIN TB'!$R:$R,'KIN P&amp;L'!$A68,'KIN TB'!E:E)</f>
        <v/>
      </c>
      <c r="R68" s="37">
        <f>SUMIF('KIN TB'!$R:$R,'KIN P&amp;L'!$A68,'KIN TB'!F:F)</f>
        <v/>
      </c>
      <c r="S68" s="37">
        <f>SUMIF('KIN TB'!$R:$R,'KIN P&amp;L'!$A68,'KIN TB'!G:G)</f>
        <v/>
      </c>
      <c r="T68" s="37">
        <f>SUMIF('KIN TB'!$R:$R,'KIN P&amp;L'!$A68,'KIN TB'!H:H)</f>
        <v/>
      </c>
      <c r="U68" s="37">
        <f>SUMIF('KIN TB'!$R:$R,'KIN P&amp;L'!$A68,'KIN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203.18</v>
      </c>
      <c r="C69" s="42" t="n">
        <v>241.98</v>
      </c>
      <c r="D69" s="42" t="n">
        <v>208.23</v>
      </c>
      <c r="E69" s="42" t="n">
        <v>350.5699999999999</v>
      </c>
      <c r="F69" s="42" t="n">
        <v>250.81</v>
      </c>
      <c r="G69" s="42" t="n">
        <v>219.88</v>
      </c>
      <c r="H69" s="42" t="n">
        <v>323.27</v>
      </c>
      <c r="I69" s="42" t="n">
        <v>203.78</v>
      </c>
      <c r="J69" s="42" t="n">
        <v>221.78</v>
      </c>
      <c r="K69" s="42" t="n">
        <v>509.9</v>
      </c>
      <c r="L69" s="42" t="n">
        <v>566.17</v>
      </c>
      <c r="M69" s="42" t="n">
        <v>262.83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10220</v>
      </c>
      <c r="C70" s="55" t="n">
        <v>4517.960000000003</v>
      </c>
      <c r="D70" s="55" t="n">
        <v>9033.829999999998</v>
      </c>
      <c r="E70" s="55" t="n">
        <v>10176.95</v>
      </c>
      <c r="F70" s="55" t="n">
        <v>9535.199999999999</v>
      </c>
      <c r="G70" s="55" t="n">
        <v>11743.83</v>
      </c>
      <c r="H70" s="55" t="n">
        <v>28409.12999999999</v>
      </c>
      <c r="I70" s="55" t="n">
        <v>9241.359999999999</v>
      </c>
      <c r="J70" s="55" t="n">
        <v>3552.030000000001</v>
      </c>
      <c r="K70" s="55" t="n">
        <v>3852.62</v>
      </c>
      <c r="L70" s="55" t="n">
        <v>11543.65999999999</v>
      </c>
      <c r="M70" s="55" t="n">
        <v>20768.42999999999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40" t="n"/>
      <c r="AK72" s="40" t="n"/>
      <c r="AL72" s="40" t="n"/>
      <c r="AM72" s="40" t="n"/>
      <c r="AN72" s="40" t="n"/>
      <c r="AO72" s="40" t="n"/>
      <c r="AP72" s="40" t="n"/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8" t="n"/>
      <c r="AJ73" s="59" t="inlineStr">
        <is>
          <t>Model assumptions 2027:</t>
        </is>
      </c>
      <c r="AK73" s="8" t="n"/>
      <c r="AL73" s="8" t="n"/>
      <c r="AM73" s="8" t="n"/>
      <c r="AN73" s="40" t="n"/>
      <c r="AO73" s="40" t="n"/>
      <c r="AP73" s="40" t="n"/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40" t="n"/>
      <c r="AO74" s="40" t="n"/>
      <c r="AP74" s="40" t="n"/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40" t="n"/>
      <c r="AO75" s="40" t="n"/>
      <c r="AP75" s="40" t="n"/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40" t="n"/>
      <c r="AO76" s="40" t="n"/>
      <c r="AP76" s="40" t="n"/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40" t="n"/>
      <c r="AO77" s="40" t="n"/>
      <c r="AP77" s="40" t="n"/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10220</v>
      </c>
      <c r="C79" s="57" t="n">
        <v>4517.960000000003</v>
      </c>
      <c r="D79" s="57" t="n">
        <v>9033.829999999998</v>
      </c>
      <c r="E79" s="57" t="n">
        <v>10176.95</v>
      </c>
      <c r="F79" s="57" t="n">
        <v>9535.199999999999</v>
      </c>
      <c r="G79" s="57" t="n">
        <v>11743.83</v>
      </c>
      <c r="H79" s="57" t="n">
        <v>28409.12999999999</v>
      </c>
      <c r="I79" s="57" t="n">
        <v>9241.359999999999</v>
      </c>
      <c r="J79" s="57" t="n">
        <v>3552.030000000001</v>
      </c>
      <c r="K79" s="57" t="n">
        <v>3852.62</v>
      </c>
      <c r="L79" s="57" t="n">
        <v>11543.65999999999</v>
      </c>
      <c r="M79" s="57" t="n">
        <v>20768.42999999999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5">
        <f>U70+SUM(U73:U78)</f>
        <v/>
      </c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8" t="n"/>
      <c r="AJ79" s="56" t="n"/>
      <c r="AK79" s="56" t="n"/>
      <c r="AL79" s="56" t="n"/>
      <c r="AM79" s="56" t="n"/>
      <c r="AN79" s="56" t="n"/>
      <c r="AO79" s="56" t="n"/>
      <c r="AP79" s="56" t="n"/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29360.06</v>
      </c>
      <c r="C87" s="60" t="n">
        <v>26845.12</v>
      </c>
      <c r="D87" s="60" t="n">
        <v>30480.74</v>
      </c>
      <c r="E87" s="60" t="n">
        <v>34234.31</v>
      </c>
      <c r="F87" s="60" t="n">
        <v>31752.34</v>
      </c>
      <c r="G87" s="60" t="n">
        <v>33698.1</v>
      </c>
      <c r="H87" s="60" t="n">
        <v>50915.41</v>
      </c>
      <c r="I87" s="60" t="n">
        <v>31269.53</v>
      </c>
      <c r="J87" s="60" t="n">
        <v>26276.12</v>
      </c>
      <c r="K87" s="60" t="n">
        <v>26189.78</v>
      </c>
      <c r="L87" s="60" t="n">
        <v>34335.98</v>
      </c>
      <c r="M87" s="8" t="n"/>
      <c r="N87" s="8" t="n"/>
      <c r="O87" s="60">
        <f>-SUMIF('KIN TB'!$T:$T,'KIN P&amp;L'!$A87,'KIN TB'!C:C)</f>
        <v/>
      </c>
      <c r="P87" s="60">
        <f>-SUMIF('KIN TB'!$T:$T,'KIN P&amp;L'!$A87,'KIN TB'!D:D)</f>
        <v/>
      </c>
      <c r="Q87" s="60">
        <f>-SUMIF('KIN TB'!$T:$T,'KIN P&amp;L'!$A87,'KIN TB'!E:E)</f>
        <v/>
      </c>
      <c r="R87" s="60">
        <f>-SUMIF('KIN TB'!$T:$T,'KIN P&amp;L'!$A87,'KIN TB'!F:F)</f>
        <v/>
      </c>
      <c r="S87" s="60">
        <f>-SUMIF('KIN TB'!$T:$T,'KIN P&amp;L'!$A87,'KIN TB'!G:G)</f>
        <v/>
      </c>
      <c r="T87" s="60">
        <f>-SUMIF('KIN TB'!$T:$T,'KIN P&amp;L'!$A87,'KIN TB'!H:H)</f>
        <v/>
      </c>
      <c r="U87" s="60">
        <f>-SUMIF('KIN TB'!$T:$T,'KIN P&amp;L'!$A87,'KIN TB'!I:I)</f>
        <v/>
      </c>
      <c r="V87" s="60">
        <f>-SUMIF('KIN TB'!$T:$T,'KIN P&amp;L'!$A87,'KIN TB'!J:J)</f>
        <v/>
      </c>
      <c r="W87" s="60">
        <f>-SUMIF('KIN TB'!$T:$T,'KIN P&amp;L'!$A87,'KIN TB'!K:K)</f>
        <v/>
      </c>
      <c r="X87" s="60">
        <f>-SUMIF('KIN TB'!$T:$T,'KIN P&amp;L'!$A87,'KIN TB'!L:L)</f>
        <v/>
      </c>
      <c r="Y87" s="60">
        <f>-SUMIF('KIN TB'!$T:$T,'KIN P&amp;L'!$A87,'KIN TB'!M:M)</f>
        <v/>
      </c>
      <c r="Z87" s="60">
        <f>-SUMIF('KIN TB'!$T:$T,'KIN P&amp;L'!$A87,'KIN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34" t="inlineStr">
        <is>
          <t>Direct - Staff Cost</t>
        </is>
      </c>
      <c r="B88" s="18" t="n">
        <v>-15025</v>
      </c>
      <c r="C88" s="18" t="n">
        <v>-18401.96</v>
      </c>
      <c r="D88" s="18" t="n">
        <v>-17627.45</v>
      </c>
      <c r="E88" s="18" t="n">
        <v>-17739.83</v>
      </c>
      <c r="F88" s="18" t="n">
        <v>-18243.97</v>
      </c>
      <c r="G88" s="18" t="n">
        <v>-18525.75</v>
      </c>
      <c r="H88" s="18" t="n">
        <v>-18796.84</v>
      </c>
      <c r="I88" s="18" t="n">
        <v>-17181.26</v>
      </c>
      <c r="J88" s="18" t="n">
        <v>-19335.26</v>
      </c>
      <c r="K88" s="18" t="n">
        <v>-18532.98</v>
      </c>
      <c r="L88" s="18" t="n">
        <v>-18943.47</v>
      </c>
      <c r="M88" s="18" t="n"/>
      <c r="N88" s="8" t="n"/>
      <c r="O88" s="60">
        <f>-SUMIF('KIN TB'!$T:$T,'KIN P&amp;L'!$A88,'KIN TB'!C:C)</f>
        <v/>
      </c>
      <c r="P88" s="60">
        <f>-SUMIF('KIN TB'!$T:$T,'KIN P&amp;L'!$A88,'KIN TB'!D:D)</f>
        <v/>
      </c>
      <c r="Q88" s="60">
        <f>-SUMIF('KIN TB'!$T:$T,'KIN P&amp;L'!$A88,'KIN TB'!E:E)</f>
        <v/>
      </c>
      <c r="R88" s="60">
        <f>-SUMIF('KIN TB'!$T:$T,'KIN P&amp;L'!$A88,'KIN TB'!F:F)</f>
        <v/>
      </c>
      <c r="S88" s="60">
        <f>-SUMIF('KIN TB'!$T:$T,'KIN P&amp;L'!$A88,'KIN TB'!G:G)</f>
        <v/>
      </c>
      <c r="T88" s="60">
        <f>-SUMIF('KIN TB'!$T:$T,'KIN P&amp;L'!$A88,'KIN TB'!H:H)</f>
        <v/>
      </c>
      <c r="U88" s="60">
        <f>-SUMIF('KIN TB'!$T:$T,'KIN P&amp;L'!$A88,'KIN TB'!I:I)</f>
        <v/>
      </c>
      <c r="V88" s="60">
        <f>-SUMIF('KIN TB'!$T:$T,'KIN P&amp;L'!$A88,'KIN TB'!J:J)</f>
        <v/>
      </c>
      <c r="W88" s="60">
        <f>-SUMIF('KIN TB'!$T:$T,'KIN P&amp;L'!$A88,'KIN TB'!K:K)</f>
        <v/>
      </c>
      <c r="X88" s="60">
        <f>-SUMIF('KIN TB'!$T:$T,'KIN P&amp;L'!$A88,'KIN TB'!L:L)</f>
        <v/>
      </c>
      <c r="Y88" s="60">
        <f>-SUMIF('KIN TB'!$T:$T,'KIN P&amp;L'!$A88,'KIN TB'!M:M)</f>
        <v/>
      </c>
      <c r="Z88" s="60">
        <f>-SUMIF('KIN TB'!$T:$T,'KIN P&amp;L'!$A88,'KIN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60" t="inlineStr">
        <is>
          <t>Direct - Childcare Cost</t>
        </is>
      </c>
      <c r="B89" s="18" t="n">
        <v>-1273.06</v>
      </c>
      <c r="C89" s="18" t="n">
        <v>-1490.78</v>
      </c>
      <c r="D89" s="18" t="n">
        <v>-1227.87</v>
      </c>
      <c r="E89" s="18" t="n">
        <v>-1153.92</v>
      </c>
      <c r="F89" s="18" t="n">
        <v>-1860.34</v>
      </c>
      <c r="G89" s="18" t="n">
        <v>-1371.25</v>
      </c>
      <c r="H89" s="18" t="n">
        <v>-1431.26</v>
      </c>
      <c r="I89" s="18" t="n">
        <v>-2059.24</v>
      </c>
      <c r="J89" s="18" t="n">
        <v>-1193.14</v>
      </c>
      <c r="K89" s="18" t="n">
        <v>-1435.24</v>
      </c>
      <c r="L89" s="18" t="n">
        <v>-1202.64</v>
      </c>
      <c r="M89" s="18" t="n">
        <v>-1166.11</v>
      </c>
      <c r="N89" s="8" t="n"/>
      <c r="O89" s="60">
        <f>-SUMIF('KIN TB'!$T:$T,'KIN P&amp;L'!$A89,'KIN TB'!C:C)</f>
        <v/>
      </c>
      <c r="P89" s="60">
        <f>-SUMIF('KIN TB'!$T:$T,'KIN P&amp;L'!$A89,'KIN TB'!D:D)</f>
        <v/>
      </c>
      <c r="Q89" s="60">
        <f>-SUMIF('KIN TB'!$T:$T,'KIN P&amp;L'!$A89,'KIN TB'!E:E)</f>
        <v/>
      </c>
      <c r="R89" s="60">
        <f>-SUMIF('KIN TB'!$T:$T,'KIN P&amp;L'!$A89,'KIN TB'!F:F)</f>
        <v/>
      </c>
      <c r="S89" s="60">
        <f>-SUMIF('KIN TB'!$T:$T,'KIN P&amp;L'!$A89,'KIN TB'!G:G)</f>
        <v/>
      </c>
      <c r="T89" s="60">
        <f>-SUMIF('KIN TB'!$T:$T,'KIN P&amp;L'!$A89,'KIN TB'!H:H)</f>
        <v/>
      </c>
      <c r="U89" s="60">
        <f>-SUMIF('KIN TB'!$T:$T,'KIN P&amp;L'!$A89,'KIN TB'!I:I)</f>
        <v/>
      </c>
      <c r="V89" s="60">
        <f>-SUMIF('KIN TB'!$T:$T,'KIN P&amp;L'!$A89,'KIN TB'!J:J)</f>
        <v/>
      </c>
      <c r="W89" s="60">
        <f>-SUMIF('KIN TB'!$T:$T,'KIN P&amp;L'!$A89,'KIN TB'!K:K)</f>
        <v/>
      </c>
      <c r="X89" s="60">
        <f>-SUMIF('KIN TB'!$T:$T,'KIN P&amp;L'!$A89,'KIN TB'!L:L)</f>
        <v/>
      </c>
      <c r="Y89" s="60">
        <f>-SUMIF('KIN TB'!$T:$T,'KIN P&amp;L'!$A89,'KIN TB'!M:M)</f>
        <v/>
      </c>
      <c r="Z89" s="60">
        <f>-SUMIF('KIN TB'!$T:$T,'KIN P&amp;L'!$A89,'KIN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60" t="inlineStr">
        <is>
          <t>Direct - Premises &amp; Admin</t>
        </is>
      </c>
      <c r="B90" s="18" t="n">
        <v>-2638.82</v>
      </c>
      <c r="C90" s="18" t="n">
        <v>-2192.44</v>
      </c>
      <c r="D90" s="18" t="n">
        <v>-2383.36</v>
      </c>
      <c r="E90" s="18" t="n">
        <v>-4813.04</v>
      </c>
      <c r="F90" s="18" t="n">
        <v>-1862.02</v>
      </c>
      <c r="G90" s="18" t="n">
        <v>-1837.39</v>
      </c>
      <c r="H90" s="18" t="n">
        <v>-1954.91</v>
      </c>
      <c r="I90" s="18" t="n">
        <v>-2583.89</v>
      </c>
      <c r="J90" s="18" t="n">
        <v>-1973.91</v>
      </c>
      <c r="K90" s="18" t="n">
        <v>-1859.04</v>
      </c>
      <c r="L90" s="18" t="n">
        <v>-2080.04</v>
      </c>
      <c r="M90" s="18" t="n">
        <v>-2007.45</v>
      </c>
      <c r="N90" s="8" t="n"/>
      <c r="O90" s="60">
        <f>-SUMIF('KIN TB'!$T:$T,'KIN P&amp;L'!$A90,'KIN TB'!C:C)</f>
        <v/>
      </c>
      <c r="P90" s="60">
        <f>-SUMIF('KIN TB'!$T:$T,'KIN P&amp;L'!$A90,'KIN TB'!D:D)</f>
        <v/>
      </c>
      <c r="Q90" s="60">
        <f>-SUMIF('KIN TB'!$T:$T,'KIN P&amp;L'!$A90,'KIN TB'!E:E)</f>
        <v/>
      </c>
      <c r="R90" s="60">
        <f>-SUMIF('KIN TB'!$T:$T,'KIN P&amp;L'!$A90,'KIN TB'!F:F)</f>
        <v/>
      </c>
      <c r="S90" s="60">
        <f>-SUMIF('KIN TB'!$T:$T,'KIN P&amp;L'!$A90,'KIN TB'!G:G)</f>
        <v/>
      </c>
      <c r="T90" s="60">
        <f>-SUMIF('KIN TB'!$T:$T,'KIN P&amp;L'!$A90,'KIN TB'!H:H)</f>
        <v/>
      </c>
      <c r="U90" s="60">
        <f>-SUMIF('KIN TB'!$T:$T,'KIN P&amp;L'!$A90,'KIN TB'!I:I)</f>
        <v/>
      </c>
      <c r="V90" s="60">
        <f>-SUMIF('KIN TB'!$T:$T,'KIN P&amp;L'!$A90,'KIN TB'!J:J)</f>
        <v/>
      </c>
      <c r="W90" s="60">
        <f>-SUMIF('KIN TB'!$T:$T,'KIN P&amp;L'!$A90,'KIN TB'!K:K)</f>
        <v/>
      </c>
      <c r="X90" s="60">
        <f>-SUMIF('KIN TB'!$T:$T,'KIN P&amp;L'!$A90,'KIN TB'!L:L)</f>
        <v/>
      </c>
      <c r="Y90" s="60">
        <f>-SUMIF('KIN TB'!$T:$T,'KIN P&amp;L'!$A90,'KIN TB'!M:M)</f>
        <v/>
      </c>
      <c r="Z90" s="60">
        <f>-SUMIF('KIN TB'!$T:$T,'KIN P&amp;L'!$A90,'KIN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-SUMIF('KIN TB'!$T:$T,'KIN P&amp;L'!$A91,'KIN TB'!C:C)</f>
        <v/>
      </c>
      <c r="P91" s="60">
        <f>-SUMIF('KIN TB'!$T:$T,'KIN P&amp;L'!$A91,'KIN TB'!D:D)</f>
        <v/>
      </c>
      <c r="Q91" s="60">
        <f>-SUMIF('KIN TB'!$T:$T,'KIN P&amp;L'!$A91,'KIN TB'!E:E)</f>
        <v/>
      </c>
      <c r="R91" s="60">
        <f>-SUMIF('KIN TB'!$T:$T,'KIN P&amp;L'!$A91,'KIN TB'!F:F)</f>
        <v/>
      </c>
      <c r="S91" s="60">
        <f>-SUMIF('KIN TB'!$T:$T,'KIN P&amp;L'!$A91,'KIN TB'!G:G)</f>
        <v/>
      </c>
      <c r="T91" s="60">
        <f>-SUMIF('KIN TB'!$T:$T,'KIN P&amp;L'!$A91,'KIN TB'!H:H)</f>
        <v/>
      </c>
      <c r="U91" s="60">
        <f>-SUMIF('KIN TB'!$T:$T,'KIN P&amp;L'!$A91,'KIN TB'!I:I)</f>
        <v/>
      </c>
      <c r="V91" s="60">
        <f>-SUMIF('KIN TB'!$T:$T,'KIN P&amp;L'!$A91,'KIN TB'!J:J)</f>
        <v/>
      </c>
      <c r="W91" s="60">
        <f>-SUMIF('KIN TB'!$T:$T,'KIN P&amp;L'!$A91,'KIN TB'!K:K)</f>
        <v/>
      </c>
      <c r="X91" s="60">
        <f>-SUMIF('KIN TB'!$T:$T,'KIN P&amp;L'!$A91,'KIN TB'!L:L)</f>
        <v/>
      </c>
      <c r="Y91" s="60">
        <f>-SUMIF('KIN TB'!$T:$T,'KIN P&amp;L'!$A91,'KIN TB'!M:M)</f>
        <v/>
      </c>
      <c r="Z91" s="60">
        <f>-SUMIF('KIN TB'!$T:$T,'KIN P&amp;L'!$A91,'KIN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60" t="inlineStr">
        <is>
          <t>In-Direct - Overheads</t>
        </is>
      </c>
      <c r="B92" s="18" t="n">
        <v>-203.18</v>
      </c>
      <c r="C92" s="18" t="n">
        <v>-241.98</v>
      </c>
      <c r="D92" s="18" t="n">
        <v>-208.23</v>
      </c>
      <c r="E92" s="18" t="n">
        <v>-350.5699999999999</v>
      </c>
      <c r="F92" s="18" t="n">
        <v>-250.81</v>
      </c>
      <c r="G92" s="18" t="n">
        <v>-219.88</v>
      </c>
      <c r="H92" s="18" t="n">
        <v>-323.27</v>
      </c>
      <c r="I92" s="18" t="n">
        <v>-203.78</v>
      </c>
      <c r="J92" s="18" t="n">
        <v>-221.78</v>
      </c>
      <c r="K92" s="18" t="n">
        <v>-509.9</v>
      </c>
      <c r="L92" s="18" t="n">
        <v>-566.17</v>
      </c>
      <c r="M92" s="18" t="n">
        <v>-262.83</v>
      </c>
      <c r="N92" s="8" t="n"/>
      <c r="O92" s="60">
        <f>-SUMIF('KIN TB'!$T:$T,'KIN P&amp;L'!$A92,'KIN TB'!C:C)</f>
        <v/>
      </c>
      <c r="P92" s="60">
        <f>-SUMIF('KIN TB'!$T:$T,'KIN P&amp;L'!$A92,'KIN TB'!D:D)</f>
        <v/>
      </c>
      <c r="Q92" s="60">
        <f>-SUMIF('KIN TB'!$T:$T,'KIN P&amp;L'!$A92,'KIN TB'!E:E)</f>
        <v/>
      </c>
      <c r="R92" s="60">
        <f>-SUMIF('KIN TB'!$T:$T,'KIN P&amp;L'!$A92,'KIN TB'!F:F)</f>
        <v/>
      </c>
      <c r="S92" s="60">
        <f>-SUMIF('KIN TB'!$T:$T,'KIN P&amp;L'!$A92,'KIN TB'!G:G)</f>
        <v/>
      </c>
      <c r="T92" s="60">
        <f>-SUMIF('KIN TB'!$T:$T,'KIN P&amp;L'!$A92,'KIN TB'!H:H)</f>
        <v/>
      </c>
      <c r="U92" s="60">
        <f>-SUMIF('KIN TB'!$T:$T,'KIN P&amp;L'!$A92,'KIN TB'!I:I)</f>
        <v/>
      </c>
      <c r="V92" s="60">
        <f>-SUMIF('KIN TB'!$T:$T,'KIN P&amp;L'!$A92,'KIN TB'!J:J)</f>
        <v/>
      </c>
      <c r="W92" s="60">
        <f>-SUMIF('KIN TB'!$T:$T,'KIN P&amp;L'!$A92,'KIN TB'!K:K)</f>
        <v/>
      </c>
      <c r="X92" s="60">
        <f>-SUMIF('KIN TB'!$T:$T,'KIN P&amp;L'!$A92,'KIN TB'!L:L)</f>
        <v/>
      </c>
      <c r="Y92" s="60">
        <f>-SUMIF('KIN TB'!$T:$T,'KIN P&amp;L'!$A92,'KIN TB'!M:M)</f>
        <v/>
      </c>
      <c r="Z92" s="60">
        <f>-SUMIF('KIN TB'!$T:$T,'KIN P&amp;L'!$A92,'KIN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 ht="15.75" customHeight="1">
      <c r="A93" s="8" t="n"/>
      <c r="B93" s="67" t="n">
        <v>10220</v>
      </c>
      <c r="C93" s="67" t="n">
        <v>4517.960000000005</v>
      </c>
      <c r="D93" s="67" t="n">
        <v>9033.829999999998</v>
      </c>
      <c r="E93" s="67" t="n">
        <v>10176.95</v>
      </c>
      <c r="F93" s="67" t="n">
        <v>9535.199999999999</v>
      </c>
      <c r="G93" s="67" t="n">
        <v>11743.83</v>
      </c>
      <c r="H93" s="67" t="n">
        <v>28409.12999999999</v>
      </c>
      <c r="I93" s="67" t="n">
        <v>9241.360000000001</v>
      </c>
      <c r="J93" s="67" t="n">
        <v>3552.03</v>
      </c>
      <c r="K93" s="67" t="n">
        <v>3852.620000000003</v>
      </c>
      <c r="L93" s="67" t="n">
        <v>11543.65999999999</v>
      </c>
      <c r="M93" s="67" t="n">
        <v>-3436.39</v>
      </c>
      <c r="N93" s="8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8" t="n"/>
      <c r="AB93" s="8" t="n"/>
      <c r="AC93" s="64" t="n"/>
      <c r="AD93" s="64" t="n"/>
      <c r="AE93" s="64" t="n"/>
      <c r="AF93" s="64" t="n"/>
      <c r="AG93" s="64" t="n"/>
      <c r="AH93" s="64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 ht="15.75" customHeight="1">
      <c r="A94" s="8" t="n"/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0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0</v>
      </c>
      <c r="L94" s="18" t="n">
        <v>0</v>
      </c>
      <c r="M94" s="18" t="n">
        <v>24204.81999999999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0</v>
      </c>
      <c r="G96" s="18" t="n">
        <v>0</v>
      </c>
      <c r="H96" s="18" t="n">
        <v>0</v>
      </c>
      <c r="I96" s="18" t="n">
        <v>0</v>
      </c>
      <c r="J96" s="18" t="n">
        <v>0</v>
      </c>
      <c r="K96" s="18" t="n">
        <v>5.456968210637569e-12</v>
      </c>
      <c r="L96" s="18" t="n">
        <v>0</v>
      </c>
      <c r="M96" s="18" t="n">
        <v>-24204.82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>
        <v>-10220</v>
      </c>
      <c r="C97" s="18" t="n">
        <v>-4517.960000000005</v>
      </c>
      <c r="D97" s="18" t="n">
        <v>-9033.83</v>
      </c>
      <c r="E97" s="18" t="n">
        <v>-10176.95</v>
      </c>
      <c r="F97" s="18" t="n">
        <v>-9535.200000000003</v>
      </c>
      <c r="G97" s="18" t="n">
        <v>-11743.83</v>
      </c>
      <c r="H97" s="18" t="n">
        <v>-28409.12999999999</v>
      </c>
      <c r="I97" s="18" t="n">
        <v>-9241.360000000002</v>
      </c>
      <c r="J97" s="18" t="n">
        <v>-3552.030000000003</v>
      </c>
      <c r="K97" s="18" t="n">
        <v>-3852.619999999998</v>
      </c>
      <c r="L97" s="18" t="n">
        <v>-11543.66</v>
      </c>
      <c r="M97" s="18" t="n">
        <v>-20768.43</v>
      </c>
      <c r="N97" s="8" t="n"/>
      <c r="O97" s="60">
        <f>SUM('KIN TB'!C2:C42)</f>
        <v/>
      </c>
      <c r="P97" s="60">
        <f>SUM('KIN TB'!D2:D42)</f>
        <v/>
      </c>
      <c r="Q97" s="60">
        <f>SUM('KIN TB'!E2:E42)</f>
        <v/>
      </c>
      <c r="R97" s="60">
        <f>SUM('KIN TB'!F2:F42)</f>
        <v/>
      </c>
      <c r="S97" s="60">
        <f>SUM('KIN TB'!G2:G42)</f>
        <v/>
      </c>
      <c r="T97" s="60">
        <f>SUM('KIN TB'!H2:H42)</f>
        <v/>
      </c>
      <c r="U97" s="60">
        <f>SUM('KIN TB'!I2:I42)</f>
        <v/>
      </c>
      <c r="V97" s="60">
        <f>SUM('KIN TB'!J2:J42)</f>
        <v/>
      </c>
      <c r="W97" s="60">
        <f>SUM('KIN TB'!K2:K42)</f>
        <v/>
      </c>
      <c r="X97" s="60">
        <f>SUM('KIN TB'!L2:L42)</f>
        <v/>
      </c>
      <c r="Y97" s="60">
        <f>SUM('KIN TB'!M2:M42)</f>
        <v/>
      </c>
      <c r="Z97" s="60">
        <f>SUM('KIN TB'!N2:N42)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Lower Earley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30963.16</v>
      </c>
      <c r="C8" s="35" t="n">
        <v>27021.59</v>
      </c>
      <c r="D8" s="35" t="n">
        <v>29812.55</v>
      </c>
      <c r="E8" s="35" t="n">
        <v>31949.87</v>
      </c>
      <c r="F8" s="35" t="n">
        <v>31063.91</v>
      </c>
      <c r="G8" s="35" t="n">
        <v>30350.6</v>
      </c>
      <c r="H8" s="35" t="n">
        <v>34021.42999999999</v>
      </c>
      <c r="I8" s="35" t="n">
        <v>29196.77</v>
      </c>
      <c r="J8" s="35" t="n">
        <v>21455.14</v>
      </c>
      <c r="K8" s="35" t="n">
        <v>24315.15</v>
      </c>
      <c r="L8" s="35" t="n">
        <v>18923.36</v>
      </c>
      <c r="M8" s="35" t="n">
        <v>19499.29</v>
      </c>
      <c r="N8" s="36">
        <f>SUM(B8:M8)</f>
        <v/>
      </c>
      <c r="O8" s="37">
        <f>-SUMIF('YBHN LE TB'!$R:$R,'LE P&amp;L'!$A8,'YBHN LE TB'!C:C)</f>
        <v/>
      </c>
      <c r="P8" s="37">
        <f>-SUMIF('YBHN LE TB'!$R:$R,'LE P&amp;L'!$A8,'YBHN LE TB'!D:D)</f>
        <v/>
      </c>
      <c r="Q8" s="37">
        <f>-SUMIF('YBHN LE TB'!$R:$R,'LE P&amp;L'!$A8,'YBHN LE TB'!E:E)</f>
        <v/>
      </c>
      <c r="R8" s="37">
        <f>-SUMIF('YBHN LE TB'!$R:$R,'LE P&amp;L'!$A8,'YBHN LE TB'!F:F)</f>
        <v/>
      </c>
      <c r="S8" s="37">
        <f>-SUMIF('YBHN LE TB'!$R:$R,'LE P&amp;L'!$A8,'YBHN LE TB'!G:G)</f>
        <v/>
      </c>
      <c r="T8" s="37">
        <f>-SUMIF('YBHN LE TB'!$R:$R,'LE P&amp;L'!$A8,'YBHN LE TB'!H:H)</f>
        <v/>
      </c>
      <c r="U8" s="37">
        <f>-SUMIF('YBHN LE TB'!$R:$R,'LE P&amp;L'!$A8,'YBHN LE TB'!I:I)</f>
        <v/>
      </c>
      <c r="V8" s="38" t="n">
        <v>22379</v>
      </c>
      <c r="W8" s="38" t="n">
        <v>11682</v>
      </c>
      <c r="X8" s="38" t="n">
        <v>15125</v>
      </c>
      <c r="Y8" s="38" t="n">
        <v>13992</v>
      </c>
      <c r="Z8" s="38" t="n">
        <v>17567</v>
      </c>
      <c r="AA8" s="36">
        <f>SUM(O8:U8)</f>
        <v/>
      </c>
      <c r="AB8" s="36">
        <f>SUM(O8:Z8)</f>
        <v/>
      </c>
      <c r="AC8" s="38" t="n">
        <v>27908.68</v>
      </c>
      <c r="AD8" s="38" t="n">
        <v>30111.53</v>
      </c>
      <c r="AE8" s="38" t="n">
        <v>36903.62</v>
      </c>
      <c r="AF8" s="38" t="n">
        <v>34701.33</v>
      </c>
      <c r="AG8" s="38" t="n">
        <v>32867.54</v>
      </c>
      <c r="AH8" s="38" t="n">
        <v>36606.08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11065.6</v>
      </c>
      <c r="C9" s="35" t="n">
        <v>11065.6</v>
      </c>
      <c r="D9" s="35" t="n">
        <v>14478.45</v>
      </c>
      <c r="E9" s="35" t="n">
        <v>8307.689999999999</v>
      </c>
      <c r="F9" s="35" t="n">
        <v>8307.689999999999</v>
      </c>
      <c r="G9" s="35" t="n">
        <v>8307.690000000001</v>
      </c>
      <c r="H9" s="35" t="n">
        <v>22440.35</v>
      </c>
      <c r="I9" s="35" t="n">
        <v>0</v>
      </c>
      <c r="J9" s="35" t="n">
        <v>7068.51</v>
      </c>
      <c r="K9" s="35" t="n">
        <v>7068.51</v>
      </c>
      <c r="L9" s="35" t="n">
        <v>17784.49</v>
      </c>
      <c r="M9" s="35" t="n">
        <v>17975.48</v>
      </c>
      <c r="N9" s="36">
        <f>SUM(B9:M9)</f>
        <v/>
      </c>
      <c r="O9" s="37">
        <f>-SUMIF('YBHN LE TB'!$R:$R,'LE P&amp;L'!$A9,'YBHN LE TB'!C:C)</f>
        <v/>
      </c>
      <c r="P9" s="37">
        <f>-SUMIF('YBHN LE TB'!$R:$R,'LE P&amp;L'!$A9,'YBHN LE TB'!D:D)</f>
        <v/>
      </c>
      <c r="Q9" s="37">
        <f>-SUMIF('YBHN LE TB'!$R:$R,'LE P&amp;L'!$A9,'YBHN LE TB'!E:E)</f>
        <v/>
      </c>
      <c r="R9" s="37">
        <f>-SUMIF('YBHN LE TB'!$R:$R,'LE P&amp;L'!$A9,'YBHN LE TB'!F:F)</f>
        <v/>
      </c>
      <c r="S9" s="37">
        <f>-SUMIF('YBHN LE TB'!$R:$R,'LE P&amp;L'!$A9,'YBHN LE TB'!G:G)</f>
        <v/>
      </c>
      <c r="T9" s="37">
        <f>-SUMIF('YBHN LE TB'!$R:$R,'LE P&amp;L'!$A9,'YBHN LE TB'!H:H)</f>
        <v/>
      </c>
      <c r="U9" s="37">
        <f>-SUMIF('YBHN LE TB'!$R:$R,'LE P&amp;L'!$A9,'YBHN LE TB'!I:I)</f>
        <v/>
      </c>
      <c r="V9" s="38" t="n"/>
      <c r="W9" s="38" t="n">
        <v>11266</v>
      </c>
      <c r="X9" s="38" t="n">
        <v>11310</v>
      </c>
      <c r="Y9" s="38" t="n">
        <v>13077</v>
      </c>
      <c r="Z9" s="38" t="n">
        <v>9495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2075.37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-SUMIF('YBHN LE TB'!$R:$R,'LE P&amp;L'!$A10,'YBHN LE TB'!C:C)</f>
        <v/>
      </c>
      <c r="P10" s="37">
        <f>-SUMIF('YBHN LE TB'!$R:$R,'LE P&amp;L'!$A10,'YBHN LE TB'!D:D)</f>
        <v/>
      </c>
      <c r="Q10" s="37">
        <f>-SUMIF('YBHN LE TB'!$R:$R,'LE P&amp;L'!$A10,'YBHN LE TB'!E:E)</f>
        <v/>
      </c>
      <c r="R10" s="37">
        <f>-SUMIF('YBHN LE TB'!$R:$R,'LE P&amp;L'!$A10,'YBHN LE TB'!F:F)</f>
        <v/>
      </c>
      <c r="S10" s="37">
        <f>-SUMIF('YBHN LE TB'!$R:$R,'LE P&amp;L'!$A10,'YBHN LE TB'!G:G)</f>
        <v/>
      </c>
      <c r="T10" s="37">
        <f>-SUMIF('YBHN LE TB'!$R:$R,'LE P&amp;L'!$A10,'YBHN LE TB'!H:H)</f>
        <v/>
      </c>
      <c r="U10" s="37">
        <f>-SUMIF('YBHN LE TB'!$R:$R,'LE P&amp;L'!$A10,'YBHN LE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42028.76</v>
      </c>
      <c r="C11" s="42" t="n">
        <v>38087.19</v>
      </c>
      <c r="D11" s="42" t="n">
        <v>44291</v>
      </c>
      <c r="E11" s="42" t="n">
        <v>40257.56</v>
      </c>
      <c r="F11" s="42" t="n">
        <v>39371.6</v>
      </c>
      <c r="G11" s="42" t="n">
        <v>38658.29</v>
      </c>
      <c r="H11" s="42" t="n">
        <v>56461.77999999999</v>
      </c>
      <c r="I11" s="42" t="n">
        <v>31272.14</v>
      </c>
      <c r="J11" s="42" t="n">
        <v>28523.65</v>
      </c>
      <c r="K11" s="42" t="n">
        <v>31383.66</v>
      </c>
      <c r="L11" s="42" t="n">
        <v>36707.85000000001</v>
      </c>
      <c r="M11" s="42" t="n">
        <v>37474.77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20563.42</v>
      </c>
      <c r="C16" s="35" t="n">
        <v>20213.37</v>
      </c>
      <c r="D16" s="35" t="n">
        <v>21470.65</v>
      </c>
      <c r="E16" s="35" t="n">
        <v>24892.98</v>
      </c>
      <c r="F16" s="35" t="n">
        <v>23314.35</v>
      </c>
      <c r="G16" s="35" t="n">
        <v>22997.77</v>
      </c>
      <c r="H16" s="35" t="n">
        <v>23503.46</v>
      </c>
      <c r="I16" s="35" t="n">
        <v>18431.22</v>
      </c>
      <c r="J16" s="35" t="n">
        <v>18936.09</v>
      </c>
      <c r="K16" s="35" t="n">
        <v>19115.71</v>
      </c>
      <c r="L16" s="35" t="n">
        <v>19409.15</v>
      </c>
      <c r="M16" s="35" t="n">
        <v>19644.59</v>
      </c>
      <c r="N16" s="36">
        <f>SUM(B16:M16)</f>
        <v/>
      </c>
      <c r="O16" s="37">
        <f>SUMIF('YBHN LE TB'!$R:$R,'LE P&amp;L'!$A16,'YBHN LE TB'!C:C)</f>
        <v/>
      </c>
      <c r="P16" s="37">
        <f>SUMIF('YBHN LE TB'!$R:$R,'LE P&amp;L'!$A16,'YBHN LE TB'!D:D)</f>
        <v/>
      </c>
      <c r="Q16" s="37">
        <f>SUMIF('YBHN LE TB'!$R:$R,'LE P&amp;L'!$A16,'YBHN LE TB'!E:E)</f>
        <v/>
      </c>
      <c r="R16" s="37">
        <f>SUMIF('YBHN LE TB'!$R:$R,'LE P&amp;L'!$A16,'YBHN LE TB'!F:F)</f>
        <v/>
      </c>
      <c r="S16" s="37">
        <f>SUMIF('YBHN LE TB'!$R:$R,'LE P&amp;L'!$A16,'YBHN LE TB'!G:G)</f>
        <v/>
      </c>
      <c r="T16" s="37">
        <f>SUMIF('YBHN LE TB'!$R:$R,'LE P&amp;L'!$A16,'YBHN LE TB'!H:H)</f>
        <v/>
      </c>
      <c r="U16" s="37">
        <f>SUMIF('YBHN LE TB'!$R:$R,'LE P&amp;L'!$A16,'YBHN LE TB'!I:I)</f>
        <v/>
      </c>
      <c r="V16" s="38" t="n">
        <v>24326</v>
      </c>
      <c r="W16" s="38" t="n">
        <v>24326</v>
      </c>
      <c r="X16" s="38" t="n">
        <v>24326</v>
      </c>
      <c r="Y16" s="38" t="n">
        <v>24326</v>
      </c>
      <c r="Z16" s="38" t="n">
        <v>24326</v>
      </c>
      <c r="AA16" s="36">
        <f>SUM(O16:U16)</f>
        <v/>
      </c>
      <c r="AB16" s="36">
        <f>SUM(O16:Z16)</f>
        <v/>
      </c>
      <c r="AC16" s="38" t="n">
        <v>24326</v>
      </c>
      <c r="AD16" s="38" t="n">
        <v>24326</v>
      </c>
      <c r="AE16" s="38" t="n">
        <v>24326</v>
      </c>
      <c r="AF16" s="38" t="n">
        <v>24326</v>
      </c>
      <c r="AG16" s="38" t="n">
        <v>24326</v>
      </c>
      <c r="AH16" s="38" t="n">
        <v>24326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1779.03</v>
      </c>
      <c r="C17" s="35" t="n">
        <v>1715.81</v>
      </c>
      <c r="D17" s="35" t="n">
        <v>1827.23</v>
      </c>
      <c r="E17" s="35" t="n">
        <v>2853.52</v>
      </c>
      <c r="F17" s="35" t="n">
        <v>2716.71</v>
      </c>
      <c r="G17" s="35" t="n">
        <v>2671.16</v>
      </c>
      <c r="H17" s="35" t="n">
        <v>2750.72</v>
      </c>
      <c r="I17" s="35" t="n">
        <v>2020.55</v>
      </c>
      <c r="J17" s="35" t="n">
        <v>2022.69</v>
      </c>
      <c r="K17" s="35" t="n">
        <v>2177.05</v>
      </c>
      <c r="L17" s="35" t="n">
        <v>2121.95</v>
      </c>
      <c r="M17" s="35" t="n">
        <v>2160.08</v>
      </c>
      <c r="N17" s="36">
        <f>SUM(B17:M17)</f>
        <v/>
      </c>
      <c r="O17" s="37">
        <f>SUMIF('YBHN LE TB'!$R:$R,'LE P&amp;L'!$A17,'YBHN LE TB'!C:C)</f>
        <v/>
      </c>
      <c r="P17" s="37">
        <f>SUMIF('YBHN LE TB'!$R:$R,'LE P&amp;L'!$A17,'YBHN LE TB'!D:D)</f>
        <v/>
      </c>
      <c r="Q17" s="37">
        <f>SUMIF('YBHN LE TB'!$R:$R,'LE P&amp;L'!$A17,'YBHN LE TB'!E:E)</f>
        <v/>
      </c>
      <c r="R17" s="37">
        <f>SUMIF('YBHN LE TB'!$R:$R,'LE P&amp;L'!$A17,'YBHN LE TB'!F:F)</f>
        <v/>
      </c>
      <c r="S17" s="37">
        <f>SUMIF('YBHN LE TB'!$R:$R,'LE P&amp;L'!$A17,'YBHN LE TB'!G:G)</f>
        <v/>
      </c>
      <c r="T17" s="37">
        <f>SUMIF('YBHN LE TB'!$R:$R,'LE P&amp;L'!$A17,'YBHN LE TB'!H:H)</f>
        <v/>
      </c>
      <c r="U17" s="37">
        <f>SUMIF('YBHN LE TB'!$R:$R,'LE P&amp;L'!$A17,'YBHN LE TB'!I:I)</f>
        <v/>
      </c>
      <c r="V17" s="38" t="n">
        <v>2730</v>
      </c>
      <c r="W17" s="38" t="n">
        <v>2730</v>
      </c>
      <c r="X17" s="38" t="n">
        <v>2730</v>
      </c>
      <c r="Y17" s="38" t="n">
        <v>2730</v>
      </c>
      <c r="Z17" s="38" t="n">
        <v>2730</v>
      </c>
      <c r="AA17" s="36">
        <f>SUM(O17:U17)</f>
        <v/>
      </c>
      <c r="AB17" s="36">
        <f>SUM(O17:Z17)</f>
        <v/>
      </c>
      <c r="AC17" s="38" t="n">
        <v>2730</v>
      </c>
      <c r="AD17" s="38" t="n">
        <v>2730</v>
      </c>
      <c r="AE17" s="38" t="n">
        <v>2730</v>
      </c>
      <c r="AF17" s="38" t="n">
        <v>2730</v>
      </c>
      <c r="AG17" s="38" t="n">
        <v>2730</v>
      </c>
      <c r="AH17" s="38" t="n">
        <v>2730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442.12</v>
      </c>
      <c r="C18" s="35" t="n">
        <v>430.09</v>
      </c>
      <c r="D18" s="35" t="n">
        <v>405.36</v>
      </c>
      <c r="E18" s="35" t="n">
        <v>485.36</v>
      </c>
      <c r="F18" s="35" t="n">
        <v>515.48</v>
      </c>
      <c r="G18" s="35" t="n">
        <v>506.37</v>
      </c>
      <c r="H18" s="35" t="n">
        <v>516.35</v>
      </c>
      <c r="I18" s="35" t="n">
        <v>385.54</v>
      </c>
      <c r="J18" s="35" t="n">
        <v>331.38</v>
      </c>
      <c r="K18" s="35" t="n">
        <v>338.82</v>
      </c>
      <c r="L18" s="35" t="n">
        <v>396.08</v>
      </c>
      <c r="M18" s="35" t="n">
        <v>395.76</v>
      </c>
      <c r="N18" s="36">
        <f>SUM(B18:M18)</f>
        <v/>
      </c>
      <c r="O18" s="37">
        <f>SUMIF('YBHN LE TB'!$R:$R,'LE P&amp;L'!$A18,'YBHN LE TB'!C:C)</f>
        <v/>
      </c>
      <c r="P18" s="37">
        <f>SUMIF('YBHN LE TB'!$R:$R,'LE P&amp;L'!$A18,'YBHN LE TB'!D:D)</f>
        <v/>
      </c>
      <c r="Q18" s="37">
        <f>SUMIF('YBHN LE TB'!$R:$R,'LE P&amp;L'!$A18,'YBHN LE TB'!E:E)</f>
        <v/>
      </c>
      <c r="R18" s="37">
        <f>SUMIF('YBHN LE TB'!$R:$R,'LE P&amp;L'!$A18,'YBHN LE TB'!F:F)</f>
        <v/>
      </c>
      <c r="S18" s="37">
        <f>SUMIF('YBHN LE TB'!$R:$R,'LE P&amp;L'!$A18,'YBHN LE TB'!G:G)</f>
        <v/>
      </c>
      <c r="T18" s="37">
        <f>SUMIF('YBHN LE TB'!$R:$R,'LE P&amp;L'!$A18,'YBHN LE TB'!H:H)</f>
        <v/>
      </c>
      <c r="U18" s="37">
        <f>SUMIF('YBHN LE TB'!$R:$R,'LE P&amp;L'!$A18,'YBHN LE TB'!I:I)</f>
        <v/>
      </c>
      <c r="V18" s="38" t="n">
        <v>478.5</v>
      </c>
      <c r="W18" s="38" t="n">
        <v>478.5</v>
      </c>
      <c r="X18" s="38" t="n">
        <v>478.5</v>
      </c>
      <c r="Y18" s="38" t="n">
        <v>478.5</v>
      </c>
      <c r="Z18" s="38" t="n">
        <v>478.5</v>
      </c>
      <c r="AA18" s="36">
        <f>SUM(O18:U18)</f>
        <v/>
      </c>
      <c r="AB18" s="36">
        <f>SUM(O18:Z18)</f>
        <v/>
      </c>
      <c r="AC18" s="38" t="n">
        <v>478.5</v>
      </c>
      <c r="AD18" s="38" t="n">
        <v>478.5</v>
      </c>
      <c r="AE18" s="38" t="n">
        <v>478.5</v>
      </c>
      <c r="AF18" s="38" t="n">
        <v>478.5</v>
      </c>
      <c r="AG18" s="38" t="n">
        <v>478.5</v>
      </c>
      <c r="AH18" s="38" t="n">
        <v>478.5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219.84</v>
      </c>
      <c r="D19" s="35" t="n">
        <v>166.92</v>
      </c>
      <c r="E19" s="35" t="n">
        <v>106.38</v>
      </c>
      <c r="F19" s="35" t="n">
        <v>92.34</v>
      </c>
      <c r="G19" s="35" t="n">
        <v>0</v>
      </c>
      <c r="H19" s="35" t="n">
        <v>0</v>
      </c>
      <c r="I19" s="35" t="n">
        <v>91.14</v>
      </c>
      <c r="J19" s="35" t="n">
        <v>13.98</v>
      </c>
      <c r="K19" s="35" t="n">
        <v>534</v>
      </c>
      <c r="L19" s="35" t="n">
        <v>0</v>
      </c>
      <c r="M19" s="35" t="n">
        <v>35.82</v>
      </c>
      <c r="N19" s="36">
        <f>SUM(B19:M19)</f>
        <v/>
      </c>
      <c r="O19" s="37">
        <f>SUMIF('YBHN LE TB'!$R:$R,'LE P&amp;L'!$A19,'YBHN LE TB'!C:C)</f>
        <v/>
      </c>
      <c r="P19" s="37">
        <f>SUMIF('YBHN LE TB'!$R:$R,'LE P&amp;L'!$A19,'YBHN LE TB'!D:D)</f>
        <v/>
      </c>
      <c r="Q19" s="37">
        <f>SUMIF('YBHN LE TB'!$R:$R,'LE P&amp;L'!$A19,'YBHN LE TB'!E:E)</f>
        <v/>
      </c>
      <c r="R19" s="37">
        <f>SUMIF('YBHN LE TB'!$R:$R,'LE P&amp;L'!$A19,'YBHN LE TB'!F:F)</f>
        <v/>
      </c>
      <c r="S19" s="37">
        <f>SUMIF('YBHN LE TB'!$R:$R,'LE P&amp;L'!$A19,'YBHN LE TB'!G:G)</f>
        <v/>
      </c>
      <c r="T19" s="37">
        <f>SUMIF('YBHN LE TB'!$R:$R,'LE P&amp;L'!$A19,'YBHN LE TB'!H:H)</f>
        <v/>
      </c>
      <c r="U19" s="37">
        <f>SUMIF('YBHN LE TB'!$R:$R,'LE P&amp;L'!$A19,'YBHN LE TB'!I:I)</f>
        <v/>
      </c>
      <c r="V19" s="38" t="n">
        <v>39</v>
      </c>
      <c r="W19" s="38" t="n">
        <v>39</v>
      </c>
      <c r="X19" s="38" t="n">
        <v>39</v>
      </c>
      <c r="Y19" s="38" t="n">
        <v>39</v>
      </c>
      <c r="Z19" s="38" t="n">
        <v>39</v>
      </c>
      <c r="AA19" s="36">
        <f>SUM(O19:U19)</f>
        <v/>
      </c>
      <c r="AB19" s="36">
        <f>SUM(O19:Z19)</f>
        <v/>
      </c>
      <c r="AC19" s="38" t="n">
        <v>39</v>
      </c>
      <c r="AD19" s="38" t="n">
        <v>39</v>
      </c>
      <c r="AE19" s="38" t="n">
        <v>39</v>
      </c>
      <c r="AF19" s="38" t="n">
        <v>39</v>
      </c>
      <c r="AG19" s="38" t="n">
        <v>39</v>
      </c>
      <c r="AH19" s="38" t="n">
        <v>39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48</v>
      </c>
      <c r="C20" s="35" t="n">
        <v>0</v>
      </c>
      <c r="D20" s="35" t="n">
        <v>0</v>
      </c>
      <c r="E20" s="35" t="n">
        <v>0</v>
      </c>
      <c r="F20" s="35" t="n">
        <v>61.2</v>
      </c>
      <c r="G20" s="35" t="n">
        <v>0</v>
      </c>
      <c r="H20" s="35" t="n">
        <v>37.2</v>
      </c>
      <c r="I20" s="35" t="n">
        <v>307.19</v>
      </c>
      <c r="J20" s="35" t="n">
        <v>0</v>
      </c>
      <c r="K20" s="35" t="n">
        <v>0</v>
      </c>
      <c r="L20" s="35" t="n">
        <v>114</v>
      </c>
      <c r="M20" s="35" t="n">
        <v>0</v>
      </c>
      <c r="N20" s="36">
        <f>SUM(B20:M20)</f>
        <v/>
      </c>
      <c r="O20" s="37">
        <f>SUMIF('YBHN LE TB'!$R:$R,'LE P&amp;L'!$A20,'YBHN LE TB'!C:C)</f>
        <v/>
      </c>
      <c r="P20" s="37">
        <f>SUMIF('YBHN LE TB'!$R:$R,'LE P&amp;L'!$A20,'YBHN LE TB'!D:D)</f>
        <v/>
      </c>
      <c r="Q20" s="37">
        <f>SUMIF('YBHN LE TB'!$R:$R,'LE P&amp;L'!$A20,'YBHN LE TB'!E:E)</f>
        <v/>
      </c>
      <c r="R20" s="37">
        <f>SUMIF('YBHN LE TB'!$R:$R,'LE P&amp;L'!$A20,'YBHN LE TB'!F:F)</f>
        <v/>
      </c>
      <c r="S20" s="37">
        <f>SUMIF('YBHN LE TB'!$R:$R,'LE P&amp;L'!$A20,'YBHN LE TB'!G:G)</f>
        <v/>
      </c>
      <c r="T20" s="37">
        <f>SUMIF('YBHN LE TB'!$R:$R,'LE P&amp;L'!$A20,'YBHN LE TB'!H:H)</f>
        <v/>
      </c>
      <c r="U20" s="37">
        <f>SUMIF('YBHN LE TB'!$R:$R,'LE P&amp;L'!$A20,'YBHN LE TB'!I:I)</f>
        <v/>
      </c>
      <c r="V20" s="38" t="n">
        <v>50</v>
      </c>
      <c r="W20" s="38" t="n">
        <v>50</v>
      </c>
      <c r="X20" s="38" t="n">
        <v>50</v>
      </c>
      <c r="Y20" s="38" t="n">
        <v>50</v>
      </c>
      <c r="Z20" s="38" t="n">
        <v>50</v>
      </c>
      <c r="AA20" s="36">
        <f>SUM(O20:U20)</f>
        <v/>
      </c>
      <c r="AB20" s="36">
        <f>SUM(O20:Z20)</f>
        <v/>
      </c>
      <c r="AC20" s="38" t="n">
        <v>50</v>
      </c>
      <c r="AD20" s="38" t="n">
        <v>50</v>
      </c>
      <c r="AE20" s="38" t="n">
        <v>50</v>
      </c>
      <c r="AF20" s="38" t="n">
        <v>50</v>
      </c>
      <c r="AG20" s="38" t="n">
        <v>50</v>
      </c>
      <c r="AH20" s="38" t="n">
        <v>50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130.26</v>
      </c>
      <c r="C21" s="35" t="n">
        <v>218.62</v>
      </c>
      <c r="D21" s="35" t="n">
        <v>222.99</v>
      </c>
      <c r="E21" s="35" t="n">
        <v>233.98</v>
      </c>
      <c r="F21" s="35" t="n">
        <v>99.15000000000001</v>
      </c>
      <c r="G21" s="35" t="n">
        <v>189.15</v>
      </c>
      <c r="H21" s="35" t="n">
        <v>126.5</v>
      </c>
      <c r="I21" s="35" t="n">
        <v>176.63</v>
      </c>
      <c r="J21" s="35" t="n">
        <v>64.90000000000001</v>
      </c>
      <c r="K21" s="35" t="n">
        <v>212.8</v>
      </c>
      <c r="L21" s="35" t="n">
        <v>68.61</v>
      </c>
      <c r="M21" s="35" t="n">
        <v>23.31</v>
      </c>
      <c r="N21" s="36">
        <f>SUM(B21:M21)</f>
        <v/>
      </c>
      <c r="O21" s="37">
        <f>SUMIF('YBHN LE TB'!$R:$R,'LE P&amp;L'!$A21,'YBHN LE TB'!C:C)</f>
        <v/>
      </c>
      <c r="P21" s="37">
        <f>SUMIF('YBHN LE TB'!$R:$R,'LE P&amp;L'!$A21,'YBHN LE TB'!D:D)</f>
        <v/>
      </c>
      <c r="Q21" s="37">
        <f>SUMIF('YBHN LE TB'!$R:$R,'LE P&amp;L'!$A21,'YBHN LE TB'!E:E)</f>
        <v/>
      </c>
      <c r="R21" s="37">
        <f>SUMIF('YBHN LE TB'!$R:$R,'LE P&amp;L'!$A21,'YBHN LE TB'!F:F)</f>
        <v/>
      </c>
      <c r="S21" s="37">
        <f>SUMIF('YBHN LE TB'!$R:$R,'LE P&amp;L'!$A21,'YBHN LE TB'!G:G)</f>
        <v/>
      </c>
      <c r="T21" s="37">
        <f>SUMIF('YBHN LE TB'!$R:$R,'LE P&amp;L'!$A21,'YBHN LE TB'!H:H)</f>
        <v/>
      </c>
      <c r="U21" s="37">
        <f>SUMIF('YBHN LE TB'!$R:$R,'LE P&amp;L'!$A21,'YBHN LE TB'!I:I)</f>
        <v/>
      </c>
      <c r="V21" s="38" t="n">
        <v>80</v>
      </c>
      <c r="W21" s="38" t="n">
        <v>80</v>
      </c>
      <c r="X21" s="38" t="n">
        <v>80</v>
      </c>
      <c r="Y21" s="38" t="n">
        <v>80</v>
      </c>
      <c r="Z21" s="38" t="n">
        <v>80</v>
      </c>
      <c r="AA21" s="36">
        <f>SUM(O21:U21)</f>
        <v/>
      </c>
      <c r="AB21" s="36">
        <f>SUM(O21:Z21)</f>
        <v/>
      </c>
      <c r="AC21" s="38" t="n">
        <v>80</v>
      </c>
      <c r="AD21" s="38" t="n">
        <v>80</v>
      </c>
      <c r="AE21" s="38" t="n">
        <v>80</v>
      </c>
      <c r="AF21" s="38" t="n">
        <v>80</v>
      </c>
      <c r="AG21" s="38" t="n">
        <v>80</v>
      </c>
      <c r="AH21" s="38" t="n">
        <v>80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SUMIF('YBHN LE TB'!$R:$R,'LE P&amp;L'!$A22,'YBHN LE TB'!C:C)</f>
        <v/>
      </c>
      <c r="P22" s="37">
        <f>SUMIF('YBHN LE TB'!$R:$R,'LE P&amp;L'!$A22,'YBHN LE TB'!D:D)</f>
        <v/>
      </c>
      <c r="Q22" s="37">
        <f>SUMIF('YBHN LE TB'!$R:$R,'LE P&amp;L'!$A22,'YBHN LE TB'!E:E)</f>
        <v/>
      </c>
      <c r="R22" s="37">
        <f>SUMIF('YBHN LE TB'!$R:$R,'LE P&amp;L'!$A22,'YBHN LE TB'!F:F)</f>
        <v/>
      </c>
      <c r="S22" s="37">
        <f>SUMIF('YBHN LE TB'!$R:$R,'LE P&amp;L'!$A22,'YBHN LE TB'!G:G)</f>
        <v/>
      </c>
      <c r="T22" s="37">
        <f>SUMIF('YBHN LE TB'!$R:$R,'LE P&amp;L'!$A22,'YBHN LE TB'!H:H)</f>
        <v/>
      </c>
      <c r="U22" s="37">
        <f>SUMIF('YBHN LE TB'!$R:$R,'LE P&amp;L'!$A22,'YBHN LE TB'!I:I)</f>
        <v/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33</v>
      </c>
      <c r="I23" s="35" t="n">
        <v>0</v>
      </c>
      <c r="J23" s="35" t="n">
        <v>31.5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>
        <f>SUMIF('YBHN LE TB'!$R:$R,'LE P&amp;L'!$A23,'YBHN LE TB'!C:C)</f>
        <v/>
      </c>
      <c r="P23" s="37">
        <f>SUMIF('YBHN LE TB'!$R:$R,'LE P&amp;L'!$A23,'YBHN LE TB'!D:D)</f>
        <v/>
      </c>
      <c r="Q23" s="37">
        <f>SUMIF('YBHN LE TB'!$R:$R,'LE P&amp;L'!$A23,'YBHN LE TB'!E:E)</f>
        <v/>
      </c>
      <c r="R23" s="37">
        <f>SUMIF('YBHN LE TB'!$R:$R,'LE P&amp;L'!$A23,'YBHN LE TB'!F:F)</f>
        <v/>
      </c>
      <c r="S23" s="37">
        <f>SUMIF('YBHN LE TB'!$R:$R,'LE P&amp;L'!$A23,'YBHN LE TB'!G:G)</f>
        <v/>
      </c>
      <c r="T23" s="37">
        <f>SUMIF('YBHN LE TB'!$R:$R,'LE P&amp;L'!$A23,'YBHN LE TB'!H:H)</f>
        <v/>
      </c>
      <c r="U23" s="37">
        <f>SUMIF('YBHN LE TB'!$R:$R,'LE P&amp;L'!$A23,'YBHN LE TB'!I:I)</f>
        <v/>
      </c>
      <c r="V23" s="38" t="n">
        <v>33</v>
      </c>
      <c r="W23" s="38" t="n">
        <v>33</v>
      </c>
      <c r="X23" s="38" t="n">
        <v>33</v>
      </c>
      <c r="Y23" s="38" t="n">
        <v>33</v>
      </c>
      <c r="Z23" s="38" t="n">
        <v>33</v>
      </c>
      <c r="AA23" s="36">
        <f>SUM(O23:U23)</f>
        <v/>
      </c>
      <c r="AB23" s="36">
        <f>SUM(O23:Z23)</f>
        <v/>
      </c>
      <c r="AC23" s="38" t="n">
        <v>33</v>
      </c>
      <c r="AD23" s="38" t="n">
        <v>33</v>
      </c>
      <c r="AE23" s="38" t="n">
        <v>33</v>
      </c>
      <c r="AF23" s="38" t="n">
        <v>33</v>
      </c>
      <c r="AG23" s="38" t="n">
        <v>33</v>
      </c>
      <c r="AH23" s="38" t="n">
        <v>33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SUMIF('YBHN LE TB'!$R:$R,'LE P&amp;L'!$A24,'YBHN LE TB'!C:C)</f>
        <v/>
      </c>
      <c r="P24" s="37">
        <f>SUMIF('YBHN LE TB'!$R:$R,'LE P&amp;L'!$A24,'YBHN LE TB'!D:D)</f>
        <v/>
      </c>
      <c r="Q24" s="37">
        <f>SUMIF('YBHN LE TB'!$R:$R,'LE P&amp;L'!$A24,'YBHN LE TB'!E:E)</f>
        <v/>
      </c>
      <c r="R24" s="37">
        <f>SUMIF('YBHN LE TB'!$R:$R,'LE P&amp;L'!$A24,'YBHN LE TB'!F:F)</f>
        <v/>
      </c>
      <c r="S24" s="37">
        <f>SUMIF('YBHN LE TB'!$R:$R,'LE P&amp;L'!$A24,'YBHN LE TB'!G:G)</f>
        <v/>
      </c>
      <c r="T24" s="37">
        <f>SUMIF('YBHN LE TB'!$R:$R,'LE P&amp;L'!$A24,'YBHN LE TB'!H:H)</f>
        <v/>
      </c>
      <c r="U24" s="37">
        <f>SUMIF('YBHN LE TB'!$R:$R,'LE P&amp;L'!$A24,'YBHN LE TB'!I:I)</f>
        <v/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22962.82999999999</v>
      </c>
      <c r="C25" s="42" t="n">
        <v>22797.73</v>
      </c>
      <c r="D25" s="42" t="n">
        <v>24093.15</v>
      </c>
      <c r="E25" s="42" t="n">
        <v>28572.22</v>
      </c>
      <c r="F25" s="42" t="n">
        <v>26799.23</v>
      </c>
      <c r="G25" s="42" t="n">
        <v>26364.45</v>
      </c>
      <c r="H25" s="42" t="n">
        <v>26967.23</v>
      </c>
      <c r="I25" s="42" t="n">
        <v>21412.27</v>
      </c>
      <c r="J25" s="42" t="n">
        <v>21400.54</v>
      </c>
      <c r="K25" s="42" t="n">
        <v>22378.38</v>
      </c>
      <c r="L25" s="42" t="n">
        <v>22109.79</v>
      </c>
      <c r="M25" s="42" t="n">
        <v>22259.56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1332.6</v>
      </c>
      <c r="C27" s="35" t="n">
        <v>1191.73</v>
      </c>
      <c r="D27" s="35" t="n">
        <v>1025.59</v>
      </c>
      <c r="E27" s="35" t="n">
        <v>910.41</v>
      </c>
      <c r="F27" s="35" t="n">
        <v>1198.8</v>
      </c>
      <c r="G27" s="35" t="n">
        <v>1030.9</v>
      </c>
      <c r="H27" s="35" t="n">
        <v>1110.68</v>
      </c>
      <c r="I27" s="35" t="n">
        <v>937.1999999999999</v>
      </c>
      <c r="J27" s="35" t="n">
        <v>1236.03</v>
      </c>
      <c r="K27" s="35" t="n">
        <v>1802.97</v>
      </c>
      <c r="L27" s="35" t="n">
        <v>1242.95</v>
      </c>
      <c r="M27" s="35" t="n">
        <v>1292.99</v>
      </c>
      <c r="N27" s="36">
        <f>SUM(B27:M27)</f>
        <v/>
      </c>
      <c r="O27" s="37">
        <f>SUMIF('YBHN LE TB'!$R:$R,'LE P&amp;L'!$A27,'YBHN LE TB'!C:C)</f>
        <v/>
      </c>
      <c r="P27" s="37">
        <f>SUMIF('YBHN LE TB'!$R:$R,'LE P&amp;L'!$A27,'YBHN LE TB'!D:D)</f>
        <v/>
      </c>
      <c r="Q27" s="37">
        <f>SUMIF('YBHN LE TB'!$R:$R,'LE P&amp;L'!$A27,'YBHN LE TB'!E:E)</f>
        <v/>
      </c>
      <c r="R27" s="37">
        <f>SUMIF('YBHN LE TB'!$R:$R,'LE P&amp;L'!$A27,'YBHN LE TB'!F:F)</f>
        <v/>
      </c>
      <c r="S27" s="37">
        <f>SUMIF('YBHN LE TB'!$R:$R,'LE P&amp;L'!$A27,'YBHN LE TB'!G:G)</f>
        <v/>
      </c>
      <c r="T27" s="37">
        <f>SUMIF('YBHN LE TB'!$R:$R,'LE P&amp;L'!$A27,'YBHN LE TB'!H:H)</f>
        <v/>
      </c>
      <c r="U27" s="37">
        <f>SUMIF('YBHN LE TB'!$R:$R,'LE P&amp;L'!$A27,'YBHN LE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0.0624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29.48</v>
      </c>
      <c r="C28" s="35" t="n">
        <v>98.81</v>
      </c>
      <c r="D28" s="35" t="n">
        <v>209.15</v>
      </c>
      <c r="E28" s="35" t="n">
        <v>106.54</v>
      </c>
      <c r="F28" s="35" t="n">
        <v>197.64</v>
      </c>
      <c r="G28" s="35" t="n">
        <v>67.42</v>
      </c>
      <c r="H28" s="35" t="n">
        <v>179.26</v>
      </c>
      <c r="I28" s="35" t="n">
        <v>51.75</v>
      </c>
      <c r="J28" s="35" t="n">
        <v>224.25</v>
      </c>
      <c r="K28" s="35" t="n">
        <v>49.58</v>
      </c>
      <c r="L28" s="35" t="n">
        <v>71.05</v>
      </c>
      <c r="M28" s="35" t="n">
        <v>37.20999999999999</v>
      </c>
      <c r="N28" s="36">
        <f>SUM(B28:M28)</f>
        <v/>
      </c>
      <c r="O28" s="37">
        <f>SUMIF('YBHN LE TB'!$R:$R,'LE P&amp;L'!$A28,'YBHN LE TB'!C:C)</f>
        <v/>
      </c>
      <c r="P28" s="37">
        <f>SUMIF('YBHN LE TB'!$R:$R,'LE P&amp;L'!$A28,'YBHN LE TB'!D:D)</f>
        <v/>
      </c>
      <c r="Q28" s="37">
        <f>SUMIF('YBHN LE TB'!$R:$R,'LE P&amp;L'!$A28,'YBHN LE TB'!E:E)</f>
        <v/>
      </c>
      <c r="R28" s="37">
        <f>SUMIF('YBHN LE TB'!$R:$R,'LE P&amp;L'!$A28,'YBHN LE TB'!F:F)</f>
        <v/>
      </c>
      <c r="S28" s="37">
        <f>SUMIF('YBHN LE TB'!$R:$R,'LE P&amp;L'!$A28,'YBHN LE TB'!G:G)</f>
        <v/>
      </c>
      <c r="T28" s="37">
        <f>SUMIF('YBHN LE TB'!$R:$R,'LE P&amp;L'!$A28,'YBHN LE TB'!H:H)</f>
        <v/>
      </c>
      <c r="U28" s="37">
        <f>SUMIF('YBHN LE TB'!$R:$R,'LE P&amp;L'!$A28,'YBHN LE TB'!I:I)</f>
        <v/>
      </c>
      <c r="V28" s="38" t="n">
        <v>54</v>
      </c>
      <c r="W28" s="38" t="n">
        <v>55</v>
      </c>
      <c r="X28" s="38" t="n">
        <v>56</v>
      </c>
      <c r="Y28" s="38" t="n">
        <v>57</v>
      </c>
      <c r="Z28" s="38" t="n">
        <v>58</v>
      </c>
      <c r="AA28" s="36">
        <f>SUM(O28:U28)</f>
        <v/>
      </c>
      <c r="AB28" s="36">
        <f>SUM(O28:Z28)</f>
        <v/>
      </c>
      <c r="AC28" s="38" t="n">
        <v>58</v>
      </c>
      <c r="AD28" s="38" t="n">
        <v>58</v>
      </c>
      <c r="AE28" s="38" t="n">
        <v>58</v>
      </c>
      <c r="AF28" s="38" t="n">
        <v>58</v>
      </c>
      <c r="AG28" s="38" t="n">
        <v>58</v>
      </c>
      <c r="AH28" s="38" t="n">
        <v>58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8.18</v>
      </c>
      <c r="C29" s="35" t="n">
        <v>28.97</v>
      </c>
      <c r="D29" s="35" t="n">
        <v>112.31</v>
      </c>
      <c r="E29" s="35" t="n">
        <v>151.3</v>
      </c>
      <c r="F29" s="35" t="n">
        <v>47.69</v>
      </c>
      <c r="G29" s="35" t="n">
        <v>122.42</v>
      </c>
      <c r="H29" s="35" t="n">
        <v>0</v>
      </c>
      <c r="I29" s="35" t="n">
        <v>31.91</v>
      </c>
      <c r="J29" s="35" t="n">
        <v>25.44</v>
      </c>
      <c r="K29" s="35" t="n">
        <v>84.27000000000001</v>
      </c>
      <c r="L29" s="35" t="n">
        <v>198.26</v>
      </c>
      <c r="M29" s="35" t="n">
        <v>107.1</v>
      </c>
      <c r="N29" s="36">
        <f>SUM(B29:M29)</f>
        <v/>
      </c>
      <c r="O29" s="37">
        <f>SUMIF('YBHN LE TB'!$R:$R,'LE P&amp;L'!$A29,'YBHN LE TB'!C:C)</f>
        <v/>
      </c>
      <c r="P29" s="37">
        <f>SUMIF('YBHN LE TB'!$R:$R,'LE P&amp;L'!$A29,'YBHN LE TB'!D:D)</f>
        <v/>
      </c>
      <c r="Q29" s="37">
        <f>SUMIF('YBHN LE TB'!$R:$R,'LE P&amp;L'!$A29,'YBHN LE TB'!E:E)</f>
        <v/>
      </c>
      <c r="R29" s="37">
        <f>SUMIF('YBHN LE TB'!$R:$R,'LE P&amp;L'!$A29,'YBHN LE TB'!F:F)</f>
        <v/>
      </c>
      <c r="S29" s="37">
        <f>SUMIF('YBHN LE TB'!$R:$R,'LE P&amp;L'!$A29,'YBHN LE TB'!G:G)</f>
        <v/>
      </c>
      <c r="T29" s="37">
        <f>SUMIF('YBHN LE TB'!$R:$R,'LE P&amp;L'!$A29,'YBHN LE TB'!H:H)</f>
        <v/>
      </c>
      <c r="U29" s="37">
        <f>SUMIF('YBHN LE TB'!$R:$R,'LE P&amp;L'!$A29,'YBHN LE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0.00208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SUMIF('YBHN LE TB'!$R:$R,'LE P&amp;L'!$A30,'YBHN LE TB'!C:C)</f>
        <v/>
      </c>
      <c r="P30" s="37">
        <f>SUMIF('YBHN LE TB'!$R:$R,'LE P&amp;L'!$A30,'YBHN LE TB'!D:D)</f>
        <v/>
      </c>
      <c r="Q30" s="37">
        <f>SUMIF('YBHN LE TB'!$R:$R,'LE P&amp;L'!$A30,'YBHN LE TB'!E:E)</f>
        <v/>
      </c>
      <c r="R30" s="37">
        <f>SUMIF('YBHN LE TB'!$R:$R,'LE P&amp;L'!$A30,'YBHN LE TB'!F:F)</f>
        <v/>
      </c>
      <c r="S30" s="37">
        <f>SUMIF('YBHN LE TB'!$R:$R,'LE P&amp;L'!$A30,'YBHN LE TB'!G:G)</f>
        <v/>
      </c>
      <c r="T30" s="37">
        <f>SUMIF('YBHN LE TB'!$R:$R,'LE P&amp;L'!$A30,'YBHN LE TB'!H:H)</f>
        <v/>
      </c>
      <c r="U30" s="37">
        <f>SUMIF('YBHN LE TB'!$R:$R,'LE P&amp;L'!$A30,'YBHN LE TB'!I:I)</f>
        <v/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0</v>
      </c>
      <c r="C31" s="35" t="n">
        <v>3.99</v>
      </c>
      <c r="D31" s="35" t="n">
        <v>201.16</v>
      </c>
      <c r="E31" s="35" t="n">
        <v>91.98</v>
      </c>
      <c r="F31" s="35" t="n">
        <v>114.68</v>
      </c>
      <c r="G31" s="35" t="n">
        <v>25</v>
      </c>
      <c r="H31" s="35" t="n">
        <v>28.7</v>
      </c>
      <c r="I31" s="35" t="n">
        <v>396.21</v>
      </c>
      <c r="J31" s="35" t="n">
        <v>169.37</v>
      </c>
      <c r="K31" s="35" t="n">
        <v>48.97</v>
      </c>
      <c r="L31" s="35" t="n">
        <v>35.92</v>
      </c>
      <c r="M31" s="35" t="n">
        <v>151.68</v>
      </c>
      <c r="N31" s="36">
        <f>SUM(B31:M31)</f>
        <v/>
      </c>
      <c r="O31" s="37">
        <f>SUMIF('YBHN LE TB'!$R:$R,'LE P&amp;L'!$A31,'YBHN LE TB'!C:C)</f>
        <v/>
      </c>
      <c r="P31" s="37">
        <f>SUMIF('YBHN LE TB'!$R:$R,'LE P&amp;L'!$A31,'YBHN LE TB'!D:D)</f>
        <v/>
      </c>
      <c r="Q31" s="37">
        <f>SUMIF('YBHN LE TB'!$R:$R,'LE P&amp;L'!$A31,'YBHN LE TB'!E:E)</f>
        <v/>
      </c>
      <c r="R31" s="37">
        <f>SUMIF('YBHN LE TB'!$R:$R,'LE P&amp;L'!$A31,'YBHN LE TB'!F:F)</f>
        <v/>
      </c>
      <c r="S31" s="37">
        <f>SUMIF('YBHN LE TB'!$R:$R,'LE P&amp;L'!$A31,'YBHN LE TB'!G:G)</f>
        <v/>
      </c>
      <c r="T31" s="37">
        <f>SUMIF('YBHN LE TB'!$R:$R,'LE P&amp;L'!$A31,'YBHN LE TB'!H:H)</f>
        <v/>
      </c>
      <c r="U31" s="37">
        <f>SUMIF('YBHN LE TB'!$R:$R,'LE P&amp;L'!$A31,'YBHN LE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131.82</v>
      </c>
      <c r="C32" s="35" t="n">
        <v>33.24</v>
      </c>
      <c r="D32" s="35" t="n">
        <v>57.88</v>
      </c>
      <c r="E32" s="35" t="n">
        <v>31.94</v>
      </c>
      <c r="F32" s="35" t="n">
        <v>52.53</v>
      </c>
      <c r="G32" s="35" t="n">
        <v>76.42999999999999</v>
      </c>
      <c r="H32" s="35" t="n">
        <v>19.38</v>
      </c>
      <c r="I32" s="35" t="n">
        <v>32.9</v>
      </c>
      <c r="J32" s="35" t="n">
        <v>90.89999999999999</v>
      </c>
      <c r="K32" s="35" t="n">
        <v>69.39</v>
      </c>
      <c r="L32" s="35" t="n">
        <v>53.64</v>
      </c>
      <c r="M32" s="35" t="n">
        <v>160.62</v>
      </c>
      <c r="N32" s="36">
        <f>SUM(B32:M32)</f>
        <v/>
      </c>
      <c r="O32" s="37">
        <f>SUMIF('YBHN LE TB'!$R:$R,'LE P&amp;L'!$A32,'YBHN LE TB'!C:C)</f>
        <v/>
      </c>
      <c r="P32" s="37">
        <f>SUMIF('YBHN LE TB'!$R:$R,'LE P&amp;L'!$A32,'YBHN LE TB'!D:D)</f>
        <v/>
      </c>
      <c r="Q32" s="37">
        <f>SUMIF('YBHN LE TB'!$R:$R,'LE P&amp;L'!$A32,'YBHN LE TB'!E:E)</f>
        <v/>
      </c>
      <c r="R32" s="37">
        <f>SUMIF('YBHN LE TB'!$R:$R,'LE P&amp;L'!$A32,'YBHN LE TB'!F:F)</f>
        <v/>
      </c>
      <c r="S32" s="37">
        <f>SUMIF('YBHN LE TB'!$R:$R,'LE P&amp;L'!$A32,'YBHN LE TB'!G:G)</f>
        <v/>
      </c>
      <c r="T32" s="37">
        <f>SUMIF('YBHN LE TB'!$R:$R,'LE P&amp;L'!$A32,'YBHN LE TB'!H:H)</f>
        <v/>
      </c>
      <c r="U32" s="37">
        <f>SUMIF('YBHN LE TB'!$R:$R,'LE P&amp;L'!$A32,'YBHN LE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0.004160000000000001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SUMIF('YBHN LE TB'!$R:$R,'LE P&amp;L'!$A33,'YBHN LE TB'!C:C)</f>
        <v/>
      </c>
      <c r="P33" s="37">
        <f>SUMIF('YBHN LE TB'!$R:$R,'LE P&amp;L'!$A33,'YBHN LE TB'!D:D)</f>
        <v/>
      </c>
      <c r="Q33" s="37">
        <f>SUMIF('YBHN LE TB'!$R:$R,'LE P&amp;L'!$A33,'YBHN LE TB'!E:E)</f>
        <v/>
      </c>
      <c r="R33" s="37">
        <f>SUMIF('YBHN LE TB'!$R:$R,'LE P&amp;L'!$A33,'YBHN LE TB'!F:F)</f>
        <v/>
      </c>
      <c r="S33" s="37">
        <f>SUMIF('YBHN LE TB'!$R:$R,'LE P&amp;L'!$A33,'YBHN LE TB'!G:G)</f>
        <v/>
      </c>
      <c r="T33" s="37">
        <f>SUMIF('YBHN LE TB'!$R:$R,'LE P&amp;L'!$A33,'YBHN LE TB'!H:H)</f>
        <v/>
      </c>
      <c r="U33" s="37">
        <f>SUMIF('YBHN LE TB'!$R:$R,'LE P&amp;L'!$A33,'YBHN LE TB'!I:I)</f>
        <v/>
      </c>
      <c r="V33" s="38" t="n">
        <v>4</v>
      </c>
      <c r="W33" s="38" t="n">
        <v>5</v>
      </c>
      <c r="X33" s="38" t="n">
        <v>6</v>
      </c>
      <c r="Y33" s="38" t="n">
        <v>7</v>
      </c>
      <c r="Z33" s="38" t="n">
        <v>8</v>
      </c>
      <c r="AA33" s="36">
        <f>SUM(O33:U33)</f>
        <v/>
      </c>
      <c r="AB33" s="36">
        <f>SUM(O33:Z33)</f>
        <v/>
      </c>
      <c r="AC33" s="38" t="n">
        <v>8</v>
      </c>
      <c r="AD33" s="38" t="n">
        <v>8</v>
      </c>
      <c r="AE33" s="38" t="n">
        <v>8</v>
      </c>
      <c r="AF33" s="38" t="n">
        <v>8</v>
      </c>
      <c r="AG33" s="38" t="n">
        <v>8</v>
      </c>
      <c r="AH33" s="38" t="n">
        <v>8</v>
      </c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1502.08</v>
      </c>
      <c r="C34" s="42" t="n">
        <v>1356.74</v>
      </c>
      <c r="D34" s="42" t="n">
        <v>1606.09</v>
      </c>
      <c r="E34" s="42" t="n">
        <v>1292.17</v>
      </c>
      <c r="F34" s="42" t="n">
        <v>1611.34</v>
      </c>
      <c r="G34" s="42" t="n">
        <v>1322.17</v>
      </c>
      <c r="H34" s="42" t="n">
        <v>1338.02</v>
      </c>
      <c r="I34" s="42" t="n">
        <v>1449.97</v>
      </c>
      <c r="J34" s="42" t="n">
        <v>1745.99</v>
      </c>
      <c r="K34" s="42" t="n">
        <v>2055.18</v>
      </c>
      <c r="L34" s="42" t="n">
        <v>1601.82</v>
      </c>
      <c r="M34" s="42" t="n">
        <v>1749.6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541.67</v>
      </c>
      <c r="C36" s="35" t="n">
        <v>541.67</v>
      </c>
      <c r="D36" s="35" t="n">
        <v>541.67</v>
      </c>
      <c r="E36" s="35" t="n">
        <v>541.67</v>
      </c>
      <c r="F36" s="35" t="n">
        <v>541.67</v>
      </c>
      <c r="G36" s="35" t="n">
        <v>541.67</v>
      </c>
      <c r="H36" s="35" t="n">
        <v>541.67</v>
      </c>
      <c r="I36" s="35" t="n">
        <v>541.67</v>
      </c>
      <c r="J36" s="35" t="n">
        <v>541.66</v>
      </c>
      <c r="K36" s="35" t="n">
        <v>541.67</v>
      </c>
      <c r="L36" s="35" t="n">
        <v>541.67</v>
      </c>
      <c r="M36" s="35" t="n">
        <v>541.66</v>
      </c>
      <c r="N36" s="36">
        <f>SUM(B36:M36)</f>
        <v/>
      </c>
      <c r="O36" s="37">
        <f>SUMIF('YBHN LE TB'!$R:$R,'LE P&amp;L'!$A36,'YBHN LE TB'!C:C)</f>
        <v/>
      </c>
      <c r="P36" s="37">
        <f>SUMIF('YBHN LE TB'!$R:$R,'LE P&amp;L'!$A36,'YBHN LE TB'!D:D)</f>
        <v/>
      </c>
      <c r="Q36" s="37">
        <f>SUMIF('YBHN LE TB'!$R:$R,'LE P&amp;L'!$A36,'YBHN LE TB'!E:E)</f>
        <v/>
      </c>
      <c r="R36" s="37">
        <f>SUMIF('YBHN LE TB'!$R:$R,'LE P&amp;L'!$A36,'YBHN LE TB'!F:F)</f>
        <v/>
      </c>
      <c r="S36" s="37">
        <f>SUMIF('YBHN LE TB'!$R:$R,'LE P&amp;L'!$A36,'YBHN LE TB'!G:G)</f>
        <v/>
      </c>
      <c r="T36" s="37">
        <f>SUMIF('YBHN LE TB'!$R:$R,'LE P&amp;L'!$A36,'YBHN LE TB'!H:H)</f>
        <v/>
      </c>
      <c r="U36" s="37">
        <f>SUMIF('YBHN LE TB'!$R:$R,'LE P&amp;L'!$A36,'YBHN LE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426.23</v>
      </c>
      <c r="C37" s="35" t="n">
        <v>426.23</v>
      </c>
      <c r="D37" s="35" t="n">
        <v>426.23</v>
      </c>
      <c r="E37" s="35" t="n">
        <v>426.23</v>
      </c>
      <c r="F37" s="35" t="n">
        <v>426.23</v>
      </c>
      <c r="G37" s="35" t="n">
        <v>426.23</v>
      </c>
      <c r="H37" s="35" t="n">
        <v>426.23</v>
      </c>
      <c r="I37" s="35" t="n">
        <v>426.23</v>
      </c>
      <c r="J37" s="35" t="n">
        <v>426.23</v>
      </c>
      <c r="K37" s="35" t="n">
        <v>426.23</v>
      </c>
      <c r="L37" s="35" t="n">
        <v>426.23</v>
      </c>
      <c r="M37" s="35" t="n">
        <v>426.23</v>
      </c>
      <c r="N37" s="36">
        <f>SUM(B37:M37)</f>
        <v/>
      </c>
      <c r="O37" s="37">
        <f>SUMIF('YBHN LE TB'!$R:$R,'LE P&amp;L'!$A37,'YBHN LE TB'!C:C)</f>
        <v/>
      </c>
      <c r="P37" s="37">
        <f>SUMIF('YBHN LE TB'!$R:$R,'LE P&amp;L'!$A37,'YBHN LE TB'!D:D)</f>
        <v/>
      </c>
      <c r="Q37" s="37">
        <f>SUMIF('YBHN LE TB'!$R:$R,'LE P&amp;L'!$A37,'YBHN LE TB'!E:E)</f>
        <v/>
      </c>
      <c r="R37" s="37">
        <f>SUMIF('YBHN LE TB'!$R:$R,'LE P&amp;L'!$A37,'YBHN LE TB'!F:F)</f>
        <v/>
      </c>
      <c r="S37" s="37">
        <f>SUMIF('YBHN LE TB'!$R:$R,'LE P&amp;L'!$A37,'YBHN LE TB'!G:G)</f>
        <v/>
      </c>
      <c r="T37" s="37">
        <f>SUMIF('YBHN LE TB'!$R:$R,'LE P&amp;L'!$A37,'YBHN LE TB'!H:H)</f>
        <v/>
      </c>
      <c r="U37" s="37">
        <f>SUMIF('YBHN LE TB'!$R:$R,'LE P&amp;L'!$A37,'YBHN LE TB'!I:I)</f>
        <v/>
      </c>
      <c r="V37" s="38" t="n"/>
      <c r="W37" s="38" t="n"/>
      <c r="X37" s="38" t="n"/>
      <c r="Y37" s="38" t="n"/>
      <c r="Z37" s="38" t="n"/>
      <c r="AA37" s="36">
        <f>SUM(O37:U37)</f>
        <v/>
      </c>
      <c r="AB37" s="36">
        <f>SUM(O37:Z37)</f>
        <v/>
      </c>
      <c r="AC37" s="38" t="n"/>
      <c r="AD37" s="38" t="n"/>
      <c r="AE37" s="38" t="n"/>
      <c r="AF37" s="38" t="n"/>
      <c r="AG37" s="38" t="n"/>
      <c r="AH37" s="38" t="n"/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1144.51</v>
      </c>
      <c r="C38" s="35" t="n">
        <v>1876.52</v>
      </c>
      <c r="D38" s="35" t="n">
        <v>3731.16</v>
      </c>
      <c r="E38" s="35" t="n">
        <v>2446.87</v>
      </c>
      <c r="F38" s="35" t="n">
        <v>-507.1600000000001</v>
      </c>
      <c r="G38" s="35" t="n">
        <v>852.76</v>
      </c>
      <c r="H38" s="35" t="n">
        <v>771.11</v>
      </c>
      <c r="I38" s="35" t="n">
        <v>2306.56</v>
      </c>
      <c r="J38" s="35" t="n">
        <v>853.0600000000001</v>
      </c>
      <c r="K38" s="35" t="n">
        <v>2101.48</v>
      </c>
      <c r="L38" s="35" t="n">
        <v>2463.12</v>
      </c>
      <c r="M38" s="35" t="n">
        <v>3402.53</v>
      </c>
      <c r="N38" s="36">
        <f>SUM(B38:M38)</f>
        <v/>
      </c>
      <c r="O38" s="37">
        <f>SUMIF('YBHN LE TB'!$R:$R,'LE P&amp;L'!$A38,'YBHN LE TB'!C:C)</f>
        <v/>
      </c>
      <c r="P38" s="37">
        <f>SUMIF('YBHN LE TB'!$R:$R,'LE P&amp;L'!$A38,'YBHN LE TB'!D:D)</f>
        <v/>
      </c>
      <c r="Q38" s="37">
        <f>SUMIF('YBHN LE TB'!$R:$R,'LE P&amp;L'!$A38,'YBHN LE TB'!E:E)</f>
        <v/>
      </c>
      <c r="R38" s="37">
        <f>SUMIF('YBHN LE TB'!$R:$R,'LE P&amp;L'!$A38,'YBHN LE TB'!F:F)</f>
        <v/>
      </c>
      <c r="S38" s="37">
        <f>SUMIF('YBHN LE TB'!$R:$R,'LE P&amp;L'!$A38,'YBHN LE TB'!G:G)</f>
        <v/>
      </c>
      <c r="T38" s="37">
        <f>SUMIF('YBHN LE TB'!$R:$R,'LE P&amp;L'!$A38,'YBHN LE TB'!H:H)</f>
        <v/>
      </c>
      <c r="U38" s="37">
        <f>SUMIF('YBHN LE TB'!$R:$R,'LE P&amp;L'!$A38,'YBHN LE TB'!I:I)</f>
        <v/>
      </c>
      <c r="V38" s="38" t="n"/>
      <c r="W38" s="38" t="n"/>
      <c r="X38" s="38" t="n"/>
      <c r="Y38" s="38" t="n"/>
      <c r="Z38" s="38" t="n"/>
      <c r="AA38" s="36">
        <f>SUM(O38:U38)</f>
        <v/>
      </c>
      <c r="AB38" s="36">
        <f>SUM(O38:Z38)</f>
        <v/>
      </c>
      <c r="AC38" s="38" t="n"/>
      <c r="AD38" s="38" t="n"/>
      <c r="AE38" s="38" t="n"/>
      <c r="AF38" s="38" t="n"/>
      <c r="AG38" s="38" t="n"/>
      <c r="AH38" s="38" t="n"/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0</v>
      </c>
      <c r="C39" s="35" t="n">
        <v>14.36</v>
      </c>
      <c r="D39" s="35" t="n">
        <v>327.5</v>
      </c>
      <c r="E39" s="35" t="n">
        <v>305.35</v>
      </c>
      <c r="F39" s="35" t="n">
        <v>370.59</v>
      </c>
      <c r="G39" s="35" t="n">
        <v>26.58</v>
      </c>
      <c r="H39" s="35" t="n">
        <v>0</v>
      </c>
      <c r="I39" s="35" t="n">
        <v>32.82</v>
      </c>
      <c r="J39" s="35" t="n">
        <v>0</v>
      </c>
      <c r="K39" s="35" t="n">
        <v>0</v>
      </c>
      <c r="L39" s="35" t="n">
        <v>27.8</v>
      </c>
      <c r="M39" s="35" t="n">
        <v>268.7</v>
      </c>
      <c r="N39" s="36">
        <f>SUM(B39:M39)</f>
        <v/>
      </c>
      <c r="O39" s="37">
        <f>SUMIF('YBHN LE TB'!$R:$R,'LE P&amp;L'!$A39,'YBHN LE TB'!C:C)</f>
        <v/>
      </c>
      <c r="P39" s="37">
        <f>SUMIF('YBHN LE TB'!$R:$R,'LE P&amp;L'!$A39,'YBHN LE TB'!D:D)</f>
        <v/>
      </c>
      <c r="Q39" s="37">
        <f>SUMIF('YBHN LE TB'!$R:$R,'LE P&amp;L'!$A39,'YBHN LE TB'!E:E)</f>
        <v/>
      </c>
      <c r="R39" s="37">
        <f>SUMIF('YBHN LE TB'!$R:$R,'LE P&amp;L'!$A39,'YBHN LE TB'!F:F)</f>
        <v/>
      </c>
      <c r="S39" s="37">
        <f>SUMIF('YBHN LE TB'!$R:$R,'LE P&amp;L'!$A39,'YBHN LE TB'!G:G)</f>
        <v/>
      </c>
      <c r="T39" s="37">
        <f>SUMIF('YBHN LE TB'!$R:$R,'LE P&amp;L'!$A39,'YBHN LE TB'!H:H)</f>
        <v/>
      </c>
      <c r="U39" s="37">
        <f>SUMIF('YBHN LE TB'!$R:$R,'LE P&amp;L'!$A39,'YBHN LE TB'!I:I)</f>
        <v/>
      </c>
      <c r="V39" s="38" t="n"/>
      <c r="W39" s="38" t="n">
        <v>4000</v>
      </c>
      <c r="X39" s="38" t="n">
        <v>3000</v>
      </c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341.18</v>
      </c>
      <c r="C40" s="35" t="n">
        <v>0</v>
      </c>
      <c r="D40" s="35" t="n">
        <v>495.47</v>
      </c>
      <c r="E40" s="35" t="n">
        <v>147.98</v>
      </c>
      <c r="F40" s="35" t="n">
        <v>216.21</v>
      </c>
      <c r="G40" s="35" t="n">
        <v>0</v>
      </c>
      <c r="H40" s="35" t="n">
        <v>42.92</v>
      </c>
      <c r="I40" s="35" t="n">
        <v>219.35</v>
      </c>
      <c r="J40" s="35" t="n">
        <v>417.65</v>
      </c>
      <c r="K40" s="35" t="n">
        <v>206.69</v>
      </c>
      <c r="L40" s="35" t="n">
        <v>0</v>
      </c>
      <c r="M40" s="35" t="n">
        <v>146.16</v>
      </c>
      <c r="N40" s="36">
        <f>SUM(B40:M40)</f>
        <v/>
      </c>
      <c r="O40" s="37">
        <f>SUMIF('YBHN LE TB'!$R:$R,'LE P&amp;L'!$A40,'YBHN LE TB'!C:C)</f>
        <v/>
      </c>
      <c r="P40" s="37">
        <f>SUMIF('YBHN LE TB'!$R:$R,'LE P&amp;L'!$A40,'YBHN LE TB'!D:D)</f>
        <v/>
      </c>
      <c r="Q40" s="37">
        <f>SUMIF('YBHN LE TB'!$R:$R,'LE P&amp;L'!$A40,'YBHN LE TB'!E:E)</f>
        <v/>
      </c>
      <c r="R40" s="37">
        <f>SUMIF('YBHN LE TB'!$R:$R,'LE P&amp;L'!$A40,'YBHN LE TB'!F:F)</f>
        <v/>
      </c>
      <c r="S40" s="37">
        <f>SUMIF('YBHN LE TB'!$R:$R,'LE P&amp;L'!$A40,'YBHN LE TB'!G:G)</f>
        <v/>
      </c>
      <c r="T40" s="37">
        <f>SUMIF('YBHN LE TB'!$R:$R,'LE P&amp;L'!$A40,'YBHN LE TB'!H:H)</f>
        <v/>
      </c>
      <c r="U40" s="37">
        <f>SUMIF('YBHN LE TB'!$R:$R,'LE P&amp;L'!$A40,'YBHN LE TB'!I:I)</f>
        <v/>
      </c>
      <c r="V40" s="38" t="n">
        <v>200</v>
      </c>
      <c r="W40" s="38" t="n">
        <v>200</v>
      </c>
      <c r="X40" s="38" t="n">
        <v>200</v>
      </c>
      <c r="Y40" s="38" t="n">
        <v>200</v>
      </c>
      <c r="Z40" s="38" t="n">
        <v>200</v>
      </c>
      <c r="AA40" s="36">
        <f>SUM(O40:U40)</f>
        <v/>
      </c>
      <c r="AB40" s="36">
        <f>SUM(O40:Z40)</f>
        <v/>
      </c>
      <c r="AC40" s="38" t="n">
        <v>200</v>
      </c>
      <c r="AD40" s="38" t="n">
        <v>200</v>
      </c>
      <c r="AE40" s="38" t="n">
        <v>200</v>
      </c>
      <c r="AF40" s="38" t="n">
        <v>200</v>
      </c>
      <c r="AG40" s="38" t="n">
        <v>200</v>
      </c>
      <c r="AH40" s="38" t="n">
        <v>200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346.68</v>
      </c>
      <c r="C41" s="35" t="n">
        <v>537.6600000000001</v>
      </c>
      <c r="D41" s="35" t="n">
        <v>397.6799999999999</v>
      </c>
      <c r="E41" s="35" t="n">
        <v>356.33</v>
      </c>
      <c r="F41" s="35" t="n">
        <v>380.74</v>
      </c>
      <c r="G41" s="35" t="n">
        <v>446.01</v>
      </c>
      <c r="H41" s="35" t="n">
        <v>380.74</v>
      </c>
      <c r="I41" s="35" t="n">
        <v>551.72</v>
      </c>
      <c r="J41" s="35" t="n">
        <v>434.15</v>
      </c>
      <c r="K41" s="35" t="n">
        <v>431.14</v>
      </c>
      <c r="L41" s="35" t="n">
        <v>389.72</v>
      </c>
      <c r="M41" s="35" t="n">
        <v>443.13</v>
      </c>
      <c r="N41" s="36">
        <f>SUM(B41:M41)</f>
        <v/>
      </c>
      <c r="O41" s="37">
        <f>SUMIF('YBHN LE TB'!$R:$R,'LE P&amp;L'!$A41,'YBHN LE TB'!C:C)</f>
        <v/>
      </c>
      <c r="P41" s="37">
        <f>SUMIF('YBHN LE TB'!$R:$R,'LE P&amp;L'!$A41,'YBHN LE TB'!D:D)</f>
        <v/>
      </c>
      <c r="Q41" s="37">
        <f>SUMIF('YBHN LE TB'!$R:$R,'LE P&amp;L'!$A41,'YBHN LE TB'!E:E)</f>
        <v/>
      </c>
      <c r="R41" s="37">
        <f>SUMIF('YBHN LE TB'!$R:$R,'LE P&amp;L'!$A41,'YBHN LE TB'!F:F)</f>
        <v/>
      </c>
      <c r="S41" s="37">
        <f>SUMIF('YBHN LE TB'!$R:$R,'LE P&amp;L'!$A41,'YBHN LE TB'!G:G)</f>
        <v/>
      </c>
      <c r="T41" s="37">
        <f>SUMIF('YBHN LE TB'!$R:$R,'LE P&amp;L'!$A41,'YBHN LE TB'!H:H)</f>
        <v/>
      </c>
      <c r="U41" s="37">
        <f>SUMIF('YBHN LE TB'!$R:$R,'LE P&amp;L'!$A41,'YBHN LE TB'!I:I)</f>
        <v/>
      </c>
      <c r="V41" s="38" t="n">
        <v>426</v>
      </c>
      <c r="W41" s="38" t="n">
        <v>426</v>
      </c>
      <c r="X41" s="38" t="n">
        <v>426</v>
      </c>
      <c r="Y41" s="38" t="n">
        <v>426</v>
      </c>
      <c r="Z41" s="38" t="n">
        <v>426</v>
      </c>
      <c r="AA41" s="36">
        <f>SUM(O41:U41)</f>
        <v/>
      </c>
      <c r="AB41" s="36">
        <f>SUM(O41:Z41)</f>
        <v/>
      </c>
      <c r="AC41" s="38" t="n">
        <v>426</v>
      </c>
      <c r="AD41" s="38" t="n">
        <v>426</v>
      </c>
      <c r="AE41" s="38" t="n">
        <v>426</v>
      </c>
      <c r="AF41" s="38" t="n">
        <v>426</v>
      </c>
      <c r="AG41" s="38" t="n">
        <v>426</v>
      </c>
      <c r="AH41" s="38" t="n">
        <v>426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27.13</v>
      </c>
      <c r="C42" s="35" t="n">
        <v>39.52</v>
      </c>
      <c r="D42" s="35" t="n">
        <v>37.15</v>
      </c>
      <c r="E42" s="35" t="n">
        <v>84.5</v>
      </c>
      <c r="F42" s="35" t="n">
        <v>28.99</v>
      </c>
      <c r="G42" s="35" t="n">
        <v>32.1</v>
      </c>
      <c r="H42" s="35" t="n">
        <v>23.58</v>
      </c>
      <c r="I42" s="35" t="n">
        <v>0</v>
      </c>
      <c r="J42" s="35" t="n">
        <v>166.43</v>
      </c>
      <c r="K42" s="35" t="n">
        <v>695.5</v>
      </c>
      <c r="L42" s="35" t="n">
        <v>0</v>
      </c>
      <c r="M42" s="35" t="n">
        <v>-413.13</v>
      </c>
      <c r="N42" s="36">
        <f>SUM(B42:M42)</f>
        <v/>
      </c>
      <c r="O42" s="37">
        <f>SUMIF('YBHN LE TB'!$R:$R,'LE P&amp;L'!$A42,'YBHN LE TB'!C:C)</f>
        <v/>
      </c>
      <c r="P42" s="37">
        <f>SUMIF('YBHN LE TB'!$R:$R,'LE P&amp;L'!$A42,'YBHN LE TB'!D:D)</f>
        <v/>
      </c>
      <c r="Q42" s="37">
        <f>SUMIF('YBHN LE TB'!$R:$R,'LE P&amp;L'!$A42,'YBHN LE TB'!E:E)</f>
        <v/>
      </c>
      <c r="R42" s="37">
        <f>SUMIF('YBHN LE TB'!$R:$R,'LE P&amp;L'!$A42,'YBHN LE TB'!F:F)</f>
        <v/>
      </c>
      <c r="S42" s="37">
        <f>SUMIF('YBHN LE TB'!$R:$R,'LE P&amp;L'!$A42,'YBHN LE TB'!G:G)</f>
        <v/>
      </c>
      <c r="T42" s="37">
        <f>SUMIF('YBHN LE TB'!$R:$R,'LE P&amp;L'!$A42,'YBHN LE TB'!H:H)</f>
        <v/>
      </c>
      <c r="U42" s="37">
        <f>SUMIF('YBHN LE TB'!$R:$R,'LE P&amp;L'!$A42,'YBHN LE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20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SUMIF('YBHN LE TB'!$R:$R,'LE P&amp;L'!$A43,'YBHN LE TB'!C:C)</f>
        <v/>
      </c>
      <c r="P43" s="37">
        <f>SUMIF('YBHN LE TB'!$R:$R,'LE P&amp;L'!$A43,'YBHN LE TB'!D:D)</f>
        <v/>
      </c>
      <c r="Q43" s="37">
        <f>SUMIF('YBHN LE TB'!$R:$R,'LE P&amp;L'!$A43,'YBHN LE TB'!E:E)</f>
        <v/>
      </c>
      <c r="R43" s="37">
        <f>SUMIF('YBHN LE TB'!$R:$R,'LE P&amp;L'!$A43,'YBHN LE TB'!F:F)</f>
        <v/>
      </c>
      <c r="S43" s="37">
        <f>SUMIF('YBHN LE TB'!$R:$R,'LE P&amp;L'!$A43,'YBHN LE TB'!G:G)</f>
        <v/>
      </c>
      <c r="T43" s="37">
        <f>SUMIF('YBHN LE TB'!$R:$R,'LE P&amp;L'!$A43,'YBHN LE TB'!H:H)</f>
        <v/>
      </c>
      <c r="U43" s="37">
        <f>SUMIF('YBHN LE TB'!$R:$R,'LE P&amp;L'!$A43,'YBHN LE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SUMIF('YBHN LE TB'!$R:$R,'LE P&amp;L'!$A44,'YBHN LE TB'!C:C)</f>
        <v/>
      </c>
      <c r="P44" s="37">
        <f>SUMIF('YBHN LE TB'!$R:$R,'LE P&amp;L'!$A44,'YBHN LE TB'!D:D)</f>
        <v/>
      </c>
      <c r="Q44" s="37">
        <f>SUMIF('YBHN LE TB'!$R:$R,'LE P&amp;L'!$A44,'YBHN LE TB'!E:E)</f>
        <v/>
      </c>
      <c r="R44" s="37">
        <f>SUMIF('YBHN LE TB'!$R:$R,'LE P&amp;L'!$A44,'YBHN LE TB'!F:F)</f>
        <v/>
      </c>
      <c r="S44" s="37">
        <f>SUMIF('YBHN LE TB'!$R:$R,'LE P&amp;L'!$A44,'YBHN LE TB'!G:G)</f>
        <v/>
      </c>
      <c r="T44" s="37">
        <f>SUMIF('YBHN LE TB'!$R:$R,'LE P&amp;L'!$A44,'YBHN LE TB'!H:H)</f>
        <v/>
      </c>
      <c r="U44" s="37">
        <f>SUMIF('YBHN LE TB'!$R:$R,'LE P&amp;L'!$A44,'YBHN LE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SUMIF('YBHN LE TB'!$R:$R,'LE P&amp;L'!$A45,'YBHN LE TB'!C:C)</f>
        <v/>
      </c>
      <c r="P45" s="37">
        <f>SUMIF('YBHN LE TB'!$R:$R,'LE P&amp;L'!$A45,'YBHN LE TB'!D:D)</f>
        <v/>
      </c>
      <c r="Q45" s="37">
        <f>SUMIF('YBHN LE TB'!$R:$R,'LE P&amp;L'!$A45,'YBHN LE TB'!E:E)</f>
        <v/>
      </c>
      <c r="R45" s="37">
        <f>SUMIF('YBHN LE TB'!$R:$R,'LE P&amp;L'!$A45,'YBHN LE TB'!F:F)</f>
        <v/>
      </c>
      <c r="S45" s="37">
        <f>SUMIF('YBHN LE TB'!$R:$R,'LE P&amp;L'!$A45,'YBHN LE TB'!G:G)</f>
        <v/>
      </c>
      <c r="T45" s="37">
        <f>SUMIF('YBHN LE TB'!$R:$R,'LE P&amp;L'!$A45,'YBHN LE TB'!H:H)</f>
        <v/>
      </c>
      <c r="U45" s="37">
        <f>SUMIF('YBHN LE TB'!$R:$R,'LE P&amp;L'!$A45,'YBHN LE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SUMIF('YBHN LE TB'!$R:$R,'LE P&amp;L'!$A46,'YBHN LE TB'!C:C)</f>
        <v/>
      </c>
      <c r="P46" s="37">
        <f>SUMIF('YBHN LE TB'!$R:$R,'LE P&amp;L'!$A46,'YBHN LE TB'!D:D)</f>
        <v/>
      </c>
      <c r="Q46" s="37">
        <f>SUMIF('YBHN LE TB'!$R:$R,'LE P&amp;L'!$A46,'YBHN LE TB'!E:E)</f>
        <v/>
      </c>
      <c r="R46" s="37">
        <f>SUMIF('YBHN LE TB'!$R:$R,'LE P&amp;L'!$A46,'YBHN LE TB'!F:F)</f>
        <v/>
      </c>
      <c r="S46" s="37">
        <f>SUMIF('YBHN LE TB'!$R:$R,'LE P&amp;L'!$A46,'YBHN LE TB'!G:G)</f>
        <v/>
      </c>
      <c r="T46" s="37">
        <f>SUMIF('YBHN LE TB'!$R:$R,'LE P&amp;L'!$A46,'YBHN LE TB'!H:H)</f>
        <v/>
      </c>
      <c r="U46" s="37">
        <f>SUMIF('YBHN LE TB'!$R:$R,'LE P&amp;L'!$A46,'YBHN LE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2827.4</v>
      </c>
      <c r="C47" s="42" t="n">
        <v>3435.96</v>
      </c>
      <c r="D47" s="42" t="n">
        <v>5956.86</v>
      </c>
      <c r="E47" s="42" t="n">
        <v>4308.93</v>
      </c>
      <c r="F47" s="42" t="n">
        <v>1457.27</v>
      </c>
      <c r="G47" s="42" t="n">
        <v>2325.35</v>
      </c>
      <c r="H47" s="42" t="n">
        <v>2186.25</v>
      </c>
      <c r="I47" s="42" t="n">
        <v>4078.35</v>
      </c>
      <c r="J47" s="42" t="n">
        <v>2859.18</v>
      </c>
      <c r="K47" s="42" t="n">
        <v>4402.71</v>
      </c>
      <c r="L47" s="42" t="n">
        <v>3848.54</v>
      </c>
      <c r="M47" s="42" t="n">
        <v>4815.28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27292.31</v>
      </c>
      <c r="C48" s="23" t="n">
        <v>27590.43</v>
      </c>
      <c r="D48" s="23" t="n">
        <v>31656.1</v>
      </c>
      <c r="E48" s="23" t="n">
        <v>34173.32</v>
      </c>
      <c r="F48" s="23" t="n">
        <v>29867.84</v>
      </c>
      <c r="G48" s="23" t="n">
        <v>30011.97</v>
      </c>
      <c r="H48" s="23" t="n">
        <v>30491.5</v>
      </c>
      <c r="I48" s="23" t="n">
        <v>26940.59</v>
      </c>
      <c r="J48" s="23" t="n">
        <v>26005.71</v>
      </c>
      <c r="K48" s="23" t="n">
        <v>28836.27</v>
      </c>
      <c r="L48" s="23" t="n">
        <v>27560.15000000001</v>
      </c>
      <c r="M48" s="23" t="n">
        <v>28824.44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14736.45</v>
      </c>
      <c r="C50" s="55" t="n">
        <v>10496.75999999999</v>
      </c>
      <c r="D50" s="55" t="n">
        <v>12634.9</v>
      </c>
      <c r="E50" s="55" t="n">
        <v>6084.239999999998</v>
      </c>
      <c r="F50" s="55" t="n">
        <v>9503.759999999998</v>
      </c>
      <c r="G50" s="55" t="n">
        <v>8646.32</v>
      </c>
      <c r="H50" s="55" t="n">
        <v>25970.27999999999</v>
      </c>
      <c r="I50" s="55" t="n">
        <v>4331.549999999996</v>
      </c>
      <c r="J50" s="55" t="n">
        <v>2517.939999999999</v>
      </c>
      <c r="K50" s="55" t="n">
        <v>2547.390000000007</v>
      </c>
      <c r="L50" s="55" t="n">
        <v>9147.700000000001</v>
      </c>
      <c r="M50" s="55" t="n">
        <v>8650.330000000009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SUMIF('YBHN LE TB'!$R:$R,'LE P&amp;L'!$A53,'YBHN LE TB'!C:C)</f>
        <v/>
      </c>
      <c r="P53" s="37">
        <f>SUMIF('YBHN LE TB'!$R:$R,'LE P&amp;L'!$A53,'YBHN LE TB'!D:D)</f>
        <v/>
      </c>
      <c r="Q53" s="37">
        <f>SUMIF('YBHN LE TB'!$R:$R,'LE P&amp;L'!$A53,'YBHN LE TB'!E:E)</f>
        <v/>
      </c>
      <c r="R53" s="37">
        <f>SUMIF('YBHN LE TB'!$R:$R,'LE P&amp;L'!$A53,'YBHN LE TB'!F:F)</f>
        <v/>
      </c>
      <c r="S53" s="37">
        <f>SUMIF('YBHN LE TB'!$R:$R,'LE P&amp;L'!$A53,'YBHN LE TB'!G:G)</f>
        <v/>
      </c>
      <c r="T53" s="37">
        <f>SUMIF('YBHN LE TB'!$R:$R,'LE P&amp;L'!$A53,'YBHN LE TB'!H:H)</f>
        <v/>
      </c>
      <c r="U53" s="37">
        <f>SUMIF('YBHN LE TB'!$R:$R,'LE P&amp;L'!$A53,'YBHN LE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SUMIF('YBHN LE TB'!$R:$R,'LE P&amp;L'!$A54,'YBHN LE TB'!C:C)</f>
        <v/>
      </c>
      <c r="P54" s="37">
        <f>SUMIF('YBHN LE TB'!$R:$R,'LE P&amp;L'!$A54,'YBHN LE TB'!D:D)</f>
        <v/>
      </c>
      <c r="Q54" s="37">
        <f>SUMIF('YBHN LE TB'!$R:$R,'LE P&amp;L'!$A54,'YBHN LE TB'!E:E)</f>
        <v/>
      </c>
      <c r="R54" s="37">
        <f>SUMIF('YBHN LE TB'!$R:$R,'LE P&amp;L'!$A54,'YBHN LE TB'!F:F)</f>
        <v/>
      </c>
      <c r="S54" s="37">
        <f>SUMIF('YBHN LE TB'!$R:$R,'LE P&amp;L'!$A54,'YBHN LE TB'!G:G)</f>
        <v/>
      </c>
      <c r="T54" s="37">
        <f>SUMIF('YBHN LE TB'!$R:$R,'LE P&amp;L'!$A54,'YBHN LE TB'!H:H)</f>
        <v/>
      </c>
      <c r="U54" s="37">
        <f>SUMIF('YBHN LE TB'!$R:$R,'LE P&amp;L'!$A54,'YBHN LE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SUMIF('YBHN LE TB'!$R:$R,'LE P&amp;L'!$A55,'YBHN LE TB'!C:C)</f>
        <v/>
      </c>
      <c r="P55" s="37">
        <f>SUMIF('YBHN LE TB'!$R:$R,'LE P&amp;L'!$A55,'YBHN LE TB'!D:D)</f>
        <v/>
      </c>
      <c r="Q55" s="37">
        <f>SUMIF('YBHN LE TB'!$R:$R,'LE P&amp;L'!$A55,'YBHN LE TB'!E:E)</f>
        <v/>
      </c>
      <c r="R55" s="37">
        <f>SUMIF('YBHN LE TB'!$R:$R,'LE P&amp;L'!$A55,'YBHN LE TB'!F:F)</f>
        <v/>
      </c>
      <c r="S55" s="37">
        <f>SUMIF('YBHN LE TB'!$R:$R,'LE P&amp;L'!$A55,'YBHN LE TB'!G:G)</f>
        <v/>
      </c>
      <c r="T55" s="37">
        <f>SUMIF('YBHN LE TB'!$R:$R,'LE P&amp;L'!$A55,'YBHN LE TB'!H:H)</f>
        <v/>
      </c>
      <c r="U55" s="37">
        <f>SUMIF('YBHN LE TB'!$R:$R,'LE P&amp;L'!$A55,'YBHN LE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SUMIF('YBHN LE TB'!$R:$R,'LE P&amp;L'!$A56,'YBHN LE TB'!C:C)</f>
        <v/>
      </c>
      <c r="P56" s="37">
        <f>SUMIF('YBHN LE TB'!$R:$R,'LE P&amp;L'!$A56,'YBHN LE TB'!D:D)</f>
        <v/>
      </c>
      <c r="Q56" s="37">
        <f>SUMIF('YBHN LE TB'!$R:$R,'LE P&amp;L'!$A56,'YBHN LE TB'!E:E)</f>
        <v/>
      </c>
      <c r="R56" s="37">
        <f>SUMIF('YBHN LE TB'!$R:$R,'LE P&amp;L'!$A56,'YBHN LE TB'!F:F)</f>
        <v/>
      </c>
      <c r="S56" s="37">
        <f>SUMIF('YBHN LE TB'!$R:$R,'LE P&amp;L'!$A56,'YBHN LE TB'!G:G)</f>
        <v/>
      </c>
      <c r="T56" s="37">
        <f>SUMIF('YBHN LE TB'!$R:$R,'LE P&amp;L'!$A56,'YBHN LE TB'!H:H)</f>
        <v/>
      </c>
      <c r="U56" s="37">
        <f>SUMIF('YBHN LE TB'!$R:$R,'LE P&amp;L'!$A56,'YBHN LE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258.01</v>
      </c>
      <c r="N57" s="36">
        <f>SUM(B57:M57)</f>
        <v/>
      </c>
      <c r="O57" s="37">
        <f>SUMIF('YBHN LE TB'!$R:$R,'LE P&amp;L'!$A57,'YBHN LE TB'!C:C)</f>
        <v/>
      </c>
      <c r="P57" s="37">
        <f>SUMIF('YBHN LE TB'!$R:$R,'LE P&amp;L'!$A57,'YBHN LE TB'!D:D)</f>
        <v/>
      </c>
      <c r="Q57" s="37">
        <f>SUMIF('YBHN LE TB'!$R:$R,'LE P&amp;L'!$A57,'YBHN LE TB'!E:E)</f>
        <v/>
      </c>
      <c r="R57" s="37">
        <f>SUMIF('YBHN LE TB'!$R:$R,'LE P&amp;L'!$A57,'YBHN LE TB'!F:F)</f>
        <v/>
      </c>
      <c r="S57" s="37">
        <f>SUMIF('YBHN LE TB'!$R:$R,'LE P&amp;L'!$A57,'YBHN LE TB'!G:G)</f>
        <v/>
      </c>
      <c r="T57" s="37">
        <f>SUMIF('YBHN LE TB'!$R:$R,'LE P&amp;L'!$A57,'YBHN LE TB'!H:H)</f>
        <v/>
      </c>
      <c r="U57" s="37">
        <f>SUMIF('YBHN LE TB'!$R:$R,'LE P&amp;L'!$A57,'YBHN LE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SUMIF('YBHN LE TB'!$R:$R,'LE P&amp;L'!$A58,'YBHN LE TB'!C:C)</f>
        <v/>
      </c>
      <c r="P58" s="37">
        <f>SUMIF('YBHN LE TB'!$R:$R,'LE P&amp;L'!$A58,'YBHN LE TB'!D:D)</f>
        <v/>
      </c>
      <c r="Q58" s="37">
        <f>SUMIF('YBHN LE TB'!$R:$R,'LE P&amp;L'!$A58,'YBHN LE TB'!E:E)</f>
        <v/>
      </c>
      <c r="R58" s="37">
        <f>SUMIF('YBHN LE TB'!$R:$R,'LE P&amp;L'!$A58,'YBHN LE TB'!F:F)</f>
        <v/>
      </c>
      <c r="S58" s="37">
        <f>SUMIF('YBHN LE TB'!$R:$R,'LE P&amp;L'!$A58,'YBHN LE TB'!G:G)</f>
        <v/>
      </c>
      <c r="T58" s="37">
        <f>SUMIF('YBHN LE TB'!$R:$R,'LE P&amp;L'!$A58,'YBHN LE TB'!H:H)</f>
        <v/>
      </c>
      <c r="U58" s="37">
        <f>SUMIF('YBHN LE TB'!$R:$R,'LE P&amp;L'!$A58,'YBHN LE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201.37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SUMIF('YBHN LE TB'!$R:$R,'LE P&amp;L'!$A59,'YBHN LE TB'!C:C)</f>
        <v/>
      </c>
      <c r="P59" s="37">
        <f>SUMIF('YBHN LE TB'!$R:$R,'LE P&amp;L'!$A59,'YBHN LE TB'!D:D)</f>
        <v/>
      </c>
      <c r="Q59" s="37">
        <f>SUMIF('YBHN LE TB'!$R:$R,'LE P&amp;L'!$A59,'YBHN LE TB'!E:E)</f>
        <v/>
      </c>
      <c r="R59" s="37">
        <f>SUMIF('YBHN LE TB'!$R:$R,'LE P&amp;L'!$A59,'YBHN LE TB'!F:F)</f>
        <v/>
      </c>
      <c r="S59" s="37">
        <f>SUMIF('YBHN LE TB'!$R:$R,'LE P&amp;L'!$A59,'YBHN LE TB'!G:G)</f>
        <v/>
      </c>
      <c r="T59" s="37">
        <f>SUMIF('YBHN LE TB'!$R:$R,'LE P&amp;L'!$A59,'YBHN LE TB'!H:H)</f>
        <v/>
      </c>
      <c r="U59" s="37">
        <f>SUMIF('YBHN LE TB'!$R:$R,'LE P&amp;L'!$A59,'YBHN LE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0.6</v>
      </c>
      <c r="C60" s="35" t="n">
        <v>2.4</v>
      </c>
      <c r="D60" s="35" t="n">
        <v>136.41</v>
      </c>
      <c r="E60" s="35" t="n">
        <v>530.78</v>
      </c>
      <c r="F60" s="35" t="n">
        <v>1.8</v>
      </c>
      <c r="G60" s="35" t="n">
        <v>47.4</v>
      </c>
      <c r="H60" s="35" t="n">
        <v>1.8</v>
      </c>
      <c r="I60" s="35" t="n">
        <v>1.8</v>
      </c>
      <c r="J60" s="35" t="n">
        <v>1.8</v>
      </c>
      <c r="K60" s="35" t="n">
        <v>68.8</v>
      </c>
      <c r="L60" s="35" t="n">
        <v>46.2</v>
      </c>
      <c r="M60" s="35" t="n">
        <v>221.8</v>
      </c>
      <c r="N60" s="36">
        <f>SUM(B60:M60)</f>
        <v/>
      </c>
      <c r="O60" s="37">
        <f>SUMIF('YBHN LE TB'!$R:$R,'LE P&amp;L'!$A60,'YBHN LE TB'!C:C)</f>
        <v/>
      </c>
      <c r="P60" s="37">
        <f>SUMIF('YBHN LE TB'!$R:$R,'LE P&amp;L'!$A60,'YBHN LE TB'!D:D)</f>
        <v/>
      </c>
      <c r="Q60" s="37">
        <f>SUMIF('YBHN LE TB'!$R:$R,'LE P&amp;L'!$A60,'YBHN LE TB'!E:E)</f>
        <v/>
      </c>
      <c r="R60" s="37">
        <f>SUMIF('YBHN LE TB'!$R:$R,'LE P&amp;L'!$A60,'YBHN LE TB'!F:F)</f>
        <v/>
      </c>
      <c r="S60" s="37">
        <f>SUMIF('YBHN LE TB'!$R:$R,'LE P&amp;L'!$A60,'YBHN LE TB'!G:G)</f>
        <v/>
      </c>
      <c r="T60" s="37">
        <f>SUMIF('YBHN LE TB'!$R:$R,'LE P&amp;L'!$A60,'YBHN LE TB'!H:H)</f>
        <v/>
      </c>
      <c r="U60" s="37">
        <f>SUMIF('YBHN LE TB'!$R:$R,'LE P&amp;L'!$A60,'YBHN LE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57.93000000000001</v>
      </c>
      <c r="E61" s="35" t="n">
        <v>0</v>
      </c>
      <c r="F61" s="35" t="n">
        <v>68.36</v>
      </c>
      <c r="G61" s="35" t="n">
        <v>8.99</v>
      </c>
      <c r="H61" s="35" t="n">
        <v>6.48</v>
      </c>
      <c r="I61" s="35" t="n">
        <v>0</v>
      </c>
      <c r="J61" s="35" t="n">
        <v>19.94</v>
      </c>
      <c r="K61" s="35" t="n">
        <v>88.73</v>
      </c>
      <c r="L61" s="35" t="n">
        <v>7.29</v>
      </c>
      <c r="M61" s="35" t="n">
        <v>70</v>
      </c>
      <c r="N61" s="36">
        <f>SUM(B61:M61)</f>
        <v/>
      </c>
      <c r="O61" s="37">
        <f>SUMIF('YBHN LE TB'!$R:$R,'LE P&amp;L'!$A61,'YBHN LE TB'!C:C)</f>
        <v/>
      </c>
      <c r="P61" s="37">
        <f>SUMIF('YBHN LE TB'!$R:$R,'LE P&amp;L'!$A61,'YBHN LE TB'!D:D)</f>
        <v/>
      </c>
      <c r="Q61" s="37">
        <f>SUMIF('YBHN LE TB'!$R:$R,'LE P&amp;L'!$A61,'YBHN LE TB'!E:E)</f>
        <v/>
      </c>
      <c r="R61" s="37">
        <f>SUMIF('YBHN LE TB'!$R:$R,'LE P&amp;L'!$A61,'YBHN LE TB'!F:F)</f>
        <v/>
      </c>
      <c r="S61" s="37">
        <f>SUMIF('YBHN LE TB'!$R:$R,'LE P&amp;L'!$A61,'YBHN LE TB'!G:G)</f>
        <v/>
      </c>
      <c r="T61" s="37">
        <f>SUMIF('YBHN LE TB'!$R:$R,'LE P&amp;L'!$A61,'YBHN LE TB'!H:H)</f>
        <v/>
      </c>
      <c r="U61" s="37">
        <f>SUMIF('YBHN LE TB'!$R:$R,'LE P&amp;L'!$A61,'YBHN LE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14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70</v>
      </c>
      <c r="L62" s="35" t="n">
        <v>0</v>
      </c>
      <c r="M62" s="35" t="n">
        <v>0</v>
      </c>
      <c r="N62" s="36">
        <f>SUM(B62:M62)</f>
        <v/>
      </c>
      <c r="O62" s="37">
        <f>SUMIF('YBHN LE TB'!$R:$R,'LE P&amp;L'!$A62,'YBHN LE TB'!C:C)</f>
        <v/>
      </c>
      <c r="P62" s="37">
        <f>SUMIF('YBHN LE TB'!$R:$R,'LE P&amp;L'!$A62,'YBHN LE TB'!D:D)</f>
        <v/>
      </c>
      <c r="Q62" s="37">
        <f>SUMIF('YBHN LE TB'!$R:$R,'LE P&amp;L'!$A62,'YBHN LE TB'!E:E)</f>
        <v/>
      </c>
      <c r="R62" s="37">
        <f>SUMIF('YBHN LE TB'!$R:$R,'LE P&amp;L'!$A62,'YBHN LE TB'!F:F)</f>
        <v/>
      </c>
      <c r="S62" s="37">
        <f>SUMIF('YBHN LE TB'!$R:$R,'LE P&amp;L'!$A62,'YBHN LE TB'!G:G)</f>
        <v/>
      </c>
      <c r="T62" s="37">
        <f>SUMIF('YBHN LE TB'!$R:$R,'LE P&amp;L'!$A62,'YBHN LE TB'!H:H)</f>
        <v/>
      </c>
      <c r="U62" s="37">
        <f>SUMIF('YBHN LE TB'!$R:$R,'LE P&amp;L'!$A62,'YBHN LE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SUMIF('YBHN LE TB'!$R:$R,'LE P&amp;L'!$A63,'YBHN LE TB'!C:C)</f>
        <v/>
      </c>
      <c r="P63" s="37">
        <f>SUMIF('YBHN LE TB'!$R:$R,'LE P&amp;L'!$A63,'YBHN LE TB'!D:D)</f>
        <v/>
      </c>
      <c r="Q63" s="37">
        <f>SUMIF('YBHN LE TB'!$R:$R,'LE P&amp;L'!$A63,'YBHN LE TB'!E:E)</f>
        <v/>
      </c>
      <c r="R63" s="37">
        <f>SUMIF('YBHN LE TB'!$R:$R,'LE P&amp;L'!$A63,'YBHN LE TB'!F:F)</f>
        <v/>
      </c>
      <c r="S63" s="37">
        <f>SUMIF('YBHN LE TB'!$R:$R,'LE P&amp;L'!$A63,'YBHN LE TB'!G:G)</f>
        <v/>
      </c>
      <c r="T63" s="37">
        <f>SUMIF('YBHN LE TB'!$R:$R,'LE P&amp;L'!$A63,'YBHN LE TB'!H:H)</f>
        <v/>
      </c>
      <c r="U63" s="37">
        <f>SUMIF('YBHN LE TB'!$R:$R,'LE P&amp;L'!$A63,'YBHN LE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SUMIF('YBHN LE TB'!$R:$R,'LE P&amp;L'!$A64,'YBHN LE TB'!C:C)</f>
        <v/>
      </c>
      <c r="P64" s="37">
        <f>SUMIF('YBHN LE TB'!$R:$R,'LE P&amp;L'!$A64,'YBHN LE TB'!D:D)</f>
        <v/>
      </c>
      <c r="Q64" s="37">
        <f>SUMIF('YBHN LE TB'!$R:$R,'LE P&amp;L'!$A64,'YBHN LE TB'!E:E)</f>
        <v/>
      </c>
      <c r="R64" s="37">
        <f>SUMIF('YBHN LE TB'!$R:$R,'LE P&amp;L'!$A64,'YBHN LE TB'!F:F)</f>
        <v/>
      </c>
      <c r="S64" s="37">
        <f>SUMIF('YBHN LE TB'!$R:$R,'LE P&amp;L'!$A64,'YBHN LE TB'!G:G)</f>
        <v/>
      </c>
      <c r="T64" s="37">
        <f>SUMIF('YBHN LE TB'!$R:$R,'LE P&amp;L'!$A64,'YBHN LE TB'!H:H)</f>
        <v/>
      </c>
      <c r="U64" s="37">
        <f>SUMIF('YBHN LE TB'!$R:$R,'LE P&amp;L'!$A64,'YBHN LE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SUMIF('YBHN LE TB'!$R:$R,'LE P&amp;L'!$A65,'YBHN LE TB'!C:C)</f>
        <v/>
      </c>
      <c r="P65" s="37">
        <f>SUMIF('YBHN LE TB'!$R:$R,'LE P&amp;L'!$A65,'YBHN LE TB'!D:D)</f>
        <v/>
      </c>
      <c r="Q65" s="37">
        <f>SUMIF('YBHN LE TB'!$R:$R,'LE P&amp;L'!$A65,'YBHN LE TB'!E:E)</f>
        <v/>
      </c>
      <c r="R65" s="37">
        <f>SUMIF('YBHN LE TB'!$R:$R,'LE P&amp;L'!$A65,'YBHN LE TB'!F:F)</f>
        <v/>
      </c>
      <c r="S65" s="37">
        <f>SUMIF('YBHN LE TB'!$R:$R,'LE P&amp;L'!$A65,'YBHN LE TB'!G:G)</f>
        <v/>
      </c>
      <c r="T65" s="37">
        <f>SUMIF('YBHN LE TB'!$R:$R,'LE P&amp;L'!$A65,'YBHN LE TB'!H:H)</f>
        <v/>
      </c>
      <c r="U65" s="37">
        <f>SUMIF('YBHN LE TB'!$R:$R,'LE P&amp;L'!$A65,'YBHN LE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SUMIF('YBHN LE TB'!$R:$R,'LE P&amp;L'!$A66,'YBHN LE TB'!C:C)</f>
        <v/>
      </c>
      <c r="P66" s="37">
        <f>SUMIF('YBHN LE TB'!$R:$R,'LE P&amp;L'!$A66,'YBHN LE TB'!D:D)</f>
        <v/>
      </c>
      <c r="Q66" s="37">
        <f>SUMIF('YBHN LE TB'!$R:$R,'LE P&amp;L'!$A66,'YBHN LE TB'!E:E)</f>
        <v/>
      </c>
      <c r="R66" s="37">
        <f>SUMIF('YBHN LE TB'!$R:$R,'LE P&amp;L'!$A66,'YBHN LE TB'!F:F)</f>
        <v/>
      </c>
      <c r="S66" s="37">
        <f>SUMIF('YBHN LE TB'!$R:$R,'LE P&amp;L'!$A66,'YBHN LE TB'!G:G)</f>
        <v/>
      </c>
      <c r="T66" s="37">
        <f>SUMIF('YBHN LE TB'!$R:$R,'LE P&amp;L'!$A66,'YBHN LE TB'!H:H)</f>
        <v/>
      </c>
      <c r="U66" s="37">
        <f>SUMIF('YBHN LE TB'!$R:$R,'LE P&amp;L'!$A66,'YBHN LE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SUMIF('YBHN LE TB'!$R:$R,'LE P&amp;L'!$A67,'YBHN LE TB'!C:C)</f>
        <v/>
      </c>
      <c r="P67" s="37">
        <f>SUMIF('YBHN LE TB'!$R:$R,'LE P&amp;L'!$A67,'YBHN LE TB'!D:D)</f>
        <v/>
      </c>
      <c r="Q67" s="37">
        <f>SUMIF('YBHN LE TB'!$R:$R,'LE P&amp;L'!$A67,'YBHN LE TB'!E:E)</f>
        <v/>
      </c>
      <c r="R67" s="37">
        <f>SUMIF('YBHN LE TB'!$R:$R,'LE P&amp;L'!$A67,'YBHN LE TB'!F:F)</f>
        <v/>
      </c>
      <c r="S67" s="37">
        <f>SUMIF('YBHN LE TB'!$R:$R,'LE P&amp;L'!$A67,'YBHN LE TB'!G:G)</f>
        <v/>
      </c>
      <c r="T67" s="37">
        <f>SUMIF('YBHN LE TB'!$R:$R,'LE P&amp;L'!$A67,'YBHN LE TB'!H:H)</f>
        <v/>
      </c>
      <c r="U67" s="37">
        <f>SUMIF('YBHN LE TB'!$R:$R,'LE P&amp;L'!$A67,'YBHN LE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SUMIF('YBHN LE TB'!$R:$R,'LE P&amp;L'!$A68,'YBHN LE TB'!C:C)</f>
        <v/>
      </c>
      <c r="P68" s="37">
        <f>SUMIF('YBHN LE TB'!$R:$R,'LE P&amp;L'!$A68,'YBHN LE TB'!D:D)</f>
        <v/>
      </c>
      <c r="Q68" s="37">
        <f>SUMIF('YBHN LE TB'!$R:$R,'LE P&amp;L'!$A68,'YBHN LE TB'!E:E)</f>
        <v/>
      </c>
      <c r="R68" s="37">
        <f>SUMIF('YBHN LE TB'!$R:$R,'LE P&amp;L'!$A68,'YBHN LE TB'!F:F)</f>
        <v/>
      </c>
      <c r="S68" s="37">
        <f>SUMIF('YBHN LE TB'!$R:$R,'LE P&amp;L'!$A68,'YBHN LE TB'!G:G)</f>
        <v/>
      </c>
      <c r="T68" s="37">
        <f>SUMIF('YBHN LE TB'!$R:$R,'LE P&amp;L'!$A68,'YBHN LE TB'!H:H)</f>
        <v/>
      </c>
      <c r="U68" s="37">
        <f>SUMIF('YBHN LE TB'!$R:$R,'LE P&amp;L'!$A68,'YBHN LE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215.98</v>
      </c>
      <c r="C69" s="42" t="n">
        <v>203.78</v>
      </c>
      <c r="D69" s="42" t="n">
        <v>395.72</v>
      </c>
      <c r="E69" s="42" t="n">
        <v>732.16</v>
      </c>
      <c r="F69" s="42" t="n">
        <v>271.53</v>
      </c>
      <c r="G69" s="42" t="n">
        <v>257.77</v>
      </c>
      <c r="H69" s="42" t="n">
        <v>209.66</v>
      </c>
      <c r="I69" s="42" t="n">
        <v>203.18</v>
      </c>
      <c r="J69" s="42" t="n">
        <v>223.12</v>
      </c>
      <c r="K69" s="42" t="n">
        <v>442.33</v>
      </c>
      <c r="L69" s="42" t="n">
        <v>268.29</v>
      </c>
      <c r="M69" s="42" t="n">
        <v>764.61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14520.47</v>
      </c>
      <c r="C70" s="55" t="n">
        <v>10292.97999999999</v>
      </c>
      <c r="D70" s="55" t="n">
        <v>12239.18</v>
      </c>
      <c r="E70" s="55" t="n">
        <v>5352.079999999998</v>
      </c>
      <c r="F70" s="55" t="n">
        <v>9232.229999999998</v>
      </c>
      <c r="G70" s="55" t="n">
        <v>8388.549999999999</v>
      </c>
      <c r="H70" s="55" t="n">
        <v>25760.61999999999</v>
      </c>
      <c r="I70" s="55" t="n">
        <v>4128.369999999995</v>
      </c>
      <c r="J70" s="55" t="n">
        <v>2294.819999999999</v>
      </c>
      <c r="K70" s="55" t="n">
        <v>2105.060000000007</v>
      </c>
      <c r="L70" s="55" t="n">
        <v>8879.41</v>
      </c>
      <c r="M70" s="55" t="n">
        <v>7885.720000000009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40" t="n"/>
      <c r="AK72" s="40" t="n"/>
      <c r="AL72" s="40" t="n"/>
      <c r="AM72" s="40" t="n"/>
      <c r="AN72" s="40" t="n"/>
      <c r="AO72" s="40" t="n"/>
      <c r="AP72" s="40" t="n"/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8" t="n"/>
      <c r="AJ73" s="59" t="inlineStr">
        <is>
          <t>Model assumptions 2027:</t>
        </is>
      </c>
      <c r="AK73" s="8" t="n"/>
      <c r="AL73" s="8" t="n"/>
      <c r="AM73" s="8" t="n"/>
      <c r="AN73" s="40" t="n"/>
      <c r="AO73" s="40" t="n"/>
      <c r="AP73" s="40" t="n"/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40" t="n"/>
      <c r="AO74" s="40" t="n"/>
      <c r="AP74" s="40" t="n"/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40" t="n"/>
      <c r="AO75" s="40" t="n"/>
      <c r="AP75" s="40" t="n"/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40" t="n"/>
      <c r="AO76" s="40" t="n"/>
      <c r="AP76" s="40" t="n"/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40" t="n"/>
      <c r="AO77" s="40" t="n"/>
      <c r="AP77" s="40" t="n"/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14520.47</v>
      </c>
      <c r="C79" s="57" t="n">
        <v>10292.97999999999</v>
      </c>
      <c r="D79" s="57" t="n">
        <v>12239.18</v>
      </c>
      <c r="E79" s="57" t="n">
        <v>5352.079999999998</v>
      </c>
      <c r="F79" s="57" t="n">
        <v>9232.229999999998</v>
      </c>
      <c r="G79" s="57" t="n">
        <v>8388.549999999999</v>
      </c>
      <c r="H79" s="57" t="n">
        <v>25760.61999999999</v>
      </c>
      <c r="I79" s="57" t="n">
        <v>4128.369999999995</v>
      </c>
      <c r="J79" s="57" t="n">
        <v>2294.819999999999</v>
      </c>
      <c r="K79" s="57" t="n">
        <v>2105.060000000007</v>
      </c>
      <c r="L79" s="57" t="n">
        <v>8879.41</v>
      </c>
      <c r="M79" s="57" t="n">
        <v>7885.720000000009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5">
        <f>U70+SUM(U73:U78)</f>
        <v/>
      </c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8" t="n"/>
      <c r="AJ79" s="56" t="n"/>
      <c r="AK79" s="56" t="n"/>
      <c r="AL79" s="56" t="n"/>
      <c r="AM79" s="56" t="n"/>
      <c r="AN79" s="56" t="n"/>
      <c r="AO79" s="56" t="n"/>
      <c r="AP79" s="56" t="n"/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42028.76</v>
      </c>
      <c r="C87" s="60" t="n">
        <v>38087.19</v>
      </c>
      <c r="D87" s="60" t="n">
        <v>44291</v>
      </c>
      <c r="E87" s="60" t="n">
        <v>40257.56</v>
      </c>
      <c r="F87" s="60" t="n">
        <v>39371.6</v>
      </c>
      <c r="G87" s="60" t="n">
        <v>38658.29</v>
      </c>
      <c r="H87" s="60" t="n">
        <v>56461.77999999999</v>
      </c>
      <c r="I87" s="60" t="n">
        <v>31272.14</v>
      </c>
      <c r="J87" s="60" t="n">
        <v>28523.65</v>
      </c>
      <c r="K87" s="60" t="n">
        <v>31383.66</v>
      </c>
      <c r="L87" s="60" t="n">
        <v>36707.85000000001</v>
      </c>
      <c r="M87" s="8" t="n"/>
      <c r="N87" s="8" t="n"/>
      <c r="O87" s="60">
        <f>-SUMIF('YBHN LE TB'!$T:$T,'LE P&amp;L'!$A87,'YBHN LE TB'!C:C)</f>
        <v/>
      </c>
      <c r="P87" s="60">
        <f>-SUMIF('YBHN LE TB'!$T:$T,'LE P&amp;L'!$A87,'YBHN LE TB'!D:D)</f>
        <v/>
      </c>
      <c r="Q87" s="60">
        <f>-SUMIF('YBHN LE TB'!$T:$T,'LE P&amp;L'!$A87,'YBHN LE TB'!E:E)</f>
        <v/>
      </c>
      <c r="R87" s="60">
        <f>-SUMIF('YBHN LE TB'!$T:$T,'LE P&amp;L'!$A87,'YBHN LE TB'!F:F)</f>
        <v/>
      </c>
      <c r="S87" s="60">
        <f>-SUMIF('YBHN LE TB'!$T:$T,'LE P&amp;L'!$A87,'YBHN LE TB'!G:G)</f>
        <v/>
      </c>
      <c r="T87" s="60">
        <f>-SUMIF('YBHN LE TB'!$T:$T,'LE P&amp;L'!$A87,'YBHN LE TB'!H:H)</f>
        <v/>
      </c>
      <c r="U87" s="60">
        <f>-SUMIF('YBHN LE TB'!$T:$T,'LE P&amp;L'!$A87,'YBHN LE TB'!I:I)</f>
        <v/>
      </c>
      <c r="V87" s="60">
        <f>-SUMIF('YBHN LE TB'!$T:$T,'LE P&amp;L'!$A87,'YBHN LE TB'!J:J)</f>
        <v/>
      </c>
      <c r="W87" s="60">
        <f>-SUMIF('YBHN LE TB'!$T:$T,'LE P&amp;L'!$A87,'YBHN LE TB'!K:K)</f>
        <v/>
      </c>
      <c r="X87" s="60">
        <f>-SUMIF('YBHN LE TB'!$T:$T,'LE P&amp;L'!$A87,'YBHN LE TB'!L:L)</f>
        <v/>
      </c>
      <c r="Y87" s="60">
        <f>-SUMIF('YBHN LE TB'!$T:$T,'LE P&amp;L'!$A87,'YBHN LE TB'!M:M)</f>
        <v/>
      </c>
      <c r="Z87" s="60">
        <f>-SUMIF('YBHN LE TB'!$T:$T,'LE P&amp;L'!$A87,'YBHN LE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34" t="inlineStr">
        <is>
          <t>Direct - Staff Cost</t>
        </is>
      </c>
      <c r="B88" s="18" t="n">
        <v>-22962.82999999999</v>
      </c>
      <c r="C88" s="18" t="n">
        <v>-22797.73</v>
      </c>
      <c r="D88" s="18" t="n">
        <v>-24093.15</v>
      </c>
      <c r="E88" s="18" t="n">
        <v>-28572.22</v>
      </c>
      <c r="F88" s="18" t="n">
        <v>-26799.23</v>
      </c>
      <c r="G88" s="18" t="n">
        <v>-26364.45</v>
      </c>
      <c r="H88" s="18" t="n">
        <v>-26967.23</v>
      </c>
      <c r="I88" s="18" t="n">
        <v>-21412.27</v>
      </c>
      <c r="J88" s="18" t="n">
        <v>-21400.54</v>
      </c>
      <c r="K88" s="18" t="n">
        <v>-22378.38</v>
      </c>
      <c r="L88" s="18" t="n">
        <v>-22109.79</v>
      </c>
      <c r="M88" s="18" t="n"/>
      <c r="N88" s="8" t="n"/>
      <c r="O88" s="60">
        <f>-SUMIF('YBHN LE TB'!$T:$T,'LE P&amp;L'!$A88,'YBHN LE TB'!C:C)</f>
        <v/>
      </c>
      <c r="P88" s="60">
        <f>-SUMIF('YBHN LE TB'!$T:$T,'LE P&amp;L'!$A88,'YBHN LE TB'!D:D)</f>
        <v/>
      </c>
      <c r="Q88" s="60">
        <f>-SUMIF('YBHN LE TB'!$T:$T,'LE P&amp;L'!$A88,'YBHN LE TB'!E:E)</f>
        <v/>
      </c>
      <c r="R88" s="60">
        <f>-SUMIF('YBHN LE TB'!$T:$T,'LE P&amp;L'!$A88,'YBHN LE TB'!F:F)</f>
        <v/>
      </c>
      <c r="S88" s="60">
        <f>-SUMIF('YBHN LE TB'!$T:$T,'LE P&amp;L'!$A88,'YBHN LE TB'!G:G)</f>
        <v/>
      </c>
      <c r="T88" s="60">
        <f>-SUMIF('YBHN LE TB'!$T:$T,'LE P&amp;L'!$A88,'YBHN LE TB'!H:H)</f>
        <v/>
      </c>
      <c r="U88" s="60">
        <f>-SUMIF('YBHN LE TB'!$T:$T,'LE P&amp;L'!$A88,'YBHN LE TB'!I:I)</f>
        <v/>
      </c>
      <c r="V88" s="60">
        <f>-SUMIF('YBHN LE TB'!$T:$T,'LE P&amp;L'!$A88,'YBHN LE TB'!J:J)</f>
        <v/>
      </c>
      <c r="W88" s="60">
        <f>-SUMIF('YBHN LE TB'!$T:$T,'LE P&amp;L'!$A88,'YBHN LE TB'!K:K)</f>
        <v/>
      </c>
      <c r="X88" s="60">
        <f>-SUMIF('YBHN LE TB'!$T:$T,'LE P&amp;L'!$A88,'YBHN LE TB'!L:L)</f>
        <v/>
      </c>
      <c r="Y88" s="60">
        <f>-SUMIF('YBHN LE TB'!$T:$T,'LE P&amp;L'!$A88,'YBHN LE TB'!M:M)</f>
        <v/>
      </c>
      <c r="Z88" s="60">
        <f>-SUMIF('YBHN LE TB'!$T:$T,'LE P&amp;L'!$A88,'YBHN LE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60" t="inlineStr">
        <is>
          <t>Direct - Childcare Cost</t>
        </is>
      </c>
      <c r="B89" s="18" t="n">
        <v>-1502.08</v>
      </c>
      <c r="C89" s="18" t="n">
        <v>-1356.74</v>
      </c>
      <c r="D89" s="18" t="n">
        <v>-1606.09</v>
      </c>
      <c r="E89" s="18" t="n">
        <v>-1292.17</v>
      </c>
      <c r="F89" s="18" t="n">
        <v>-1611.34</v>
      </c>
      <c r="G89" s="18" t="n">
        <v>-1322.17</v>
      </c>
      <c r="H89" s="18" t="n">
        <v>-1338.02</v>
      </c>
      <c r="I89" s="18" t="n">
        <v>-1449.97</v>
      </c>
      <c r="J89" s="18" t="n">
        <v>-1745.99</v>
      </c>
      <c r="K89" s="18" t="n">
        <v>-2055.18</v>
      </c>
      <c r="L89" s="18" t="n">
        <v>-1601.82</v>
      </c>
      <c r="M89" s="18" t="n">
        <v>-1749.6</v>
      </c>
      <c r="N89" s="8" t="n"/>
      <c r="O89" s="60">
        <f>-SUMIF('YBHN LE TB'!$T:$T,'LE P&amp;L'!$A89,'YBHN LE TB'!C:C)</f>
        <v/>
      </c>
      <c r="P89" s="60">
        <f>-SUMIF('YBHN LE TB'!$T:$T,'LE P&amp;L'!$A89,'YBHN LE TB'!D:D)</f>
        <v/>
      </c>
      <c r="Q89" s="60">
        <f>-SUMIF('YBHN LE TB'!$T:$T,'LE P&amp;L'!$A89,'YBHN LE TB'!E:E)</f>
        <v/>
      </c>
      <c r="R89" s="60">
        <f>-SUMIF('YBHN LE TB'!$T:$T,'LE P&amp;L'!$A89,'YBHN LE TB'!F:F)</f>
        <v/>
      </c>
      <c r="S89" s="60">
        <f>-SUMIF('YBHN LE TB'!$T:$T,'LE P&amp;L'!$A89,'YBHN LE TB'!G:G)</f>
        <v/>
      </c>
      <c r="T89" s="60">
        <f>-SUMIF('YBHN LE TB'!$T:$T,'LE P&amp;L'!$A89,'YBHN LE TB'!H:H)</f>
        <v/>
      </c>
      <c r="U89" s="60">
        <f>-SUMIF('YBHN LE TB'!$T:$T,'LE P&amp;L'!$A89,'YBHN LE TB'!I:I)</f>
        <v/>
      </c>
      <c r="V89" s="60">
        <f>-SUMIF('YBHN LE TB'!$T:$T,'LE P&amp;L'!$A89,'YBHN LE TB'!J:J)</f>
        <v/>
      </c>
      <c r="W89" s="60">
        <f>-SUMIF('YBHN LE TB'!$T:$T,'LE P&amp;L'!$A89,'YBHN LE TB'!K:K)</f>
        <v/>
      </c>
      <c r="X89" s="60">
        <f>-SUMIF('YBHN LE TB'!$T:$T,'LE P&amp;L'!$A89,'YBHN LE TB'!L:L)</f>
        <v/>
      </c>
      <c r="Y89" s="60">
        <f>-SUMIF('YBHN LE TB'!$T:$T,'LE P&amp;L'!$A89,'YBHN LE TB'!M:M)</f>
        <v/>
      </c>
      <c r="Z89" s="60">
        <f>-SUMIF('YBHN LE TB'!$T:$T,'LE P&amp;L'!$A89,'YBHN LE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60" t="inlineStr">
        <is>
          <t>Direct - Premises &amp; Admin</t>
        </is>
      </c>
      <c r="B90" s="18" t="n">
        <v>-2827.4</v>
      </c>
      <c r="C90" s="18" t="n">
        <v>-3435.96</v>
      </c>
      <c r="D90" s="18" t="n">
        <v>-5956.86</v>
      </c>
      <c r="E90" s="18" t="n">
        <v>-4308.93</v>
      </c>
      <c r="F90" s="18" t="n">
        <v>-1457.27</v>
      </c>
      <c r="G90" s="18" t="n">
        <v>-2325.35</v>
      </c>
      <c r="H90" s="18" t="n">
        <v>-2186.25</v>
      </c>
      <c r="I90" s="18" t="n">
        <v>-4078.35</v>
      </c>
      <c r="J90" s="18" t="n">
        <v>-2859.18</v>
      </c>
      <c r="K90" s="18" t="n">
        <v>-4402.709999999999</v>
      </c>
      <c r="L90" s="18" t="n">
        <v>-3848.54</v>
      </c>
      <c r="M90" s="18" t="n">
        <v>-4815.28</v>
      </c>
      <c r="N90" s="8" t="n"/>
      <c r="O90" s="60">
        <f>-SUMIF('YBHN LE TB'!$T:$T,'LE P&amp;L'!$A90,'YBHN LE TB'!C:C)</f>
        <v/>
      </c>
      <c r="P90" s="60">
        <f>-SUMIF('YBHN LE TB'!$T:$T,'LE P&amp;L'!$A90,'YBHN LE TB'!D:D)</f>
        <v/>
      </c>
      <c r="Q90" s="60">
        <f>-SUMIF('YBHN LE TB'!$T:$T,'LE P&amp;L'!$A90,'YBHN LE TB'!E:E)</f>
        <v/>
      </c>
      <c r="R90" s="60">
        <f>-SUMIF('YBHN LE TB'!$T:$T,'LE P&amp;L'!$A90,'YBHN LE TB'!F:F)</f>
        <v/>
      </c>
      <c r="S90" s="60">
        <f>-SUMIF('YBHN LE TB'!$T:$T,'LE P&amp;L'!$A90,'YBHN LE TB'!G:G)</f>
        <v/>
      </c>
      <c r="T90" s="60">
        <f>-SUMIF('YBHN LE TB'!$T:$T,'LE P&amp;L'!$A90,'YBHN LE TB'!H:H)</f>
        <v/>
      </c>
      <c r="U90" s="60">
        <f>-SUMIF('YBHN LE TB'!$T:$T,'LE P&amp;L'!$A90,'YBHN LE TB'!I:I)</f>
        <v/>
      </c>
      <c r="V90" s="60">
        <f>-SUMIF('YBHN LE TB'!$T:$T,'LE P&amp;L'!$A90,'YBHN LE TB'!J:J)</f>
        <v/>
      </c>
      <c r="W90" s="60">
        <f>-SUMIF('YBHN LE TB'!$T:$T,'LE P&amp;L'!$A90,'YBHN LE TB'!K:K)</f>
        <v/>
      </c>
      <c r="X90" s="60">
        <f>-SUMIF('YBHN LE TB'!$T:$T,'LE P&amp;L'!$A90,'YBHN LE TB'!L:L)</f>
        <v/>
      </c>
      <c r="Y90" s="60">
        <f>-SUMIF('YBHN LE TB'!$T:$T,'LE P&amp;L'!$A90,'YBHN LE TB'!M:M)</f>
        <v/>
      </c>
      <c r="Z90" s="60">
        <f>-SUMIF('YBHN LE TB'!$T:$T,'LE P&amp;L'!$A90,'YBHN LE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-SUMIF('YBHN LE TB'!$T:$T,'LE P&amp;L'!$A91,'YBHN LE TB'!C:C)</f>
        <v/>
      </c>
      <c r="P91" s="60">
        <f>-SUMIF('YBHN LE TB'!$T:$T,'LE P&amp;L'!$A91,'YBHN LE TB'!D:D)</f>
        <v/>
      </c>
      <c r="Q91" s="60">
        <f>-SUMIF('YBHN LE TB'!$T:$T,'LE P&amp;L'!$A91,'YBHN LE TB'!E:E)</f>
        <v/>
      </c>
      <c r="R91" s="60">
        <f>-SUMIF('YBHN LE TB'!$T:$T,'LE P&amp;L'!$A91,'YBHN LE TB'!F:F)</f>
        <v/>
      </c>
      <c r="S91" s="60">
        <f>-SUMIF('YBHN LE TB'!$T:$T,'LE P&amp;L'!$A91,'YBHN LE TB'!G:G)</f>
        <v/>
      </c>
      <c r="T91" s="60">
        <f>-SUMIF('YBHN LE TB'!$T:$T,'LE P&amp;L'!$A91,'YBHN LE TB'!H:H)</f>
        <v/>
      </c>
      <c r="U91" s="60">
        <f>-SUMIF('YBHN LE TB'!$T:$T,'LE P&amp;L'!$A91,'YBHN LE TB'!I:I)</f>
        <v/>
      </c>
      <c r="V91" s="60">
        <f>-SUMIF('YBHN LE TB'!$T:$T,'LE P&amp;L'!$A91,'YBHN LE TB'!J:J)</f>
        <v/>
      </c>
      <c r="W91" s="60">
        <f>-SUMIF('YBHN LE TB'!$T:$T,'LE P&amp;L'!$A91,'YBHN LE TB'!K:K)</f>
        <v/>
      </c>
      <c r="X91" s="60">
        <f>-SUMIF('YBHN LE TB'!$T:$T,'LE P&amp;L'!$A91,'YBHN LE TB'!L:L)</f>
        <v/>
      </c>
      <c r="Y91" s="60">
        <f>-SUMIF('YBHN LE TB'!$T:$T,'LE P&amp;L'!$A91,'YBHN LE TB'!M:M)</f>
        <v/>
      </c>
      <c r="Z91" s="60">
        <f>-SUMIF('YBHN LE TB'!$T:$T,'LE P&amp;L'!$A91,'YBHN LE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60" t="inlineStr">
        <is>
          <t>In-Direct - Overheads</t>
        </is>
      </c>
      <c r="B92" s="18" t="n">
        <v>-215.98</v>
      </c>
      <c r="C92" s="18" t="n">
        <v>-203.78</v>
      </c>
      <c r="D92" s="18" t="n">
        <v>-395.72</v>
      </c>
      <c r="E92" s="18" t="n">
        <v>-732.16</v>
      </c>
      <c r="F92" s="18" t="n">
        <v>-271.53</v>
      </c>
      <c r="G92" s="18" t="n">
        <v>-257.77</v>
      </c>
      <c r="H92" s="18" t="n">
        <v>-209.66</v>
      </c>
      <c r="I92" s="18" t="n">
        <v>-203.18</v>
      </c>
      <c r="J92" s="18" t="n">
        <v>-223.12</v>
      </c>
      <c r="K92" s="18" t="n">
        <v>-442.33</v>
      </c>
      <c r="L92" s="18" t="n">
        <v>-268.29</v>
      </c>
      <c r="M92" s="18" t="n">
        <v>-764.61</v>
      </c>
      <c r="N92" s="8" t="n"/>
      <c r="O92" s="60">
        <f>-SUMIF('YBHN LE TB'!$T:$T,'LE P&amp;L'!$A92,'YBHN LE TB'!C:C)</f>
        <v/>
      </c>
      <c r="P92" s="60">
        <f>-SUMIF('YBHN LE TB'!$T:$T,'LE P&amp;L'!$A92,'YBHN LE TB'!D:D)</f>
        <v/>
      </c>
      <c r="Q92" s="60">
        <f>-SUMIF('YBHN LE TB'!$T:$T,'LE P&amp;L'!$A92,'YBHN LE TB'!E:E)</f>
        <v/>
      </c>
      <c r="R92" s="60">
        <f>-SUMIF('YBHN LE TB'!$T:$T,'LE P&amp;L'!$A92,'YBHN LE TB'!F:F)</f>
        <v/>
      </c>
      <c r="S92" s="60">
        <f>-SUMIF('YBHN LE TB'!$T:$T,'LE P&amp;L'!$A92,'YBHN LE TB'!G:G)</f>
        <v/>
      </c>
      <c r="T92" s="60">
        <f>-SUMIF('YBHN LE TB'!$T:$T,'LE P&amp;L'!$A92,'YBHN LE TB'!H:H)</f>
        <v/>
      </c>
      <c r="U92" s="60">
        <f>-SUMIF('YBHN LE TB'!$T:$T,'LE P&amp;L'!$A92,'YBHN LE TB'!I:I)</f>
        <v/>
      </c>
      <c r="V92" s="60">
        <f>-SUMIF('YBHN LE TB'!$T:$T,'LE P&amp;L'!$A92,'YBHN LE TB'!J:J)</f>
        <v/>
      </c>
      <c r="W92" s="60">
        <f>-SUMIF('YBHN LE TB'!$T:$T,'LE P&amp;L'!$A92,'YBHN LE TB'!K:K)</f>
        <v/>
      </c>
      <c r="X92" s="60">
        <f>-SUMIF('YBHN LE TB'!$T:$T,'LE P&amp;L'!$A92,'YBHN LE TB'!L:L)</f>
        <v/>
      </c>
      <c r="Y92" s="60">
        <f>-SUMIF('YBHN LE TB'!$T:$T,'LE P&amp;L'!$A92,'YBHN LE TB'!M:M)</f>
        <v/>
      </c>
      <c r="Z92" s="60">
        <f>-SUMIF('YBHN LE TB'!$T:$T,'LE P&amp;L'!$A92,'YBHN LE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 ht="15.75" customHeight="1">
      <c r="A93" s="8" t="n"/>
      <c r="B93" s="67" t="n">
        <v>14520.47000000001</v>
      </c>
      <c r="C93" s="67" t="n">
        <v>10292.97999999999</v>
      </c>
      <c r="D93" s="67" t="n">
        <v>12239.18</v>
      </c>
      <c r="E93" s="67" t="n">
        <v>5352.079999999996</v>
      </c>
      <c r="F93" s="67" t="n">
        <v>9232.229999999998</v>
      </c>
      <c r="G93" s="67" t="n">
        <v>8388.549999999999</v>
      </c>
      <c r="H93" s="67" t="n">
        <v>25760.61999999999</v>
      </c>
      <c r="I93" s="67" t="n">
        <v>4128.369999999999</v>
      </c>
      <c r="J93" s="67" t="n">
        <v>2294.820000000001</v>
      </c>
      <c r="K93" s="67" t="n">
        <v>2105.060000000007</v>
      </c>
      <c r="L93" s="67" t="n">
        <v>8879.41</v>
      </c>
      <c r="M93" s="67" t="n">
        <v>-7329.489999999999</v>
      </c>
      <c r="N93" s="8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8" t="n"/>
      <c r="AB93" s="8" t="n"/>
      <c r="AC93" s="64" t="n"/>
      <c r="AD93" s="64" t="n"/>
      <c r="AE93" s="64" t="n"/>
      <c r="AF93" s="64" t="n"/>
      <c r="AG93" s="64" t="n"/>
      <c r="AH93" s="64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 ht="15.75" customHeight="1">
      <c r="A94" s="8" t="n"/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0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0</v>
      </c>
      <c r="L94" s="18" t="n">
        <v>0</v>
      </c>
      <c r="M94" s="18" t="n">
        <v>15215.21000000001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0</v>
      </c>
      <c r="G96" s="18" t="n">
        <v>0</v>
      </c>
      <c r="H96" s="18" t="n">
        <v>0</v>
      </c>
      <c r="I96" s="18" t="n">
        <v>0</v>
      </c>
      <c r="J96" s="18" t="n">
        <v>0</v>
      </c>
      <c r="K96" s="18" t="n">
        <v>0</v>
      </c>
      <c r="L96" s="18" t="n">
        <v>0</v>
      </c>
      <c r="M96" s="18" t="n">
        <v>-15215.21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>
        <v>-14520.47000000001</v>
      </c>
      <c r="C97" s="18" t="n">
        <v>-10292.98</v>
      </c>
      <c r="D97" s="18" t="n">
        <v>-12239.18</v>
      </c>
      <c r="E97" s="18" t="n">
        <v>-5352.08</v>
      </c>
      <c r="F97" s="18" t="n">
        <v>-9232.23</v>
      </c>
      <c r="G97" s="18" t="n">
        <v>-8388.550000000003</v>
      </c>
      <c r="H97" s="18" t="n">
        <v>-25760.61999999999</v>
      </c>
      <c r="I97" s="18" t="n">
        <v>-4128.37</v>
      </c>
      <c r="J97" s="18" t="n">
        <v>-2294.820000000001</v>
      </c>
      <c r="K97" s="18" t="n">
        <v>-2105.060000000004</v>
      </c>
      <c r="L97" s="18" t="n">
        <v>-8879.410000000005</v>
      </c>
      <c r="M97" s="18" t="n">
        <v>-7885.720000000005</v>
      </c>
      <c r="N97" s="8" t="n"/>
      <c r="O97" s="60">
        <f>SUM('YBHN LE TB'!C2:C42)</f>
        <v/>
      </c>
      <c r="P97" s="60">
        <f>SUM('YBHN LE TB'!D2:D42)</f>
        <v/>
      </c>
      <c r="Q97" s="60">
        <f>SUM('YBHN LE TB'!E2:E42)</f>
        <v/>
      </c>
      <c r="R97" s="60">
        <f>SUM('YBHN LE TB'!F2:F42)</f>
        <v/>
      </c>
      <c r="S97" s="60">
        <f>SUM('YBHN LE TB'!G2:G42)</f>
        <v/>
      </c>
      <c r="T97" s="60">
        <f>SUM('YBHN LE TB'!H2:H42)</f>
        <v/>
      </c>
      <c r="U97" s="60">
        <f>SUM('YBHN LE TB'!I2:I42)</f>
        <v/>
      </c>
      <c r="V97" s="60">
        <f>SUM('YBHN LE TB'!J2:J42)</f>
        <v/>
      </c>
      <c r="W97" s="60">
        <f>SUM('YBHN LE TB'!K2:K42)</f>
        <v/>
      </c>
      <c r="X97" s="60">
        <f>SUM('YBHN LE TB'!L2:L42)</f>
        <v/>
      </c>
      <c r="Y97" s="60">
        <f>SUM('YBHN LE TB'!M2:M42)</f>
        <v/>
      </c>
      <c r="Z97" s="60">
        <f>SUM('YBHN LE TB'!N2:N42)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7.28515625" customWidth="1" min="35" max="35"/>
    <col width="9.85546875" customWidth="1" min="36" max="36"/>
    <col width="5.7109375" customWidth="1" min="40" max="40"/>
    <col width="9.8554687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Merrydale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71748.46000000001</v>
      </c>
      <c r="C8" s="35" t="n">
        <v>62355.58</v>
      </c>
      <c r="D8" s="35" t="n">
        <v>73377.48</v>
      </c>
      <c r="E8" s="35" t="n">
        <v>84905.42</v>
      </c>
      <c r="F8" s="35" t="n">
        <v>78933.88</v>
      </c>
      <c r="G8" s="35" t="n">
        <v>76038.8</v>
      </c>
      <c r="H8" s="35" t="n">
        <v>94722.25999999999</v>
      </c>
      <c r="I8" s="35" t="n">
        <v>81393.89</v>
      </c>
      <c r="J8" s="35" t="n">
        <v>67283.53999999999</v>
      </c>
      <c r="K8" s="35" t="n">
        <v>63773.81</v>
      </c>
      <c r="L8" s="35" t="n">
        <v>55368.1</v>
      </c>
      <c r="M8" s="35" t="n">
        <v>74284.68999999999</v>
      </c>
      <c r="N8" s="36">
        <f>SUM(B8:M8)</f>
        <v/>
      </c>
      <c r="O8" s="37">
        <f>-SUMIF('MER TB'!$R:$R,'MER P&amp;L'!$A8,'MER TB'!C:C)</f>
        <v/>
      </c>
      <c r="P8" s="37">
        <f>-SUMIF('MER TB'!$R:$R,'MER P&amp;L'!$A8,'MER TB'!D:D)</f>
        <v/>
      </c>
      <c r="Q8" s="37">
        <f>-SUMIF('MER TB'!$R:$R,'MER P&amp;L'!$A8,'MER TB'!E:E)</f>
        <v/>
      </c>
      <c r="R8" s="37">
        <f>-SUMIF('MER TB'!$R:$R,'MER P&amp;L'!$A8,'MER TB'!F:F)</f>
        <v/>
      </c>
      <c r="S8" s="37">
        <f>-SUMIF('MER TB'!$R:$R,'MER P&amp;L'!$A8,'MER TB'!G:G)</f>
        <v/>
      </c>
      <c r="T8" s="37">
        <f>-SUMIF('MER TB'!$R:$R,'MER P&amp;L'!$A8,'MER TB'!H:H)</f>
        <v/>
      </c>
      <c r="U8" s="37">
        <f>-SUMIF('MER TB'!$R:$R,'MER P&amp;L'!$A8,'MER TB'!I:I)</f>
        <v/>
      </c>
      <c r="V8" s="38" t="n">
        <v>68250</v>
      </c>
      <c r="W8" s="38" t="n">
        <v>43443</v>
      </c>
      <c r="X8" s="38" t="n">
        <v>41460</v>
      </c>
      <c r="Y8" s="38" t="n">
        <v>43425</v>
      </c>
      <c r="Z8" s="38" t="n">
        <v>61258</v>
      </c>
      <c r="AA8" s="36">
        <f>SUM(O8:U8)</f>
        <v/>
      </c>
      <c r="AB8" s="36">
        <f>SUM(O8:Z8)</f>
        <v/>
      </c>
      <c r="AC8" s="38" t="n">
        <v>79907.42999999999</v>
      </c>
      <c r="AD8" s="38" t="n">
        <v>74377.98</v>
      </c>
      <c r="AE8" s="38" t="n">
        <v>90136.03999999999</v>
      </c>
      <c r="AF8" s="38" t="n">
        <v>81715.39</v>
      </c>
      <c r="AG8" s="38" t="n">
        <v>85494.06</v>
      </c>
      <c r="AH8" s="38" t="n">
        <v>91076.72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27056.38</v>
      </c>
      <c r="C9" s="35" t="n">
        <v>27056.38</v>
      </c>
      <c r="D9" s="35" t="n">
        <v>27641.21</v>
      </c>
      <c r="E9" s="35" t="n">
        <v>20062.71</v>
      </c>
      <c r="F9" s="35" t="n">
        <v>20062.71</v>
      </c>
      <c r="G9" s="35" t="n">
        <v>20062.71</v>
      </c>
      <c r="H9" s="35" t="n">
        <v>53755.95</v>
      </c>
      <c r="I9" s="35" t="n">
        <v>0</v>
      </c>
      <c r="J9" s="35" t="n">
        <v>24868.19</v>
      </c>
      <c r="K9" s="35" t="n">
        <v>24868.19</v>
      </c>
      <c r="L9" s="35" t="n">
        <v>53954.23</v>
      </c>
      <c r="M9" s="35" t="n">
        <v>54512.01</v>
      </c>
      <c r="N9" s="36">
        <f>SUM(B9:M9)</f>
        <v/>
      </c>
      <c r="O9" s="37">
        <f>-SUMIF('MER TB'!$R:$R,'MER P&amp;L'!$A9,'MER TB'!C:C)</f>
        <v/>
      </c>
      <c r="P9" s="37">
        <f>-SUMIF('MER TB'!$R:$R,'MER P&amp;L'!$A9,'MER TB'!D:D)</f>
        <v/>
      </c>
      <c r="Q9" s="37">
        <f>-SUMIF('MER TB'!$R:$R,'MER P&amp;L'!$A9,'MER TB'!E:E)</f>
        <v/>
      </c>
      <c r="R9" s="37">
        <f>-SUMIF('MER TB'!$R:$R,'MER P&amp;L'!$A9,'MER TB'!F:F)</f>
        <v/>
      </c>
      <c r="S9" s="37">
        <f>-SUMIF('MER TB'!$R:$R,'MER P&amp;L'!$A9,'MER TB'!G:G)</f>
        <v/>
      </c>
      <c r="T9" s="37">
        <f>-SUMIF('MER TB'!$R:$R,'MER P&amp;L'!$A9,'MER TB'!H:H)</f>
        <v/>
      </c>
      <c r="U9" s="37">
        <f>-SUMIF('MER TB'!$R:$R,'MER P&amp;L'!$A9,'MER TB'!I:I)</f>
        <v/>
      </c>
      <c r="V9" s="38" t="n">
        <v>0</v>
      </c>
      <c r="W9" s="38" t="n">
        <v>30009</v>
      </c>
      <c r="X9" s="38" t="n">
        <v>37283</v>
      </c>
      <c r="Y9" s="38" t="n">
        <v>35976</v>
      </c>
      <c r="Z9" s="38" t="n">
        <v>16335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250</v>
      </c>
      <c r="C10" s="35" t="n">
        <v>150</v>
      </c>
      <c r="D10" s="35" t="n">
        <v>400</v>
      </c>
      <c r="E10" s="35" t="n">
        <v>559.14</v>
      </c>
      <c r="F10" s="35" t="n">
        <v>300</v>
      </c>
      <c r="G10" s="35" t="n">
        <v>300</v>
      </c>
      <c r="H10" s="35" t="n">
        <v>150</v>
      </c>
      <c r="I10" s="35" t="n">
        <v>5287.55</v>
      </c>
      <c r="J10" s="35" t="n">
        <v>150</v>
      </c>
      <c r="K10" s="35" t="n">
        <v>150</v>
      </c>
      <c r="L10" s="35" t="n">
        <v>0</v>
      </c>
      <c r="M10" s="35" t="n">
        <v>300</v>
      </c>
      <c r="N10" s="36">
        <f>SUM(B10:M10)</f>
        <v/>
      </c>
      <c r="O10" s="37">
        <f>-SUMIF('MER TB'!$R:$R,'MER P&amp;L'!$A10,'MER TB'!C:C)</f>
        <v/>
      </c>
      <c r="P10" s="37">
        <f>-SUMIF('MER TB'!$R:$R,'MER P&amp;L'!$A10,'MER TB'!D:D)</f>
        <v/>
      </c>
      <c r="Q10" s="37">
        <f>-SUMIF('MER TB'!$R:$R,'MER P&amp;L'!$A10,'MER TB'!E:E)</f>
        <v/>
      </c>
      <c r="R10" s="37">
        <f>-SUMIF('MER TB'!$R:$R,'MER P&amp;L'!$A10,'MER TB'!F:F)</f>
        <v/>
      </c>
      <c r="S10" s="37">
        <f>-SUMIF('MER TB'!$R:$R,'MER P&amp;L'!$A10,'MER TB'!G:G)</f>
        <v/>
      </c>
      <c r="T10" s="37">
        <f>-SUMIF('MER TB'!$R:$R,'MER P&amp;L'!$A10,'MER TB'!H:H)</f>
        <v/>
      </c>
      <c r="U10" s="37">
        <f>-SUMIF('MER TB'!$R:$R,'MER P&amp;L'!$A10,'MER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99054.84000000001</v>
      </c>
      <c r="C11" s="42" t="n">
        <v>89561.96000000001</v>
      </c>
      <c r="D11" s="42" t="n">
        <v>101418.69</v>
      </c>
      <c r="E11" s="42" t="n">
        <v>105527.27</v>
      </c>
      <c r="F11" s="42" t="n">
        <v>99296.59</v>
      </c>
      <c r="G11" s="42" t="n">
        <v>96401.51000000001</v>
      </c>
      <c r="H11" s="42" t="n">
        <v>148628.21</v>
      </c>
      <c r="I11" s="42" t="n">
        <v>86681.44</v>
      </c>
      <c r="J11" s="42" t="n">
        <v>92301.73</v>
      </c>
      <c r="K11" s="42" t="n">
        <v>88792</v>
      </c>
      <c r="L11" s="42" t="n">
        <v>109322.33</v>
      </c>
      <c r="M11" s="42" t="n">
        <v>129096.7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31604.86</v>
      </c>
      <c r="C16" s="35" t="n">
        <v>32120.62</v>
      </c>
      <c r="D16" s="35" t="n">
        <v>33783.29</v>
      </c>
      <c r="E16" s="35" t="n">
        <v>39088.61</v>
      </c>
      <c r="F16" s="35" t="n">
        <v>35853.61</v>
      </c>
      <c r="G16" s="35" t="n">
        <v>32713.57</v>
      </c>
      <c r="H16" s="35" t="n">
        <v>38084.64</v>
      </c>
      <c r="I16" s="35" t="n">
        <v>39688.59</v>
      </c>
      <c r="J16" s="35" t="n">
        <v>39229.98</v>
      </c>
      <c r="K16" s="35" t="n">
        <v>38640.36</v>
      </c>
      <c r="L16" s="35" t="n">
        <v>31254.13</v>
      </c>
      <c r="M16" s="35" t="n">
        <v>33683.63</v>
      </c>
      <c r="N16" s="36">
        <f>SUM(B16:M16)</f>
        <v/>
      </c>
      <c r="O16" s="37">
        <f>SUMIF('MER TB'!$R:$R,'MER P&amp;L'!$A16,'MER TB'!C:C)</f>
        <v/>
      </c>
      <c r="P16" s="37">
        <f>SUMIF('MER TB'!$R:$R,'MER P&amp;L'!$A16,'MER TB'!D:D)</f>
        <v/>
      </c>
      <c r="Q16" s="37">
        <f>SUMIF('MER TB'!$R:$R,'MER P&amp;L'!$A16,'MER TB'!E:E)</f>
        <v/>
      </c>
      <c r="R16" s="37">
        <f>SUMIF('MER TB'!$R:$R,'MER P&amp;L'!$A16,'MER TB'!F:F)</f>
        <v/>
      </c>
      <c r="S16" s="37">
        <f>SUMIF('MER TB'!$R:$R,'MER P&amp;L'!$A16,'MER TB'!G:G)</f>
        <v/>
      </c>
      <c r="T16" s="37">
        <f>SUMIF('MER TB'!$R:$R,'MER P&amp;L'!$A16,'MER TB'!H:H)</f>
        <v/>
      </c>
      <c r="U16" s="37">
        <f>SUMIF('MER TB'!$R:$R,'MER P&amp;L'!$A16,'MER TB'!I:I)</f>
        <v/>
      </c>
      <c r="V16" s="38" t="n">
        <v>38831.14</v>
      </c>
      <c r="W16" s="38" t="n">
        <v>38831.14</v>
      </c>
      <c r="X16" s="38" t="n">
        <v>38831.14</v>
      </c>
      <c r="Y16" s="38" t="n">
        <v>38831.14</v>
      </c>
      <c r="Z16" s="38" t="n">
        <v>38831.14</v>
      </c>
      <c r="AA16" s="36">
        <f>SUM(O16:U16)</f>
        <v/>
      </c>
      <c r="AB16" s="36">
        <f>SUM(O16:Z16)</f>
        <v/>
      </c>
      <c r="AC16" s="38" t="n">
        <v>38831.14</v>
      </c>
      <c r="AD16" s="38" t="n">
        <v>38831.14</v>
      </c>
      <c r="AE16" s="38" t="n">
        <v>38831.14</v>
      </c>
      <c r="AF16" s="38" t="n">
        <v>38831.14</v>
      </c>
      <c r="AG16" s="38" t="n">
        <v>38831.14</v>
      </c>
      <c r="AH16" s="38" t="n">
        <v>38831.14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2507.7</v>
      </c>
      <c r="C17" s="35" t="n">
        <v>2502.98</v>
      </c>
      <c r="D17" s="35" t="n">
        <v>2767.29</v>
      </c>
      <c r="E17" s="35" t="n">
        <v>4489.64</v>
      </c>
      <c r="F17" s="35" t="n">
        <v>3897.7</v>
      </c>
      <c r="G17" s="35" t="n">
        <v>3435.72</v>
      </c>
      <c r="H17" s="35" t="n">
        <v>3882.52</v>
      </c>
      <c r="I17" s="35" t="n">
        <v>3661.25</v>
      </c>
      <c r="J17" s="35" t="n">
        <v>3574.09</v>
      </c>
      <c r="K17" s="35" t="n">
        <v>3581.38</v>
      </c>
      <c r="L17" s="35" t="n">
        <v>2779.53</v>
      </c>
      <c r="M17" s="35" t="n">
        <v>3180.07</v>
      </c>
      <c r="N17" s="36">
        <f>SUM(B17:M17)</f>
        <v/>
      </c>
      <c r="O17" s="37">
        <f>SUMIF('MER TB'!$R:$R,'MER P&amp;L'!$A17,'MER TB'!C:C)</f>
        <v/>
      </c>
      <c r="P17" s="37">
        <f>SUMIF('MER TB'!$R:$R,'MER P&amp;L'!$A17,'MER TB'!D:D)</f>
        <v/>
      </c>
      <c r="Q17" s="37">
        <f>SUMIF('MER TB'!$R:$R,'MER P&amp;L'!$A17,'MER TB'!E:E)</f>
        <v/>
      </c>
      <c r="R17" s="37">
        <f>SUMIF('MER TB'!$R:$R,'MER P&amp;L'!$A17,'MER TB'!F:F)</f>
        <v/>
      </c>
      <c r="S17" s="37">
        <f>SUMIF('MER TB'!$R:$R,'MER P&amp;L'!$A17,'MER TB'!G:G)</f>
        <v/>
      </c>
      <c r="T17" s="37">
        <f>SUMIF('MER TB'!$R:$R,'MER P&amp;L'!$A17,'MER TB'!H:H)</f>
        <v/>
      </c>
      <c r="U17" s="37">
        <f>SUMIF('MER TB'!$R:$R,'MER P&amp;L'!$A17,'MER TB'!I:I)</f>
        <v/>
      </c>
      <c r="V17" s="38" t="n">
        <v>3476.28</v>
      </c>
      <c r="W17" s="38" t="n">
        <v>3476.28</v>
      </c>
      <c r="X17" s="38" t="n">
        <v>3476.28</v>
      </c>
      <c r="Y17" s="38" t="n">
        <v>3476.28</v>
      </c>
      <c r="Z17" s="38" t="n">
        <v>3476.28</v>
      </c>
      <c r="AA17" s="36">
        <f>SUM(O17:U17)</f>
        <v/>
      </c>
      <c r="AB17" s="36">
        <f>SUM(O17:Z17)</f>
        <v/>
      </c>
      <c r="AC17" s="38" t="n">
        <v>3476.28</v>
      </c>
      <c r="AD17" s="38" t="n">
        <v>3476.28</v>
      </c>
      <c r="AE17" s="38" t="n">
        <v>3476.28</v>
      </c>
      <c r="AF17" s="38" t="n">
        <v>3476.28</v>
      </c>
      <c r="AG17" s="38" t="n">
        <v>3476.28</v>
      </c>
      <c r="AH17" s="38" t="n">
        <v>3476.28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578.26</v>
      </c>
      <c r="C18" s="35" t="n">
        <v>576.6</v>
      </c>
      <c r="D18" s="35" t="n">
        <v>553.41</v>
      </c>
      <c r="E18" s="35" t="n">
        <v>642.37</v>
      </c>
      <c r="F18" s="35" t="n">
        <v>614.2</v>
      </c>
      <c r="G18" s="35" t="n">
        <v>527.5599999999999</v>
      </c>
      <c r="H18" s="35" t="n">
        <v>611.47</v>
      </c>
      <c r="I18" s="35" t="n">
        <v>558.66</v>
      </c>
      <c r="J18" s="35" t="n">
        <v>482.76</v>
      </c>
      <c r="K18" s="35" t="n">
        <v>259.94</v>
      </c>
      <c r="L18" s="35" t="n">
        <v>246.15</v>
      </c>
      <c r="M18" s="35" t="n">
        <v>444.9</v>
      </c>
      <c r="N18" s="36">
        <f>SUM(B18:M18)</f>
        <v/>
      </c>
      <c r="O18" s="37">
        <f>SUMIF('MER TB'!$R:$R,'MER P&amp;L'!$A18,'MER TB'!C:C)</f>
        <v/>
      </c>
      <c r="P18" s="37">
        <f>SUMIF('MER TB'!$R:$R,'MER P&amp;L'!$A18,'MER TB'!D:D)</f>
        <v/>
      </c>
      <c r="Q18" s="37">
        <f>SUMIF('MER TB'!$R:$R,'MER P&amp;L'!$A18,'MER TB'!E:E)</f>
        <v/>
      </c>
      <c r="R18" s="37">
        <f>SUMIF('MER TB'!$R:$R,'MER P&amp;L'!$A18,'MER TB'!F:F)</f>
        <v/>
      </c>
      <c r="S18" s="37">
        <f>SUMIF('MER TB'!$R:$R,'MER P&amp;L'!$A18,'MER TB'!G:G)</f>
        <v/>
      </c>
      <c r="T18" s="37">
        <f>SUMIF('MER TB'!$R:$R,'MER P&amp;L'!$A18,'MER TB'!H:H)</f>
        <v/>
      </c>
      <c r="U18" s="37">
        <f>SUMIF('MER TB'!$R:$R,'MER P&amp;L'!$A18,'MER TB'!I:I)</f>
        <v/>
      </c>
      <c r="V18" s="38" t="n">
        <v>523.85</v>
      </c>
      <c r="W18" s="38" t="n">
        <v>523.85</v>
      </c>
      <c r="X18" s="38" t="n">
        <v>523.85</v>
      </c>
      <c r="Y18" s="38" t="n">
        <v>523.85</v>
      </c>
      <c r="Z18" s="38" t="n">
        <v>523.85</v>
      </c>
      <c r="AA18" s="36">
        <f>SUM(O18:U18)</f>
        <v/>
      </c>
      <c r="AB18" s="36">
        <f>SUM(O18:Z18)</f>
        <v/>
      </c>
      <c r="AC18" s="38" t="n">
        <v>523.85</v>
      </c>
      <c r="AD18" s="38" t="n">
        <v>523.85</v>
      </c>
      <c r="AE18" s="38" t="n">
        <v>523.85</v>
      </c>
      <c r="AF18" s="38" t="n">
        <v>523.85</v>
      </c>
      <c r="AG18" s="38" t="n">
        <v>523.85</v>
      </c>
      <c r="AH18" s="38" t="n">
        <v>523.85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108.42</v>
      </c>
      <c r="C19" s="35" t="n">
        <v>232.56</v>
      </c>
      <c r="D19" s="35" t="n">
        <v>0</v>
      </c>
      <c r="E19" s="35" t="n">
        <v>98.81999999999999</v>
      </c>
      <c r="F19" s="35" t="n">
        <v>126.27</v>
      </c>
      <c r="G19" s="35" t="n">
        <v>106.73</v>
      </c>
      <c r="H19" s="35" t="n">
        <v>101.82</v>
      </c>
      <c r="I19" s="35" t="n">
        <v>0</v>
      </c>
      <c r="J19" s="35" t="n">
        <v>119.88</v>
      </c>
      <c r="K19" s="35" t="n">
        <v>408.72</v>
      </c>
      <c r="L19" s="35" t="n">
        <v>115.32</v>
      </c>
      <c r="M19" s="35" t="n">
        <v>114.6</v>
      </c>
      <c r="N19" s="36">
        <f>SUM(B19:M19)</f>
        <v/>
      </c>
      <c r="O19" s="37">
        <f>SUMIF('MER TB'!$R:$R,'MER P&amp;L'!$A19,'MER TB'!C:C)</f>
        <v/>
      </c>
      <c r="P19" s="37">
        <f>SUMIF('MER TB'!$R:$R,'MER P&amp;L'!$A19,'MER TB'!D:D)</f>
        <v/>
      </c>
      <c r="Q19" s="37">
        <f>SUMIF('MER TB'!$R:$R,'MER P&amp;L'!$A19,'MER TB'!E:E)</f>
        <v/>
      </c>
      <c r="R19" s="37">
        <f>SUMIF('MER TB'!$R:$R,'MER P&amp;L'!$A19,'MER TB'!F:F)</f>
        <v/>
      </c>
      <c r="S19" s="37">
        <f>SUMIF('MER TB'!$R:$R,'MER P&amp;L'!$A19,'MER TB'!G:G)</f>
        <v/>
      </c>
      <c r="T19" s="37">
        <f>SUMIF('MER TB'!$R:$R,'MER P&amp;L'!$A19,'MER TB'!H:H)</f>
        <v/>
      </c>
      <c r="U19" s="37">
        <f>SUMIF('MER TB'!$R:$R,'MER P&amp;L'!$A19,'MER TB'!I:I)</f>
        <v/>
      </c>
      <c r="V19" s="38" t="n">
        <v>88</v>
      </c>
      <c r="W19" s="38" t="n">
        <v>88</v>
      </c>
      <c r="X19" s="38" t="n">
        <v>88</v>
      </c>
      <c r="Y19" s="38" t="n">
        <v>88</v>
      </c>
      <c r="Z19" s="38" t="n">
        <v>88</v>
      </c>
      <c r="AA19" s="36">
        <f>SUM(O19:U19)</f>
        <v/>
      </c>
      <c r="AB19" s="36">
        <f>SUM(O19:Z19)</f>
        <v/>
      </c>
      <c r="AC19" s="38" t="n">
        <v>88</v>
      </c>
      <c r="AD19" s="38" t="n">
        <v>88</v>
      </c>
      <c r="AE19" s="38" t="n">
        <v>88</v>
      </c>
      <c r="AF19" s="38" t="n">
        <v>88</v>
      </c>
      <c r="AG19" s="38" t="n">
        <v>88</v>
      </c>
      <c r="AH19" s="38" t="n">
        <v>88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68.22</v>
      </c>
      <c r="C20" s="35" t="n">
        <v>50</v>
      </c>
      <c r="D20" s="35" t="n">
        <v>0</v>
      </c>
      <c r="E20" s="35" t="n">
        <v>0</v>
      </c>
      <c r="F20" s="35" t="n">
        <v>31.2</v>
      </c>
      <c r="G20" s="35" t="n">
        <v>11.35</v>
      </c>
      <c r="H20" s="35" t="n">
        <v>37.2</v>
      </c>
      <c r="I20" s="35" t="n">
        <v>0</v>
      </c>
      <c r="J20" s="35" t="n">
        <v>114</v>
      </c>
      <c r="K20" s="35" t="n">
        <v>0</v>
      </c>
      <c r="L20" s="35" t="n">
        <v>114</v>
      </c>
      <c r="M20" s="35" t="n">
        <v>-11.28999999999996</v>
      </c>
      <c r="N20" s="36">
        <f>SUM(B20:M20)</f>
        <v/>
      </c>
      <c r="O20" s="37">
        <f>SUMIF('MER TB'!$R:$R,'MER P&amp;L'!$A20,'MER TB'!C:C)</f>
        <v/>
      </c>
      <c r="P20" s="37">
        <f>SUMIF('MER TB'!$R:$R,'MER P&amp;L'!$A20,'MER TB'!D:D)</f>
        <v/>
      </c>
      <c r="Q20" s="37">
        <f>SUMIF('MER TB'!$R:$R,'MER P&amp;L'!$A20,'MER TB'!E:E)</f>
        <v/>
      </c>
      <c r="R20" s="37">
        <f>SUMIF('MER TB'!$R:$R,'MER P&amp;L'!$A20,'MER TB'!F:F)</f>
        <v/>
      </c>
      <c r="S20" s="37">
        <f>SUMIF('MER TB'!$R:$R,'MER P&amp;L'!$A20,'MER TB'!G:G)</f>
        <v/>
      </c>
      <c r="T20" s="37">
        <f>SUMIF('MER TB'!$R:$R,'MER P&amp;L'!$A20,'MER TB'!H:H)</f>
        <v/>
      </c>
      <c r="U20" s="37">
        <f>SUMIF('MER TB'!$R:$R,'MER P&amp;L'!$A20,'MER TB'!I:I)</f>
        <v/>
      </c>
      <c r="V20" s="38" t="n">
        <v>50</v>
      </c>
      <c r="W20" s="38" t="n">
        <v>50</v>
      </c>
      <c r="X20" s="38" t="n">
        <v>50</v>
      </c>
      <c r="Y20" s="38" t="n">
        <v>50</v>
      </c>
      <c r="Z20" s="38" t="n">
        <v>50</v>
      </c>
      <c r="AA20" s="36">
        <f>SUM(O20:U20)</f>
        <v/>
      </c>
      <c r="AB20" s="36">
        <f>SUM(O20:Z20)</f>
        <v/>
      </c>
      <c r="AC20" s="38" t="n">
        <v>50</v>
      </c>
      <c r="AD20" s="38" t="n">
        <v>50</v>
      </c>
      <c r="AE20" s="38" t="n">
        <v>50</v>
      </c>
      <c r="AF20" s="38" t="n">
        <v>50</v>
      </c>
      <c r="AG20" s="38" t="n">
        <v>50</v>
      </c>
      <c r="AH20" s="38" t="n">
        <v>50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304.95</v>
      </c>
      <c r="C21" s="35" t="n">
        <v>264.71</v>
      </c>
      <c r="D21" s="35" t="n">
        <v>188.52</v>
      </c>
      <c r="E21" s="35" t="n">
        <v>236.83</v>
      </c>
      <c r="F21" s="35" t="n">
        <v>480.61</v>
      </c>
      <c r="G21" s="35" t="n">
        <v>227.41</v>
      </c>
      <c r="H21" s="35" t="n">
        <v>311.65</v>
      </c>
      <c r="I21" s="35" t="n">
        <v>17.06</v>
      </c>
      <c r="J21" s="35" t="n">
        <v>76.78999999999999</v>
      </c>
      <c r="K21" s="35" t="n">
        <v>131.31</v>
      </c>
      <c r="L21" s="35" t="n">
        <v>263.85</v>
      </c>
      <c r="M21" s="35" t="n">
        <v>64.3</v>
      </c>
      <c r="N21" s="36">
        <f>SUM(B21:M21)</f>
        <v/>
      </c>
      <c r="O21" s="37">
        <f>SUMIF('MER TB'!$R:$R,'MER P&amp;L'!$A21,'MER TB'!C:C)</f>
        <v/>
      </c>
      <c r="P21" s="37">
        <f>SUMIF('MER TB'!$R:$R,'MER P&amp;L'!$A21,'MER TB'!D:D)</f>
        <v/>
      </c>
      <c r="Q21" s="37">
        <f>SUMIF('MER TB'!$R:$R,'MER P&amp;L'!$A21,'MER TB'!E:E)</f>
        <v/>
      </c>
      <c r="R21" s="37">
        <f>SUMIF('MER TB'!$R:$R,'MER P&amp;L'!$A21,'MER TB'!F:F)</f>
        <v/>
      </c>
      <c r="S21" s="37">
        <f>SUMIF('MER TB'!$R:$R,'MER P&amp;L'!$A21,'MER TB'!G:G)</f>
        <v/>
      </c>
      <c r="T21" s="37">
        <f>SUMIF('MER TB'!$R:$R,'MER P&amp;L'!$A21,'MER TB'!H:H)</f>
        <v/>
      </c>
      <c r="U21" s="37">
        <f>SUMIF('MER TB'!$R:$R,'MER P&amp;L'!$A21,'MER TB'!I:I)</f>
        <v/>
      </c>
      <c r="V21" s="38" t="n">
        <v>180</v>
      </c>
      <c r="W21" s="38" t="n">
        <v>180</v>
      </c>
      <c r="X21" s="38" t="n">
        <v>180</v>
      </c>
      <c r="Y21" s="38" t="n">
        <v>180</v>
      </c>
      <c r="Z21" s="38" t="n">
        <v>180</v>
      </c>
      <c r="AA21" s="36">
        <f>SUM(O21:U21)</f>
        <v/>
      </c>
      <c r="AB21" s="36">
        <f>SUM(O21:Z21)</f>
        <v/>
      </c>
      <c r="AC21" s="38" t="n">
        <v>180</v>
      </c>
      <c r="AD21" s="38" t="n">
        <v>180</v>
      </c>
      <c r="AE21" s="38" t="n">
        <v>180</v>
      </c>
      <c r="AF21" s="38" t="n">
        <v>180</v>
      </c>
      <c r="AG21" s="38" t="n">
        <v>180</v>
      </c>
      <c r="AH21" s="38" t="n">
        <v>180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3352.38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SUMIF('MER TB'!$R:$R,'MER P&amp;L'!$A22,'MER TB'!C:C)</f>
        <v/>
      </c>
      <c r="P22" s="37">
        <f>SUMIF('MER TB'!$R:$R,'MER P&amp;L'!$A22,'MER TB'!D:D)</f>
        <v/>
      </c>
      <c r="Q22" s="37">
        <f>SUMIF('MER TB'!$R:$R,'MER P&amp;L'!$A22,'MER TB'!E:E)</f>
        <v/>
      </c>
      <c r="R22" s="37">
        <f>SUMIF('MER TB'!$R:$R,'MER P&amp;L'!$A22,'MER TB'!F:F)</f>
        <v/>
      </c>
      <c r="S22" s="37">
        <f>SUMIF('MER TB'!$R:$R,'MER P&amp;L'!$A22,'MER TB'!G:G)</f>
        <v/>
      </c>
      <c r="T22" s="37">
        <f>SUMIF('MER TB'!$R:$R,'MER P&amp;L'!$A22,'MER TB'!H:H)</f>
        <v/>
      </c>
      <c r="U22" s="37">
        <f>SUMIF('MER TB'!$R:$R,'MER P&amp;L'!$A22,'MER TB'!I:I)</f>
        <v/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8.109999999999999</v>
      </c>
      <c r="I23" s="35" t="n">
        <v>0</v>
      </c>
      <c r="J23" s="35" t="n">
        <v>23.49</v>
      </c>
      <c r="K23" s="35" t="n">
        <v>6.28</v>
      </c>
      <c r="L23" s="35" t="n">
        <v>0</v>
      </c>
      <c r="M23" s="35" t="n">
        <v>95.38</v>
      </c>
      <c r="N23" s="36">
        <f>SUM(B23:M23)</f>
        <v/>
      </c>
      <c r="O23" s="37">
        <f>SUMIF('MER TB'!$R:$R,'MER P&amp;L'!$A23,'MER TB'!C:C)</f>
        <v/>
      </c>
      <c r="P23" s="37">
        <f>SUMIF('MER TB'!$R:$R,'MER P&amp;L'!$A23,'MER TB'!D:D)</f>
        <v/>
      </c>
      <c r="Q23" s="37">
        <f>SUMIF('MER TB'!$R:$R,'MER P&amp;L'!$A23,'MER TB'!E:E)</f>
        <v/>
      </c>
      <c r="R23" s="37">
        <f>SUMIF('MER TB'!$R:$R,'MER P&amp;L'!$A23,'MER TB'!F:F)</f>
        <v/>
      </c>
      <c r="S23" s="37">
        <f>SUMIF('MER TB'!$R:$R,'MER P&amp;L'!$A23,'MER TB'!G:G)</f>
        <v/>
      </c>
      <c r="T23" s="37">
        <f>SUMIF('MER TB'!$R:$R,'MER P&amp;L'!$A23,'MER TB'!H:H)</f>
        <v/>
      </c>
      <c r="U23" s="37">
        <f>SUMIF('MER TB'!$R:$R,'MER P&amp;L'!$A23,'MER TB'!I:I)</f>
        <v/>
      </c>
      <c r="V23" s="38" t="n">
        <v>75</v>
      </c>
      <c r="W23" s="38" t="n">
        <v>75</v>
      </c>
      <c r="X23" s="38" t="n">
        <v>75</v>
      </c>
      <c r="Y23" s="38" t="n">
        <v>75</v>
      </c>
      <c r="Z23" s="38" t="n">
        <v>75</v>
      </c>
      <c r="AA23" s="36">
        <f>SUM(O23:U23)</f>
        <v/>
      </c>
      <c r="AB23" s="36">
        <f>SUM(O23:Z23)</f>
        <v/>
      </c>
      <c r="AC23" s="38" t="n">
        <v>75</v>
      </c>
      <c r="AD23" s="38" t="n">
        <v>75</v>
      </c>
      <c r="AE23" s="38" t="n">
        <v>75</v>
      </c>
      <c r="AF23" s="38" t="n">
        <v>75</v>
      </c>
      <c r="AG23" s="38" t="n">
        <v>75</v>
      </c>
      <c r="AH23" s="38" t="n">
        <v>75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226.03</v>
      </c>
      <c r="G24" s="35" t="n">
        <v>0</v>
      </c>
      <c r="H24" s="35" t="n">
        <v>249.41</v>
      </c>
      <c r="I24" s="35" t="n">
        <v>0</v>
      </c>
      <c r="J24" s="35" t="n">
        <v>0</v>
      </c>
      <c r="K24" s="35" t="n">
        <v>4590.68</v>
      </c>
      <c r="L24" s="35" t="n">
        <v>3008.5</v>
      </c>
      <c r="M24" s="35" t="n">
        <v>0</v>
      </c>
      <c r="N24" s="36">
        <f>SUM(B24:M24)</f>
        <v/>
      </c>
      <c r="O24" s="37">
        <f>SUMIF('MER TB'!$R:$R,'MER P&amp;L'!$A24,'MER TB'!C:C)</f>
        <v/>
      </c>
      <c r="P24" s="37">
        <f>SUMIF('MER TB'!$R:$R,'MER P&amp;L'!$A24,'MER TB'!D:D)</f>
        <v/>
      </c>
      <c r="Q24" s="37">
        <f>SUMIF('MER TB'!$R:$R,'MER P&amp;L'!$A24,'MER TB'!E:E)</f>
        <v/>
      </c>
      <c r="R24" s="37">
        <f>SUMIF('MER TB'!$R:$R,'MER P&amp;L'!$A24,'MER TB'!F:F)</f>
        <v/>
      </c>
      <c r="S24" s="37">
        <f>SUMIF('MER TB'!$R:$R,'MER P&amp;L'!$A24,'MER TB'!G:G)</f>
        <v/>
      </c>
      <c r="T24" s="37">
        <f>SUMIF('MER TB'!$R:$R,'MER P&amp;L'!$A24,'MER TB'!H:H)</f>
        <v/>
      </c>
      <c r="U24" s="37">
        <f>SUMIF('MER TB'!$R:$R,'MER P&amp;L'!$A24,'MER TB'!I:I)</f>
        <v/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35172.41</v>
      </c>
      <c r="C25" s="42" t="n">
        <v>35747.46999999999</v>
      </c>
      <c r="D25" s="42" t="n">
        <v>37292.51</v>
      </c>
      <c r="E25" s="42" t="n">
        <v>44556.27</v>
      </c>
      <c r="F25" s="42" t="n">
        <v>44581.99999999999</v>
      </c>
      <c r="G25" s="42" t="n">
        <v>37022.34</v>
      </c>
      <c r="H25" s="42" t="n">
        <v>43286.82</v>
      </c>
      <c r="I25" s="42" t="n">
        <v>43925.56</v>
      </c>
      <c r="J25" s="42" t="n">
        <v>43620.99000000001</v>
      </c>
      <c r="K25" s="42" t="n">
        <v>47618.67</v>
      </c>
      <c r="L25" s="42" t="n">
        <v>37781.48</v>
      </c>
      <c r="M25" s="42" t="n">
        <v>37571.59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2289.58</v>
      </c>
      <c r="C27" s="35" t="n">
        <v>2546.22</v>
      </c>
      <c r="D27" s="35" t="n">
        <v>2519.94</v>
      </c>
      <c r="E27" s="35" t="n">
        <v>2197.72</v>
      </c>
      <c r="F27" s="35" t="n">
        <v>3033.92</v>
      </c>
      <c r="G27" s="35" t="n">
        <v>2423.51</v>
      </c>
      <c r="H27" s="35" t="n">
        <v>2384.5</v>
      </c>
      <c r="I27" s="35" t="n">
        <v>3214.98</v>
      </c>
      <c r="J27" s="35" t="n">
        <v>2401.27</v>
      </c>
      <c r="K27" s="35" t="n">
        <v>3123.55</v>
      </c>
      <c r="L27" s="35" t="n">
        <v>2139.83</v>
      </c>
      <c r="M27" s="35" t="n">
        <v>1819.24</v>
      </c>
      <c r="N27" s="36">
        <f>SUM(B27:M27)</f>
        <v/>
      </c>
      <c r="O27" s="37">
        <f>SUMIF('MER TB'!$R:$R,'MER P&amp;L'!$A27,'MER TB'!C:C)</f>
        <v/>
      </c>
      <c r="P27" s="37">
        <f>SUMIF('MER TB'!$R:$R,'MER P&amp;L'!$A27,'MER TB'!D:D)</f>
        <v/>
      </c>
      <c r="Q27" s="37">
        <f>SUMIF('MER TB'!$R:$R,'MER P&amp;L'!$A27,'MER TB'!E:E)</f>
        <v/>
      </c>
      <c r="R27" s="37">
        <f>SUMIF('MER TB'!$R:$R,'MER P&amp;L'!$A27,'MER TB'!F:F)</f>
        <v/>
      </c>
      <c r="S27" s="37">
        <f>SUMIF('MER TB'!$R:$R,'MER P&amp;L'!$A27,'MER TB'!G:G)</f>
        <v/>
      </c>
      <c r="T27" s="37">
        <f>SUMIF('MER TB'!$R:$R,'MER P&amp;L'!$A27,'MER TB'!H:H)</f>
        <v/>
      </c>
      <c r="U27" s="37">
        <f>SUMIF('MER TB'!$R:$R,'MER P&amp;L'!$A27,'MER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150.47</v>
      </c>
      <c r="C28" s="35" t="n">
        <v>158.38</v>
      </c>
      <c r="D28" s="35" t="n">
        <v>149.6</v>
      </c>
      <c r="E28" s="35" t="n">
        <v>525.9299999999999</v>
      </c>
      <c r="F28" s="35" t="n">
        <v>276.46</v>
      </c>
      <c r="G28" s="35" t="n">
        <v>459.8100000000001</v>
      </c>
      <c r="H28" s="35" t="n">
        <v>618.96</v>
      </c>
      <c r="I28" s="35" t="n">
        <v>0</v>
      </c>
      <c r="J28" s="35" t="n">
        <v>157.63</v>
      </c>
      <c r="K28" s="35" t="n">
        <v>157.78</v>
      </c>
      <c r="L28" s="35" t="n">
        <v>433.98</v>
      </c>
      <c r="M28" s="35" t="n">
        <v>160.93</v>
      </c>
      <c r="N28" s="36">
        <f>SUM(B28:M28)</f>
        <v/>
      </c>
      <c r="O28" s="37">
        <f>SUMIF('MER TB'!$R:$R,'MER P&amp;L'!$A28,'MER TB'!C:C)</f>
        <v/>
      </c>
      <c r="P28" s="37">
        <f>SUMIF('MER TB'!$R:$R,'MER P&amp;L'!$A28,'MER TB'!D:D)</f>
        <v/>
      </c>
      <c r="Q28" s="37">
        <f>SUMIF('MER TB'!$R:$R,'MER P&amp;L'!$A28,'MER TB'!E:E)</f>
        <v/>
      </c>
      <c r="R28" s="37">
        <f>SUMIF('MER TB'!$R:$R,'MER P&amp;L'!$A28,'MER TB'!F:F)</f>
        <v/>
      </c>
      <c r="S28" s="37">
        <f>SUMIF('MER TB'!$R:$R,'MER P&amp;L'!$A28,'MER TB'!G:G)</f>
        <v/>
      </c>
      <c r="T28" s="37">
        <f>SUMIF('MER TB'!$R:$R,'MER P&amp;L'!$A28,'MER TB'!H:H)</f>
        <v/>
      </c>
      <c r="U28" s="37">
        <f>SUMIF('MER TB'!$R:$R,'MER P&amp;L'!$A28,'MER TB'!I:I)</f>
        <v/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265.61</v>
      </c>
      <c r="C29" s="35" t="n">
        <v>319.94</v>
      </c>
      <c r="D29" s="35" t="n">
        <v>271.53</v>
      </c>
      <c r="E29" s="35" t="n">
        <v>23.32</v>
      </c>
      <c r="F29" s="35" t="n">
        <v>4.64</v>
      </c>
      <c r="G29" s="35" t="n">
        <v>27.53</v>
      </c>
      <c r="H29" s="35" t="n">
        <v>0</v>
      </c>
      <c r="I29" s="35" t="n">
        <v>0</v>
      </c>
      <c r="J29" s="35" t="n">
        <v>6</v>
      </c>
      <c r="K29" s="35" t="n">
        <v>204.23</v>
      </c>
      <c r="L29" s="35" t="n">
        <v>22.49</v>
      </c>
      <c r="M29" s="35" t="n">
        <v>233.2</v>
      </c>
      <c r="N29" s="36">
        <f>SUM(B29:M29)</f>
        <v/>
      </c>
      <c r="O29" s="37">
        <f>SUMIF('MER TB'!$R:$R,'MER P&amp;L'!$A29,'MER TB'!C:C)</f>
        <v/>
      </c>
      <c r="P29" s="37">
        <f>SUMIF('MER TB'!$R:$R,'MER P&amp;L'!$A29,'MER TB'!D:D)</f>
        <v/>
      </c>
      <c r="Q29" s="37">
        <f>SUMIF('MER TB'!$R:$R,'MER P&amp;L'!$A29,'MER TB'!E:E)</f>
        <v/>
      </c>
      <c r="R29" s="37">
        <f>SUMIF('MER TB'!$R:$R,'MER P&amp;L'!$A29,'MER TB'!F:F)</f>
        <v/>
      </c>
      <c r="S29" s="37">
        <f>SUMIF('MER TB'!$R:$R,'MER P&amp;L'!$A29,'MER TB'!G:G)</f>
        <v/>
      </c>
      <c r="T29" s="37">
        <f>SUMIF('MER TB'!$R:$R,'MER P&amp;L'!$A29,'MER TB'!H:H)</f>
        <v/>
      </c>
      <c r="U29" s="37">
        <f>SUMIF('MER TB'!$R:$R,'MER P&amp;L'!$A29,'MER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0.004160000000000001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28.68</v>
      </c>
      <c r="C30" s="35" t="n">
        <v>99.43000000000001</v>
      </c>
      <c r="D30" s="35" t="n">
        <v>62.8</v>
      </c>
      <c r="E30" s="35" t="n">
        <v>18.53</v>
      </c>
      <c r="F30" s="35" t="n">
        <v>58.69</v>
      </c>
      <c r="G30" s="35" t="n">
        <v>7.64</v>
      </c>
      <c r="H30" s="35" t="n">
        <v>76.06</v>
      </c>
      <c r="I30" s="35" t="n">
        <v>48.85</v>
      </c>
      <c r="J30" s="35" t="n">
        <v>0</v>
      </c>
      <c r="K30" s="35" t="n">
        <v>112.19</v>
      </c>
      <c r="L30" s="35" t="n">
        <v>108.87</v>
      </c>
      <c r="M30" s="35" t="n">
        <v>0</v>
      </c>
      <c r="N30" s="36">
        <f>SUM(B30:M30)</f>
        <v/>
      </c>
      <c r="O30" s="37">
        <f>SUMIF('MER TB'!$R:$R,'MER P&amp;L'!$A30,'MER TB'!C:C)</f>
        <v/>
      </c>
      <c r="P30" s="37">
        <f>SUMIF('MER TB'!$R:$R,'MER P&amp;L'!$A30,'MER TB'!D:D)</f>
        <v/>
      </c>
      <c r="Q30" s="37">
        <f>SUMIF('MER TB'!$R:$R,'MER P&amp;L'!$A30,'MER TB'!E:E)</f>
        <v/>
      </c>
      <c r="R30" s="37">
        <f>SUMIF('MER TB'!$R:$R,'MER P&amp;L'!$A30,'MER TB'!F:F)</f>
        <v/>
      </c>
      <c r="S30" s="37">
        <f>SUMIF('MER TB'!$R:$R,'MER P&amp;L'!$A30,'MER TB'!G:G)</f>
        <v/>
      </c>
      <c r="T30" s="37">
        <f>SUMIF('MER TB'!$R:$R,'MER P&amp;L'!$A30,'MER TB'!H:H)</f>
        <v/>
      </c>
      <c r="U30" s="37">
        <f>SUMIF('MER TB'!$R:$R,'MER P&amp;L'!$A30,'MER TB'!I:I)</f>
        <v/>
      </c>
      <c r="V30" s="38" t="n">
        <v>90</v>
      </c>
      <c r="W30" s="38" t="n">
        <v>90</v>
      </c>
      <c r="X30" s="38" t="n">
        <v>90</v>
      </c>
      <c r="Y30" s="38" t="n">
        <v>90</v>
      </c>
      <c r="Z30" s="38" t="n">
        <v>90</v>
      </c>
      <c r="AA30" s="36">
        <f>SUM(O30:U30)</f>
        <v/>
      </c>
      <c r="AB30" s="36">
        <f>SUM(O30:Z30)</f>
        <v/>
      </c>
      <c r="AC30" s="38" t="n">
        <v>90</v>
      </c>
      <c r="AD30" s="38" t="n">
        <v>90</v>
      </c>
      <c r="AE30" s="38" t="n">
        <v>90</v>
      </c>
      <c r="AF30" s="38" t="n">
        <v>90</v>
      </c>
      <c r="AG30" s="38" t="n">
        <v>90</v>
      </c>
      <c r="AH30" s="38" t="n">
        <v>90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160.7</v>
      </c>
      <c r="C31" s="35" t="n">
        <v>123.84</v>
      </c>
      <c r="D31" s="35" t="n">
        <v>222.23</v>
      </c>
      <c r="E31" s="35" t="n">
        <v>28.49</v>
      </c>
      <c r="F31" s="35" t="n">
        <v>71.57000000000001</v>
      </c>
      <c r="G31" s="35" t="n">
        <v>71.31999999999999</v>
      </c>
      <c r="H31" s="35" t="n">
        <v>80.70999999999999</v>
      </c>
      <c r="I31" s="35" t="n">
        <v>3.95</v>
      </c>
      <c r="J31" s="35" t="n">
        <v>12.98</v>
      </c>
      <c r="K31" s="35" t="n">
        <v>267.22</v>
      </c>
      <c r="L31" s="35" t="n">
        <v>151.94</v>
      </c>
      <c r="M31" s="35" t="n">
        <v>10.99</v>
      </c>
      <c r="N31" s="36">
        <f>SUM(B31:M31)</f>
        <v/>
      </c>
      <c r="O31" s="37">
        <f>SUMIF('MER TB'!$R:$R,'MER P&amp;L'!$A31,'MER TB'!C:C)</f>
        <v/>
      </c>
      <c r="P31" s="37">
        <f>SUMIF('MER TB'!$R:$R,'MER P&amp;L'!$A31,'MER TB'!D:D)</f>
        <v/>
      </c>
      <c r="Q31" s="37">
        <f>SUMIF('MER TB'!$R:$R,'MER P&amp;L'!$A31,'MER TB'!E:E)</f>
        <v/>
      </c>
      <c r="R31" s="37">
        <f>SUMIF('MER TB'!$R:$R,'MER P&amp;L'!$A31,'MER TB'!F:F)</f>
        <v/>
      </c>
      <c r="S31" s="37">
        <f>SUMIF('MER TB'!$R:$R,'MER P&amp;L'!$A31,'MER TB'!G:G)</f>
        <v/>
      </c>
      <c r="T31" s="37">
        <f>SUMIF('MER TB'!$R:$R,'MER P&amp;L'!$A31,'MER TB'!H:H)</f>
        <v/>
      </c>
      <c r="U31" s="37">
        <f>SUMIF('MER TB'!$R:$R,'MER P&amp;L'!$A31,'MER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418.32</v>
      </c>
      <c r="C32" s="35" t="n">
        <v>226.31</v>
      </c>
      <c r="D32" s="35" t="n">
        <v>105.24</v>
      </c>
      <c r="E32" s="35" t="n">
        <v>357.01</v>
      </c>
      <c r="F32" s="35" t="n">
        <v>282.85</v>
      </c>
      <c r="G32" s="35" t="n">
        <v>276.79</v>
      </c>
      <c r="H32" s="35" t="n">
        <v>241.13</v>
      </c>
      <c r="I32" s="35" t="n">
        <v>7</v>
      </c>
      <c r="J32" s="35" t="n">
        <v>251.25</v>
      </c>
      <c r="K32" s="35" t="n">
        <v>196.15</v>
      </c>
      <c r="L32" s="35" t="n">
        <v>468.95</v>
      </c>
      <c r="M32" s="35" t="n">
        <v>683.21</v>
      </c>
      <c r="N32" s="36">
        <f>SUM(B32:M32)</f>
        <v/>
      </c>
      <c r="O32" s="37">
        <f>SUMIF('MER TB'!$R:$R,'MER P&amp;L'!$A32,'MER TB'!C:C)</f>
        <v/>
      </c>
      <c r="P32" s="37">
        <f>SUMIF('MER TB'!$R:$R,'MER P&amp;L'!$A32,'MER TB'!D:D)</f>
        <v/>
      </c>
      <c r="Q32" s="37">
        <f>SUMIF('MER TB'!$R:$R,'MER P&amp;L'!$A32,'MER TB'!E:E)</f>
        <v/>
      </c>
      <c r="R32" s="37">
        <f>SUMIF('MER TB'!$R:$R,'MER P&amp;L'!$A32,'MER TB'!F:F)</f>
        <v/>
      </c>
      <c r="S32" s="37">
        <f>SUMIF('MER TB'!$R:$R,'MER P&amp;L'!$A32,'MER TB'!G:G)</f>
        <v/>
      </c>
      <c r="T32" s="37">
        <f>SUMIF('MER TB'!$R:$R,'MER P&amp;L'!$A32,'MER TB'!H:H)</f>
        <v/>
      </c>
      <c r="U32" s="37">
        <f>SUMIF('MER TB'!$R:$R,'MER P&amp;L'!$A32,'MER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0.005200000000000001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SUMIF('MER TB'!$R:$R,'MER P&amp;L'!$A33,'MER TB'!C:C)</f>
        <v/>
      </c>
      <c r="P33" s="37">
        <f>SUMIF('MER TB'!$R:$R,'MER P&amp;L'!$A33,'MER TB'!D:D)</f>
        <v/>
      </c>
      <c r="Q33" s="37">
        <f>SUMIF('MER TB'!$R:$R,'MER P&amp;L'!$A33,'MER TB'!E:E)</f>
        <v/>
      </c>
      <c r="R33" s="37">
        <f>SUMIF('MER TB'!$R:$R,'MER P&amp;L'!$A33,'MER TB'!F:F)</f>
        <v/>
      </c>
      <c r="S33" s="37">
        <f>SUMIF('MER TB'!$R:$R,'MER P&amp;L'!$A33,'MER TB'!G:G)</f>
        <v/>
      </c>
      <c r="T33" s="37">
        <f>SUMIF('MER TB'!$R:$R,'MER P&amp;L'!$A33,'MER TB'!H:H)</f>
        <v/>
      </c>
      <c r="U33" s="37">
        <f>SUMIF('MER TB'!$R:$R,'MER P&amp;L'!$A33,'MER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3313.36</v>
      </c>
      <c r="C34" s="42" t="n">
        <v>3474.12</v>
      </c>
      <c r="D34" s="42" t="n">
        <v>3331.34</v>
      </c>
      <c r="E34" s="42" t="n">
        <v>3151</v>
      </c>
      <c r="F34" s="42" t="n">
        <v>3728.13</v>
      </c>
      <c r="G34" s="42" t="n">
        <v>3266.6</v>
      </c>
      <c r="H34" s="42" t="n">
        <v>3401.36</v>
      </c>
      <c r="I34" s="42" t="n">
        <v>3274.78</v>
      </c>
      <c r="J34" s="42" t="n">
        <v>2829.13</v>
      </c>
      <c r="K34" s="42" t="n">
        <v>4061.12</v>
      </c>
      <c r="L34" s="42" t="n">
        <v>3326.059999999999</v>
      </c>
      <c r="M34" s="42" t="n">
        <v>2907.57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SUMIF('MER TB'!$R:$R,'MER P&amp;L'!$A36,'MER TB'!C:C)</f>
        <v/>
      </c>
      <c r="P36" s="37">
        <f>SUMIF('MER TB'!$R:$R,'MER P&amp;L'!$A36,'MER TB'!D:D)</f>
        <v/>
      </c>
      <c r="Q36" s="37">
        <f>SUMIF('MER TB'!$R:$R,'MER P&amp;L'!$A36,'MER TB'!E:E)</f>
        <v/>
      </c>
      <c r="R36" s="37">
        <f>SUMIF('MER TB'!$R:$R,'MER P&amp;L'!$A36,'MER TB'!F:F)</f>
        <v/>
      </c>
      <c r="S36" s="37">
        <f>SUMIF('MER TB'!$R:$R,'MER P&amp;L'!$A36,'MER TB'!G:G)</f>
        <v/>
      </c>
      <c r="T36" s="37">
        <f>SUMIF('MER TB'!$R:$R,'MER P&amp;L'!$A36,'MER TB'!H:H)</f>
        <v/>
      </c>
      <c r="U36" s="37">
        <f>SUMIF('MER TB'!$R:$R,'MER P&amp;L'!$A36,'MER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3094</v>
      </c>
      <c r="C37" s="35" t="n">
        <v>3094</v>
      </c>
      <c r="D37" s="35" t="n">
        <v>3094</v>
      </c>
      <c r="E37" s="35" t="n">
        <v>3145</v>
      </c>
      <c r="F37" s="35" t="n">
        <v>3145</v>
      </c>
      <c r="G37" s="35" t="n">
        <v>3145</v>
      </c>
      <c r="H37" s="35" t="n">
        <v>3145</v>
      </c>
      <c r="I37" s="35" t="n">
        <v>3145</v>
      </c>
      <c r="J37" s="35" t="n">
        <v>3145</v>
      </c>
      <c r="K37" s="35" t="n">
        <v>3145</v>
      </c>
      <c r="L37" s="35" t="n">
        <v>3145</v>
      </c>
      <c r="M37" s="35" t="n">
        <v>3145</v>
      </c>
      <c r="N37" s="36">
        <f>SUM(B37:M37)</f>
        <v/>
      </c>
      <c r="O37" s="37">
        <f>SUMIF('MER TB'!$R:$R,'MER P&amp;L'!$A37,'MER TB'!C:C)</f>
        <v/>
      </c>
      <c r="P37" s="37">
        <f>SUMIF('MER TB'!$R:$R,'MER P&amp;L'!$A37,'MER TB'!D:D)</f>
        <v/>
      </c>
      <c r="Q37" s="37">
        <f>SUMIF('MER TB'!$R:$R,'MER P&amp;L'!$A37,'MER TB'!E:E)</f>
        <v/>
      </c>
      <c r="R37" s="37">
        <f>SUMIF('MER TB'!$R:$R,'MER P&amp;L'!$A37,'MER TB'!F:F)</f>
        <v/>
      </c>
      <c r="S37" s="37">
        <f>SUMIF('MER TB'!$R:$R,'MER P&amp;L'!$A37,'MER TB'!G:G)</f>
        <v/>
      </c>
      <c r="T37" s="37">
        <f>SUMIF('MER TB'!$R:$R,'MER P&amp;L'!$A37,'MER TB'!H:H)</f>
        <v/>
      </c>
      <c r="U37" s="37">
        <f>SUMIF('MER TB'!$R:$R,'MER P&amp;L'!$A37,'MER TB'!I:I)</f>
        <v/>
      </c>
      <c r="V37" s="38" t="n">
        <v>3022</v>
      </c>
      <c r="W37" s="38" t="n">
        <v>3022</v>
      </c>
      <c r="X37" s="38" t="n">
        <v>3022</v>
      </c>
      <c r="Y37" s="38" t="n">
        <v>3022</v>
      </c>
      <c r="Z37" s="38" t="n">
        <v>3022</v>
      </c>
      <c r="AA37" s="36">
        <f>SUM(O37:U37)</f>
        <v/>
      </c>
      <c r="AB37" s="36">
        <f>SUM(O37:Z37)</f>
        <v/>
      </c>
      <c r="AC37" s="38" t="n">
        <v>3022</v>
      </c>
      <c r="AD37" s="38" t="n">
        <v>3022</v>
      </c>
      <c r="AE37" s="38" t="n">
        <v>3022</v>
      </c>
      <c r="AF37" s="38" t="n">
        <v>3022</v>
      </c>
      <c r="AG37" s="38" t="n">
        <v>3022</v>
      </c>
      <c r="AH37" s="38" t="n">
        <v>3022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1090.6</v>
      </c>
      <c r="C38" s="35" t="n">
        <v>72.00000000000045</v>
      </c>
      <c r="D38" s="35" t="n">
        <v>2060.91</v>
      </c>
      <c r="E38" s="35" t="n">
        <v>1227.22</v>
      </c>
      <c r="F38" s="35" t="n">
        <v>800.8800000000001</v>
      </c>
      <c r="G38" s="35" t="n">
        <v>1086.41</v>
      </c>
      <c r="H38" s="35" t="n">
        <v>648.46</v>
      </c>
      <c r="I38" s="35" t="n">
        <v>655.5999999999999</v>
      </c>
      <c r="J38" s="35" t="n">
        <v>1518.48</v>
      </c>
      <c r="K38" s="35" t="n">
        <v>795.6700000000001</v>
      </c>
      <c r="L38" s="35" t="n">
        <v>740.5999999999999</v>
      </c>
      <c r="M38" s="35" t="n">
        <v>1205.02</v>
      </c>
      <c r="N38" s="36">
        <f>SUM(B38:M38)</f>
        <v/>
      </c>
      <c r="O38" s="37">
        <f>SUMIF('MER TB'!$R:$R,'MER P&amp;L'!$A38,'MER TB'!C:C)</f>
        <v/>
      </c>
      <c r="P38" s="37">
        <f>SUMIF('MER TB'!$R:$R,'MER P&amp;L'!$A38,'MER TB'!D:D)</f>
        <v/>
      </c>
      <c r="Q38" s="37">
        <f>SUMIF('MER TB'!$R:$R,'MER P&amp;L'!$A38,'MER TB'!E:E)</f>
        <v/>
      </c>
      <c r="R38" s="37">
        <f>SUMIF('MER TB'!$R:$R,'MER P&amp;L'!$A38,'MER TB'!F:F)</f>
        <v/>
      </c>
      <c r="S38" s="37">
        <f>SUMIF('MER TB'!$R:$R,'MER P&amp;L'!$A38,'MER TB'!G:G)</f>
        <v/>
      </c>
      <c r="T38" s="37">
        <f>SUMIF('MER TB'!$R:$R,'MER P&amp;L'!$A38,'MER TB'!H:H)</f>
        <v/>
      </c>
      <c r="U38" s="37">
        <f>SUMIF('MER TB'!$R:$R,'MER P&amp;L'!$A38,'MER TB'!I:I)</f>
        <v/>
      </c>
      <c r="V38" s="38" t="n">
        <v>996</v>
      </c>
      <c r="W38" s="38" t="n">
        <v>996</v>
      </c>
      <c r="X38" s="38" t="n">
        <v>996</v>
      </c>
      <c r="Y38" s="38" t="n">
        <v>996</v>
      </c>
      <c r="Z38" s="38" t="n">
        <v>996</v>
      </c>
      <c r="AA38" s="36">
        <f>SUM(O38:U38)</f>
        <v/>
      </c>
      <c r="AB38" s="36">
        <f>SUM(O38:Z38)</f>
        <v/>
      </c>
      <c r="AC38" s="38" t="n">
        <v>996</v>
      </c>
      <c r="AD38" s="38" t="n">
        <v>996</v>
      </c>
      <c r="AE38" s="38" t="n">
        <v>996</v>
      </c>
      <c r="AF38" s="38" t="n">
        <v>996</v>
      </c>
      <c r="AG38" s="38" t="n">
        <v>996</v>
      </c>
      <c r="AH38" s="38" t="n">
        <v>996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222</v>
      </c>
      <c r="C39" s="35" t="n">
        <v>0</v>
      </c>
      <c r="D39" s="35" t="n">
        <v>2295.47</v>
      </c>
      <c r="E39" s="35" t="n">
        <v>59.2</v>
      </c>
      <c r="F39" s="35" t="n">
        <v>102.84</v>
      </c>
      <c r="G39" s="35" t="n">
        <v>156.31</v>
      </c>
      <c r="H39" s="35" t="n">
        <v>269.93</v>
      </c>
      <c r="I39" s="35" t="n">
        <v>7.38</v>
      </c>
      <c r="J39" s="35" t="n">
        <v>10.62</v>
      </c>
      <c r="K39" s="35" t="n">
        <v>114.23</v>
      </c>
      <c r="L39" s="35" t="n">
        <v>36</v>
      </c>
      <c r="M39" s="35" t="n">
        <v>108</v>
      </c>
      <c r="N39" s="36">
        <f>SUM(B39:M39)</f>
        <v/>
      </c>
      <c r="O39" s="37">
        <f>SUMIF('MER TB'!$R:$R,'MER P&amp;L'!$A39,'MER TB'!C:C)</f>
        <v/>
      </c>
      <c r="P39" s="37">
        <f>SUMIF('MER TB'!$R:$R,'MER P&amp;L'!$A39,'MER TB'!D:D)</f>
        <v/>
      </c>
      <c r="Q39" s="37">
        <f>SUMIF('MER TB'!$R:$R,'MER P&amp;L'!$A39,'MER TB'!E:E)</f>
        <v/>
      </c>
      <c r="R39" s="37">
        <f>SUMIF('MER TB'!$R:$R,'MER P&amp;L'!$A39,'MER TB'!F:F)</f>
        <v/>
      </c>
      <c r="S39" s="37">
        <f>SUMIF('MER TB'!$R:$R,'MER P&amp;L'!$A39,'MER TB'!G:G)</f>
        <v/>
      </c>
      <c r="T39" s="37">
        <f>SUMIF('MER TB'!$R:$R,'MER P&amp;L'!$A39,'MER TB'!H:H)</f>
        <v/>
      </c>
      <c r="U39" s="37">
        <f>SUMIF('MER TB'!$R:$R,'MER P&amp;L'!$A39,'MER TB'!I:I)</f>
        <v/>
      </c>
      <c r="V39" s="38" t="n"/>
      <c r="W39" s="38" t="n">
        <v>3500</v>
      </c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910.8999999999999</v>
      </c>
      <c r="C40" s="35" t="n">
        <v>436.73</v>
      </c>
      <c r="D40" s="35" t="n">
        <v>608.49</v>
      </c>
      <c r="E40" s="35" t="n">
        <v>631.55</v>
      </c>
      <c r="F40" s="35" t="n">
        <v>660.9300000000001</v>
      </c>
      <c r="G40" s="35" t="n">
        <v>1356.2</v>
      </c>
      <c r="H40" s="35" t="n">
        <v>461</v>
      </c>
      <c r="I40" s="35" t="n">
        <v>439.54</v>
      </c>
      <c r="J40" s="35" t="n">
        <v>1191.48</v>
      </c>
      <c r="K40" s="35" t="n">
        <v>462.57</v>
      </c>
      <c r="L40" s="35" t="n">
        <v>228.42</v>
      </c>
      <c r="M40" s="35" t="n">
        <v>464.64</v>
      </c>
      <c r="N40" s="36">
        <f>SUM(B40:M40)</f>
        <v/>
      </c>
      <c r="O40" s="37">
        <f>SUMIF('MER TB'!$R:$R,'MER P&amp;L'!$A40,'MER TB'!C:C)</f>
        <v/>
      </c>
      <c r="P40" s="37">
        <f>SUMIF('MER TB'!$R:$R,'MER P&amp;L'!$A40,'MER TB'!D:D)</f>
        <v/>
      </c>
      <c r="Q40" s="37">
        <f>SUMIF('MER TB'!$R:$R,'MER P&amp;L'!$A40,'MER TB'!E:E)</f>
        <v/>
      </c>
      <c r="R40" s="37">
        <f>SUMIF('MER TB'!$R:$R,'MER P&amp;L'!$A40,'MER TB'!F:F)</f>
        <v/>
      </c>
      <c r="S40" s="37">
        <f>SUMIF('MER TB'!$R:$R,'MER P&amp;L'!$A40,'MER TB'!G:G)</f>
        <v/>
      </c>
      <c r="T40" s="37">
        <f>SUMIF('MER TB'!$R:$R,'MER P&amp;L'!$A40,'MER TB'!H:H)</f>
        <v/>
      </c>
      <c r="U40" s="37">
        <f>SUMIF('MER TB'!$R:$R,'MER P&amp;L'!$A40,'MER TB'!I:I)</f>
        <v/>
      </c>
      <c r="V40" s="38" t="n">
        <v>333</v>
      </c>
      <c r="W40" s="38" t="n">
        <v>333</v>
      </c>
      <c r="X40" s="38" t="n">
        <v>333</v>
      </c>
      <c r="Y40" s="38" t="n">
        <v>333</v>
      </c>
      <c r="Z40" s="38" t="n">
        <v>333</v>
      </c>
      <c r="AA40" s="36">
        <f>SUM(O40:U40)</f>
        <v/>
      </c>
      <c r="AB40" s="36">
        <f>SUM(O40:Z40)</f>
        <v/>
      </c>
      <c r="AC40" s="38" t="n">
        <v>333</v>
      </c>
      <c r="AD40" s="38" t="n">
        <v>333</v>
      </c>
      <c r="AE40" s="38" t="n">
        <v>333</v>
      </c>
      <c r="AF40" s="38" t="n">
        <v>333</v>
      </c>
      <c r="AG40" s="38" t="n">
        <v>333</v>
      </c>
      <c r="AH40" s="38" t="n">
        <v>333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377.59</v>
      </c>
      <c r="C41" s="35" t="n">
        <v>583.16</v>
      </c>
      <c r="D41" s="35" t="n">
        <v>730.2299999999999</v>
      </c>
      <c r="E41" s="35" t="n">
        <v>334.81</v>
      </c>
      <c r="F41" s="35" t="n">
        <v>283.5700000000001</v>
      </c>
      <c r="G41" s="35" t="n">
        <v>414.48</v>
      </c>
      <c r="H41" s="35" t="n">
        <v>361.07</v>
      </c>
      <c r="I41" s="35" t="n">
        <v>449.9</v>
      </c>
      <c r="J41" s="35" t="n">
        <v>780.8099999999999</v>
      </c>
      <c r="K41" s="35" t="n">
        <v>411.19</v>
      </c>
      <c r="L41" s="35" t="n">
        <v>428.31</v>
      </c>
      <c r="M41" s="35" t="n">
        <v>481.72</v>
      </c>
      <c r="N41" s="36">
        <f>SUM(B41:M41)</f>
        <v/>
      </c>
      <c r="O41" s="37">
        <f>SUMIF('MER TB'!$R:$R,'MER P&amp;L'!$A41,'MER TB'!C:C)</f>
        <v/>
      </c>
      <c r="P41" s="37">
        <f>SUMIF('MER TB'!$R:$R,'MER P&amp;L'!$A41,'MER TB'!D:D)</f>
        <v/>
      </c>
      <c r="Q41" s="37">
        <f>SUMIF('MER TB'!$R:$R,'MER P&amp;L'!$A41,'MER TB'!E:E)</f>
        <v/>
      </c>
      <c r="R41" s="37">
        <f>SUMIF('MER TB'!$R:$R,'MER P&amp;L'!$A41,'MER TB'!F:F)</f>
        <v/>
      </c>
      <c r="S41" s="37">
        <f>SUMIF('MER TB'!$R:$R,'MER P&amp;L'!$A41,'MER TB'!G:G)</f>
        <v/>
      </c>
      <c r="T41" s="37">
        <f>SUMIF('MER TB'!$R:$R,'MER P&amp;L'!$A41,'MER TB'!H:H)</f>
        <v/>
      </c>
      <c r="U41" s="37">
        <f>SUMIF('MER TB'!$R:$R,'MER P&amp;L'!$A41,'MER TB'!I:I)</f>
        <v/>
      </c>
      <c r="V41" s="38" t="n">
        <v>474</v>
      </c>
      <c r="W41" s="38" t="n">
        <v>474</v>
      </c>
      <c r="X41" s="38" t="n">
        <v>474</v>
      </c>
      <c r="Y41" s="38" t="n">
        <v>474</v>
      </c>
      <c r="Z41" s="38" t="n">
        <v>474</v>
      </c>
      <c r="AA41" s="36">
        <f>SUM(O41:U41)</f>
        <v/>
      </c>
      <c r="AB41" s="36">
        <f>SUM(O41:Z41)</f>
        <v/>
      </c>
      <c r="AC41" s="38" t="n">
        <v>474</v>
      </c>
      <c r="AD41" s="38" t="n">
        <v>474</v>
      </c>
      <c r="AE41" s="38" t="n">
        <v>474</v>
      </c>
      <c r="AF41" s="38" t="n">
        <v>474</v>
      </c>
      <c r="AG41" s="38" t="n">
        <v>474</v>
      </c>
      <c r="AH41" s="38" t="n">
        <v>474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71.09999999999999</v>
      </c>
      <c r="C42" s="35" t="n">
        <v>84.2</v>
      </c>
      <c r="D42" s="35" t="n">
        <v>53.57</v>
      </c>
      <c r="E42" s="35" t="n">
        <v>40.14</v>
      </c>
      <c r="F42" s="35" t="n">
        <v>67.65000000000001</v>
      </c>
      <c r="G42" s="35" t="n">
        <v>49.08</v>
      </c>
      <c r="H42" s="35" t="n">
        <v>71.48999999999999</v>
      </c>
      <c r="I42" s="35" t="n">
        <v>270.78</v>
      </c>
      <c r="J42" s="35" t="n">
        <v>102.83</v>
      </c>
      <c r="K42" s="35" t="n">
        <v>91.92</v>
      </c>
      <c r="L42" s="35" t="n">
        <v>54.05</v>
      </c>
      <c r="M42" s="35" t="n">
        <v>43.75</v>
      </c>
      <c r="N42" s="36">
        <f>SUM(B42:M42)</f>
        <v/>
      </c>
      <c r="O42" s="37">
        <f>SUMIF('MER TB'!$R:$R,'MER P&amp;L'!$A42,'MER TB'!C:C)</f>
        <v/>
      </c>
      <c r="P42" s="37">
        <f>SUMIF('MER TB'!$R:$R,'MER P&amp;L'!$A42,'MER TB'!D:D)</f>
        <v/>
      </c>
      <c r="Q42" s="37">
        <f>SUMIF('MER TB'!$R:$R,'MER P&amp;L'!$A42,'MER TB'!E:E)</f>
        <v/>
      </c>
      <c r="R42" s="37">
        <f>SUMIF('MER TB'!$R:$R,'MER P&amp;L'!$A42,'MER TB'!F:F)</f>
        <v/>
      </c>
      <c r="S42" s="37">
        <f>SUMIF('MER TB'!$R:$R,'MER P&amp;L'!$A42,'MER TB'!G:G)</f>
        <v/>
      </c>
      <c r="T42" s="37">
        <f>SUMIF('MER TB'!$R:$R,'MER P&amp;L'!$A42,'MER TB'!H:H)</f>
        <v/>
      </c>
      <c r="U42" s="37">
        <f>SUMIF('MER TB'!$R:$R,'MER P&amp;L'!$A42,'MER TB'!I:I)</f>
        <v/>
      </c>
      <c r="V42" s="38" t="n"/>
      <c r="W42" s="38" t="n"/>
      <c r="X42" s="38" t="n"/>
      <c r="Y42" s="38" t="n"/>
      <c r="Z42" s="38" t="n"/>
      <c r="AA42" s="36">
        <f>SUM(O42:U42)</f>
        <v/>
      </c>
      <c r="AB42" s="36">
        <f>SUM(O42:Z42)</f>
        <v/>
      </c>
      <c r="AC42" s="38" t="n"/>
      <c r="AD42" s="38" t="n"/>
      <c r="AE42" s="38" t="n"/>
      <c r="AF42" s="38" t="n"/>
      <c r="AG42" s="38" t="n"/>
      <c r="AH42" s="38" t="n"/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SUMIF('MER TB'!$R:$R,'MER P&amp;L'!$A43,'MER TB'!C:C)</f>
        <v/>
      </c>
      <c r="P43" s="37">
        <f>SUMIF('MER TB'!$R:$R,'MER P&amp;L'!$A43,'MER TB'!D:D)</f>
        <v/>
      </c>
      <c r="Q43" s="37">
        <f>SUMIF('MER TB'!$R:$R,'MER P&amp;L'!$A43,'MER TB'!E:E)</f>
        <v/>
      </c>
      <c r="R43" s="37">
        <f>SUMIF('MER TB'!$R:$R,'MER P&amp;L'!$A43,'MER TB'!F:F)</f>
        <v/>
      </c>
      <c r="S43" s="37">
        <f>SUMIF('MER TB'!$R:$R,'MER P&amp;L'!$A43,'MER TB'!G:G)</f>
        <v/>
      </c>
      <c r="T43" s="37">
        <f>SUMIF('MER TB'!$R:$R,'MER P&amp;L'!$A43,'MER TB'!H:H)</f>
        <v/>
      </c>
      <c r="U43" s="37">
        <f>SUMIF('MER TB'!$R:$R,'MER P&amp;L'!$A43,'MER TB'!I:I)</f>
        <v/>
      </c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SUMIF('MER TB'!$R:$R,'MER P&amp;L'!$A44,'MER TB'!C:C)</f>
        <v/>
      </c>
      <c r="P44" s="37">
        <f>SUMIF('MER TB'!$R:$R,'MER P&amp;L'!$A44,'MER TB'!D:D)</f>
        <v/>
      </c>
      <c r="Q44" s="37">
        <f>SUMIF('MER TB'!$R:$R,'MER P&amp;L'!$A44,'MER TB'!E:E)</f>
        <v/>
      </c>
      <c r="R44" s="37">
        <f>SUMIF('MER TB'!$R:$R,'MER P&amp;L'!$A44,'MER TB'!F:F)</f>
        <v/>
      </c>
      <c r="S44" s="37">
        <f>SUMIF('MER TB'!$R:$R,'MER P&amp;L'!$A44,'MER TB'!G:G)</f>
        <v/>
      </c>
      <c r="T44" s="37">
        <f>SUMIF('MER TB'!$R:$R,'MER P&amp;L'!$A44,'MER TB'!H:H)</f>
        <v/>
      </c>
      <c r="U44" s="37">
        <f>SUMIF('MER TB'!$R:$R,'MER P&amp;L'!$A44,'MER TB'!I:I)</f>
        <v/>
      </c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270.44</v>
      </c>
      <c r="E45" s="35" t="n">
        <v>0</v>
      </c>
      <c r="F45" s="35" t="n">
        <v>0</v>
      </c>
      <c r="G45" s="35" t="n">
        <v>265</v>
      </c>
      <c r="H45" s="35" t="n">
        <v>0</v>
      </c>
      <c r="I45" s="35" t="n">
        <v>45</v>
      </c>
      <c r="J45" s="35" t="n">
        <v>41.25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SUMIF('MER TB'!$R:$R,'MER P&amp;L'!$A45,'MER TB'!C:C)</f>
        <v/>
      </c>
      <c r="P45" s="37">
        <f>SUMIF('MER TB'!$R:$R,'MER P&amp;L'!$A45,'MER TB'!D:D)</f>
        <v/>
      </c>
      <c r="Q45" s="37">
        <f>SUMIF('MER TB'!$R:$R,'MER P&amp;L'!$A45,'MER TB'!E:E)</f>
        <v/>
      </c>
      <c r="R45" s="37">
        <f>SUMIF('MER TB'!$R:$R,'MER P&amp;L'!$A45,'MER TB'!F:F)</f>
        <v/>
      </c>
      <c r="S45" s="37">
        <f>SUMIF('MER TB'!$R:$R,'MER P&amp;L'!$A45,'MER TB'!G:G)</f>
        <v/>
      </c>
      <c r="T45" s="37">
        <f>SUMIF('MER TB'!$R:$R,'MER P&amp;L'!$A45,'MER TB'!H:H)</f>
        <v/>
      </c>
      <c r="U45" s="37">
        <f>SUMIF('MER TB'!$R:$R,'MER P&amp;L'!$A45,'MER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SUMIF('MER TB'!$R:$R,'MER P&amp;L'!$A46,'MER TB'!C:C)</f>
        <v/>
      </c>
      <c r="P46" s="37">
        <f>SUMIF('MER TB'!$R:$R,'MER P&amp;L'!$A46,'MER TB'!D:D)</f>
        <v/>
      </c>
      <c r="Q46" s="37">
        <f>SUMIF('MER TB'!$R:$R,'MER P&amp;L'!$A46,'MER TB'!E:E)</f>
        <v/>
      </c>
      <c r="R46" s="37">
        <f>SUMIF('MER TB'!$R:$R,'MER P&amp;L'!$A46,'MER TB'!F:F)</f>
        <v/>
      </c>
      <c r="S46" s="37">
        <f>SUMIF('MER TB'!$R:$R,'MER P&amp;L'!$A46,'MER TB'!G:G)</f>
        <v/>
      </c>
      <c r="T46" s="37">
        <f>SUMIF('MER TB'!$R:$R,'MER P&amp;L'!$A46,'MER TB'!H:H)</f>
        <v/>
      </c>
      <c r="U46" s="37">
        <f>SUMIF('MER TB'!$R:$R,'MER P&amp;L'!$A46,'MER TB'!I:I)</f>
        <v/>
      </c>
      <c r="V46" s="38" t="n"/>
      <c r="W46" s="38" t="n"/>
      <c r="X46" s="38" t="n"/>
      <c r="Y46" s="38" t="n"/>
      <c r="Z46" s="38" t="n"/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5766.190000000001</v>
      </c>
      <c r="C47" s="42" t="n">
        <v>4270.09</v>
      </c>
      <c r="D47" s="42" t="n">
        <v>9113.110000000001</v>
      </c>
      <c r="E47" s="42" t="n">
        <v>5437.920000000001</v>
      </c>
      <c r="F47" s="42" t="n">
        <v>5060.87</v>
      </c>
      <c r="G47" s="42" t="n">
        <v>6472.48</v>
      </c>
      <c r="H47" s="42" t="n">
        <v>4956.949999999999</v>
      </c>
      <c r="I47" s="42" t="n">
        <v>5013.2</v>
      </c>
      <c r="J47" s="42" t="n">
        <v>6790.469999999999</v>
      </c>
      <c r="K47" s="42" t="n">
        <v>5020.58</v>
      </c>
      <c r="L47" s="42" t="n">
        <v>4632.38</v>
      </c>
      <c r="M47" s="42" t="n">
        <v>5448.130000000001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44251.96</v>
      </c>
      <c r="C48" s="23" t="n">
        <v>43491.67999999999</v>
      </c>
      <c r="D48" s="23" t="n">
        <v>49736.96000000001</v>
      </c>
      <c r="E48" s="23" t="n">
        <v>53145.19</v>
      </c>
      <c r="F48" s="23" t="n">
        <v>53370.99999999999</v>
      </c>
      <c r="G48" s="23" t="n">
        <v>46761.42</v>
      </c>
      <c r="H48" s="23" t="n">
        <v>51645.13</v>
      </c>
      <c r="I48" s="23" t="n">
        <v>52213.53999999999</v>
      </c>
      <c r="J48" s="23" t="n">
        <v>53240.59</v>
      </c>
      <c r="K48" s="23" t="n">
        <v>56700.37</v>
      </c>
      <c r="L48" s="23" t="n">
        <v>45739.92</v>
      </c>
      <c r="M48" s="23" t="n">
        <v>45927.28999999999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54802.88000000001</v>
      </c>
      <c r="C50" s="55" t="n">
        <v>46070.28000000001</v>
      </c>
      <c r="D50" s="55" t="n">
        <v>51681.73</v>
      </c>
      <c r="E50" s="55" t="n">
        <v>52382.08</v>
      </c>
      <c r="F50" s="55" t="n">
        <v>45925.59000000001</v>
      </c>
      <c r="G50" s="55" t="n">
        <v>49640.09000000001</v>
      </c>
      <c r="H50" s="55" t="n">
        <v>96983.07999999999</v>
      </c>
      <c r="I50" s="55" t="n">
        <v>34467.90000000001</v>
      </c>
      <c r="J50" s="55" t="n">
        <v>39061.13999999999</v>
      </c>
      <c r="K50" s="55" t="n">
        <v>32091.63</v>
      </c>
      <c r="L50" s="55" t="n">
        <v>63582.40999999999</v>
      </c>
      <c r="M50" s="55" t="n">
        <v>83169.40999999999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SUMIF('MER TB'!$R:$R,'MER P&amp;L'!$A53,'MER TB'!C:C)</f>
        <v/>
      </c>
      <c r="P53" s="37">
        <f>SUMIF('MER TB'!$R:$R,'MER P&amp;L'!$A53,'MER TB'!D:D)</f>
        <v/>
      </c>
      <c r="Q53" s="37">
        <f>SUMIF('MER TB'!$R:$R,'MER P&amp;L'!$A53,'MER TB'!E:E)</f>
        <v/>
      </c>
      <c r="R53" s="37">
        <f>SUMIF('MER TB'!$R:$R,'MER P&amp;L'!$A53,'MER TB'!F:F)</f>
        <v/>
      </c>
      <c r="S53" s="37">
        <f>SUMIF('MER TB'!$R:$R,'MER P&amp;L'!$A53,'MER TB'!G:G)</f>
        <v/>
      </c>
      <c r="T53" s="37">
        <f>SUMIF('MER TB'!$R:$R,'MER P&amp;L'!$A53,'MER TB'!H:H)</f>
        <v/>
      </c>
      <c r="U53" s="37">
        <f>SUMIF('MER TB'!$R:$R,'MER P&amp;L'!$A53,'MER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SUMIF('MER TB'!$R:$R,'MER P&amp;L'!$A54,'MER TB'!C:C)</f>
        <v/>
      </c>
      <c r="P54" s="37">
        <f>SUMIF('MER TB'!$R:$R,'MER P&amp;L'!$A54,'MER TB'!D:D)</f>
        <v/>
      </c>
      <c r="Q54" s="37">
        <f>SUMIF('MER TB'!$R:$R,'MER P&amp;L'!$A54,'MER TB'!E:E)</f>
        <v/>
      </c>
      <c r="R54" s="37">
        <f>SUMIF('MER TB'!$R:$R,'MER P&amp;L'!$A54,'MER TB'!F:F)</f>
        <v/>
      </c>
      <c r="S54" s="37">
        <f>SUMIF('MER TB'!$R:$R,'MER P&amp;L'!$A54,'MER TB'!G:G)</f>
        <v/>
      </c>
      <c r="T54" s="37">
        <f>SUMIF('MER TB'!$R:$R,'MER P&amp;L'!$A54,'MER TB'!H:H)</f>
        <v/>
      </c>
      <c r="U54" s="37">
        <f>SUMIF('MER TB'!$R:$R,'MER P&amp;L'!$A54,'MER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SUMIF('MER TB'!$R:$R,'MER P&amp;L'!$A55,'MER TB'!C:C)</f>
        <v/>
      </c>
      <c r="P55" s="37">
        <f>SUMIF('MER TB'!$R:$R,'MER P&amp;L'!$A55,'MER TB'!D:D)</f>
        <v/>
      </c>
      <c r="Q55" s="37">
        <f>SUMIF('MER TB'!$R:$R,'MER P&amp;L'!$A55,'MER TB'!E:E)</f>
        <v/>
      </c>
      <c r="R55" s="37">
        <f>SUMIF('MER TB'!$R:$R,'MER P&amp;L'!$A55,'MER TB'!F:F)</f>
        <v/>
      </c>
      <c r="S55" s="37">
        <f>SUMIF('MER TB'!$R:$R,'MER P&amp;L'!$A55,'MER TB'!G:G)</f>
        <v/>
      </c>
      <c r="T55" s="37">
        <f>SUMIF('MER TB'!$R:$R,'MER P&amp;L'!$A55,'MER TB'!H:H)</f>
        <v/>
      </c>
      <c r="U55" s="37">
        <f>SUMIF('MER TB'!$R:$R,'MER P&amp;L'!$A55,'MER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SUMIF('MER TB'!$R:$R,'MER P&amp;L'!$A56,'MER TB'!C:C)</f>
        <v/>
      </c>
      <c r="P56" s="37">
        <f>SUMIF('MER TB'!$R:$R,'MER P&amp;L'!$A56,'MER TB'!D:D)</f>
        <v/>
      </c>
      <c r="Q56" s="37">
        <f>SUMIF('MER TB'!$R:$R,'MER P&amp;L'!$A56,'MER TB'!E:E)</f>
        <v/>
      </c>
      <c r="R56" s="37">
        <f>SUMIF('MER TB'!$R:$R,'MER P&amp;L'!$A56,'MER TB'!F:F)</f>
        <v/>
      </c>
      <c r="S56" s="37">
        <f>SUMIF('MER TB'!$R:$R,'MER P&amp;L'!$A56,'MER TB'!G:G)</f>
        <v/>
      </c>
      <c r="T56" s="37">
        <f>SUMIF('MER TB'!$R:$R,'MER P&amp;L'!$A56,'MER TB'!H:H)</f>
        <v/>
      </c>
      <c r="U56" s="37">
        <f>SUMIF('MER TB'!$R:$R,'MER P&amp;L'!$A56,'MER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450</v>
      </c>
      <c r="N57" s="36">
        <f>SUM(B57:M57)</f>
        <v/>
      </c>
      <c r="O57" s="37">
        <f>SUMIF('MER TB'!$R:$R,'MER P&amp;L'!$A57,'MER TB'!C:C)</f>
        <v/>
      </c>
      <c r="P57" s="37">
        <f>SUMIF('MER TB'!$R:$R,'MER P&amp;L'!$A57,'MER TB'!D:D)</f>
        <v/>
      </c>
      <c r="Q57" s="37">
        <f>SUMIF('MER TB'!$R:$R,'MER P&amp;L'!$A57,'MER TB'!E:E)</f>
        <v/>
      </c>
      <c r="R57" s="37">
        <f>SUMIF('MER TB'!$R:$R,'MER P&amp;L'!$A57,'MER TB'!F:F)</f>
        <v/>
      </c>
      <c r="S57" s="37">
        <f>SUMIF('MER TB'!$R:$R,'MER P&amp;L'!$A57,'MER TB'!G:G)</f>
        <v/>
      </c>
      <c r="T57" s="37">
        <f>SUMIF('MER TB'!$R:$R,'MER P&amp;L'!$A57,'MER TB'!H:H)</f>
        <v/>
      </c>
      <c r="U57" s="37">
        <f>SUMIF('MER TB'!$R:$R,'MER P&amp;L'!$A57,'MER TB'!I:I)</f>
        <v/>
      </c>
      <c r="V57" s="38" t="n"/>
      <c r="W57" s="38" t="n"/>
      <c r="X57" s="38" t="n"/>
      <c r="Y57" s="38" t="n"/>
      <c r="Z57" s="38">
        <f>30*18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SUMIF('MER TB'!$R:$R,'MER P&amp;L'!$A58,'MER TB'!C:C)</f>
        <v/>
      </c>
      <c r="P58" s="37">
        <f>SUMIF('MER TB'!$R:$R,'MER P&amp;L'!$A58,'MER TB'!D:D)</f>
        <v/>
      </c>
      <c r="Q58" s="37">
        <f>SUMIF('MER TB'!$R:$R,'MER P&amp;L'!$A58,'MER TB'!E:E)</f>
        <v/>
      </c>
      <c r="R58" s="37">
        <f>SUMIF('MER TB'!$R:$R,'MER P&amp;L'!$A58,'MER TB'!F:F)</f>
        <v/>
      </c>
      <c r="S58" s="37">
        <f>SUMIF('MER TB'!$R:$R,'MER P&amp;L'!$A58,'MER TB'!G:G)</f>
        <v/>
      </c>
      <c r="T58" s="37">
        <f>SUMIF('MER TB'!$R:$R,'MER P&amp;L'!$A58,'MER TB'!H:H)</f>
        <v/>
      </c>
      <c r="U58" s="37">
        <f>SUMIF('MER TB'!$R:$R,'MER P&amp;L'!$A58,'MER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SUMIF('MER TB'!$R:$R,'MER P&amp;L'!$A59,'MER TB'!C:C)</f>
        <v/>
      </c>
      <c r="P59" s="37">
        <f>SUMIF('MER TB'!$R:$R,'MER P&amp;L'!$A59,'MER TB'!D:D)</f>
        <v/>
      </c>
      <c r="Q59" s="37">
        <f>SUMIF('MER TB'!$R:$R,'MER P&amp;L'!$A59,'MER TB'!E:E)</f>
        <v/>
      </c>
      <c r="R59" s="37">
        <f>SUMIF('MER TB'!$R:$R,'MER P&amp;L'!$A59,'MER TB'!F:F)</f>
        <v/>
      </c>
      <c r="S59" s="37">
        <f>SUMIF('MER TB'!$R:$R,'MER P&amp;L'!$A59,'MER TB'!G:G)</f>
        <v/>
      </c>
      <c r="T59" s="37">
        <f>SUMIF('MER TB'!$R:$R,'MER P&amp;L'!$A59,'MER TB'!H:H)</f>
        <v/>
      </c>
      <c r="U59" s="37">
        <f>SUMIF('MER TB'!$R:$R,'MER P&amp;L'!$A59,'MER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8.4</v>
      </c>
      <c r="C60" s="35" t="n">
        <v>6.6</v>
      </c>
      <c r="D60" s="35" t="n">
        <v>6.6</v>
      </c>
      <c r="E60" s="35" t="n">
        <v>9.6</v>
      </c>
      <c r="F60" s="35" t="n">
        <v>10.8</v>
      </c>
      <c r="G60" s="35" t="n">
        <v>9.600000000000001</v>
      </c>
      <c r="H60" s="35" t="n">
        <v>9</v>
      </c>
      <c r="I60" s="35" t="n">
        <v>6</v>
      </c>
      <c r="J60" s="35" t="n">
        <v>9.599999999999998</v>
      </c>
      <c r="K60" s="35" t="n">
        <v>77.2</v>
      </c>
      <c r="L60" s="35" t="n">
        <v>6.600000000000001</v>
      </c>
      <c r="M60" s="35" t="n">
        <v>7.800000000000001</v>
      </c>
      <c r="N60" s="36">
        <f>SUM(B60:M60)</f>
        <v/>
      </c>
      <c r="O60" s="37">
        <f>SUMIF('MER TB'!$R:$R,'MER P&amp;L'!$A60,'MER TB'!C:C)</f>
        <v/>
      </c>
      <c r="P60" s="37">
        <f>SUMIF('MER TB'!$R:$R,'MER P&amp;L'!$A60,'MER TB'!D:D)</f>
        <v/>
      </c>
      <c r="Q60" s="37">
        <f>SUMIF('MER TB'!$R:$R,'MER P&amp;L'!$A60,'MER TB'!E:E)</f>
        <v/>
      </c>
      <c r="R60" s="37">
        <f>SUMIF('MER TB'!$R:$R,'MER P&amp;L'!$A60,'MER TB'!F:F)</f>
        <v/>
      </c>
      <c r="S60" s="37">
        <f>SUMIF('MER TB'!$R:$R,'MER P&amp;L'!$A60,'MER TB'!G:G)</f>
        <v/>
      </c>
      <c r="T60" s="37">
        <f>SUMIF('MER TB'!$R:$R,'MER P&amp;L'!$A60,'MER TB'!H:H)</f>
        <v/>
      </c>
      <c r="U60" s="37">
        <f>SUMIF('MER TB'!$R:$R,'MER P&amp;L'!$A60,'MER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7.970000000000001</v>
      </c>
      <c r="C61" s="35" t="n">
        <v>14.98</v>
      </c>
      <c r="D61" s="35" t="n">
        <v>30.38</v>
      </c>
      <c r="E61" s="35" t="n">
        <v>0</v>
      </c>
      <c r="F61" s="35" t="n">
        <v>28.17</v>
      </c>
      <c r="G61" s="35" t="n">
        <v>48.89</v>
      </c>
      <c r="H61" s="35" t="n">
        <v>8.98</v>
      </c>
      <c r="I61" s="35" t="n">
        <v>0</v>
      </c>
      <c r="J61" s="35" t="n">
        <v>0</v>
      </c>
      <c r="K61" s="35" t="n">
        <v>0</v>
      </c>
      <c r="L61" s="35" t="n">
        <v>18.97</v>
      </c>
      <c r="M61" s="35" t="n">
        <v>0</v>
      </c>
      <c r="N61" s="36">
        <f>SUM(B61:M61)</f>
        <v/>
      </c>
      <c r="O61" s="37">
        <f>SUMIF('MER TB'!$R:$R,'MER P&amp;L'!$A61,'MER TB'!C:C)</f>
        <v/>
      </c>
      <c r="P61" s="37">
        <f>SUMIF('MER TB'!$R:$R,'MER P&amp;L'!$A61,'MER TB'!D:D)</f>
        <v/>
      </c>
      <c r="Q61" s="37">
        <f>SUMIF('MER TB'!$R:$R,'MER P&amp;L'!$A61,'MER TB'!E:E)</f>
        <v/>
      </c>
      <c r="R61" s="37">
        <f>SUMIF('MER TB'!$R:$R,'MER P&amp;L'!$A61,'MER TB'!F:F)</f>
        <v/>
      </c>
      <c r="S61" s="37">
        <f>SUMIF('MER TB'!$R:$R,'MER P&amp;L'!$A61,'MER TB'!G:G)</f>
        <v/>
      </c>
      <c r="T61" s="37">
        <f>SUMIF('MER TB'!$R:$R,'MER P&amp;L'!$A61,'MER TB'!H:H)</f>
        <v/>
      </c>
      <c r="U61" s="37">
        <f>SUMIF('MER TB'!$R:$R,'MER P&amp;L'!$A61,'MER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132</v>
      </c>
      <c r="C62" s="35" t="n">
        <v>110</v>
      </c>
      <c r="D62" s="35" t="n">
        <v>172.91</v>
      </c>
      <c r="E62" s="35" t="n">
        <v>129.17</v>
      </c>
      <c r="F62" s="35" t="n">
        <v>452.34</v>
      </c>
      <c r="G62" s="35" t="n">
        <v>186</v>
      </c>
      <c r="H62" s="35" t="n">
        <v>222.8</v>
      </c>
      <c r="I62" s="35" t="n">
        <v>301.93</v>
      </c>
      <c r="J62" s="35" t="n">
        <v>174.26</v>
      </c>
      <c r="K62" s="35" t="n">
        <v>318.6</v>
      </c>
      <c r="L62" s="35" t="n">
        <v>501</v>
      </c>
      <c r="M62" s="35" t="n">
        <v>438</v>
      </c>
      <c r="N62" s="36">
        <f>SUM(B62:M62)</f>
        <v/>
      </c>
      <c r="O62" s="37">
        <f>SUMIF('MER TB'!$R:$R,'MER P&amp;L'!$A62,'MER TB'!C:C)</f>
        <v/>
      </c>
      <c r="P62" s="37">
        <f>SUMIF('MER TB'!$R:$R,'MER P&amp;L'!$A62,'MER TB'!D:D)</f>
        <v/>
      </c>
      <c r="Q62" s="37">
        <f>SUMIF('MER TB'!$R:$R,'MER P&amp;L'!$A62,'MER TB'!E:E)</f>
        <v/>
      </c>
      <c r="R62" s="37">
        <f>SUMIF('MER TB'!$R:$R,'MER P&amp;L'!$A62,'MER TB'!F:F)</f>
        <v/>
      </c>
      <c r="S62" s="37">
        <f>SUMIF('MER TB'!$R:$R,'MER P&amp;L'!$A62,'MER TB'!G:G)</f>
        <v/>
      </c>
      <c r="T62" s="37">
        <f>SUMIF('MER TB'!$R:$R,'MER P&amp;L'!$A62,'MER TB'!H:H)</f>
        <v/>
      </c>
      <c r="U62" s="37">
        <f>SUMIF('MER TB'!$R:$R,'MER P&amp;L'!$A62,'MER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SUMIF('MER TB'!$R:$R,'MER P&amp;L'!$A63,'MER TB'!C:C)</f>
        <v/>
      </c>
      <c r="P63" s="37">
        <f>SUMIF('MER TB'!$R:$R,'MER P&amp;L'!$A63,'MER TB'!D:D)</f>
        <v/>
      </c>
      <c r="Q63" s="37">
        <f>SUMIF('MER TB'!$R:$R,'MER P&amp;L'!$A63,'MER TB'!E:E)</f>
        <v/>
      </c>
      <c r="R63" s="37">
        <f>SUMIF('MER TB'!$R:$R,'MER P&amp;L'!$A63,'MER TB'!F:F)</f>
        <v/>
      </c>
      <c r="S63" s="37">
        <f>SUMIF('MER TB'!$R:$R,'MER P&amp;L'!$A63,'MER TB'!G:G)</f>
        <v/>
      </c>
      <c r="T63" s="37">
        <f>SUMIF('MER TB'!$R:$R,'MER P&amp;L'!$A63,'MER TB'!H:H)</f>
        <v/>
      </c>
      <c r="U63" s="37">
        <f>SUMIF('MER TB'!$R:$R,'MER P&amp;L'!$A63,'MER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SUMIF('MER TB'!$R:$R,'MER P&amp;L'!$A64,'MER TB'!C:C)</f>
        <v/>
      </c>
      <c r="P64" s="37">
        <f>SUMIF('MER TB'!$R:$R,'MER P&amp;L'!$A64,'MER TB'!D:D)</f>
        <v/>
      </c>
      <c r="Q64" s="37">
        <f>SUMIF('MER TB'!$R:$R,'MER P&amp;L'!$A64,'MER TB'!E:E)</f>
        <v/>
      </c>
      <c r="R64" s="37">
        <f>SUMIF('MER TB'!$R:$R,'MER P&amp;L'!$A64,'MER TB'!F:F)</f>
        <v/>
      </c>
      <c r="S64" s="37">
        <f>SUMIF('MER TB'!$R:$R,'MER P&amp;L'!$A64,'MER TB'!G:G)</f>
        <v/>
      </c>
      <c r="T64" s="37">
        <f>SUMIF('MER TB'!$R:$R,'MER P&amp;L'!$A64,'MER TB'!H:H)</f>
        <v/>
      </c>
      <c r="U64" s="37">
        <f>SUMIF('MER TB'!$R:$R,'MER P&amp;L'!$A64,'MER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SUMIF('MER TB'!$R:$R,'MER P&amp;L'!$A65,'MER TB'!C:C)</f>
        <v/>
      </c>
      <c r="P65" s="37">
        <f>SUMIF('MER TB'!$R:$R,'MER P&amp;L'!$A65,'MER TB'!D:D)</f>
        <v/>
      </c>
      <c r="Q65" s="37">
        <f>SUMIF('MER TB'!$R:$R,'MER P&amp;L'!$A65,'MER TB'!E:E)</f>
        <v/>
      </c>
      <c r="R65" s="37">
        <f>SUMIF('MER TB'!$R:$R,'MER P&amp;L'!$A65,'MER TB'!F:F)</f>
        <v/>
      </c>
      <c r="S65" s="37">
        <f>SUMIF('MER TB'!$R:$R,'MER P&amp;L'!$A65,'MER TB'!G:G)</f>
        <v/>
      </c>
      <c r="T65" s="37">
        <f>SUMIF('MER TB'!$R:$R,'MER P&amp;L'!$A65,'MER TB'!H:H)</f>
        <v/>
      </c>
      <c r="U65" s="37">
        <f>SUMIF('MER TB'!$R:$R,'MER P&amp;L'!$A65,'MER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SUMIF('MER TB'!$R:$R,'MER P&amp;L'!$A66,'MER TB'!C:C)</f>
        <v/>
      </c>
      <c r="P66" s="37">
        <f>SUMIF('MER TB'!$R:$R,'MER P&amp;L'!$A66,'MER TB'!D:D)</f>
        <v/>
      </c>
      <c r="Q66" s="37">
        <f>SUMIF('MER TB'!$R:$R,'MER P&amp;L'!$A66,'MER TB'!E:E)</f>
        <v/>
      </c>
      <c r="R66" s="37">
        <f>SUMIF('MER TB'!$R:$R,'MER P&amp;L'!$A66,'MER TB'!F:F)</f>
        <v/>
      </c>
      <c r="S66" s="37">
        <f>SUMIF('MER TB'!$R:$R,'MER P&amp;L'!$A66,'MER TB'!G:G)</f>
        <v/>
      </c>
      <c r="T66" s="37">
        <f>SUMIF('MER TB'!$R:$R,'MER P&amp;L'!$A66,'MER TB'!H:H)</f>
        <v/>
      </c>
      <c r="U66" s="37">
        <f>SUMIF('MER TB'!$R:$R,'MER P&amp;L'!$A66,'MER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SUMIF('MER TB'!$R:$R,'MER P&amp;L'!$A67,'MER TB'!C:C)</f>
        <v/>
      </c>
      <c r="P67" s="37">
        <f>SUMIF('MER TB'!$R:$R,'MER P&amp;L'!$A67,'MER TB'!D:D)</f>
        <v/>
      </c>
      <c r="Q67" s="37">
        <f>SUMIF('MER TB'!$R:$R,'MER P&amp;L'!$A67,'MER TB'!E:E)</f>
        <v/>
      </c>
      <c r="R67" s="37">
        <f>SUMIF('MER TB'!$R:$R,'MER P&amp;L'!$A67,'MER TB'!F:F)</f>
        <v/>
      </c>
      <c r="S67" s="37">
        <f>SUMIF('MER TB'!$R:$R,'MER P&amp;L'!$A67,'MER TB'!G:G)</f>
        <v/>
      </c>
      <c r="T67" s="37">
        <f>SUMIF('MER TB'!$R:$R,'MER P&amp;L'!$A67,'MER TB'!H:H)</f>
        <v/>
      </c>
      <c r="U67" s="37">
        <f>SUMIF('MER TB'!$R:$R,'MER P&amp;L'!$A67,'MER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SUMIF('MER TB'!$R:$R,'MER P&amp;L'!$A68,'MER TB'!C:C)</f>
        <v/>
      </c>
      <c r="P68" s="37">
        <f>SUMIF('MER TB'!$R:$R,'MER P&amp;L'!$A68,'MER TB'!D:D)</f>
        <v/>
      </c>
      <c r="Q68" s="37">
        <f>SUMIF('MER TB'!$R:$R,'MER P&amp;L'!$A68,'MER TB'!E:E)</f>
        <v/>
      </c>
      <c r="R68" s="37">
        <f>SUMIF('MER TB'!$R:$R,'MER P&amp;L'!$A68,'MER TB'!F:F)</f>
        <v/>
      </c>
      <c r="S68" s="37">
        <f>SUMIF('MER TB'!$R:$R,'MER P&amp;L'!$A68,'MER TB'!G:G)</f>
        <v/>
      </c>
      <c r="T68" s="37">
        <f>SUMIF('MER TB'!$R:$R,'MER P&amp;L'!$A68,'MER TB'!H:H)</f>
        <v/>
      </c>
      <c r="U68" s="37">
        <f>SUMIF('MER TB'!$R:$R,'MER P&amp;L'!$A68,'MER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349.75</v>
      </c>
      <c r="C69" s="42" t="n">
        <v>332.96</v>
      </c>
      <c r="D69" s="42" t="n">
        <v>411.27</v>
      </c>
      <c r="E69" s="42" t="n">
        <v>340.15</v>
      </c>
      <c r="F69" s="42" t="n">
        <v>692.6900000000001</v>
      </c>
      <c r="G69" s="42" t="n">
        <v>445.87</v>
      </c>
      <c r="H69" s="42" t="n">
        <v>442.16</v>
      </c>
      <c r="I69" s="42" t="n">
        <v>509.31</v>
      </c>
      <c r="J69" s="42" t="n">
        <v>385.24</v>
      </c>
      <c r="K69" s="42" t="n">
        <v>610.6</v>
      </c>
      <c r="L69" s="42" t="n">
        <v>741.37</v>
      </c>
      <c r="M69" s="42" t="n">
        <v>1110.6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54453.13000000001</v>
      </c>
      <c r="C70" s="55" t="n">
        <v>45737.32000000001</v>
      </c>
      <c r="D70" s="55" t="n">
        <v>51270.46</v>
      </c>
      <c r="E70" s="55" t="n">
        <v>52041.93</v>
      </c>
      <c r="F70" s="55" t="n">
        <v>45232.90000000001</v>
      </c>
      <c r="G70" s="55" t="n">
        <v>49194.22000000001</v>
      </c>
      <c r="H70" s="55" t="n">
        <v>96540.91999999998</v>
      </c>
      <c r="I70" s="55" t="n">
        <v>33958.59000000001</v>
      </c>
      <c r="J70" s="55" t="n">
        <v>38675.89999999999</v>
      </c>
      <c r="K70" s="55" t="n">
        <v>31481.03</v>
      </c>
      <c r="L70" s="55" t="n">
        <v>62841.03999999999</v>
      </c>
      <c r="M70" s="55" t="n">
        <v>82058.80999999998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60">
        <f>SUM(O71:T71)</f>
        <v/>
      </c>
      <c r="AB71" s="56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60">
        <f>SUM(O72:T72)</f>
        <v/>
      </c>
      <c r="AB72" s="56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60" t="inlineStr">
        <is>
          <t>Memo</t>
        </is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60">
        <f>SUM(O73:T73)</f>
        <v/>
      </c>
      <c r="AB73" s="56" t="n"/>
      <c r="AC73" s="8" t="n"/>
      <c r="AD73" s="8" t="n"/>
      <c r="AE73" s="8" t="n"/>
      <c r="AF73" s="8" t="n"/>
      <c r="AG73" s="8" t="n"/>
      <c r="AH73" s="8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60" t="inlineStr">
        <is>
          <t>Direct - Sales</t>
        </is>
      </c>
      <c r="B74" s="60" t="n">
        <v>99054.84000000001</v>
      </c>
      <c r="C74" s="60" t="n">
        <v>89561.96000000001</v>
      </c>
      <c r="D74" s="60" t="n">
        <v>101418.69</v>
      </c>
      <c r="E74" s="60" t="n">
        <v>105527.27</v>
      </c>
      <c r="F74" s="60" t="n">
        <v>99296.59</v>
      </c>
      <c r="G74" s="60" t="n">
        <v>96401.51000000001</v>
      </c>
      <c r="H74" s="60" t="n">
        <v>148628.21</v>
      </c>
      <c r="I74" s="60" t="n">
        <v>86681.44</v>
      </c>
      <c r="J74" s="60" t="n">
        <v>92301.73</v>
      </c>
      <c r="K74" s="60" t="n">
        <v>88792</v>
      </c>
      <c r="L74" s="60" t="n">
        <v>109322.33</v>
      </c>
      <c r="M74" s="8" t="n"/>
      <c r="N74" s="8" t="n"/>
      <c r="O74" s="60">
        <f>-SUMIF('MER TB'!$T:$T,'MER P&amp;L'!$A74,'MER TB'!C:C)</f>
        <v/>
      </c>
      <c r="P74" s="60">
        <f>-SUMIF('MER TB'!$T:$T,'MER P&amp;L'!$A74,'MER TB'!D:D)</f>
        <v/>
      </c>
      <c r="Q74" s="60">
        <f>-SUMIF('MER TB'!$T:$T,'MER P&amp;L'!$A74,'MER TB'!E:E)</f>
        <v/>
      </c>
      <c r="R74" s="60">
        <f>-SUMIF('MER TB'!$T:$T,'MER P&amp;L'!$A74,'MER TB'!F:F)</f>
        <v/>
      </c>
      <c r="S74" s="60">
        <f>-SUMIF('MER TB'!$T:$T,'MER P&amp;L'!$A74,'MER TB'!G:G)</f>
        <v/>
      </c>
      <c r="T74" s="60">
        <f>-SUMIF('MER TB'!$T:$T,'MER P&amp;L'!$A74,'MER TB'!H:H)</f>
        <v/>
      </c>
      <c r="U74" s="60">
        <f>-SUMIF('MER TB'!$T:$T,'MER P&amp;L'!$A74,'MER TB'!I:I)</f>
        <v/>
      </c>
      <c r="V74" s="60">
        <f>-SUMIF('MER TB'!$T:$T,'MER P&amp;L'!$A74,'MER TB'!J:J)</f>
        <v/>
      </c>
      <c r="W74" s="60">
        <f>-SUMIF('MER TB'!$T:$T,'MER P&amp;L'!$A74,'MER TB'!K:K)</f>
        <v/>
      </c>
      <c r="X74" s="60">
        <f>-SUMIF('MER TB'!$T:$T,'MER P&amp;L'!$A74,'MER TB'!L:L)</f>
        <v/>
      </c>
      <c r="Y74" s="60">
        <f>-SUMIF('MER TB'!$T:$T,'MER P&amp;L'!$A74,'MER TB'!M:M)</f>
        <v/>
      </c>
      <c r="Z74" s="60">
        <f>-SUMIF('MER TB'!$T:$T,'MER P&amp;L'!$A74,'MER TB'!N:N)</f>
        <v/>
      </c>
      <c r="AA74" s="60">
        <f>SUM(O74:T74)</f>
        <v/>
      </c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34" t="inlineStr">
        <is>
          <t>Direct - Staff Cost</t>
        </is>
      </c>
      <c r="B75" s="18" t="n">
        <v>-35172.41</v>
      </c>
      <c r="C75" s="18" t="n">
        <v>-35747.46999999999</v>
      </c>
      <c r="D75" s="18" t="n">
        <v>-37292.51</v>
      </c>
      <c r="E75" s="18" t="n">
        <v>-44556.27</v>
      </c>
      <c r="F75" s="18" t="n">
        <v>-44581.99999999999</v>
      </c>
      <c r="G75" s="18" t="n">
        <v>-37022.34</v>
      </c>
      <c r="H75" s="18" t="n">
        <v>-43286.82</v>
      </c>
      <c r="I75" s="18" t="n">
        <v>-43925.56</v>
      </c>
      <c r="J75" s="18" t="n">
        <v>-43620.99000000001</v>
      </c>
      <c r="K75" s="18" t="n">
        <v>-47618.67</v>
      </c>
      <c r="L75" s="18" t="n">
        <v>-37781.48</v>
      </c>
      <c r="M75" s="18" t="n"/>
      <c r="N75" s="8" t="n"/>
      <c r="O75" s="60">
        <f>-SUMIF('MER TB'!$T:$T,'MER P&amp;L'!$A75,'MER TB'!C:C)</f>
        <v/>
      </c>
      <c r="P75" s="60">
        <f>-SUMIF('MER TB'!$T:$T,'MER P&amp;L'!$A75,'MER TB'!D:D)</f>
        <v/>
      </c>
      <c r="Q75" s="60">
        <f>-SUMIF('MER TB'!$T:$T,'MER P&amp;L'!$A75,'MER TB'!E:E)</f>
        <v/>
      </c>
      <c r="R75" s="60">
        <f>-SUMIF('MER TB'!$T:$T,'MER P&amp;L'!$A75,'MER TB'!F:F)</f>
        <v/>
      </c>
      <c r="S75" s="60">
        <f>-SUMIF('MER TB'!$T:$T,'MER P&amp;L'!$A75,'MER TB'!G:G)</f>
        <v/>
      </c>
      <c r="T75" s="60">
        <f>-SUMIF('MER TB'!$T:$T,'MER P&amp;L'!$A75,'MER TB'!H:H)</f>
        <v/>
      </c>
      <c r="U75" s="60">
        <f>-SUMIF('MER TB'!$T:$T,'MER P&amp;L'!$A75,'MER TB'!I:I)</f>
        <v/>
      </c>
      <c r="V75" s="60">
        <f>-SUMIF('MER TB'!$T:$T,'MER P&amp;L'!$A75,'MER TB'!J:J)</f>
        <v/>
      </c>
      <c r="W75" s="60">
        <f>-SUMIF('MER TB'!$T:$T,'MER P&amp;L'!$A75,'MER TB'!K:K)</f>
        <v/>
      </c>
      <c r="X75" s="60">
        <f>-SUMIF('MER TB'!$T:$T,'MER P&amp;L'!$A75,'MER TB'!L:L)</f>
        <v/>
      </c>
      <c r="Y75" s="60">
        <f>-SUMIF('MER TB'!$T:$T,'MER P&amp;L'!$A75,'MER TB'!M:M)</f>
        <v/>
      </c>
      <c r="Z75" s="60">
        <f>-SUMIF('MER TB'!$T:$T,'MER P&amp;L'!$A75,'MER TB'!N:N)</f>
        <v/>
      </c>
      <c r="AA75" s="60">
        <f>SUM(O75:T75)</f>
        <v/>
      </c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8" t="n"/>
      <c r="AP75" s="8" t="n"/>
    </row>
    <row r="76">
      <c r="A76" s="60" t="inlineStr">
        <is>
          <t>Direct - Childcare Cost</t>
        </is>
      </c>
      <c r="B76" s="18" t="n">
        <v>-3313.36</v>
      </c>
      <c r="C76" s="18" t="n">
        <v>-3474.12</v>
      </c>
      <c r="D76" s="18" t="n">
        <v>-3331.34</v>
      </c>
      <c r="E76" s="18" t="n">
        <v>-3151</v>
      </c>
      <c r="F76" s="18" t="n">
        <v>-3728.13</v>
      </c>
      <c r="G76" s="18" t="n">
        <v>-3266.6</v>
      </c>
      <c r="H76" s="18" t="n">
        <v>-3401.36</v>
      </c>
      <c r="I76" s="18" t="n">
        <v>-3274.78</v>
      </c>
      <c r="J76" s="18" t="n">
        <v>-2829.13</v>
      </c>
      <c r="K76" s="18" t="n">
        <v>-4061.12</v>
      </c>
      <c r="L76" s="18" t="n">
        <v>-3326.06</v>
      </c>
      <c r="M76" s="18" t="n">
        <v>-2907.57</v>
      </c>
      <c r="N76" s="8" t="n"/>
      <c r="O76" s="60">
        <f>-SUMIF('MER TB'!$T:$T,'MER P&amp;L'!$A76,'MER TB'!C:C)</f>
        <v/>
      </c>
      <c r="P76" s="60">
        <f>-SUMIF('MER TB'!$T:$T,'MER P&amp;L'!$A76,'MER TB'!D:D)</f>
        <v/>
      </c>
      <c r="Q76" s="60">
        <f>-SUMIF('MER TB'!$T:$T,'MER P&amp;L'!$A76,'MER TB'!E:E)</f>
        <v/>
      </c>
      <c r="R76" s="60">
        <f>-SUMIF('MER TB'!$T:$T,'MER P&amp;L'!$A76,'MER TB'!F:F)</f>
        <v/>
      </c>
      <c r="S76" s="60">
        <f>-SUMIF('MER TB'!$T:$T,'MER P&amp;L'!$A76,'MER TB'!G:G)</f>
        <v/>
      </c>
      <c r="T76" s="60">
        <f>-SUMIF('MER TB'!$T:$T,'MER P&amp;L'!$A76,'MER TB'!H:H)</f>
        <v/>
      </c>
      <c r="U76" s="60">
        <f>-SUMIF('MER TB'!$T:$T,'MER P&amp;L'!$A76,'MER TB'!I:I)</f>
        <v/>
      </c>
      <c r="V76" s="60">
        <f>-SUMIF('MER TB'!$T:$T,'MER P&amp;L'!$A76,'MER TB'!J:J)</f>
        <v/>
      </c>
      <c r="W76" s="60">
        <f>-SUMIF('MER TB'!$T:$T,'MER P&amp;L'!$A76,'MER TB'!K:K)</f>
        <v/>
      </c>
      <c r="X76" s="60">
        <f>-SUMIF('MER TB'!$T:$T,'MER P&amp;L'!$A76,'MER TB'!L:L)</f>
        <v/>
      </c>
      <c r="Y76" s="60">
        <f>-SUMIF('MER TB'!$T:$T,'MER P&amp;L'!$A76,'MER TB'!M:M)</f>
        <v/>
      </c>
      <c r="Z76" s="60">
        <f>-SUMIF('MER TB'!$T:$T,'MER P&amp;L'!$A76,'MER TB'!N:N)</f>
        <v/>
      </c>
      <c r="AA76" s="60">
        <f>SUM(O76:T76)</f>
        <v/>
      </c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>
      <c r="A77" s="60" t="inlineStr">
        <is>
          <t>Direct - Premises &amp; Admin</t>
        </is>
      </c>
      <c r="B77" s="18" t="n">
        <v>-5766.190000000001</v>
      </c>
      <c r="C77" s="18" t="n">
        <v>-4270.09</v>
      </c>
      <c r="D77" s="18" t="n">
        <v>-9113.110000000001</v>
      </c>
      <c r="E77" s="18" t="n">
        <v>-5437.920000000001</v>
      </c>
      <c r="F77" s="18" t="n">
        <v>-5060.87</v>
      </c>
      <c r="G77" s="18" t="n">
        <v>-6472.48</v>
      </c>
      <c r="H77" s="18" t="n">
        <v>-4956.949999999999</v>
      </c>
      <c r="I77" s="18" t="n">
        <v>-5013.2</v>
      </c>
      <c r="J77" s="18" t="n">
        <v>-6790.469999999999</v>
      </c>
      <c r="K77" s="18" t="n">
        <v>-5020.58</v>
      </c>
      <c r="L77" s="18" t="n">
        <v>-4632.38</v>
      </c>
      <c r="M77" s="18" t="n">
        <v>-5448.130000000001</v>
      </c>
      <c r="N77" s="8" t="n"/>
      <c r="O77" s="60">
        <f>-SUMIF('MER TB'!$T:$T,'MER P&amp;L'!$A77,'MER TB'!C:C)</f>
        <v/>
      </c>
      <c r="P77" s="60">
        <f>-SUMIF('MER TB'!$T:$T,'MER P&amp;L'!$A77,'MER TB'!D:D)</f>
        <v/>
      </c>
      <c r="Q77" s="60">
        <f>-SUMIF('MER TB'!$T:$T,'MER P&amp;L'!$A77,'MER TB'!E:E)</f>
        <v/>
      </c>
      <c r="R77" s="60">
        <f>-SUMIF('MER TB'!$T:$T,'MER P&amp;L'!$A77,'MER TB'!F:F)</f>
        <v/>
      </c>
      <c r="S77" s="60">
        <f>-SUMIF('MER TB'!$T:$T,'MER P&amp;L'!$A77,'MER TB'!G:G)</f>
        <v/>
      </c>
      <c r="T77" s="60">
        <f>-SUMIF('MER TB'!$T:$T,'MER P&amp;L'!$A77,'MER TB'!H:H)</f>
        <v/>
      </c>
      <c r="U77" s="60">
        <f>-SUMIF('MER TB'!$T:$T,'MER P&amp;L'!$A77,'MER TB'!I:I)</f>
        <v/>
      </c>
      <c r="V77" s="60">
        <f>-SUMIF('MER TB'!$T:$T,'MER P&amp;L'!$A77,'MER TB'!J:J)</f>
        <v/>
      </c>
      <c r="W77" s="60">
        <f>-SUMIF('MER TB'!$T:$T,'MER P&amp;L'!$A77,'MER TB'!K:K)</f>
        <v/>
      </c>
      <c r="X77" s="60">
        <f>-SUMIF('MER TB'!$T:$T,'MER P&amp;L'!$A77,'MER TB'!L:L)</f>
        <v/>
      </c>
      <c r="Y77" s="60">
        <f>-SUMIF('MER TB'!$T:$T,'MER P&amp;L'!$A77,'MER TB'!M:M)</f>
        <v/>
      </c>
      <c r="Z77" s="60">
        <f>-SUMIF('MER TB'!$T:$T,'MER P&amp;L'!$A77,'MER TB'!N:N)</f>
        <v/>
      </c>
      <c r="AA77" s="60">
        <f>SUM(O77:T77)</f>
        <v/>
      </c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8" t="n"/>
      <c r="O78" s="60">
        <f>-SUMIF('MER TB'!$T:$T,'MER P&amp;L'!$A78,'MER TB'!C:C)</f>
        <v/>
      </c>
      <c r="P78" s="60">
        <f>-SUMIF('MER TB'!$T:$T,'MER P&amp;L'!$A78,'MER TB'!D:D)</f>
        <v/>
      </c>
      <c r="Q78" s="60">
        <f>-SUMIF('MER TB'!$T:$T,'MER P&amp;L'!$A78,'MER TB'!E:E)</f>
        <v/>
      </c>
      <c r="R78" s="60">
        <f>-SUMIF('MER TB'!$T:$T,'MER P&amp;L'!$A78,'MER TB'!F:F)</f>
        <v/>
      </c>
      <c r="S78" s="60">
        <f>-SUMIF('MER TB'!$T:$T,'MER P&amp;L'!$A78,'MER TB'!G:G)</f>
        <v/>
      </c>
      <c r="T78" s="60">
        <f>-SUMIF('MER TB'!$T:$T,'MER P&amp;L'!$A78,'MER TB'!H:H)</f>
        <v/>
      </c>
      <c r="U78" s="60">
        <f>-SUMIF('MER TB'!$T:$T,'MER P&amp;L'!$A78,'MER TB'!I:I)</f>
        <v/>
      </c>
      <c r="V78" s="60">
        <f>-SUMIF('MER TB'!$T:$T,'MER P&amp;L'!$A78,'MER TB'!J:J)</f>
        <v/>
      </c>
      <c r="W78" s="60">
        <f>-SUMIF('MER TB'!$T:$T,'MER P&amp;L'!$A78,'MER TB'!K:K)</f>
        <v/>
      </c>
      <c r="X78" s="60">
        <f>-SUMIF('MER TB'!$T:$T,'MER P&amp;L'!$A78,'MER TB'!L:L)</f>
        <v/>
      </c>
      <c r="Y78" s="60">
        <f>-SUMIF('MER TB'!$T:$T,'MER P&amp;L'!$A78,'MER TB'!M:M)</f>
        <v/>
      </c>
      <c r="Z78" s="60">
        <f>-SUMIF('MER TB'!$T:$T,'MER P&amp;L'!$A78,'MER TB'!N:N)</f>
        <v/>
      </c>
      <c r="AA78" s="60">
        <f>SUM(O78:T78)</f>
        <v/>
      </c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60" t="inlineStr">
        <is>
          <t>In-Direct - Overheads</t>
        </is>
      </c>
      <c r="B79" s="18" t="n">
        <v>-349.75</v>
      </c>
      <c r="C79" s="18" t="n">
        <v>-332.96</v>
      </c>
      <c r="D79" s="18" t="n">
        <v>-411.27</v>
      </c>
      <c r="E79" s="18" t="n">
        <v>-340.15</v>
      </c>
      <c r="F79" s="18" t="n">
        <v>-692.6900000000001</v>
      </c>
      <c r="G79" s="18" t="n">
        <v>-445.87</v>
      </c>
      <c r="H79" s="18" t="n">
        <v>-442.16</v>
      </c>
      <c r="I79" s="18" t="n">
        <v>-509.31</v>
      </c>
      <c r="J79" s="18" t="n">
        <v>-385.24</v>
      </c>
      <c r="K79" s="18" t="n">
        <v>-610.6</v>
      </c>
      <c r="L79" s="18" t="n">
        <v>-741.37</v>
      </c>
      <c r="M79" s="18" t="n">
        <v>-1110.6</v>
      </c>
      <c r="N79" s="8" t="n"/>
      <c r="O79" s="60">
        <f>-SUMIF('MER TB'!$T:$T,'MER P&amp;L'!$A79,'MER TB'!C:C)</f>
        <v/>
      </c>
      <c r="P79" s="60">
        <f>-SUMIF('MER TB'!$T:$T,'MER P&amp;L'!$A79,'MER TB'!D:D)</f>
        <v/>
      </c>
      <c r="Q79" s="60">
        <f>-SUMIF('MER TB'!$T:$T,'MER P&amp;L'!$A79,'MER TB'!E:E)</f>
        <v/>
      </c>
      <c r="R79" s="60">
        <f>-SUMIF('MER TB'!$T:$T,'MER P&amp;L'!$A79,'MER TB'!F:F)</f>
        <v/>
      </c>
      <c r="S79" s="60">
        <f>-SUMIF('MER TB'!$T:$T,'MER P&amp;L'!$A79,'MER TB'!G:G)</f>
        <v/>
      </c>
      <c r="T79" s="60">
        <f>-SUMIF('MER TB'!$T:$T,'MER P&amp;L'!$A79,'MER TB'!H:H)</f>
        <v/>
      </c>
      <c r="U79" s="60">
        <f>-SUMIF('MER TB'!$T:$T,'MER P&amp;L'!$A79,'MER TB'!I:I)</f>
        <v/>
      </c>
      <c r="V79" s="60">
        <f>-SUMIF('MER TB'!$T:$T,'MER P&amp;L'!$A79,'MER TB'!J:J)</f>
        <v/>
      </c>
      <c r="W79" s="60">
        <f>-SUMIF('MER TB'!$T:$T,'MER P&amp;L'!$A79,'MER TB'!K:K)</f>
        <v/>
      </c>
      <c r="X79" s="60">
        <f>-SUMIF('MER TB'!$T:$T,'MER P&amp;L'!$A79,'MER TB'!L:L)</f>
        <v/>
      </c>
      <c r="Y79" s="60">
        <f>-SUMIF('MER TB'!$T:$T,'MER P&amp;L'!$A79,'MER TB'!M:M)</f>
        <v/>
      </c>
      <c r="Z79" s="60">
        <f>-SUMIF('MER TB'!$T:$T,'MER P&amp;L'!$A79,'MER TB'!N:N)</f>
        <v/>
      </c>
      <c r="AA79" s="60">
        <f>SUM(O79:T79)</f>
        <v/>
      </c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 ht="15.75" customHeight="1">
      <c r="A80" s="8" t="n"/>
      <c r="B80" s="67" t="n">
        <v>54453.13000000001</v>
      </c>
      <c r="C80" s="67" t="n">
        <v>45737.32000000001</v>
      </c>
      <c r="D80" s="67" t="n">
        <v>51270.46</v>
      </c>
      <c r="E80" s="67" t="n">
        <v>52041.93</v>
      </c>
      <c r="F80" s="67" t="n">
        <v>45232.90000000001</v>
      </c>
      <c r="G80" s="67" t="n">
        <v>49194.22000000001</v>
      </c>
      <c r="H80" s="67" t="n">
        <v>96540.91999999998</v>
      </c>
      <c r="I80" s="67" t="n">
        <v>33958.59000000001</v>
      </c>
      <c r="J80" s="67" t="n">
        <v>38675.89999999999</v>
      </c>
      <c r="K80" s="67" t="n">
        <v>31481.03</v>
      </c>
      <c r="L80" s="67" t="n">
        <v>62841.03999999998</v>
      </c>
      <c r="M80" s="67" t="n">
        <v>-9466.300000000001</v>
      </c>
      <c r="N80" s="64" t="n"/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4">
        <f>SUM(V74:V79)</f>
        <v/>
      </c>
      <c r="W80" s="64">
        <f>SUM(W74:W79)</f>
        <v/>
      </c>
      <c r="X80" s="64">
        <f>SUM(X74:X79)</f>
        <v/>
      </c>
      <c r="Y80" s="64">
        <f>SUM(Y74:Y79)</f>
        <v/>
      </c>
      <c r="Z80" s="64">
        <f>SUM(Z74:Z79)</f>
        <v/>
      </c>
      <c r="AA80" s="64">
        <f>SUM(O80:T80)</f>
        <v/>
      </c>
      <c r="AB80" s="8" t="n"/>
      <c r="AC80" s="64" t="n"/>
      <c r="AD80" s="64" t="n"/>
      <c r="AE80" s="64" t="n"/>
      <c r="AF80" s="64" t="n"/>
      <c r="AG80" s="64" t="n"/>
      <c r="AH80" s="64" t="n"/>
      <c r="AI80" s="8" t="n"/>
      <c r="AJ80" s="64" t="n"/>
      <c r="AK80" s="64" t="n"/>
      <c r="AL80" s="64" t="n"/>
      <c r="AM80" s="64" t="n"/>
      <c r="AN80" s="64" t="n"/>
      <c r="AO80" s="64" t="n"/>
      <c r="AP80" s="64" t="n"/>
    </row>
    <row r="81" ht="15.75" customHeight="1">
      <c r="A81" s="8" t="n"/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0</v>
      </c>
      <c r="G81" s="18" t="n">
        <v>0</v>
      </c>
      <c r="H81" s="18" t="n">
        <v>0</v>
      </c>
      <c r="I81" s="18" t="n">
        <v>0</v>
      </c>
      <c r="J81" s="18" t="n">
        <v>0</v>
      </c>
      <c r="K81" s="18" t="n">
        <v>0</v>
      </c>
      <c r="L81" s="18" t="n">
        <v>0</v>
      </c>
      <c r="M81" s="18" t="n">
        <v>91525.10999999999</v>
      </c>
      <c r="N81" s="8" t="n"/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18" t="n">
        <v>0</v>
      </c>
      <c r="C83" s="18" t="n">
        <v>0</v>
      </c>
      <c r="D83" s="18" t="n">
        <v>0</v>
      </c>
      <c r="E83" s="18" t="n">
        <v>0</v>
      </c>
      <c r="F83" s="18" t="n">
        <v>0</v>
      </c>
      <c r="G83" s="18" t="n">
        <v>0</v>
      </c>
      <c r="H83" s="18" t="n">
        <v>0</v>
      </c>
      <c r="I83" s="18" t="n">
        <v>0</v>
      </c>
      <c r="J83" s="18" t="n">
        <v>0</v>
      </c>
      <c r="K83" s="18" t="n">
        <v>0</v>
      </c>
      <c r="L83" s="18" t="n">
        <v>0</v>
      </c>
      <c r="M83" s="18" t="n">
        <v>-91525.10999999994</v>
      </c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18" t="n">
        <v>-54453.13000000002</v>
      </c>
      <c r="C84" s="18" t="n">
        <v>-45737.32000000001</v>
      </c>
      <c r="D84" s="18" t="n">
        <v>-51270.45999999998</v>
      </c>
      <c r="E84" s="18" t="n">
        <v>-52041.93000000001</v>
      </c>
      <c r="F84" s="18" t="n">
        <v>-45232.90000000001</v>
      </c>
      <c r="G84" s="18" t="n">
        <v>-49194.22000000001</v>
      </c>
      <c r="H84" s="18" t="n">
        <v>-96540.91999999995</v>
      </c>
      <c r="I84" s="18" t="n">
        <v>-33958.59</v>
      </c>
      <c r="J84" s="18" t="n">
        <v>-38675.89999999999</v>
      </c>
      <c r="K84" s="18" t="n">
        <v>-31481.02999999999</v>
      </c>
      <c r="L84" s="18" t="n">
        <v>-62841.03999999997</v>
      </c>
      <c r="M84" s="18" t="n">
        <v>-82058.80999999994</v>
      </c>
      <c r="N84" s="8" t="n"/>
      <c r="O84" s="60">
        <f>SUM('MER TB'!C2:C43)</f>
        <v/>
      </c>
      <c r="P84" s="60">
        <f>SUM('MER TB'!D2:D43)</f>
        <v/>
      </c>
      <c r="Q84" s="60">
        <f>SUM('MER TB'!E2:E43)</f>
        <v/>
      </c>
      <c r="R84" s="60">
        <f>SUM('MER TB'!F2:F43)</f>
        <v/>
      </c>
      <c r="S84" s="60">
        <f>SUM('MER TB'!G2:G43)</f>
        <v/>
      </c>
      <c r="T84" s="60">
        <f>SUM('MER TB'!H2:H43)</f>
        <v/>
      </c>
      <c r="U84" s="60">
        <f>SUM('MER TB'!I2:I43)</f>
        <v/>
      </c>
      <c r="V84" s="60">
        <f>SUM('MER TB'!J2:J43)</f>
        <v/>
      </c>
      <c r="W84" s="60">
        <f>SUM('MER TB'!K2:K43)</f>
        <v/>
      </c>
      <c r="X84" s="60">
        <f>SUM('MER TB'!L2:L43)</f>
        <v/>
      </c>
      <c r="Y84" s="60">
        <f>SUM('MER TB'!M2:M43)</f>
        <v/>
      </c>
      <c r="Z84" s="60">
        <f>SUM('MER TB'!N2:N43)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57031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Northumberland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9069.939999999999</v>
      </c>
      <c r="C8" s="35" t="n">
        <v>18430.57</v>
      </c>
      <c r="D8" s="35" t="n">
        <v>17723.33</v>
      </c>
      <c r="E8" s="35" t="n">
        <v>21760.34</v>
      </c>
      <c r="F8" s="35" t="n">
        <v>17055.59</v>
      </c>
      <c r="G8" s="35" t="n">
        <v>16125.92</v>
      </c>
      <c r="H8" s="35" t="n">
        <v>23858.59</v>
      </c>
      <c r="I8" s="35" t="n">
        <v>22339.21</v>
      </c>
      <c r="J8" s="35" t="n">
        <v>12468.85</v>
      </c>
      <c r="K8" s="35" t="n">
        <v>12041.45</v>
      </c>
      <c r="L8" s="35" t="n">
        <v>10680.4</v>
      </c>
      <c r="M8" s="35" t="n">
        <v>13644.19</v>
      </c>
      <c r="N8" s="36">
        <f>SUM(B8:M8)</f>
        <v/>
      </c>
      <c r="O8" s="37">
        <f>-SUMIF('XNDN TB'!$R:$R,'NDN P&amp;L'!$A8,'XNDN TB'!C:C)</f>
        <v/>
      </c>
      <c r="P8" s="37">
        <f>-SUMIF('XNDN TB'!$R:$R,'NDN P&amp;L'!$A8,'XNDN TB'!D:D)</f>
        <v/>
      </c>
      <c r="Q8" s="37">
        <f>-SUMIF('XNDN TB'!$R:$R,'NDN P&amp;L'!$A8,'XNDN TB'!E:E)</f>
        <v/>
      </c>
      <c r="R8" s="37">
        <f>-SUMIF('XNDN TB'!$R:$R,'NDN P&amp;L'!$A8,'XNDN TB'!F:F)</f>
        <v/>
      </c>
      <c r="S8" s="37">
        <f>-SUMIF('XNDN TB'!$R:$R,'NDN P&amp;L'!$A8,'XNDN TB'!G:G)</f>
        <v/>
      </c>
      <c r="T8" s="37">
        <f>-SUMIF('XNDN TB'!$R:$R,'NDN P&amp;L'!$A8,'XNDN TB'!H:H)</f>
        <v/>
      </c>
      <c r="U8" s="37">
        <f>-SUMIF('NDN TB'!$R:$R,'NDN P&amp;L'!$A8,'NDN TB'!I:I)</f>
        <v/>
      </c>
      <c r="V8" s="38" t="n">
        <v>18925.87</v>
      </c>
      <c r="W8" s="38" t="n">
        <v>13665</v>
      </c>
      <c r="X8" s="38" t="n">
        <v>13098</v>
      </c>
      <c r="Y8" s="38" t="n">
        <v>12480</v>
      </c>
      <c r="Z8" s="38" t="n">
        <v>17634</v>
      </c>
      <c r="AA8" s="36">
        <f>SUM(O8:U8)</f>
        <v/>
      </c>
      <c r="AB8" s="36">
        <f>SUM(O8:Z8)</f>
        <v/>
      </c>
      <c r="AC8" s="38" t="n">
        <v>34239.39</v>
      </c>
      <c r="AD8" s="38" t="n">
        <v>30110.59</v>
      </c>
      <c r="AE8" s="38" t="n">
        <v>36653.68</v>
      </c>
      <c r="AF8" s="38" t="n">
        <v>33019.73</v>
      </c>
      <c r="AG8" s="38" t="n">
        <v>38452</v>
      </c>
      <c r="AH8" s="38" t="n">
        <v>38834.29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8345.08</v>
      </c>
      <c r="C9" s="35" t="n">
        <v>5508.8</v>
      </c>
      <c r="D9" s="35" t="n">
        <v>18679.4</v>
      </c>
      <c r="E9" s="35" t="n">
        <v>7516.08</v>
      </c>
      <c r="F9" s="35" t="n">
        <v>7516.08</v>
      </c>
      <c r="G9" s="35" t="n">
        <v>15698.85</v>
      </c>
      <c r="H9" s="35" t="n">
        <v>15698.85</v>
      </c>
      <c r="I9" s="35" t="n">
        <v>0</v>
      </c>
      <c r="J9" s="35" t="n">
        <v>10762.08</v>
      </c>
      <c r="K9" s="35" t="n">
        <v>10762.08</v>
      </c>
      <c r="L9" s="35" t="n">
        <v>12208.56</v>
      </c>
      <c r="M9" s="35" t="n">
        <v>12628.56</v>
      </c>
      <c r="N9" s="36">
        <f>SUM(B9:M9)</f>
        <v/>
      </c>
      <c r="O9" s="37">
        <f>-SUMIF('XNDN TB'!$R:$R,'NDN P&amp;L'!$A9,'XNDN TB'!C:C)</f>
        <v/>
      </c>
      <c r="P9" s="37">
        <f>-SUMIF('XNDN TB'!$R:$R,'NDN P&amp;L'!$A9,'XNDN TB'!D:D)</f>
        <v/>
      </c>
      <c r="Q9" s="37">
        <f>-SUMIF('XNDN TB'!$R:$R,'NDN P&amp;L'!$A9,'XNDN TB'!E:E)</f>
        <v/>
      </c>
      <c r="R9" s="37">
        <f>-SUMIF('XNDN TB'!$R:$R,'NDN P&amp;L'!$A9,'XNDN TB'!F:F)</f>
        <v/>
      </c>
      <c r="S9" s="37">
        <f>-SUMIF('XNDN TB'!$R:$R,'NDN P&amp;L'!$A9,'XNDN TB'!G:G)</f>
        <v/>
      </c>
      <c r="T9" s="37">
        <f>-SUMIF('XNDN TB'!$R:$R,'NDN P&amp;L'!$A9,'XNDN TB'!H:H)</f>
        <v/>
      </c>
      <c r="U9" s="37">
        <f>-SUMIF('NDN TB'!$R:$R,'NDN P&amp;L'!$A9,'NDN TB'!I:I)</f>
        <v/>
      </c>
      <c r="V9" s="38" t="n">
        <v>0</v>
      </c>
      <c r="W9" s="38" t="n">
        <v>17966</v>
      </c>
      <c r="X9" s="38" t="n">
        <v>21983</v>
      </c>
      <c r="Y9" s="38" t="n">
        <v>20994</v>
      </c>
      <c r="Z9" s="38" t="n">
        <v>9662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1570.68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-SUMIF('XNDN TB'!$R:$R,'NDN P&amp;L'!$A10,'XNDN TB'!C:C)</f>
        <v/>
      </c>
      <c r="P10" s="37">
        <f>-SUMIF('XNDN TB'!$R:$R,'NDN P&amp;L'!$A10,'XNDN TB'!D:D)</f>
        <v/>
      </c>
      <c r="Q10" s="37">
        <f>-SUMIF('XNDN TB'!$R:$R,'NDN P&amp;L'!$A10,'XNDN TB'!E:E)</f>
        <v/>
      </c>
      <c r="R10" s="37">
        <f>-SUMIF('XNDN TB'!$R:$R,'NDN P&amp;L'!$A10,'XNDN TB'!F:F)</f>
        <v/>
      </c>
      <c r="S10" s="37">
        <f>-SUMIF('XNDN TB'!$R:$R,'NDN P&amp;L'!$A10,'XNDN TB'!G:G)</f>
        <v/>
      </c>
      <c r="T10" s="37">
        <f>-SUMIF('XNDN TB'!$R:$R,'NDN P&amp;L'!$A10,'XNDN TB'!H:H)</f>
        <v/>
      </c>
      <c r="U10" s="37">
        <f>-SUMIF('NDN TB'!$R:$R,'NDN P&amp;L'!$A10,'NDN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17415.02</v>
      </c>
      <c r="C11" s="42" t="n">
        <v>23939.37</v>
      </c>
      <c r="D11" s="42" t="n">
        <v>36402.73</v>
      </c>
      <c r="E11" s="42" t="n">
        <v>29276.42</v>
      </c>
      <c r="F11" s="42" t="n">
        <v>24571.67</v>
      </c>
      <c r="G11" s="42" t="n">
        <v>31824.77</v>
      </c>
      <c r="H11" s="42" t="n">
        <v>39557.44</v>
      </c>
      <c r="I11" s="42" t="n">
        <v>23909.89</v>
      </c>
      <c r="J11" s="42" t="n">
        <v>23230.93</v>
      </c>
      <c r="K11" s="42" t="n">
        <v>22803.53</v>
      </c>
      <c r="L11" s="42" t="n">
        <v>22888.96</v>
      </c>
      <c r="M11" s="42" t="n">
        <v>26272.75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15019.61</v>
      </c>
      <c r="C16" s="35" t="n">
        <v>16737.5</v>
      </c>
      <c r="D16" s="35" t="n">
        <v>20296.41</v>
      </c>
      <c r="E16" s="35" t="n">
        <v>19844.91</v>
      </c>
      <c r="F16" s="35" t="n">
        <v>20514.57</v>
      </c>
      <c r="G16" s="35" t="n">
        <v>18806.18</v>
      </c>
      <c r="H16" s="35" t="n">
        <v>18874.99</v>
      </c>
      <c r="I16" s="35" t="n">
        <v>15404.24</v>
      </c>
      <c r="J16" s="35" t="n">
        <v>13827.73</v>
      </c>
      <c r="K16" s="35" t="n">
        <v>12859</v>
      </c>
      <c r="L16" s="35" t="n">
        <v>12573.97</v>
      </c>
      <c r="M16" s="35" t="n">
        <v>13485.76</v>
      </c>
      <c r="N16" s="36">
        <f>SUM(B16:M16)</f>
        <v/>
      </c>
      <c r="O16" s="37">
        <f>SUMIF('XNDN TB'!$R:$R,'NDN P&amp;L'!$A16,'XNDN TB'!C:C)</f>
        <v/>
      </c>
      <c r="P16" s="37">
        <f>SUMIF('XNDN TB'!$R:$R,'NDN P&amp;L'!$A16,'XNDN TB'!D:D)</f>
        <v/>
      </c>
      <c r="Q16" s="37">
        <f>SUMIF('XNDN TB'!$R:$R,'NDN P&amp;L'!$A16,'XNDN TB'!E:E)</f>
        <v/>
      </c>
      <c r="R16" s="37">
        <f>SUMIF('XNDN TB'!$R:$R,'NDN P&amp;L'!$A16,'XNDN TB'!F:F)</f>
        <v/>
      </c>
      <c r="S16" s="37">
        <f>SUMIF('XNDN TB'!$R:$R,'NDN P&amp;L'!$A16,'XNDN TB'!G:G)</f>
        <v/>
      </c>
      <c r="T16" s="37">
        <f>SUMIF('XNDN TB'!$R:$R,'NDN P&amp;L'!$A16,'XNDN TB'!H:H)</f>
        <v/>
      </c>
      <c r="U16" s="37">
        <f>SUMIF('NDN TB'!$R:$R,'NDN P&amp;L'!$A16,'NDN TB'!I:I)</f>
        <v/>
      </c>
      <c r="V16" s="38" t="n">
        <v>20507.25</v>
      </c>
      <c r="W16" s="38" t="n">
        <v>20507.25</v>
      </c>
      <c r="X16" s="38" t="n">
        <v>20507.25</v>
      </c>
      <c r="Y16" s="38" t="n">
        <v>20507.25</v>
      </c>
      <c r="Z16" s="38" t="n">
        <v>20507.25</v>
      </c>
      <c r="AA16" s="36">
        <f>SUM(O16:U16)</f>
        <v/>
      </c>
      <c r="AB16" s="36">
        <f>SUM(O16:Z16)</f>
        <v/>
      </c>
      <c r="AC16" s="38" t="n">
        <v>20507.25</v>
      </c>
      <c r="AD16" s="38" t="n">
        <v>20507.25</v>
      </c>
      <c r="AE16" s="38" t="n">
        <v>20507.25</v>
      </c>
      <c r="AF16" s="38" t="n">
        <v>20507.25</v>
      </c>
      <c r="AG16" s="38" t="n">
        <v>20507.25</v>
      </c>
      <c r="AH16" s="38" t="n">
        <v>20507.25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1126.07</v>
      </c>
      <c r="C17" s="35" t="n">
        <v>1360.14</v>
      </c>
      <c r="D17" s="35" t="n">
        <v>1404.5</v>
      </c>
      <c r="E17" s="35" t="n">
        <v>1975.71</v>
      </c>
      <c r="F17" s="35" t="n">
        <v>2049.66</v>
      </c>
      <c r="G17" s="35" t="n">
        <v>1811.17</v>
      </c>
      <c r="H17" s="35" t="n">
        <v>1985.01</v>
      </c>
      <c r="I17" s="35" t="n">
        <v>1552.22</v>
      </c>
      <c r="J17" s="35" t="n">
        <v>1459.53</v>
      </c>
      <c r="K17" s="35" t="n">
        <v>1396.13</v>
      </c>
      <c r="L17" s="35" t="n">
        <v>1362.29</v>
      </c>
      <c r="M17" s="35" t="n">
        <v>1508.86</v>
      </c>
      <c r="N17" s="36">
        <f>SUM(B17:M17)</f>
        <v/>
      </c>
      <c r="O17" s="37">
        <f>SUMIF('XNDN TB'!$R:$R,'NDN P&amp;L'!$A17,'XNDN TB'!C:C)</f>
        <v/>
      </c>
      <c r="P17" s="37">
        <f>SUMIF('XNDN TB'!$R:$R,'NDN P&amp;L'!$A17,'XNDN TB'!D:D)</f>
        <v/>
      </c>
      <c r="Q17" s="37">
        <f>SUMIF('XNDN TB'!$R:$R,'NDN P&amp;L'!$A17,'XNDN TB'!E:E)</f>
        <v/>
      </c>
      <c r="R17" s="37">
        <f>SUMIF('XNDN TB'!$R:$R,'NDN P&amp;L'!$A17,'XNDN TB'!F:F)</f>
        <v/>
      </c>
      <c r="S17" s="37">
        <f>SUMIF('XNDN TB'!$R:$R,'NDN P&amp;L'!$A17,'XNDN TB'!G:G)</f>
        <v/>
      </c>
      <c r="T17" s="37">
        <f>SUMIF('XNDN TB'!$R:$R,'NDN P&amp;L'!$A17,'XNDN TB'!H:H)</f>
        <v/>
      </c>
      <c r="U17" s="37">
        <f>SUMIF('NDN TB'!$R:$R,'NDN P&amp;L'!$A17,'NDN TB'!I:I)</f>
        <v/>
      </c>
      <c r="V17" s="38" t="n">
        <v>2095.05</v>
      </c>
      <c r="W17" s="38" t="n">
        <v>2095.05</v>
      </c>
      <c r="X17" s="38" t="n">
        <v>2095.05</v>
      </c>
      <c r="Y17" s="38" t="n">
        <v>2095.05</v>
      </c>
      <c r="Z17" s="38" t="n">
        <v>2095.05</v>
      </c>
      <c r="AA17" s="36">
        <f>SUM(O17:U17)</f>
        <v/>
      </c>
      <c r="AB17" s="36">
        <f>SUM(O17:Z17)</f>
        <v/>
      </c>
      <c r="AC17" s="38" t="n">
        <v>2095.05</v>
      </c>
      <c r="AD17" s="38" t="n">
        <v>2095.05</v>
      </c>
      <c r="AE17" s="38" t="n">
        <v>2095.05</v>
      </c>
      <c r="AF17" s="38" t="n">
        <v>2095.05</v>
      </c>
      <c r="AG17" s="38" t="n">
        <v>2095.05</v>
      </c>
      <c r="AH17" s="38" t="n">
        <v>2095.05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301.87</v>
      </c>
      <c r="C18" s="35" t="n">
        <v>352.12</v>
      </c>
      <c r="D18" s="35" t="n">
        <v>362.42</v>
      </c>
      <c r="E18" s="35" t="n">
        <v>373.48</v>
      </c>
      <c r="F18" s="35" t="n">
        <v>388.28</v>
      </c>
      <c r="G18" s="35" t="n">
        <v>340.58</v>
      </c>
      <c r="H18" s="35" t="n">
        <v>375.35</v>
      </c>
      <c r="I18" s="35" t="n">
        <v>275.05</v>
      </c>
      <c r="J18" s="35" t="n">
        <v>234.69</v>
      </c>
      <c r="K18" s="35" t="n">
        <v>230.34</v>
      </c>
      <c r="L18" s="35" t="n">
        <v>251.05</v>
      </c>
      <c r="M18" s="35" t="n">
        <v>230.68</v>
      </c>
      <c r="N18" s="36">
        <f>SUM(B18:M18)</f>
        <v/>
      </c>
      <c r="O18" s="37">
        <f>SUMIF('XNDN TB'!$R:$R,'NDN P&amp;L'!$A18,'XNDN TB'!C:C)</f>
        <v/>
      </c>
      <c r="P18" s="37">
        <f>SUMIF('XNDN TB'!$R:$R,'NDN P&amp;L'!$A18,'XNDN TB'!D:D)</f>
        <v/>
      </c>
      <c r="Q18" s="37">
        <f>SUMIF('XNDN TB'!$R:$R,'NDN P&amp;L'!$A18,'XNDN TB'!E:E)</f>
        <v/>
      </c>
      <c r="R18" s="37">
        <f>SUMIF('XNDN TB'!$R:$R,'NDN P&amp;L'!$A18,'XNDN TB'!F:F)</f>
        <v/>
      </c>
      <c r="S18" s="37">
        <f>SUMIF('XNDN TB'!$R:$R,'NDN P&amp;L'!$A18,'XNDN TB'!G:G)</f>
        <v/>
      </c>
      <c r="T18" s="37">
        <f>SUMIF('XNDN TB'!$R:$R,'NDN P&amp;L'!$A18,'XNDN TB'!H:H)</f>
        <v/>
      </c>
      <c r="U18" s="37">
        <f>SUMIF('NDN TB'!$R:$R,'NDN P&amp;L'!$A18,'NDN TB'!I:I)</f>
        <v/>
      </c>
      <c r="V18" s="38" t="n">
        <v>345.35</v>
      </c>
      <c r="W18" s="38" t="n">
        <v>345.35</v>
      </c>
      <c r="X18" s="38" t="n">
        <v>345.35</v>
      </c>
      <c r="Y18" s="38" t="n">
        <v>345.35</v>
      </c>
      <c r="Z18" s="38" t="n">
        <v>345.35</v>
      </c>
      <c r="AA18" s="36">
        <f>SUM(O18:U18)</f>
        <v/>
      </c>
      <c r="AB18" s="36">
        <f>SUM(O18:Z18)</f>
        <v/>
      </c>
      <c r="AC18" s="38" t="n">
        <v>345.35</v>
      </c>
      <c r="AD18" s="38" t="n">
        <v>345.35</v>
      </c>
      <c r="AE18" s="38" t="n">
        <v>345.35</v>
      </c>
      <c r="AF18" s="38" t="n">
        <v>345.35</v>
      </c>
      <c r="AG18" s="38" t="n">
        <v>345.35</v>
      </c>
      <c r="AH18" s="38" t="n">
        <v>345.35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244.02</v>
      </c>
      <c r="D19" s="35" t="n">
        <v>69.48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128.12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>
        <f>SUMIF('XNDN TB'!$R:$R,'NDN P&amp;L'!$A19,'XNDN TB'!C:C)</f>
        <v/>
      </c>
      <c r="P19" s="37">
        <f>SUMIF('XNDN TB'!$R:$R,'NDN P&amp;L'!$A19,'XNDN TB'!D:D)</f>
        <v/>
      </c>
      <c r="Q19" s="37">
        <f>SUMIF('XNDN TB'!$R:$R,'NDN P&amp;L'!$A19,'XNDN TB'!E:E)</f>
        <v/>
      </c>
      <c r="R19" s="37">
        <f>SUMIF('XNDN TB'!$R:$R,'NDN P&amp;L'!$A19,'XNDN TB'!F:F)</f>
        <v/>
      </c>
      <c r="S19" s="37">
        <f>SUMIF('XNDN TB'!$R:$R,'NDN P&amp;L'!$A19,'XNDN TB'!G:G)</f>
        <v/>
      </c>
      <c r="T19" s="37">
        <f>SUMIF('XNDN TB'!$R:$R,'NDN P&amp;L'!$A19,'XNDN TB'!H:H)</f>
        <v/>
      </c>
      <c r="U19" s="37">
        <f>SUMIF('NDN TB'!$R:$R,'NDN P&amp;L'!$A19,'NDN TB'!I:I)</f>
        <v/>
      </c>
      <c r="V19" s="38" t="n">
        <v>34</v>
      </c>
      <c r="W19" s="38" t="n">
        <v>34</v>
      </c>
      <c r="X19" s="38" t="n">
        <v>34</v>
      </c>
      <c r="Y19" s="38" t="n">
        <v>34</v>
      </c>
      <c r="Z19" s="38" t="n">
        <v>34</v>
      </c>
      <c r="AA19" s="36">
        <f>SUM(O19:U19)</f>
        <v/>
      </c>
      <c r="AB19" s="36">
        <f>SUM(O19:Z19)</f>
        <v/>
      </c>
      <c r="AC19" s="38" t="n">
        <v>34</v>
      </c>
      <c r="AD19" s="38" t="n">
        <v>34</v>
      </c>
      <c r="AE19" s="38" t="n">
        <v>34</v>
      </c>
      <c r="AF19" s="38" t="n">
        <v>34</v>
      </c>
      <c r="AG19" s="38" t="n">
        <v>34</v>
      </c>
      <c r="AH19" s="38" t="n">
        <v>34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81</v>
      </c>
      <c r="C20" s="35" t="n">
        <v>0</v>
      </c>
      <c r="D20" s="35" t="n">
        <v>0</v>
      </c>
      <c r="E20" s="35" t="n">
        <v>0</v>
      </c>
      <c r="F20" s="35" t="n">
        <v>40</v>
      </c>
      <c r="G20" s="35" t="n">
        <v>0</v>
      </c>
      <c r="H20" s="35" t="n">
        <v>0</v>
      </c>
      <c r="I20" s="35" t="n">
        <v>120.3</v>
      </c>
      <c r="J20" s="35" t="n">
        <v>0</v>
      </c>
      <c r="K20" s="35" t="n">
        <v>0</v>
      </c>
      <c r="L20" s="35" t="n">
        <v>0</v>
      </c>
      <c r="M20" s="35" t="n">
        <v>0</v>
      </c>
      <c r="N20" s="36">
        <f>SUM(B20:M20)</f>
        <v/>
      </c>
      <c r="O20" s="37">
        <f>SUMIF('XNDN TB'!$R:$R,'NDN P&amp;L'!$A20,'XNDN TB'!C:C)</f>
        <v/>
      </c>
      <c r="P20" s="37">
        <f>SUMIF('XNDN TB'!$R:$R,'NDN P&amp;L'!$A20,'XNDN TB'!D:D)</f>
        <v/>
      </c>
      <c r="Q20" s="37">
        <f>SUMIF('XNDN TB'!$R:$R,'NDN P&amp;L'!$A20,'XNDN TB'!E:E)</f>
        <v/>
      </c>
      <c r="R20" s="37">
        <f>SUMIF('XNDN TB'!$R:$R,'NDN P&amp;L'!$A20,'XNDN TB'!F:F)</f>
        <v/>
      </c>
      <c r="S20" s="37">
        <f>SUMIF('XNDN TB'!$R:$R,'NDN P&amp;L'!$A20,'XNDN TB'!G:G)</f>
        <v/>
      </c>
      <c r="T20" s="37">
        <f>SUMIF('XNDN TB'!$R:$R,'NDN P&amp;L'!$A20,'XNDN TB'!H:H)</f>
        <v/>
      </c>
      <c r="U20" s="37">
        <f>SUMIF('NDN TB'!$R:$R,'NDN P&amp;L'!$A20,'NDN TB'!I:I)</f>
        <v/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277.83</v>
      </c>
      <c r="C21" s="35" t="n">
        <v>334.72</v>
      </c>
      <c r="D21" s="35" t="n">
        <v>322.62</v>
      </c>
      <c r="E21" s="35" t="n">
        <v>420.75</v>
      </c>
      <c r="F21" s="35" t="n">
        <v>276.6</v>
      </c>
      <c r="G21" s="35" t="n">
        <v>178.34</v>
      </c>
      <c r="H21" s="35" t="n">
        <v>238.53</v>
      </c>
      <c r="I21" s="35" t="n">
        <v>222.62</v>
      </c>
      <c r="J21" s="35" t="n">
        <v>549.52</v>
      </c>
      <c r="K21" s="35" t="n">
        <v>451.66</v>
      </c>
      <c r="L21" s="35" t="n">
        <v>61.96</v>
      </c>
      <c r="M21" s="35" t="n">
        <v>221.31</v>
      </c>
      <c r="N21" s="36">
        <f>SUM(B21:M21)</f>
        <v/>
      </c>
      <c r="O21" s="37">
        <f>SUMIF('XNDN TB'!$R:$R,'NDN P&amp;L'!$A21,'XNDN TB'!C:C)</f>
        <v/>
      </c>
      <c r="P21" s="37">
        <f>SUMIF('XNDN TB'!$R:$R,'NDN P&amp;L'!$A21,'XNDN TB'!D:D)</f>
        <v/>
      </c>
      <c r="Q21" s="37">
        <f>SUMIF('XNDN TB'!$R:$R,'NDN P&amp;L'!$A21,'XNDN TB'!E:E)</f>
        <v/>
      </c>
      <c r="R21" s="37">
        <f>SUMIF('XNDN TB'!$R:$R,'NDN P&amp;L'!$A21,'XNDN TB'!F:F)</f>
        <v/>
      </c>
      <c r="S21" s="37">
        <f>SUMIF('XNDN TB'!$R:$R,'NDN P&amp;L'!$A21,'XNDN TB'!G:G)</f>
        <v/>
      </c>
      <c r="T21" s="37">
        <f>SUMIF('XNDN TB'!$R:$R,'NDN P&amp;L'!$A21,'XNDN TB'!H:H)</f>
        <v/>
      </c>
      <c r="U21" s="37">
        <f>SUMIF('NDN TB'!$R:$R,'NDN P&amp;L'!$A21,'NDN TB'!I:I)</f>
        <v/>
      </c>
      <c r="V21" s="38" t="n">
        <v>70</v>
      </c>
      <c r="W21" s="38" t="n">
        <v>70</v>
      </c>
      <c r="X21" s="38" t="n">
        <v>70</v>
      </c>
      <c r="Y21" s="38" t="n">
        <v>70</v>
      </c>
      <c r="Z21" s="38" t="n">
        <v>70</v>
      </c>
      <c r="AA21" s="36">
        <f>SUM(O21:U21)</f>
        <v/>
      </c>
      <c r="AB21" s="36">
        <f>SUM(O21:Z21)</f>
        <v/>
      </c>
      <c r="AC21" s="38" t="n">
        <v>70</v>
      </c>
      <c r="AD21" s="38" t="n">
        <v>70</v>
      </c>
      <c r="AE21" s="38" t="n">
        <v>70</v>
      </c>
      <c r="AF21" s="38" t="n">
        <v>70</v>
      </c>
      <c r="AG21" s="38" t="n">
        <v>70</v>
      </c>
      <c r="AH21" s="38" t="n">
        <v>70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SUMIF('XNDN TB'!$R:$R,'NDN P&amp;L'!$A22,'XNDN TB'!C:C)</f>
        <v/>
      </c>
      <c r="P22" s="37">
        <f>SUMIF('XNDN TB'!$R:$R,'NDN P&amp;L'!$A22,'XNDN TB'!D:D)</f>
        <v/>
      </c>
      <c r="Q22" s="37">
        <f>SUMIF('XNDN TB'!$R:$R,'NDN P&amp;L'!$A22,'XNDN TB'!E:E)</f>
        <v/>
      </c>
      <c r="R22" s="37">
        <f>SUMIF('XNDN TB'!$R:$R,'NDN P&amp;L'!$A22,'XNDN TB'!F:F)</f>
        <v/>
      </c>
      <c r="S22" s="37">
        <f>SUMIF('XNDN TB'!$R:$R,'NDN P&amp;L'!$A22,'XNDN TB'!G:G)</f>
        <v/>
      </c>
      <c r="T22" s="37">
        <f>SUMIF('XNDN TB'!$R:$R,'NDN P&amp;L'!$A22,'XNDN TB'!H:H)</f>
        <v/>
      </c>
      <c r="U22" s="37">
        <f>SUMIF('NDN TB'!$R:$R,'NDN P&amp;L'!$A22,'NDN TB'!I:I)</f>
        <v/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94.31999999999999</v>
      </c>
      <c r="I23" s="35" t="n">
        <v>111.25</v>
      </c>
      <c r="J23" s="35" t="n">
        <v>84.98999999999999</v>
      </c>
      <c r="K23" s="35" t="n">
        <v>31.36</v>
      </c>
      <c r="L23" s="35" t="n">
        <v>91.53</v>
      </c>
      <c r="M23" s="35" t="n">
        <v>71</v>
      </c>
      <c r="N23" s="36">
        <f>SUM(B23:M23)</f>
        <v/>
      </c>
      <c r="O23" s="37">
        <f>SUMIF('XNDN TB'!$R:$R,'NDN P&amp;L'!$A23,'XNDN TB'!C:C)</f>
        <v/>
      </c>
      <c r="P23" s="37">
        <f>SUMIF('XNDN TB'!$R:$R,'NDN P&amp;L'!$A23,'XNDN TB'!D:D)</f>
        <v/>
      </c>
      <c r="Q23" s="37">
        <f>SUMIF('XNDN TB'!$R:$R,'NDN P&amp;L'!$A23,'XNDN TB'!E:E)</f>
        <v/>
      </c>
      <c r="R23" s="37">
        <f>SUMIF('XNDN TB'!$R:$R,'NDN P&amp;L'!$A23,'XNDN TB'!F:F)</f>
        <v/>
      </c>
      <c r="S23" s="37">
        <f>SUMIF('XNDN TB'!$R:$R,'NDN P&amp;L'!$A23,'XNDN TB'!G:G)</f>
        <v/>
      </c>
      <c r="T23" s="37">
        <f>SUMIF('XNDN TB'!$R:$R,'NDN P&amp;L'!$A23,'XNDN TB'!H:H)</f>
        <v/>
      </c>
      <c r="U23" s="37">
        <f>SUMIF('NDN TB'!$R:$R,'NDN P&amp;L'!$A23,'NDN TB'!I:I)</f>
        <v/>
      </c>
      <c r="V23" s="38" t="n">
        <v>29</v>
      </c>
      <c r="W23" s="38" t="n">
        <v>29</v>
      </c>
      <c r="X23" s="38" t="n">
        <v>29</v>
      </c>
      <c r="Y23" s="38" t="n">
        <v>29</v>
      </c>
      <c r="Z23" s="38" t="n">
        <v>29</v>
      </c>
      <c r="AA23" s="36">
        <f>SUM(O23:U23)</f>
        <v/>
      </c>
      <c r="AB23" s="36">
        <f>SUM(O23:Z23)</f>
        <v/>
      </c>
      <c r="AC23" s="38" t="n">
        <v>29</v>
      </c>
      <c r="AD23" s="38" t="n">
        <v>29</v>
      </c>
      <c r="AE23" s="38" t="n">
        <v>29</v>
      </c>
      <c r="AF23" s="38" t="n">
        <v>29</v>
      </c>
      <c r="AG23" s="38" t="n">
        <v>29</v>
      </c>
      <c r="AH23" s="38" t="n">
        <v>29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662.49</v>
      </c>
      <c r="L24" s="35" t="n">
        <v>0</v>
      </c>
      <c r="M24" s="35" t="n">
        <v>0</v>
      </c>
      <c r="N24" s="36">
        <f>SUM(B24:M24)</f>
        <v/>
      </c>
      <c r="O24" s="37">
        <f>SUMIF('XNDN TB'!$R:$R,'NDN P&amp;L'!$A24,'XNDN TB'!C:C)</f>
        <v/>
      </c>
      <c r="P24" s="37">
        <f>SUMIF('XNDN TB'!$R:$R,'NDN P&amp;L'!$A24,'XNDN TB'!D:D)</f>
        <v/>
      </c>
      <c r="Q24" s="37">
        <f>SUMIF('XNDN TB'!$R:$R,'NDN P&amp;L'!$A24,'XNDN TB'!E:E)</f>
        <v/>
      </c>
      <c r="R24" s="37">
        <f>SUMIF('XNDN TB'!$R:$R,'NDN P&amp;L'!$A24,'XNDN TB'!F:F)</f>
        <v/>
      </c>
      <c r="S24" s="37">
        <f>SUMIF('XNDN TB'!$R:$R,'NDN P&amp;L'!$A24,'XNDN TB'!G:G)</f>
        <v/>
      </c>
      <c r="T24" s="37">
        <f>SUMIF('XNDN TB'!$R:$R,'NDN P&amp;L'!$A24,'XNDN TB'!H:H)</f>
        <v/>
      </c>
      <c r="U24" s="37">
        <f>SUMIF('NDN TB'!$R:$R,'NDN P&amp;L'!$A24,'NDN TB'!I:I)</f>
        <v/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16806.38</v>
      </c>
      <c r="C25" s="42" t="n">
        <v>19028.5</v>
      </c>
      <c r="D25" s="42" t="n">
        <v>22455.43</v>
      </c>
      <c r="E25" s="42" t="n">
        <v>22614.85</v>
      </c>
      <c r="F25" s="42" t="n">
        <v>23269.11</v>
      </c>
      <c r="G25" s="42" t="n">
        <v>21136.27</v>
      </c>
      <c r="H25" s="42" t="n">
        <v>21568.2</v>
      </c>
      <c r="I25" s="42" t="n">
        <v>17685.68</v>
      </c>
      <c r="J25" s="42" t="n">
        <v>16284.58</v>
      </c>
      <c r="K25" s="42" t="n">
        <v>15630.98</v>
      </c>
      <c r="L25" s="42" t="n">
        <v>14340.8</v>
      </c>
      <c r="M25" s="42" t="n">
        <v>15517.61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938.0799999999999</v>
      </c>
      <c r="C27" s="35" t="n">
        <v>1134.85</v>
      </c>
      <c r="D27" s="35" t="n">
        <v>993.1799999999999</v>
      </c>
      <c r="E27" s="35" t="n">
        <v>999.98</v>
      </c>
      <c r="F27" s="35" t="n">
        <v>1390.12</v>
      </c>
      <c r="G27" s="35" t="n">
        <v>1082.31</v>
      </c>
      <c r="H27" s="35" t="n">
        <v>1244.9</v>
      </c>
      <c r="I27" s="35" t="n">
        <v>1523.75</v>
      </c>
      <c r="J27" s="35" t="n">
        <v>904.37</v>
      </c>
      <c r="K27" s="35" t="n">
        <v>917.85</v>
      </c>
      <c r="L27" s="35" t="n">
        <v>1201.67</v>
      </c>
      <c r="M27" s="35" t="n">
        <v>933.79</v>
      </c>
      <c r="N27" s="36">
        <f>SUM(B27:M27)</f>
        <v/>
      </c>
      <c r="O27" s="37">
        <f>SUMIF('XNDN TB'!$R:$R,'NDN P&amp;L'!$A27,'XNDN TB'!C:C)</f>
        <v/>
      </c>
      <c r="P27" s="37">
        <f>SUMIF('XNDN TB'!$R:$R,'NDN P&amp;L'!$A27,'XNDN TB'!D:D)</f>
        <v/>
      </c>
      <c r="Q27" s="37">
        <f>SUMIF('XNDN TB'!$R:$R,'NDN P&amp;L'!$A27,'XNDN TB'!E:E)</f>
        <v/>
      </c>
      <c r="R27" s="37">
        <f>SUMIF('XNDN TB'!$R:$R,'NDN P&amp;L'!$A27,'XNDN TB'!F:F)</f>
        <v/>
      </c>
      <c r="S27" s="37">
        <f>SUMIF('XNDN TB'!$R:$R,'NDN P&amp;L'!$A27,'XNDN TB'!G:G)</f>
        <v/>
      </c>
      <c r="T27" s="37">
        <f>SUMIF('XNDN TB'!$R:$R,'NDN P&amp;L'!$A27,'XNDN TB'!H:H)</f>
        <v/>
      </c>
      <c r="U27" s="37">
        <f>SUMIF('NDN TB'!$R:$R,'NDN P&amp;L'!$A27,'NDN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29.07</v>
      </c>
      <c r="C28" s="35" t="n">
        <v>176.61</v>
      </c>
      <c r="D28" s="35" t="n">
        <v>111.88</v>
      </c>
      <c r="E28" s="35" t="n">
        <v>203.06</v>
      </c>
      <c r="F28" s="35" t="n">
        <v>178.9</v>
      </c>
      <c r="G28" s="35" t="n">
        <v>67.28999999999999</v>
      </c>
      <c r="H28" s="35" t="n">
        <v>38</v>
      </c>
      <c r="I28" s="35" t="n">
        <v>105.13</v>
      </c>
      <c r="J28" s="35" t="n">
        <v>220.74</v>
      </c>
      <c r="K28" s="35" t="n">
        <v>4.23</v>
      </c>
      <c r="L28" s="35" t="n">
        <v>126.27</v>
      </c>
      <c r="M28" s="35" t="n">
        <v>48.49</v>
      </c>
      <c r="N28" s="36">
        <f>SUM(B28:M28)</f>
        <v/>
      </c>
      <c r="O28" s="37">
        <f>SUMIF('XNDN TB'!$R:$R,'NDN P&amp;L'!$A28,'XNDN TB'!C:C)</f>
        <v/>
      </c>
      <c r="P28" s="37">
        <f>SUMIF('XNDN TB'!$R:$R,'NDN P&amp;L'!$A28,'XNDN TB'!D:D)</f>
        <v/>
      </c>
      <c r="Q28" s="37">
        <f>SUMIF('XNDN TB'!$R:$R,'NDN P&amp;L'!$A28,'XNDN TB'!E:E)</f>
        <v/>
      </c>
      <c r="R28" s="37">
        <f>SUMIF('XNDN TB'!$R:$R,'NDN P&amp;L'!$A28,'XNDN TB'!F:F)</f>
        <v/>
      </c>
      <c r="S28" s="37">
        <f>SUMIF('XNDN TB'!$R:$R,'NDN P&amp;L'!$A28,'XNDN TB'!G:G)</f>
        <v/>
      </c>
      <c r="T28" s="37">
        <f>SUMIF('XNDN TB'!$R:$R,'NDN P&amp;L'!$A28,'XNDN TB'!H:H)</f>
        <v/>
      </c>
      <c r="U28" s="37">
        <f>SUMIF('NDN TB'!$R:$R,'NDN P&amp;L'!$A28,'NDN TB'!I:I)</f>
        <v/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93.71000000000001</v>
      </c>
      <c r="C29" s="35" t="n">
        <v>111.46</v>
      </c>
      <c r="D29" s="35" t="n">
        <v>79.33</v>
      </c>
      <c r="E29" s="35" t="n">
        <v>37.47</v>
      </c>
      <c r="F29" s="35" t="n">
        <v>54.27</v>
      </c>
      <c r="G29" s="35" t="n">
        <v>2.99</v>
      </c>
      <c r="H29" s="35" t="n">
        <v>0</v>
      </c>
      <c r="I29" s="35" t="n">
        <v>2.99</v>
      </c>
      <c r="J29" s="35" t="n">
        <v>0</v>
      </c>
      <c r="K29" s="35" t="n">
        <v>70.45999999999999</v>
      </c>
      <c r="L29" s="35" t="n">
        <v>14.45</v>
      </c>
      <c r="M29" s="35" t="n">
        <v>0</v>
      </c>
      <c r="N29" s="36">
        <f>SUM(B29:M29)</f>
        <v/>
      </c>
      <c r="O29" s="37">
        <f>SUMIF('XNDN TB'!$R:$R,'NDN P&amp;L'!$A29,'XNDN TB'!C:C)</f>
        <v/>
      </c>
      <c r="P29" s="37">
        <f>SUMIF('XNDN TB'!$R:$R,'NDN P&amp;L'!$A29,'XNDN TB'!D:D)</f>
        <v/>
      </c>
      <c r="Q29" s="37">
        <f>SUMIF('XNDN TB'!$R:$R,'NDN P&amp;L'!$A29,'XNDN TB'!E:E)</f>
        <v/>
      </c>
      <c r="R29" s="37">
        <f>SUMIF('XNDN TB'!$R:$R,'NDN P&amp;L'!$A29,'XNDN TB'!F:F)</f>
        <v/>
      </c>
      <c r="S29" s="37">
        <f>SUMIF('XNDN TB'!$R:$R,'NDN P&amp;L'!$A29,'XNDN TB'!G:G)</f>
        <v/>
      </c>
      <c r="T29" s="37">
        <f>SUMIF('XNDN TB'!$R:$R,'NDN P&amp;L'!$A29,'XNDN TB'!H:H)</f>
        <v/>
      </c>
      <c r="U29" s="37">
        <f>SUMIF('NDN TB'!$R:$R,'NDN P&amp;L'!$A29,'NDN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0.00208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SUMIF('XNDN TB'!$R:$R,'NDN P&amp;L'!$A30,'XNDN TB'!C:C)</f>
        <v/>
      </c>
      <c r="P30" s="37">
        <f>SUMIF('XNDN TB'!$R:$R,'NDN P&amp;L'!$A30,'XNDN TB'!D:D)</f>
        <v/>
      </c>
      <c r="Q30" s="37">
        <f>SUMIF('XNDN TB'!$R:$R,'NDN P&amp;L'!$A30,'XNDN TB'!E:E)</f>
        <v/>
      </c>
      <c r="R30" s="37">
        <f>SUMIF('XNDN TB'!$R:$R,'NDN P&amp;L'!$A30,'XNDN TB'!F:F)</f>
        <v/>
      </c>
      <c r="S30" s="37">
        <f>SUMIF('XNDN TB'!$R:$R,'NDN P&amp;L'!$A30,'XNDN TB'!G:G)</f>
        <v/>
      </c>
      <c r="T30" s="37">
        <f>SUMIF('XNDN TB'!$R:$R,'NDN P&amp;L'!$A30,'XNDN TB'!H:H)</f>
        <v/>
      </c>
      <c r="U30" s="37">
        <f>SUMIF('NDN TB'!$R:$R,'NDN P&amp;L'!$A30,'NDN TB'!I:I)</f>
        <v/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18.98</v>
      </c>
      <c r="C31" s="35" t="n">
        <v>117.79</v>
      </c>
      <c r="D31" s="35" t="n">
        <v>179.68</v>
      </c>
      <c r="E31" s="35" t="n">
        <v>95.60000000000001</v>
      </c>
      <c r="F31" s="35" t="n">
        <v>321.81</v>
      </c>
      <c r="G31" s="35" t="n">
        <v>0</v>
      </c>
      <c r="H31" s="35" t="n">
        <v>95.58</v>
      </c>
      <c r="I31" s="35" t="n">
        <v>134.96</v>
      </c>
      <c r="J31" s="35" t="n">
        <v>0</v>
      </c>
      <c r="K31" s="35" t="n">
        <v>81.06999999999999</v>
      </c>
      <c r="L31" s="35" t="n">
        <v>40.2</v>
      </c>
      <c r="M31" s="35" t="n">
        <v>117.6</v>
      </c>
      <c r="N31" s="36">
        <f>SUM(B31:M31)</f>
        <v/>
      </c>
      <c r="O31" s="37">
        <f>SUMIF('XNDN TB'!$R:$R,'NDN P&amp;L'!$A31,'XNDN TB'!C:C)</f>
        <v/>
      </c>
      <c r="P31" s="37">
        <f>SUMIF('XNDN TB'!$R:$R,'NDN P&amp;L'!$A31,'XNDN TB'!D:D)</f>
        <v/>
      </c>
      <c r="Q31" s="37">
        <f>SUMIF('XNDN TB'!$R:$R,'NDN P&amp;L'!$A31,'XNDN TB'!E:E)</f>
        <v/>
      </c>
      <c r="R31" s="37">
        <f>SUMIF('XNDN TB'!$R:$R,'NDN P&amp;L'!$A31,'XNDN TB'!F:F)</f>
        <v/>
      </c>
      <c r="S31" s="37">
        <f>SUMIF('XNDN TB'!$R:$R,'NDN P&amp;L'!$A31,'XNDN TB'!G:G)</f>
        <v/>
      </c>
      <c r="T31" s="37">
        <f>SUMIF('XNDN TB'!$R:$R,'NDN P&amp;L'!$A31,'XNDN TB'!H:H)</f>
        <v/>
      </c>
      <c r="U31" s="37">
        <f>SUMIF('NDN TB'!$R:$R,'NDN P&amp;L'!$A31,'NDN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78.04000000000001</v>
      </c>
      <c r="C32" s="35" t="n">
        <v>164.73</v>
      </c>
      <c r="D32" s="35" t="n">
        <v>79.87</v>
      </c>
      <c r="E32" s="35" t="n">
        <v>266.59</v>
      </c>
      <c r="F32" s="35" t="n">
        <v>132.46</v>
      </c>
      <c r="G32" s="35" t="n">
        <v>237.19</v>
      </c>
      <c r="H32" s="35" t="n">
        <v>188.47</v>
      </c>
      <c r="I32" s="35" t="n">
        <v>232.28</v>
      </c>
      <c r="J32" s="35" t="n">
        <v>228.68</v>
      </c>
      <c r="K32" s="35" t="n">
        <v>110.27</v>
      </c>
      <c r="L32" s="35" t="n">
        <v>16.43</v>
      </c>
      <c r="M32" s="35" t="n">
        <v>191.93</v>
      </c>
      <c r="N32" s="36">
        <f>SUM(B32:M32)</f>
        <v/>
      </c>
      <c r="O32" s="37">
        <f>SUMIF('XNDN TB'!$R:$R,'NDN P&amp;L'!$A32,'XNDN TB'!C:C)</f>
        <v/>
      </c>
      <c r="P32" s="37">
        <f>SUMIF('XNDN TB'!$R:$R,'NDN P&amp;L'!$A32,'XNDN TB'!D:D)</f>
        <v/>
      </c>
      <c r="Q32" s="37">
        <f>SUMIF('XNDN TB'!$R:$R,'NDN P&amp;L'!$A32,'XNDN TB'!E:E)</f>
        <v/>
      </c>
      <c r="R32" s="37">
        <f>SUMIF('XNDN TB'!$R:$R,'NDN P&amp;L'!$A32,'XNDN TB'!F:F)</f>
        <v/>
      </c>
      <c r="S32" s="37">
        <f>SUMIF('XNDN TB'!$R:$R,'NDN P&amp;L'!$A32,'XNDN TB'!G:G)</f>
        <v/>
      </c>
      <c r="T32" s="37">
        <f>SUMIF('XNDN TB'!$R:$R,'NDN P&amp;L'!$A32,'XNDN TB'!H:H)</f>
        <v/>
      </c>
      <c r="U32" s="37">
        <f>SUMIF('NDN TB'!$R:$R,'NDN P&amp;L'!$A32,'NDN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0.004160000000000001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SUMIF('XNDN TB'!$R:$R,'NDN P&amp;L'!$A33,'XNDN TB'!C:C)</f>
        <v/>
      </c>
      <c r="P33" s="37">
        <f>SUMIF('XNDN TB'!$R:$R,'NDN P&amp;L'!$A33,'XNDN TB'!D:D)</f>
        <v/>
      </c>
      <c r="Q33" s="37">
        <f>SUMIF('XNDN TB'!$R:$R,'NDN P&amp;L'!$A33,'XNDN TB'!E:E)</f>
        <v/>
      </c>
      <c r="R33" s="37">
        <f>SUMIF('XNDN TB'!$R:$R,'NDN P&amp;L'!$A33,'XNDN TB'!F:F)</f>
        <v/>
      </c>
      <c r="S33" s="37">
        <f>SUMIF('XNDN TB'!$R:$R,'NDN P&amp;L'!$A33,'XNDN TB'!G:G)</f>
        <v/>
      </c>
      <c r="T33" s="37">
        <f>SUMIF('XNDN TB'!$R:$R,'NDN P&amp;L'!$A33,'XNDN TB'!H:H)</f>
        <v/>
      </c>
      <c r="U33" s="37">
        <f>SUMIF('NDN TB'!$R:$R,'NDN P&amp;L'!$A33,'NDN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1157.88</v>
      </c>
      <c r="C34" s="42" t="n">
        <v>1705.44</v>
      </c>
      <c r="D34" s="42" t="n">
        <v>1443.94</v>
      </c>
      <c r="E34" s="42" t="n">
        <v>1602.7</v>
      </c>
      <c r="F34" s="42" t="n">
        <v>2077.56</v>
      </c>
      <c r="G34" s="42" t="n">
        <v>1389.78</v>
      </c>
      <c r="H34" s="42" t="n">
        <v>1566.95</v>
      </c>
      <c r="I34" s="42" t="n">
        <v>1999.11</v>
      </c>
      <c r="J34" s="42" t="n">
        <v>1353.79</v>
      </c>
      <c r="K34" s="42" t="n">
        <v>1183.88</v>
      </c>
      <c r="L34" s="42" t="n">
        <v>1399.02</v>
      </c>
      <c r="M34" s="42" t="n">
        <v>1291.81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SUMIF('XNDN TB'!$R:$R,'NDN P&amp;L'!$A36,'XNDN TB'!C:C)</f>
        <v/>
      </c>
      <c r="P36" s="37">
        <f>SUMIF('XNDN TB'!$R:$R,'NDN P&amp;L'!$A36,'XNDN TB'!D:D)</f>
        <v/>
      </c>
      <c r="Q36" s="37">
        <f>SUMIF('XNDN TB'!$R:$R,'NDN P&amp;L'!$A36,'XNDN TB'!E:E)</f>
        <v/>
      </c>
      <c r="R36" s="37">
        <f>SUMIF('XNDN TB'!$R:$R,'NDN P&amp;L'!$A36,'XNDN TB'!F:F)</f>
        <v/>
      </c>
      <c r="S36" s="37">
        <f>SUMIF('XNDN TB'!$R:$R,'NDN P&amp;L'!$A36,'XNDN TB'!G:G)</f>
        <v/>
      </c>
      <c r="T36" s="37">
        <f>SUMIF('XNDN TB'!$R:$R,'NDN P&amp;L'!$A36,'XNDN TB'!H:H)</f>
        <v/>
      </c>
      <c r="U36" s="37">
        <f>SUMIF('NDN TB'!$R:$R,'NDN P&amp;L'!$A36,'NDN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1101.96</v>
      </c>
      <c r="C37" s="35" t="n">
        <v>1101.96</v>
      </c>
      <c r="D37" s="35" t="n">
        <v>1101.96</v>
      </c>
      <c r="E37" s="35" t="n">
        <v>1101.96</v>
      </c>
      <c r="F37" s="35" t="n">
        <v>1101.96</v>
      </c>
      <c r="G37" s="35" t="n">
        <v>1101.96</v>
      </c>
      <c r="H37" s="35" t="n">
        <v>1101.96</v>
      </c>
      <c r="I37" s="35" t="n">
        <v>1101.96</v>
      </c>
      <c r="J37" s="35" t="n">
        <v>1101.96</v>
      </c>
      <c r="K37" s="35" t="n">
        <v>1101.96</v>
      </c>
      <c r="L37" s="35" t="n">
        <v>1101.96</v>
      </c>
      <c r="M37" s="35" t="n">
        <v>1101.96</v>
      </c>
      <c r="N37" s="36">
        <f>SUM(B37:M37)</f>
        <v/>
      </c>
      <c r="O37" s="37">
        <f>SUMIF('XNDN TB'!$R:$R,'NDN P&amp;L'!$A37,'XNDN TB'!C:C)</f>
        <v/>
      </c>
      <c r="P37" s="37">
        <f>SUMIF('XNDN TB'!$R:$R,'NDN P&amp;L'!$A37,'XNDN TB'!D:D)</f>
        <v/>
      </c>
      <c r="Q37" s="37">
        <f>SUMIF('XNDN TB'!$R:$R,'NDN P&amp;L'!$A37,'XNDN TB'!E:E)</f>
        <v/>
      </c>
      <c r="R37" s="37">
        <f>SUMIF('XNDN TB'!$R:$R,'NDN P&amp;L'!$A37,'XNDN TB'!F:F)</f>
        <v/>
      </c>
      <c r="S37" s="37">
        <f>SUMIF('XNDN TB'!$R:$R,'NDN P&amp;L'!$A37,'XNDN TB'!G:G)</f>
        <v/>
      </c>
      <c r="T37" s="37">
        <f>SUMIF('XNDN TB'!$R:$R,'NDN P&amp;L'!$A37,'XNDN TB'!H:H)</f>
        <v/>
      </c>
      <c r="U37" s="37">
        <f>SUMIF('NDN TB'!$R:$R,'NDN P&amp;L'!$A37,'NDN TB'!I:I)</f>
        <v/>
      </c>
      <c r="V37" s="38" t="n">
        <v>1267</v>
      </c>
      <c r="W37" s="38" t="n">
        <v>1267</v>
      </c>
      <c r="X37" s="38" t="n">
        <v>1267</v>
      </c>
      <c r="Y37" s="38" t="n">
        <v>1267</v>
      </c>
      <c r="Z37" s="38" t="n">
        <v>1267</v>
      </c>
      <c r="AA37" s="36">
        <f>SUM(O37:U37)</f>
        <v/>
      </c>
      <c r="AB37" s="36">
        <f>SUM(O37:Z37)</f>
        <v/>
      </c>
      <c r="AC37" s="38" t="n">
        <v>1267</v>
      </c>
      <c r="AD37" s="38" t="n">
        <v>1267</v>
      </c>
      <c r="AE37" s="38" t="n">
        <v>1267</v>
      </c>
      <c r="AF37" s="38" t="n">
        <v>1267</v>
      </c>
      <c r="AG37" s="38" t="n">
        <v>1267</v>
      </c>
      <c r="AH37" s="38" t="n">
        <v>1267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3375.89</v>
      </c>
      <c r="C38" s="35" t="n">
        <v>56.38000000000182</v>
      </c>
      <c r="D38" s="35" t="n">
        <v>2478.53</v>
      </c>
      <c r="E38" s="35" t="n">
        <v>2657.12</v>
      </c>
      <c r="F38" s="35" t="n">
        <v>1738.13</v>
      </c>
      <c r="G38" s="35" t="n">
        <v>942.84</v>
      </c>
      <c r="H38" s="35" t="n">
        <v>1984.28</v>
      </c>
      <c r="I38" s="35" t="n">
        <v>159.04</v>
      </c>
      <c r="J38" s="35" t="n">
        <v>-2054.4</v>
      </c>
      <c r="K38" s="35" t="n">
        <v>2069.1</v>
      </c>
      <c r="L38" s="35" t="n">
        <v>2303.05</v>
      </c>
      <c r="M38" s="35" t="n">
        <v>1297.49</v>
      </c>
      <c r="N38" s="36">
        <f>SUM(B38:M38)</f>
        <v/>
      </c>
      <c r="O38" s="37">
        <f>SUMIF('XNDN TB'!$R:$R,'NDN P&amp;L'!$A38,'XNDN TB'!C:C)</f>
        <v/>
      </c>
      <c r="P38" s="37">
        <f>SUMIF('XNDN TB'!$R:$R,'NDN P&amp;L'!$A38,'XNDN TB'!D:D)</f>
        <v/>
      </c>
      <c r="Q38" s="37">
        <f>SUMIF('XNDN TB'!$R:$R,'NDN P&amp;L'!$A38,'XNDN TB'!E:E)</f>
        <v/>
      </c>
      <c r="R38" s="37">
        <f>SUMIF('XNDN TB'!$R:$R,'NDN P&amp;L'!$A38,'XNDN TB'!F:F)</f>
        <v/>
      </c>
      <c r="S38" s="37">
        <f>SUMIF('XNDN TB'!$R:$R,'NDN P&amp;L'!$A38,'XNDN TB'!G:G)</f>
        <v/>
      </c>
      <c r="T38" s="37">
        <f>SUMIF('XNDN TB'!$R:$R,'NDN P&amp;L'!$A38,'XNDN TB'!H:H)</f>
        <v/>
      </c>
      <c r="U38" s="37">
        <f>SUMIF('NDN TB'!$R:$R,'NDN P&amp;L'!$A38,'NDN TB'!I:I)</f>
        <v/>
      </c>
      <c r="V38" s="38" t="n">
        <v>2300</v>
      </c>
      <c r="W38" s="38" t="n">
        <v>2300</v>
      </c>
      <c r="X38" s="38" t="n">
        <v>2300</v>
      </c>
      <c r="Y38" s="38" t="n">
        <v>2300</v>
      </c>
      <c r="Z38" s="38" t="n">
        <v>2300</v>
      </c>
      <c r="AA38" s="36">
        <f>SUM(O38:U38)</f>
        <v/>
      </c>
      <c r="AB38" s="36">
        <f>SUM(O38:Z38)</f>
        <v/>
      </c>
      <c r="AC38" s="38" t="n">
        <v>2300</v>
      </c>
      <c r="AD38" s="38" t="n">
        <v>2300</v>
      </c>
      <c r="AE38" s="38" t="n">
        <v>2300</v>
      </c>
      <c r="AF38" s="38" t="n">
        <v>2300</v>
      </c>
      <c r="AG38" s="38" t="n">
        <v>2300</v>
      </c>
      <c r="AH38" s="38" t="n">
        <v>2300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17.94</v>
      </c>
      <c r="C39" s="35" t="n">
        <v>37.48</v>
      </c>
      <c r="D39" s="35" t="n">
        <v>566.99</v>
      </c>
      <c r="E39" s="35" t="n">
        <v>245.93</v>
      </c>
      <c r="F39" s="35" t="n">
        <v>270.95</v>
      </c>
      <c r="G39" s="35" t="n">
        <v>671.05</v>
      </c>
      <c r="H39" s="35" t="n">
        <v>0</v>
      </c>
      <c r="I39" s="35" t="n">
        <v>0</v>
      </c>
      <c r="J39" s="35" t="n">
        <v>22.7</v>
      </c>
      <c r="K39" s="35" t="n">
        <v>192.88</v>
      </c>
      <c r="L39" s="35" t="n">
        <v>0</v>
      </c>
      <c r="M39" s="35" t="n">
        <v>125.67</v>
      </c>
      <c r="N39" s="36">
        <f>SUM(B39:M39)</f>
        <v/>
      </c>
      <c r="O39" s="37">
        <f>SUMIF('XNDN TB'!$R:$R,'NDN P&amp;L'!$A39,'XNDN TB'!C:C)</f>
        <v/>
      </c>
      <c r="P39" s="37">
        <f>SUMIF('XNDN TB'!$R:$R,'NDN P&amp;L'!$A39,'XNDN TB'!D:D)</f>
        <v/>
      </c>
      <c r="Q39" s="37">
        <f>SUMIF('XNDN TB'!$R:$R,'NDN P&amp;L'!$A39,'XNDN TB'!E:E)</f>
        <v/>
      </c>
      <c r="R39" s="37">
        <f>SUMIF('XNDN TB'!$R:$R,'NDN P&amp;L'!$A39,'XNDN TB'!F:F)</f>
        <v/>
      </c>
      <c r="S39" s="37">
        <f>SUMIF('XNDN TB'!$R:$R,'NDN P&amp;L'!$A39,'XNDN TB'!G:G)</f>
        <v/>
      </c>
      <c r="T39" s="37">
        <f>SUMIF('XNDN TB'!$R:$R,'NDN P&amp;L'!$A39,'XNDN TB'!H:H)</f>
        <v/>
      </c>
      <c r="U39" s="37">
        <f>SUMIF('NDN TB'!$R:$R,'NDN P&amp;L'!$A39,'NDN TB'!I:I)</f>
        <v/>
      </c>
      <c r="V39" s="38" t="n">
        <v>2000</v>
      </c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138.22</v>
      </c>
      <c r="C40" s="35" t="n">
        <v>106.33</v>
      </c>
      <c r="D40" s="35" t="n">
        <v>113.34</v>
      </c>
      <c r="E40" s="35" t="n">
        <v>182.89</v>
      </c>
      <c r="F40" s="35" t="n">
        <v>308.21</v>
      </c>
      <c r="G40" s="35" t="n">
        <v>17.18</v>
      </c>
      <c r="H40" s="35" t="n">
        <v>311.14</v>
      </c>
      <c r="I40" s="35" t="n">
        <v>96.34999999999999</v>
      </c>
      <c r="J40" s="35" t="n">
        <v>107.78</v>
      </c>
      <c r="K40" s="35" t="n">
        <v>191.11</v>
      </c>
      <c r="L40" s="35" t="n">
        <v>142.97</v>
      </c>
      <c r="M40" s="35" t="n">
        <v>35.48</v>
      </c>
      <c r="N40" s="36">
        <f>SUM(B40:M40)</f>
        <v/>
      </c>
      <c r="O40" s="37">
        <f>SUMIF('XNDN TB'!$R:$R,'NDN P&amp;L'!$A40,'XNDN TB'!C:C)</f>
        <v/>
      </c>
      <c r="P40" s="37">
        <f>SUMIF('XNDN TB'!$R:$R,'NDN P&amp;L'!$A40,'XNDN TB'!D:D)</f>
        <v/>
      </c>
      <c r="Q40" s="37">
        <f>SUMIF('XNDN TB'!$R:$R,'NDN P&amp;L'!$A40,'XNDN TB'!E:E)</f>
        <v/>
      </c>
      <c r="R40" s="37">
        <f>SUMIF('XNDN TB'!$R:$R,'NDN P&amp;L'!$A40,'XNDN TB'!F:F)</f>
        <v/>
      </c>
      <c r="S40" s="37">
        <f>SUMIF('XNDN TB'!$R:$R,'NDN P&amp;L'!$A40,'XNDN TB'!G:G)</f>
        <v/>
      </c>
      <c r="T40" s="37">
        <f>SUMIF('XNDN TB'!$R:$R,'NDN P&amp;L'!$A40,'XNDN TB'!H:H)</f>
        <v/>
      </c>
      <c r="U40" s="37">
        <f>SUMIF('NDN TB'!$R:$R,'NDN P&amp;L'!$A40,'NDN TB'!I:I)</f>
        <v/>
      </c>
      <c r="V40" s="38" t="n">
        <v>165</v>
      </c>
      <c r="W40" s="38" t="n">
        <v>165</v>
      </c>
      <c r="X40" s="38" t="n">
        <v>165</v>
      </c>
      <c r="Y40" s="38" t="n">
        <v>165</v>
      </c>
      <c r="Z40" s="38" t="n">
        <v>165</v>
      </c>
      <c r="AA40" s="36">
        <f>SUM(O40:U40)</f>
        <v/>
      </c>
      <c r="AB40" s="36">
        <f>SUM(O40:Z40)</f>
        <v/>
      </c>
      <c r="AC40" s="38" t="n">
        <v>165</v>
      </c>
      <c r="AD40" s="38" t="n">
        <v>165</v>
      </c>
      <c r="AE40" s="38" t="n">
        <v>165</v>
      </c>
      <c r="AF40" s="38" t="n">
        <v>165</v>
      </c>
      <c r="AG40" s="38" t="n">
        <v>165</v>
      </c>
      <c r="AH40" s="38" t="n">
        <v>165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352.3</v>
      </c>
      <c r="C41" s="35" t="n">
        <v>253.9</v>
      </c>
      <c r="D41" s="35" t="n">
        <v>403.3</v>
      </c>
      <c r="E41" s="35" t="n">
        <v>346.77</v>
      </c>
      <c r="F41" s="35" t="n">
        <v>393.52</v>
      </c>
      <c r="G41" s="35" t="n">
        <v>424.55</v>
      </c>
      <c r="H41" s="35" t="n">
        <v>328.24</v>
      </c>
      <c r="I41" s="35" t="n">
        <v>328.24</v>
      </c>
      <c r="J41" s="35" t="n">
        <v>489.35</v>
      </c>
      <c r="K41" s="35" t="n">
        <v>438.01</v>
      </c>
      <c r="L41" s="35" t="n">
        <v>355.75</v>
      </c>
      <c r="M41" s="35" t="n">
        <v>452.0599999999999</v>
      </c>
      <c r="N41" s="36">
        <f>SUM(B41:M41)</f>
        <v/>
      </c>
      <c r="O41" s="37">
        <f>SUMIF('XNDN TB'!$R:$R,'NDN P&amp;L'!$A41,'XNDN TB'!C:C)</f>
        <v/>
      </c>
      <c r="P41" s="37">
        <f>SUMIF('XNDN TB'!$R:$R,'NDN P&amp;L'!$A41,'XNDN TB'!D:D)</f>
        <v/>
      </c>
      <c r="Q41" s="37">
        <f>SUMIF('XNDN TB'!$R:$R,'NDN P&amp;L'!$A41,'XNDN TB'!E:E)</f>
        <v/>
      </c>
      <c r="R41" s="37">
        <f>SUMIF('XNDN TB'!$R:$R,'NDN P&amp;L'!$A41,'XNDN TB'!F:F)</f>
        <v/>
      </c>
      <c r="S41" s="37">
        <f>SUMIF('XNDN TB'!$R:$R,'NDN P&amp;L'!$A41,'XNDN TB'!G:G)</f>
        <v/>
      </c>
      <c r="T41" s="37">
        <f>SUMIF('XNDN TB'!$R:$R,'NDN P&amp;L'!$A41,'XNDN TB'!H:H)</f>
        <v/>
      </c>
      <c r="U41" s="37">
        <f>SUMIF('NDN TB'!$R:$R,'NDN P&amp;L'!$A41,'NDN TB'!I:I)</f>
        <v/>
      </c>
      <c r="V41" s="38" t="n">
        <v>370</v>
      </c>
      <c r="W41" s="38" t="n">
        <v>370</v>
      </c>
      <c r="X41" s="38" t="n">
        <v>370</v>
      </c>
      <c r="Y41" s="38" t="n">
        <v>370</v>
      </c>
      <c r="Z41" s="38" t="n">
        <v>370</v>
      </c>
      <c r="AA41" s="36">
        <f>SUM(O41:U41)</f>
        <v/>
      </c>
      <c r="AB41" s="36">
        <f>SUM(O41:Z41)</f>
        <v/>
      </c>
      <c r="AC41" s="38" t="n">
        <v>370</v>
      </c>
      <c r="AD41" s="38" t="n">
        <v>370</v>
      </c>
      <c r="AE41" s="38" t="n">
        <v>370</v>
      </c>
      <c r="AF41" s="38" t="n">
        <v>370</v>
      </c>
      <c r="AG41" s="38" t="n">
        <v>370</v>
      </c>
      <c r="AH41" s="38" t="n">
        <v>370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132.08</v>
      </c>
      <c r="C42" s="35" t="n">
        <v>23.77</v>
      </c>
      <c r="D42" s="35" t="n">
        <v>72.49000000000001</v>
      </c>
      <c r="E42" s="35" t="n">
        <v>482.1900000000001</v>
      </c>
      <c r="F42" s="35" t="n">
        <v>465.37</v>
      </c>
      <c r="G42" s="35" t="n">
        <v>479.21</v>
      </c>
      <c r="H42" s="35" t="n">
        <v>-785.59</v>
      </c>
      <c r="I42" s="35" t="n">
        <v>463.76</v>
      </c>
      <c r="J42" s="35" t="n">
        <v>480.54</v>
      </c>
      <c r="K42" s="35" t="n">
        <v>434.84</v>
      </c>
      <c r="L42" s="35" t="n">
        <v>480.36</v>
      </c>
      <c r="M42" s="35" t="n">
        <v>476.84</v>
      </c>
      <c r="N42" s="36">
        <f>SUM(B42:M42)</f>
        <v/>
      </c>
      <c r="O42" s="37">
        <f>SUMIF('XNDN TB'!$R:$R,'NDN P&amp;L'!$A42,'XNDN TB'!C:C)</f>
        <v/>
      </c>
      <c r="P42" s="37">
        <f>SUMIF('XNDN TB'!$R:$R,'NDN P&amp;L'!$A42,'XNDN TB'!D:D)</f>
        <v/>
      </c>
      <c r="Q42" s="37">
        <f>SUMIF('XNDN TB'!$R:$R,'NDN P&amp;L'!$A42,'XNDN TB'!E:E)</f>
        <v/>
      </c>
      <c r="R42" s="37">
        <f>SUMIF('XNDN TB'!$R:$R,'NDN P&amp;L'!$A42,'XNDN TB'!F:F)</f>
        <v/>
      </c>
      <c r="S42" s="37">
        <f>SUMIF('XNDN TB'!$R:$R,'NDN P&amp;L'!$A42,'XNDN TB'!G:G)</f>
        <v/>
      </c>
      <c r="T42" s="37">
        <f>SUMIF('XNDN TB'!$R:$R,'NDN P&amp;L'!$A42,'XNDN TB'!H:H)</f>
        <v/>
      </c>
      <c r="U42" s="37">
        <f>SUMIF('NDN TB'!$R:$R,'NDN P&amp;L'!$A42,'NDN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SUMIF('XNDN TB'!$R:$R,'NDN P&amp;L'!$A43,'XNDN TB'!C:C)</f>
        <v/>
      </c>
      <c r="P43" s="37">
        <f>SUMIF('XNDN TB'!$R:$R,'NDN P&amp;L'!$A43,'XNDN TB'!D:D)</f>
        <v/>
      </c>
      <c r="Q43" s="37">
        <f>SUMIF('XNDN TB'!$R:$R,'NDN P&amp;L'!$A43,'XNDN TB'!E:E)</f>
        <v/>
      </c>
      <c r="R43" s="37">
        <f>SUMIF('XNDN TB'!$R:$R,'NDN P&amp;L'!$A43,'XNDN TB'!F:F)</f>
        <v/>
      </c>
      <c r="S43" s="37">
        <f>SUMIF('XNDN TB'!$R:$R,'NDN P&amp;L'!$A43,'XNDN TB'!G:G)</f>
        <v/>
      </c>
      <c r="T43" s="37">
        <f>SUMIF('XNDN TB'!$R:$R,'NDN P&amp;L'!$A43,'XNDN TB'!H:H)</f>
        <v/>
      </c>
      <c r="U43" s="37">
        <f>SUMIF('NDN TB'!$R:$R,'NDN P&amp;L'!$A43,'NDN TB'!I:I)</f>
        <v/>
      </c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SUMIF('XNDN TB'!$R:$R,'NDN P&amp;L'!$A44,'XNDN TB'!C:C)</f>
        <v/>
      </c>
      <c r="P44" s="37">
        <f>SUMIF('XNDN TB'!$R:$R,'NDN P&amp;L'!$A44,'XNDN TB'!D:D)</f>
        <v/>
      </c>
      <c r="Q44" s="37">
        <f>SUMIF('XNDN TB'!$R:$R,'NDN P&amp;L'!$A44,'XNDN TB'!E:E)</f>
        <v/>
      </c>
      <c r="R44" s="37">
        <f>SUMIF('XNDN TB'!$R:$R,'NDN P&amp;L'!$A44,'XNDN TB'!F:F)</f>
        <v/>
      </c>
      <c r="S44" s="37">
        <f>SUMIF('XNDN TB'!$R:$R,'NDN P&amp;L'!$A44,'XNDN TB'!G:G)</f>
        <v/>
      </c>
      <c r="T44" s="37">
        <f>SUMIF('XNDN TB'!$R:$R,'NDN P&amp;L'!$A44,'XNDN TB'!H:H)</f>
        <v/>
      </c>
      <c r="U44" s="37">
        <f>SUMIF('NDN TB'!$R:$R,'NDN P&amp;L'!$A44,'NDN TB'!I:I)</f>
        <v/>
      </c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SUMIF('XNDN TB'!$R:$R,'NDN P&amp;L'!$A45,'XNDN TB'!C:C)</f>
        <v/>
      </c>
      <c r="P45" s="37">
        <f>SUMIF('XNDN TB'!$R:$R,'NDN P&amp;L'!$A45,'XNDN TB'!D:D)</f>
        <v/>
      </c>
      <c r="Q45" s="37">
        <f>SUMIF('XNDN TB'!$R:$R,'NDN P&amp;L'!$A45,'XNDN TB'!E:E)</f>
        <v/>
      </c>
      <c r="R45" s="37">
        <f>SUMIF('XNDN TB'!$R:$R,'NDN P&amp;L'!$A45,'XNDN TB'!F:F)</f>
        <v/>
      </c>
      <c r="S45" s="37">
        <f>SUMIF('XNDN TB'!$R:$R,'NDN P&amp;L'!$A45,'XNDN TB'!G:G)</f>
        <v/>
      </c>
      <c r="T45" s="37">
        <f>SUMIF('XNDN TB'!$R:$R,'NDN P&amp;L'!$A45,'XNDN TB'!H:H)</f>
        <v/>
      </c>
      <c r="U45" s="37">
        <f>SUMIF('NDN TB'!$R:$R,'NDN P&amp;L'!$A45,'NDN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SUMIF('XNDN TB'!$R:$R,'NDN P&amp;L'!$A46,'XNDN TB'!C:C)</f>
        <v/>
      </c>
      <c r="P46" s="37">
        <f>SUMIF('XNDN TB'!$R:$R,'NDN P&amp;L'!$A46,'XNDN TB'!D:D)</f>
        <v/>
      </c>
      <c r="Q46" s="37">
        <f>SUMIF('XNDN TB'!$R:$R,'NDN P&amp;L'!$A46,'XNDN TB'!E:E)</f>
        <v/>
      </c>
      <c r="R46" s="37">
        <f>SUMIF('XNDN TB'!$R:$R,'NDN P&amp;L'!$A46,'XNDN TB'!F:F)</f>
        <v/>
      </c>
      <c r="S46" s="37">
        <f>SUMIF('XNDN TB'!$R:$R,'NDN P&amp;L'!$A46,'XNDN TB'!G:G)</f>
        <v/>
      </c>
      <c r="T46" s="37">
        <f>SUMIF('XNDN TB'!$R:$R,'NDN P&amp;L'!$A46,'XNDN TB'!H:H)</f>
        <v/>
      </c>
      <c r="U46" s="37">
        <f>SUMIF('NDN TB'!$R:$R,'NDN P&amp;L'!$A46,'NDN TB'!I:I)</f>
        <v/>
      </c>
      <c r="V46" s="38" t="n"/>
      <c r="W46" s="38" t="n"/>
      <c r="X46" s="38" t="n"/>
      <c r="Y46" s="38" t="n"/>
      <c r="Z46" s="38" t="n"/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5118.39</v>
      </c>
      <c r="C47" s="42" t="n">
        <v>1579.820000000002</v>
      </c>
      <c r="D47" s="42" t="n">
        <v>4736.610000000001</v>
      </c>
      <c r="E47" s="42" t="n">
        <v>5016.860000000001</v>
      </c>
      <c r="F47" s="42" t="n">
        <v>4278.14</v>
      </c>
      <c r="G47" s="42" t="n">
        <v>3636.79</v>
      </c>
      <c r="H47" s="42" t="n">
        <v>2940.03</v>
      </c>
      <c r="I47" s="42" t="n">
        <v>2149.35</v>
      </c>
      <c r="J47" s="42" t="n">
        <v>147.9299999999999</v>
      </c>
      <c r="K47" s="42" t="n">
        <v>4427.900000000001</v>
      </c>
      <c r="L47" s="42" t="n">
        <v>4384.09</v>
      </c>
      <c r="M47" s="42" t="n">
        <v>3489.5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23082.65</v>
      </c>
      <c r="C48" s="23" t="n">
        <v>22313.76</v>
      </c>
      <c r="D48" s="23" t="n">
        <v>28635.98</v>
      </c>
      <c r="E48" s="23" t="n">
        <v>29234.41</v>
      </c>
      <c r="F48" s="23" t="n">
        <v>29624.81</v>
      </c>
      <c r="G48" s="23" t="n">
        <v>26162.84</v>
      </c>
      <c r="H48" s="23" t="n">
        <v>26075.18</v>
      </c>
      <c r="I48" s="23" t="n">
        <v>21834.14</v>
      </c>
      <c r="J48" s="23" t="n">
        <v>17786.3</v>
      </c>
      <c r="K48" s="23" t="n">
        <v>21242.76</v>
      </c>
      <c r="L48" s="23" t="n">
        <v>20123.91</v>
      </c>
      <c r="M48" s="23" t="n">
        <v>20298.92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-5667.630000000005</v>
      </c>
      <c r="C50" s="55" t="n">
        <v>1625.609999999997</v>
      </c>
      <c r="D50" s="55" t="n">
        <v>7766.750000000007</v>
      </c>
      <c r="E50" s="55" t="n">
        <v>42.0099999999984</v>
      </c>
      <c r="F50" s="55" t="n">
        <v>-5053.139999999999</v>
      </c>
      <c r="G50" s="55" t="n">
        <v>5661.93</v>
      </c>
      <c r="H50" s="55" t="n">
        <v>13482.26000000001</v>
      </c>
      <c r="I50" s="55" t="n">
        <v>2075.750000000004</v>
      </c>
      <c r="J50" s="55" t="n">
        <v>5444.629999999997</v>
      </c>
      <c r="K50" s="55" t="n">
        <v>1560.769999999997</v>
      </c>
      <c r="L50" s="55" t="n">
        <v>2765.050000000003</v>
      </c>
      <c r="M50" s="55" t="n">
        <v>5973.829999999998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6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SUMIF('XNDN TB'!$R:$R,'NDN P&amp;L'!$A53,'XNDN TB'!C:C)</f>
        <v/>
      </c>
      <c r="P53" s="37">
        <f>SUMIF('XNDN TB'!$R:$R,'NDN P&amp;L'!$A53,'XNDN TB'!D:D)</f>
        <v/>
      </c>
      <c r="Q53" s="37">
        <f>SUMIF('XNDN TB'!$R:$R,'NDN P&amp;L'!$A53,'XNDN TB'!E:E)</f>
        <v/>
      </c>
      <c r="R53" s="37">
        <f>SUMIF('XNDN TB'!$R:$R,'NDN P&amp;L'!$A53,'XNDN TB'!F:F)</f>
        <v/>
      </c>
      <c r="S53" s="37">
        <f>SUMIF('XNDN TB'!$R:$R,'NDN P&amp;L'!$A53,'XNDN TB'!G:G)</f>
        <v/>
      </c>
      <c r="T53" s="37">
        <f>SUMIF('XNDN TB'!$R:$R,'NDN P&amp;L'!$A53,'XNDN TB'!H:H)</f>
        <v/>
      </c>
      <c r="U53" s="37">
        <f>SUMIF('NDN TB'!$R:$R,'NDN P&amp;L'!$A53,'NDN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SUMIF('XNDN TB'!$R:$R,'NDN P&amp;L'!$A54,'XNDN TB'!C:C)</f>
        <v/>
      </c>
      <c r="P54" s="37">
        <f>SUMIF('XNDN TB'!$R:$R,'NDN P&amp;L'!$A54,'XNDN TB'!D:D)</f>
        <v/>
      </c>
      <c r="Q54" s="37">
        <f>SUMIF('XNDN TB'!$R:$R,'NDN P&amp;L'!$A54,'XNDN TB'!E:E)</f>
        <v/>
      </c>
      <c r="R54" s="37">
        <f>SUMIF('XNDN TB'!$R:$R,'NDN P&amp;L'!$A54,'XNDN TB'!F:F)</f>
        <v/>
      </c>
      <c r="S54" s="37">
        <f>SUMIF('XNDN TB'!$R:$R,'NDN P&amp;L'!$A54,'XNDN TB'!G:G)</f>
        <v/>
      </c>
      <c r="T54" s="37">
        <f>SUMIF('XNDN TB'!$R:$R,'NDN P&amp;L'!$A54,'XNDN TB'!H:H)</f>
        <v/>
      </c>
      <c r="U54" s="37">
        <f>SUMIF('NDN TB'!$R:$R,'NDN P&amp;L'!$A54,'NDN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SUMIF('XNDN TB'!$R:$R,'NDN P&amp;L'!$A55,'XNDN TB'!C:C)</f>
        <v/>
      </c>
      <c r="P55" s="37">
        <f>SUMIF('XNDN TB'!$R:$R,'NDN P&amp;L'!$A55,'XNDN TB'!D:D)</f>
        <v/>
      </c>
      <c r="Q55" s="37">
        <f>SUMIF('XNDN TB'!$R:$R,'NDN P&amp;L'!$A55,'XNDN TB'!E:E)</f>
        <v/>
      </c>
      <c r="R55" s="37">
        <f>SUMIF('XNDN TB'!$R:$R,'NDN P&amp;L'!$A55,'XNDN TB'!F:F)</f>
        <v/>
      </c>
      <c r="S55" s="37">
        <f>SUMIF('XNDN TB'!$R:$R,'NDN P&amp;L'!$A55,'XNDN TB'!G:G)</f>
        <v/>
      </c>
      <c r="T55" s="37">
        <f>SUMIF('XNDN TB'!$R:$R,'NDN P&amp;L'!$A55,'XNDN TB'!H:H)</f>
        <v/>
      </c>
      <c r="U55" s="37">
        <f>SUMIF('NDN TB'!$R:$R,'NDN P&amp;L'!$A55,'NDN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SUMIF('XNDN TB'!$R:$R,'NDN P&amp;L'!$A56,'XNDN TB'!C:C)</f>
        <v/>
      </c>
      <c r="P56" s="37">
        <f>SUMIF('XNDN TB'!$R:$R,'NDN P&amp;L'!$A56,'XNDN TB'!D:D)</f>
        <v/>
      </c>
      <c r="Q56" s="37">
        <f>SUMIF('XNDN TB'!$R:$R,'NDN P&amp;L'!$A56,'XNDN TB'!E:E)</f>
        <v/>
      </c>
      <c r="R56" s="37">
        <f>SUMIF('XNDN TB'!$R:$R,'NDN P&amp;L'!$A56,'XNDN TB'!F:F)</f>
        <v/>
      </c>
      <c r="S56" s="37">
        <f>SUMIF('XNDN TB'!$R:$R,'NDN P&amp;L'!$A56,'XNDN TB'!G:G)</f>
        <v/>
      </c>
      <c r="T56" s="37">
        <f>SUMIF('XNDN TB'!$R:$R,'NDN P&amp;L'!$A56,'XNDN TB'!H:H)</f>
        <v/>
      </c>
      <c r="U56" s="37">
        <f>SUMIF('NDN TB'!$R:$R,'NDN P&amp;L'!$A56,'NDN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232.41</v>
      </c>
      <c r="M57" s="35" t="n">
        <v>89.56999999999999</v>
      </c>
      <c r="N57" s="36">
        <f>SUM(B57:M57)</f>
        <v/>
      </c>
      <c r="O57" s="37">
        <f>SUMIF('XNDN TB'!$R:$R,'NDN P&amp;L'!$A57,'XNDN TB'!C:C)</f>
        <v/>
      </c>
      <c r="P57" s="37">
        <f>SUMIF('XNDN TB'!$R:$R,'NDN P&amp;L'!$A57,'XNDN TB'!D:D)</f>
        <v/>
      </c>
      <c r="Q57" s="37">
        <f>SUMIF('XNDN TB'!$R:$R,'NDN P&amp;L'!$A57,'XNDN TB'!E:E)</f>
        <v/>
      </c>
      <c r="R57" s="37">
        <f>SUMIF('XNDN TB'!$R:$R,'NDN P&amp;L'!$A57,'XNDN TB'!F:F)</f>
        <v/>
      </c>
      <c r="S57" s="37">
        <f>SUMIF('XNDN TB'!$R:$R,'NDN P&amp;L'!$A57,'XNDN TB'!G:G)</f>
        <v/>
      </c>
      <c r="T57" s="37">
        <f>SUMIF('XNDN TB'!$R:$R,'NDN P&amp;L'!$A57,'XNDN TB'!H:H)</f>
        <v/>
      </c>
      <c r="U57" s="37">
        <f>SUMIF('NDN TB'!$R:$R,'NDN P&amp;L'!$A57,'NDN TB'!I:I)</f>
        <v/>
      </c>
      <c r="V57" s="38" t="n"/>
      <c r="W57" s="38" t="n"/>
      <c r="X57" s="38" t="n"/>
      <c r="Y57" s="38" t="n"/>
      <c r="Z57" s="38">
        <f>7*30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SUMIF('XNDN TB'!$R:$R,'NDN P&amp;L'!$A58,'XNDN TB'!C:C)</f>
        <v/>
      </c>
      <c r="P58" s="37">
        <f>SUMIF('XNDN TB'!$R:$R,'NDN P&amp;L'!$A58,'XNDN TB'!D:D)</f>
        <v/>
      </c>
      <c r="Q58" s="37">
        <f>SUMIF('XNDN TB'!$R:$R,'NDN P&amp;L'!$A58,'XNDN TB'!E:E)</f>
        <v/>
      </c>
      <c r="R58" s="37">
        <f>SUMIF('XNDN TB'!$R:$R,'NDN P&amp;L'!$A58,'XNDN TB'!F:F)</f>
        <v/>
      </c>
      <c r="S58" s="37">
        <f>SUMIF('XNDN TB'!$R:$R,'NDN P&amp;L'!$A58,'XNDN TB'!G:G)</f>
        <v/>
      </c>
      <c r="T58" s="37">
        <f>SUMIF('XNDN TB'!$R:$R,'NDN P&amp;L'!$A58,'XNDN TB'!H:H)</f>
        <v/>
      </c>
      <c r="U58" s="37">
        <f>SUMIF('NDN TB'!$R:$R,'NDN P&amp;L'!$A58,'NDN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201.37</v>
      </c>
      <c r="D59" s="35" t="n">
        <v>201.37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201.37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SUMIF('XNDN TB'!$R:$R,'NDN P&amp;L'!$A59,'XNDN TB'!C:C)</f>
        <v/>
      </c>
      <c r="P59" s="37">
        <f>SUMIF('XNDN TB'!$R:$R,'NDN P&amp;L'!$A59,'XNDN TB'!D:D)</f>
        <v/>
      </c>
      <c r="Q59" s="37">
        <f>SUMIF('XNDN TB'!$R:$R,'NDN P&amp;L'!$A59,'XNDN TB'!E:E)</f>
        <v/>
      </c>
      <c r="R59" s="37">
        <f>SUMIF('XNDN TB'!$R:$R,'NDN P&amp;L'!$A59,'XNDN TB'!F:F)</f>
        <v/>
      </c>
      <c r="S59" s="37">
        <f>SUMIF('XNDN TB'!$R:$R,'NDN P&amp;L'!$A59,'XNDN TB'!G:G)</f>
        <v/>
      </c>
      <c r="T59" s="37">
        <f>SUMIF('XNDN TB'!$R:$R,'NDN P&amp;L'!$A59,'XNDN TB'!H:H)</f>
        <v/>
      </c>
      <c r="U59" s="37">
        <f>SUMIF('NDN TB'!$R:$R,'NDN P&amp;L'!$A59,'NDN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263.0500000000001</v>
      </c>
      <c r="C60" s="35" t="n">
        <v>10.5</v>
      </c>
      <c r="D60" s="35" t="n">
        <v>145.2</v>
      </c>
      <c r="E60" s="35" t="n">
        <v>3.6</v>
      </c>
      <c r="F60" s="35" t="n">
        <v>3.6</v>
      </c>
      <c r="G60" s="35" t="n">
        <v>45</v>
      </c>
      <c r="H60" s="35" t="n">
        <v>3</v>
      </c>
      <c r="I60" s="35" t="n">
        <v>3</v>
      </c>
      <c r="J60" s="35" t="n">
        <v>3</v>
      </c>
      <c r="K60" s="35" t="n">
        <v>69.39999999999999</v>
      </c>
      <c r="L60" s="35" t="n">
        <v>1.8</v>
      </c>
      <c r="M60" s="35" t="n">
        <v>267.4</v>
      </c>
      <c r="N60" s="36">
        <f>SUM(B60:M60)</f>
        <v/>
      </c>
      <c r="O60" s="37">
        <f>SUMIF('XNDN TB'!$R:$R,'NDN P&amp;L'!$A60,'XNDN TB'!C:C)</f>
        <v/>
      </c>
      <c r="P60" s="37">
        <f>SUMIF('XNDN TB'!$R:$R,'NDN P&amp;L'!$A60,'XNDN TB'!D:D)</f>
        <v/>
      </c>
      <c r="Q60" s="37">
        <f>SUMIF('XNDN TB'!$R:$R,'NDN P&amp;L'!$A60,'XNDN TB'!E:E)</f>
        <v/>
      </c>
      <c r="R60" s="37">
        <f>SUMIF('XNDN TB'!$R:$R,'NDN P&amp;L'!$A60,'XNDN TB'!F:F)</f>
        <v/>
      </c>
      <c r="S60" s="37">
        <f>SUMIF('XNDN TB'!$R:$R,'NDN P&amp;L'!$A60,'XNDN TB'!G:G)</f>
        <v/>
      </c>
      <c r="T60" s="37">
        <f>SUMIF('XNDN TB'!$R:$R,'NDN P&amp;L'!$A60,'XNDN TB'!H:H)</f>
        <v/>
      </c>
      <c r="U60" s="37">
        <f>SUMIF('NDN TB'!$R:$R,'NDN P&amp;L'!$A60,'NDN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92.59999999999999</v>
      </c>
      <c r="C61" s="35" t="n">
        <v>29.62</v>
      </c>
      <c r="D61" s="35" t="n">
        <v>5.39</v>
      </c>
      <c r="E61" s="35" t="n">
        <v>0</v>
      </c>
      <c r="F61" s="35" t="n">
        <v>2.79</v>
      </c>
      <c r="G61" s="35" t="n">
        <v>84.48</v>
      </c>
      <c r="H61" s="35" t="n">
        <v>0</v>
      </c>
      <c r="I61" s="35" t="n">
        <v>0</v>
      </c>
      <c r="J61" s="35" t="n">
        <v>0</v>
      </c>
      <c r="K61" s="35" t="n">
        <v>33.48</v>
      </c>
      <c r="L61" s="35" t="n">
        <v>14.56</v>
      </c>
      <c r="M61" s="35" t="n">
        <v>0</v>
      </c>
      <c r="N61" s="36">
        <f>SUM(B61:M61)</f>
        <v/>
      </c>
      <c r="O61" s="37">
        <f>SUMIF('XNDN TB'!$R:$R,'NDN P&amp;L'!$A61,'XNDN TB'!C:C)</f>
        <v/>
      </c>
      <c r="P61" s="37">
        <f>SUMIF('XNDN TB'!$R:$R,'NDN P&amp;L'!$A61,'XNDN TB'!D:D)</f>
        <v/>
      </c>
      <c r="Q61" s="37">
        <f>SUMIF('XNDN TB'!$R:$R,'NDN P&amp;L'!$A61,'XNDN TB'!E:E)</f>
        <v/>
      </c>
      <c r="R61" s="37">
        <f>SUMIF('XNDN TB'!$R:$R,'NDN P&amp;L'!$A61,'XNDN TB'!F:F)</f>
        <v/>
      </c>
      <c r="S61" s="37">
        <f>SUMIF('XNDN TB'!$R:$R,'NDN P&amp;L'!$A61,'XNDN TB'!G:G)</f>
        <v/>
      </c>
      <c r="T61" s="37">
        <f>SUMIF('XNDN TB'!$R:$R,'NDN P&amp;L'!$A61,'XNDN TB'!H:H)</f>
        <v/>
      </c>
      <c r="U61" s="37">
        <f>SUMIF('NDN TB'!$R:$R,'NDN P&amp;L'!$A61,'NDN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15</v>
      </c>
      <c r="C62" s="35" t="n">
        <v>30</v>
      </c>
      <c r="D62" s="35" t="n">
        <v>151</v>
      </c>
      <c r="E62" s="35" t="n">
        <v>0</v>
      </c>
      <c r="F62" s="35" t="n">
        <v>105</v>
      </c>
      <c r="G62" s="35" t="n">
        <v>33</v>
      </c>
      <c r="H62" s="35" t="n">
        <v>0</v>
      </c>
      <c r="I62" s="35" t="n">
        <v>0</v>
      </c>
      <c r="J62" s="35" t="n">
        <v>0</v>
      </c>
      <c r="K62" s="35" t="n">
        <v>90</v>
      </c>
      <c r="L62" s="35" t="n">
        <v>131</v>
      </c>
      <c r="M62" s="35" t="n">
        <v>-14.55</v>
      </c>
      <c r="N62" s="36">
        <f>SUM(B62:M62)</f>
        <v/>
      </c>
      <c r="O62" s="37">
        <f>SUMIF('XNDN TB'!$R:$R,'NDN P&amp;L'!$A62,'XNDN TB'!C:C)</f>
        <v/>
      </c>
      <c r="P62" s="37">
        <f>SUMIF('XNDN TB'!$R:$R,'NDN P&amp;L'!$A62,'XNDN TB'!D:D)</f>
        <v/>
      </c>
      <c r="Q62" s="37">
        <f>SUMIF('XNDN TB'!$R:$R,'NDN P&amp;L'!$A62,'XNDN TB'!E:E)</f>
        <v/>
      </c>
      <c r="R62" s="37">
        <f>SUMIF('XNDN TB'!$R:$R,'NDN P&amp;L'!$A62,'XNDN TB'!F:F)</f>
        <v/>
      </c>
      <c r="S62" s="37">
        <f>SUMIF('XNDN TB'!$R:$R,'NDN P&amp;L'!$A62,'XNDN TB'!G:G)</f>
        <v/>
      </c>
      <c r="T62" s="37">
        <f>SUMIF('XNDN TB'!$R:$R,'NDN P&amp;L'!$A62,'XNDN TB'!H:H)</f>
        <v/>
      </c>
      <c r="U62" s="37">
        <f>SUMIF('NDN TB'!$R:$R,'NDN P&amp;L'!$A62,'NDN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SUMIF('XNDN TB'!$R:$R,'NDN P&amp;L'!$A63,'XNDN TB'!C:C)</f>
        <v/>
      </c>
      <c r="P63" s="37">
        <f>SUMIF('XNDN TB'!$R:$R,'NDN P&amp;L'!$A63,'XNDN TB'!D:D)</f>
        <v/>
      </c>
      <c r="Q63" s="37">
        <f>SUMIF('XNDN TB'!$R:$R,'NDN P&amp;L'!$A63,'XNDN TB'!E:E)</f>
        <v/>
      </c>
      <c r="R63" s="37">
        <f>SUMIF('XNDN TB'!$R:$R,'NDN P&amp;L'!$A63,'XNDN TB'!F:F)</f>
        <v/>
      </c>
      <c r="S63" s="37">
        <f>SUMIF('XNDN TB'!$R:$R,'NDN P&amp;L'!$A63,'XNDN TB'!G:G)</f>
        <v/>
      </c>
      <c r="T63" s="37">
        <f>SUMIF('XNDN TB'!$R:$R,'NDN P&amp;L'!$A63,'XNDN TB'!H:H)</f>
        <v/>
      </c>
      <c r="U63" s="37">
        <f>SUMIF('NDN TB'!$R:$R,'NDN P&amp;L'!$A63,'NDN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SUMIF('XNDN TB'!$R:$R,'NDN P&amp;L'!$A64,'XNDN TB'!C:C)</f>
        <v/>
      </c>
      <c r="P64" s="37">
        <f>SUMIF('XNDN TB'!$R:$R,'NDN P&amp;L'!$A64,'XNDN TB'!D:D)</f>
        <v/>
      </c>
      <c r="Q64" s="37">
        <f>SUMIF('XNDN TB'!$R:$R,'NDN P&amp;L'!$A64,'XNDN TB'!E:E)</f>
        <v/>
      </c>
      <c r="R64" s="37">
        <f>SUMIF('XNDN TB'!$R:$R,'NDN P&amp;L'!$A64,'XNDN TB'!F:F)</f>
        <v/>
      </c>
      <c r="S64" s="37">
        <f>SUMIF('XNDN TB'!$R:$R,'NDN P&amp;L'!$A64,'XNDN TB'!G:G)</f>
        <v/>
      </c>
      <c r="T64" s="37">
        <f>SUMIF('XNDN TB'!$R:$R,'NDN P&amp;L'!$A64,'XNDN TB'!H:H)</f>
        <v/>
      </c>
      <c r="U64" s="37">
        <f>SUMIF('NDN TB'!$R:$R,'NDN P&amp;L'!$A64,'NDN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SUMIF('XNDN TB'!$R:$R,'NDN P&amp;L'!$A65,'XNDN TB'!C:C)</f>
        <v/>
      </c>
      <c r="P65" s="37">
        <f>SUMIF('XNDN TB'!$R:$R,'NDN P&amp;L'!$A65,'XNDN TB'!D:D)</f>
        <v/>
      </c>
      <c r="Q65" s="37">
        <f>SUMIF('XNDN TB'!$R:$R,'NDN P&amp;L'!$A65,'XNDN TB'!E:E)</f>
        <v/>
      </c>
      <c r="R65" s="37">
        <f>SUMIF('XNDN TB'!$R:$R,'NDN P&amp;L'!$A65,'XNDN TB'!F:F)</f>
        <v/>
      </c>
      <c r="S65" s="37">
        <f>SUMIF('XNDN TB'!$R:$R,'NDN P&amp;L'!$A65,'XNDN TB'!G:G)</f>
        <v/>
      </c>
      <c r="T65" s="37">
        <f>SUMIF('XNDN TB'!$R:$R,'NDN P&amp;L'!$A65,'XNDN TB'!H:H)</f>
        <v/>
      </c>
      <c r="U65" s="37">
        <f>SUMIF('NDN TB'!$R:$R,'NDN P&amp;L'!$A65,'NDN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SUMIF('XNDN TB'!$R:$R,'NDN P&amp;L'!$A66,'XNDN TB'!C:C)</f>
        <v/>
      </c>
      <c r="P66" s="37">
        <f>SUMIF('XNDN TB'!$R:$R,'NDN P&amp;L'!$A66,'XNDN TB'!D:D)</f>
        <v/>
      </c>
      <c r="Q66" s="37">
        <f>SUMIF('XNDN TB'!$R:$R,'NDN P&amp;L'!$A66,'XNDN TB'!E:E)</f>
        <v/>
      </c>
      <c r="R66" s="37">
        <f>SUMIF('XNDN TB'!$R:$R,'NDN P&amp;L'!$A66,'XNDN TB'!F:F)</f>
        <v/>
      </c>
      <c r="S66" s="37">
        <f>SUMIF('XNDN TB'!$R:$R,'NDN P&amp;L'!$A66,'XNDN TB'!G:G)</f>
        <v/>
      </c>
      <c r="T66" s="37">
        <f>SUMIF('XNDN TB'!$R:$R,'NDN P&amp;L'!$A66,'XNDN TB'!H:H)</f>
        <v/>
      </c>
      <c r="U66" s="37">
        <f>SUMIF('NDN TB'!$R:$R,'NDN P&amp;L'!$A66,'NDN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SUMIF('XNDN TB'!$R:$R,'NDN P&amp;L'!$A67,'XNDN TB'!C:C)</f>
        <v/>
      </c>
      <c r="P67" s="37">
        <f>SUMIF('XNDN TB'!$R:$R,'NDN P&amp;L'!$A67,'XNDN TB'!D:D)</f>
        <v/>
      </c>
      <c r="Q67" s="37">
        <f>SUMIF('XNDN TB'!$R:$R,'NDN P&amp;L'!$A67,'XNDN TB'!E:E)</f>
        <v/>
      </c>
      <c r="R67" s="37">
        <f>SUMIF('XNDN TB'!$R:$R,'NDN P&amp;L'!$A67,'XNDN TB'!F:F)</f>
        <v/>
      </c>
      <c r="S67" s="37">
        <f>SUMIF('XNDN TB'!$R:$R,'NDN P&amp;L'!$A67,'XNDN TB'!G:G)</f>
        <v/>
      </c>
      <c r="T67" s="37">
        <f>SUMIF('XNDN TB'!$R:$R,'NDN P&amp;L'!$A67,'XNDN TB'!H:H)</f>
        <v/>
      </c>
      <c r="U67" s="37">
        <f>SUMIF('NDN TB'!$R:$R,'NDN P&amp;L'!$A67,'NDN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SUMIF('XNDN TB'!$R:$R,'NDN P&amp;L'!$A68,'XNDN TB'!C:C)</f>
        <v/>
      </c>
      <c r="P68" s="37">
        <f>SUMIF('XNDN TB'!$R:$R,'NDN P&amp;L'!$A68,'XNDN TB'!D:D)</f>
        <v/>
      </c>
      <c r="Q68" s="37">
        <f>SUMIF('XNDN TB'!$R:$R,'NDN P&amp;L'!$A68,'XNDN TB'!E:E)</f>
        <v/>
      </c>
      <c r="R68" s="37">
        <f>SUMIF('XNDN TB'!$R:$R,'NDN P&amp;L'!$A68,'XNDN TB'!F:F)</f>
        <v/>
      </c>
      <c r="S68" s="37">
        <f>SUMIF('XNDN TB'!$R:$R,'NDN P&amp;L'!$A68,'XNDN TB'!G:G)</f>
        <v/>
      </c>
      <c r="T68" s="37">
        <f>SUMIF('XNDN TB'!$R:$R,'NDN P&amp;L'!$A68,'XNDN TB'!H:H)</f>
        <v/>
      </c>
      <c r="U68" s="37">
        <f>SUMIF('NDN TB'!$R:$R,'NDN P&amp;L'!$A68,'NDN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572.0300000000001</v>
      </c>
      <c r="C69" s="42" t="n">
        <v>271.49</v>
      </c>
      <c r="D69" s="42" t="n">
        <v>502.96</v>
      </c>
      <c r="E69" s="42" t="n">
        <v>204.98</v>
      </c>
      <c r="F69" s="42" t="n">
        <v>312.77</v>
      </c>
      <c r="G69" s="42" t="n">
        <v>363.86</v>
      </c>
      <c r="H69" s="42" t="n">
        <v>204.38</v>
      </c>
      <c r="I69" s="42" t="n">
        <v>204.38</v>
      </c>
      <c r="J69" s="42" t="n">
        <v>204.37</v>
      </c>
      <c r="K69" s="42" t="n">
        <v>407.68</v>
      </c>
      <c r="L69" s="42" t="n">
        <v>594.5700000000001</v>
      </c>
      <c r="M69" s="42" t="n">
        <v>557.22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-6239.660000000004</v>
      </c>
      <c r="C70" s="55" t="n">
        <v>1354.119999999997</v>
      </c>
      <c r="D70" s="55" t="n">
        <v>7263.790000000007</v>
      </c>
      <c r="E70" s="55" t="n">
        <v>-162.9700000000016</v>
      </c>
      <c r="F70" s="55" t="n">
        <v>-5365.91</v>
      </c>
      <c r="G70" s="55" t="n">
        <v>5298.070000000001</v>
      </c>
      <c r="H70" s="55" t="n">
        <v>13277.88000000001</v>
      </c>
      <c r="I70" s="55" t="n">
        <v>1871.370000000004</v>
      </c>
      <c r="J70" s="55" t="n">
        <v>5240.259999999997</v>
      </c>
      <c r="K70" s="55" t="n">
        <v>1153.089999999997</v>
      </c>
      <c r="L70" s="55" t="n">
        <v>2170.480000000003</v>
      </c>
      <c r="M70" s="55" t="n">
        <v>5416.609999999998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6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40" t="n"/>
      <c r="AK72" s="40" t="n"/>
      <c r="AL72" s="40" t="n"/>
      <c r="AM72" s="40" t="n"/>
      <c r="AN72" s="40" t="n"/>
      <c r="AO72" s="40" t="n"/>
      <c r="AP72" s="40" t="n"/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8" t="n"/>
      <c r="AJ73" s="59" t="inlineStr">
        <is>
          <t>Model assumptions 2027:</t>
        </is>
      </c>
      <c r="AK73" s="8" t="n"/>
      <c r="AL73" s="8" t="n"/>
      <c r="AM73" s="8" t="n"/>
      <c r="AN73" s="40" t="n"/>
      <c r="AO73" s="40" t="n"/>
      <c r="AP73" s="40" t="n"/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40" t="n"/>
      <c r="AO74" s="40" t="n"/>
      <c r="AP74" s="40" t="n"/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40" t="n"/>
      <c r="AO75" s="40" t="n"/>
      <c r="AP75" s="40" t="n"/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40" t="n"/>
      <c r="AO76" s="40" t="n"/>
      <c r="AP76" s="40" t="n"/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40" t="n"/>
      <c r="AO77" s="40" t="n"/>
      <c r="AP77" s="40" t="n"/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-6239.660000000004</v>
      </c>
      <c r="C79" s="57" t="n">
        <v>1354.119999999997</v>
      </c>
      <c r="D79" s="57" t="n">
        <v>7263.790000000007</v>
      </c>
      <c r="E79" s="57" t="n">
        <v>-162.9700000000016</v>
      </c>
      <c r="F79" s="57" t="n">
        <v>-5365.91</v>
      </c>
      <c r="G79" s="57" t="n">
        <v>5298.070000000001</v>
      </c>
      <c r="H79" s="57" t="n">
        <v>13277.88000000001</v>
      </c>
      <c r="I79" s="57" t="n">
        <v>1871.370000000004</v>
      </c>
      <c r="J79" s="57" t="n">
        <v>5240.259999999997</v>
      </c>
      <c r="K79" s="57" t="n">
        <v>1153.089999999997</v>
      </c>
      <c r="L79" s="57" t="n">
        <v>2170.480000000003</v>
      </c>
      <c r="M79" s="57" t="n">
        <v>5416.609999999998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6" t="n"/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8" t="n"/>
      <c r="AJ79" s="56" t="n"/>
      <c r="AK79" s="56" t="n"/>
      <c r="AL79" s="56" t="n"/>
      <c r="AM79" s="56" t="n"/>
      <c r="AN79" s="56" t="n"/>
      <c r="AO79" s="56" t="n"/>
      <c r="AP79" s="56" t="n"/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17415.02</v>
      </c>
      <c r="C87" s="60" t="n">
        <v>23939.37</v>
      </c>
      <c r="D87" s="60" t="n">
        <v>36402.73</v>
      </c>
      <c r="E87" s="60" t="n">
        <v>29276.42</v>
      </c>
      <c r="F87" s="60" t="n">
        <v>24571.67</v>
      </c>
      <c r="G87" s="60" t="n">
        <v>31824.77</v>
      </c>
      <c r="H87" s="60" t="n">
        <v>39557.44</v>
      </c>
      <c r="I87" s="60" t="n">
        <v>23909.89</v>
      </c>
      <c r="J87" s="60" t="n">
        <v>23230.93</v>
      </c>
      <c r="K87" s="60" t="n">
        <v>22803.53</v>
      </c>
      <c r="L87" s="60" t="n">
        <v>22888.96</v>
      </c>
      <c r="M87" s="8" t="n"/>
      <c r="N87" s="8" t="n"/>
      <c r="O87" s="60">
        <f>-SUMIF('XNDN TB'!$T:$T,'NDN P&amp;L'!$A87,'XNDN TB'!C:C)</f>
        <v/>
      </c>
      <c r="P87" s="60">
        <f>-SUMIF('XNDN TB'!$T:$T,'NDN P&amp;L'!$A87,'XNDN TB'!D:D)</f>
        <v/>
      </c>
      <c r="Q87" s="60">
        <f>-SUMIF('XNDN TB'!$T:$T,'NDN P&amp;L'!$A87,'XNDN TB'!E:E)</f>
        <v/>
      </c>
      <c r="R87" s="60">
        <f>-SUMIF('XNDN TB'!$T:$T,'NDN P&amp;L'!$A87,'XNDN TB'!F:F)</f>
        <v/>
      </c>
      <c r="S87" s="60">
        <f>-SUMIF('XNDN TB'!$T:$T,'NDN P&amp;L'!$A87,'XNDN TB'!G:G)</f>
        <v/>
      </c>
      <c r="T87" s="60">
        <f>-SUMIF('XNDN TB'!$T:$T,'NDN P&amp;L'!$A87,'XNDN TB'!H:H)</f>
        <v/>
      </c>
      <c r="U87" s="60">
        <f>-SUMIF('XNDN TB'!$T:$T,'NDN P&amp;L'!$A87,'XNDN TB'!I:I)</f>
        <v/>
      </c>
      <c r="V87" s="60">
        <f>-SUMIF('XNDN TB'!$T:$T,'NDN P&amp;L'!$A87,'XNDN TB'!J:J)</f>
        <v/>
      </c>
      <c r="W87" s="60">
        <f>-SUMIF('XNDN TB'!$T:$T,'NDN P&amp;L'!$A87,'XNDN TB'!K:K)</f>
        <v/>
      </c>
      <c r="X87" s="60">
        <f>-SUMIF('XNDN TB'!$T:$T,'NDN P&amp;L'!$A87,'XNDN TB'!L:L)</f>
        <v/>
      </c>
      <c r="Y87" s="60">
        <f>-SUMIF('XNDN TB'!$T:$T,'NDN P&amp;L'!$A87,'XNDN TB'!M:M)</f>
        <v/>
      </c>
      <c r="Z87" s="60">
        <f>-SUMIF('XNDN TB'!$T:$T,'NDN P&amp;L'!$A87,'XNDN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34" t="inlineStr">
        <is>
          <t>Direct - Staff Cost</t>
        </is>
      </c>
      <c r="B88" s="18" t="n">
        <v>-16806.38</v>
      </c>
      <c r="C88" s="18" t="n">
        <v>-19028.5</v>
      </c>
      <c r="D88" s="18" t="n">
        <v>-22455.43</v>
      </c>
      <c r="E88" s="18" t="n">
        <v>-22614.85</v>
      </c>
      <c r="F88" s="18" t="n">
        <v>-23269.11</v>
      </c>
      <c r="G88" s="18" t="n">
        <v>-21136.27</v>
      </c>
      <c r="H88" s="18" t="n">
        <v>-21568.2</v>
      </c>
      <c r="I88" s="18" t="n">
        <v>-17685.68</v>
      </c>
      <c r="J88" s="18" t="n">
        <v>-16284.58</v>
      </c>
      <c r="K88" s="18" t="n">
        <v>-15630.98</v>
      </c>
      <c r="L88" s="18" t="n">
        <v>-14340.8</v>
      </c>
      <c r="M88" s="18" t="n"/>
      <c r="N88" s="8" t="n"/>
      <c r="O88" s="60">
        <f>-SUMIF('XNDN TB'!$T:$T,'NDN P&amp;L'!$A88,'XNDN TB'!C:C)</f>
        <v/>
      </c>
      <c r="P88" s="60">
        <f>-SUMIF('XNDN TB'!$T:$T,'NDN P&amp;L'!$A88,'XNDN TB'!D:D)</f>
        <v/>
      </c>
      <c r="Q88" s="60">
        <f>-SUMIF('XNDN TB'!$T:$T,'NDN P&amp;L'!$A88,'XNDN TB'!E:E)</f>
        <v/>
      </c>
      <c r="R88" s="60">
        <f>-SUMIF('XNDN TB'!$T:$T,'NDN P&amp;L'!$A88,'XNDN TB'!F:F)</f>
        <v/>
      </c>
      <c r="S88" s="60">
        <f>-SUMIF('XNDN TB'!$T:$T,'NDN P&amp;L'!$A88,'XNDN TB'!G:G)</f>
        <v/>
      </c>
      <c r="T88" s="60">
        <f>-SUMIF('XNDN TB'!$T:$T,'NDN P&amp;L'!$A88,'XNDN TB'!H:H)</f>
        <v/>
      </c>
      <c r="U88" s="60">
        <f>-SUMIF('XNDN TB'!$T:$T,'NDN P&amp;L'!$A88,'XNDN TB'!I:I)</f>
        <v/>
      </c>
      <c r="V88" s="60">
        <f>-SUMIF('XNDN TB'!$T:$T,'NDN P&amp;L'!$A88,'XNDN TB'!J:J)</f>
        <v/>
      </c>
      <c r="W88" s="60">
        <f>-SUMIF('XNDN TB'!$T:$T,'NDN P&amp;L'!$A88,'XNDN TB'!K:K)</f>
        <v/>
      </c>
      <c r="X88" s="60">
        <f>-SUMIF('XNDN TB'!$T:$T,'NDN P&amp;L'!$A88,'XNDN TB'!L:L)</f>
        <v/>
      </c>
      <c r="Y88" s="60">
        <f>-SUMIF('XNDN TB'!$T:$T,'NDN P&amp;L'!$A88,'XNDN TB'!M:M)</f>
        <v/>
      </c>
      <c r="Z88" s="60">
        <f>-SUMIF('XNDN TB'!$T:$T,'NDN P&amp;L'!$A88,'XNDN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60" t="inlineStr">
        <is>
          <t>Direct - Childcare Cost</t>
        </is>
      </c>
      <c r="B89" s="18" t="n">
        <v>-1157.88</v>
      </c>
      <c r="C89" s="18" t="n">
        <v>-1705.44</v>
      </c>
      <c r="D89" s="18" t="n">
        <v>-1443.94</v>
      </c>
      <c r="E89" s="18" t="n">
        <v>-1602.7</v>
      </c>
      <c r="F89" s="18" t="n">
        <v>-2077.56</v>
      </c>
      <c r="G89" s="18" t="n">
        <v>-1389.78</v>
      </c>
      <c r="H89" s="18" t="n">
        <v>-1566.95</v>
      </c>
      <c r="I89" s="18" t="n">
        <v>-1999.11</v>
      </c>
      <c r="J89" s="18" t="n">
        <v>-1353.79</v>
      </c>
      <c r="K89" s="18" t="n">
        <v>-1183.88</v>
      </c>
      <c r="L89" s="18" t="n">
        <v>-1399.02</v>
      </c>
      <c r="M89" s="18" t="n">
        <v>-1291.81</v>
      </c>
      <c r="N89" s="8" t="n"/>
      <c r="O89" s="60">
        <f>-SUMIF('XNDN TB'!$T:$T,'NDN P&amp;L'!$A89,'XNDN TB'!C:C)</f>
        <v/>
      </c>
      <c r="P89" s="60">
        <f>-SUMIF('XNDN TB'!$T:$T,'NDN P&amp;L'!$A89,'XNDN TB'!D:D)</f>
        <v/>
      </c>
      <c r="Q89" s="60">
        <f>-SUMIF('XNDN TB'!$T:$T,'NDN P&amp;L'!$A89,'XNDN TB'!E:E)</f>
        <v/>
      </c>
      <c r="R89" s="60">
        <f>-SUMIF('XNDN TB'!$T:$T,'NDN P&amp;L'!$A89,'XNDN TB'!F:F)</f>
        <v/>
      </c>
      <c r="S89" s="60">
        <f>-SUMIF('XNDN TB'!$T:$T,'NDN P&amp;L'!$A89,'XNDN TB'!G:G)</f>
        <v/>
      </c>
      <c r="T89" s="60">
        <f>-SUMIF('XNDN TB'!$T:$T,'NDN P&amp;L'!$A89,'XNDN TB'!H:H)</f>
        <v/>
      </c>
      <c r="U89" s="60">
        <f>-SUMIF('XNDN TB'!$T:$T,'NDN P&amp;L'!$A89,'XNDN TB'!I:I)</f>
        <v/>
      </c>
      <c r="V89" s="60">
        <f>-SUMIF('XNDN TB'!$T:$T,'NDN P&amp;L'!$A89,'XNDN TB'!J:J)</f>
        <v/>
      </c>
      <c r="W89" s="60">
        <f>-SUMIF('XNDN TB'!$T:$T,'NDN P&amp;L'!$A89,'XNDN TB'!K:K)</f>
        <v/>
      </c>
      <c r="X89" s="60">
        <f>-SUMIF('XNDN TB'!$T:$T,'NDN P&amp;L'!$A89,'XNDN TB'!L:L)</f>
        <v/>
      </c>
      <c r="Y89" s="60">
        <f>-SUMIF('XNDN TB'!$T:$T,'NDN P&amp;L'!$A89,'XNDN TB'!M:M)</f>
        <v/>
      </c>
      <c r="Z89" s="60">
        <f>-SUMIF('XNDN TB'!$T:$T,'NDN P&amp;L'!$A89,'XNDN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60" t="inlineStr">
        <is>
          <t>Direct - Premises &amp; Admin</t>
        </is>
      </c>
      <c r="B90" s="18" t="n">
        <v>-5118.39</v>
      </c>
      <c r="C90" s="18" t="n">
        <v>-1579.820000000002</v>
      </c>
      <c r="D90" s="18" t="n">
        <v>-4736.610000000001</v>
      </c>
      <c r="E90" s="18" t="n">
        <v>-5016.860000000001</v>
      </c>
      <c r="F90" s="18" t="n">
        <v>-4278.14</v>
      </c>
      <c r="G90" s="18" t="n">
        <v>-3636.79</v>
      </c>
      <c r="H90" s="18" t="n">
        <v>-2940.029999999999</v>
      </c>
      <c r="I90" s="18" t="n">
        <v>-2149.349999999999</v>
      </c>
      <c r="J90" s="18" t="n">
        <v>-147.9299999999999</v>
      </c>
      <c r="K90" s="18" t="n">
        <v>-4427.900000000001</v>
      </c>
      <c r="L90" s="18" t="n">
        <v>-4384.09</v>
      </c>
      <c r="M90" s="18" t="n">
        <v>-3489.5</v>
      </c>
      <c r="N90" s="8" t="n"/>
      <c r="O90" s="60">
        <f>-SUMIF('XNDN TB'!$T:$T,'NDN P&amp;L'!$A90,'XNDN TB'!C:C)</f>
        <v/>
      </c>
      <c r="P90" s="60">
        <f>-SUMIF('XNDN TB'!$T:$T,'NDN P&amp;L'!$A90,'XNDN TB'!D:D)</f>
        <v/>
      </c>
      <c r="Q90" s="60">
        <f>-SUMIF('XNDN TB'!$T:$T,'NDN P&amp;L'!$A90,'XNDN TB'!E:E)</f>
        <v/>
      </c>
      <c r="R90" s="60">
        <f>-SUMIF('XNDN TB'!$T:$T,'NDN P&amp;L'!$A90,'XNDN TB'!F:F)</f>
        <v/>
      </c>
      <c r="S90" s="60">
        <f>-SUMIF('XNDN TB'!$T:$T,'NDN P&amp;L'!$A90,'XNDN TB'!G:G)</f>
        <v/>
      </c>
      <c r="T90" s="60">
        <f>-SUMIF('XNDN TB'!$T:$T,'NDN P&amp;L'!$A90,'XNDN TB'!H:H)</f>
        <v/>
      </c>
      <c r="U90" s="60">
        <f>-SUMIF('XNDN TB'!$T:$T,'NDN P&amp;L'!$A90,'XNDN TB'!I:I)</f>
        <v/>
      </c>
      <c r="V90" s="60">
        <f>-SUMIF('XNDN TB'!$T:$T,'NDN P&amp;L'!$A90,'XNDN TB'!J:J)</f>
        <v/>
      </c>
      <c r="W90" s="60">
        <f>-SUMIF('XNDN TB'!$T:$T,'NDN P&amp;L'!$A90,'XNDN TB'!K:K)</f>
        <v/>
      </c>
      <c r="X90" s="60">
        <f>-SUMIF('XNDN TB'!$T:$T,'NDN P&amp;L'!$A90,'XNDN TB'!L:L)</f>
        <v/>
      </c>
      <c r="Y90" s="60">
        <f>-SUMIF('XNDN TB'!$T:$T,'NDN P&amp;L'!$A90,'XNDN TB'!M:M)</f>
        <v/>
      </c>
      <c r="Z90" s="60">
        <f>-SUMIF('XNDN TB'!$T:$T,'NDN P&amp;L'!$A90,'XNDN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-SUMIF('XNDN TB'!$T:$T,'NDN P&amp;L'!$A91,'XNDN TB'!C:C)</f>
        <v/>
      </c>
      <c r="P91" s="60">
        <f>-SUMIF('XNDN TB'!$T:$T,'NDN P&amp;L'!$A91,'XNDN TB'!D:D)</f>
        <v/>
      </c>
      <c r="Q91" s="60">
        <f>-SUMIF('XNDN TB'!$T:$T,'NDN P&amp;L'!$A91,'XNDN TB'!E:E)</f>
        <v/>
      </c>
      <c r="R91" s="60">
        <f>-SUMIF('XNDN TB'!$T:$T,'NDN P&amp;L'!$A91,'XNDN TB'!F:F)</f>
        <v/>
      </c>
      <c r="S91" s="60">
        <f>-SUMIF('XNDN TB'!$T:$T,'NDN P&amp;L'!$A91,'XNDN TB'!G:G)</f>
        <v/>
      </c>
      <c r="T91" s="60">
        <f>-SUMIF('XNDN TB'!$T:$T,'NDN P&amp;L'!$A91,'XNDN TB'!H:H)</f>
        <v/>
      </c>
      <c r="U91" s="60">
        <f>-SUMIF('XNDN TB'!$T:$T,'NDN P&amp;L'!$A91,'XNDN TB'!I:I)</f>
        <v/>
      </c>
      <c r="V91" s="60">
        <f>-SUMIF('XNDN TB'!$T:$T,'NDN P&amp;L'!$A91,'XNDN TB'!J:J)</f>
        <v/>
      </c>
      <c r="W91" s="60">
        <f>-SUMIF('XNDN TB'!$T:$T,'NDN P&amp;L'!$A91,'XNDN TB'!K:K)</f>
        <v/>
      </c>
      <c r="X91" s="60">
        <f>-SUMIF('XNDN TB'!$T:$T,'NDN P&amp;L'!$A91,'XNDN TB'!L:L)</f>
        <v/>
      </c>
      <c r="Y91" s="60">
        <f>-SUMIF('XNDN TB'!$T:$T,'NDN P&amp;L'!$A91,'XNDN TB'!M:M)</f>
        <v/>
      </c>
      <c r="Z91" s="60">
        <f>-SUMIF('XNDN TB'!$T:$T,'NDN P&amp;L'!$A91,'XNDN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60" t="inlineStr">
        <is>
          <t>In-Direct - Overheads</t>
        </is>
      </c>
      <c r="B92" s="18" t="n">
        <v>-572.0300000000001</v>
      </c>
      <c r="C92" s="18" t="n">
        <v>-271.49</v>
      </c>
      <c r="D92" s="18" t="n">
        <v>-502.96</v>
      </c>
      <c r="E92" s="18" t="n">
        <v>-204.98</v>
      </c>
      <c r="F92" s="18" t="n">
        <v>-312.77</v>
      </c>
      <c r="G92" s="18" t="n">
        <v>-363.86</v>
      </c>
      <c r="H92" s="18" t="n">
        <v>-204.38</v>
      </c>
      <c r="I92" s="18" t="n">
        <v>-204.38</v>
      </c>
      <c r="J92" s="18" t="n">
        <v>-204.37</v>
      </c>
      <c r="K92" s="18" t="n">
        <v>-407.68</v>
      </c>
      <c r="L92" s="18" t="n">
        <v>-594.5700000000001</v>
      </c>
      <c r="M92" s="18" t="n">
        <v>-557.22</v>
      </c>
      <c r="N92" s="8" t="n"/>
      <c r="O92" s="60">
        <f>-SUMIF('XNDN TB'!$T:$T,'NDN P&amp;L'!$A92,'XNDN TB'!C:C)</f>
        <v/>
      </c>
      <c r="P92" s="60">
        <f>-SUMIF('XNDN TB'!$T:$T,'NDN P&amp;L'!$A92,'XNDN TB'!D:D)</f>
        <v/>
      </c>
      <c r="Q92" s="60">
        <f>-SUMIF('XNDN TB'!$T:$T,'NDN P&amp;L'!$A92,'XNDN TB'!E:E)</f>
        <v/>
      </c>
      <c r="R92" s="60">
        <f>-SUMIF('XNDN TB'!$T:$T,'NDN P&amp;L'!$A92,'XNDN TB'!F:F)</f>
        <v/>
      </c>
      <c r="S92" s="60">
        <f>-SUMIF('XNDN TB'!$T:$T,'NDN P&amp;L'!$A92,'XNDN TB'!G:G)</f>
        <v/>
      </c>
      <c r="T92" s="60">
        <f>-SUMIF('XNDN TB'!$T:$T,'NDN P&amp;L'!$A92,'XNDN TB'!H:H)</f>
        <v/>
      </c>
      <c r="U92" s="60">
        <f>-SUMIF('XNDN TB'!$T:$T,'NDN P&amp;L'!$A92,'XNDN TB'!I:I)</f>
        <v/>
      </c>
      <c r="V92" s="60">
        <f>-SUMIF('XNDN TB'!$T:$T,'NDN P&amp;L'!$A92,'XNDN TB'!J:J)</f>
        <v/>
      </c>
      <c r="W92" s="60">
        <f>-SUMIF('XNDN TB'!$T:$T,'NDN P&amp;L'!$A92,'XNDN TB'!K:K)</f>
        <v/>
      </c>
      <c r="X92" s="60">
        <f>-SUMIF('XNDN TB'!$T:$T,'NDN P&amp;L'!$A92,'XNDN TB'!L:L)</f>
        <v/>
      </c>
      <c r="Y92" s="60">
        <f>-SUMIF('XNDN TB'!$T:$T,'NDN P&amp;L'!$A92,'XNDN TB'!M:M)</f>
        <v/>
      </c>
      <c r="Z92" s="60">
        <f>-SUMIF('XNDN TB'!$T:$T,'NDN P&amp;L'!$A92,'XNDN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 ht="15.75" customHeight="1">
      <c r="A93" s="8" t="n"/>
      <c r="B93" s="67" t="n">
        <v>-6239.660000000004</v>
      </c>
      <c r="C93" s="67" t="n">
        <v>1354.119999999997</v>
      </c>
      <c r="D93" s="67" t="n">
        <v>7263.790000000005</v>
      </c>
      <c r="E93" s="67" t="n">
        <v>-162.9700000000007</v>
      </c>
      <c r="F93" s="67" t="n">
        <v>-5365.91</v>
      </c>
      <c r="G93" s="67" t="n">
        <v>5298.07</v>
      </c>
      <c r="H93" s="67" t="n">
        <v>13277.88000000001</v>
      </c>
      <c r="I93" s="67" t="n">
        <v>1871.370000000003</v>
      </c>
      <c r="J93" s="67" t="n">
        <v>5240.259999999998</v>
      </c>
      <c r="K93" s="67" t="n">
        <v>1153.089999999997</v>
      </c>
      <c r="L93" s="67" t="n">
        <v>2170.480000000001</v>
      </c>
      <c r="M93" s="67" t="n">
        <v>-5338.53</v>
      </c>
      <c r="N93" s="64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64" t="n"/>
      <c r="AB93" s="8" t="n"/>
      <c r="AC93" s="64" t="n"/>
      <c r="AD93" s="64" t="n"/>
      <c r="AE93" s="64" t="n"/>
      <c r="AF93" s="64" t="n"/>
      <c r="AG93" s="64" t="n"/>
      <c r="AH93" s="64" t="n"/>
      <c r="AI93" s="8" t="n"/>
      <c r="AJ93" s="64" t="n"/>
      <c r="AK93" s="64" t="n"/>
      <c r="AL93" s="64" t="n"/>
      <c r="AM93" s="64" t="n"/>
      <c r="AN93" s="64" t="n"/>
      <c r="AO93" s="64" t="n"/>
      <c r="AP93" s="64" t="n"/>
    </row>
    <row r="94" ht="15.75" customHeight="1">
      <c r="A94" s="8" t="n"/>
      <c r="B94" s="18" t="n">
        <v>0</v>
      </c>
      <c r="C94" s="18" t="n">
        <v>0</v>
      </c>
      <c r="D94" s="18" t="n">
        <v>0</v>
      </c>
      <c r="E94" s="18" t="n">
        <v>-9.094947017729282e-13</v>
      </c>
      <c r="F94" s="18" t="n">
        <v>0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0</v>
      </c>
      <c r="L94" s="18" t="n">
        <v>0</v>
      </c>
      <c r="M94" s="18" t="n">
        <v>10755.14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0</v>
      </c>
      <c r="C96" s="18" t="n">
        <v>0</v>
      </c>
      <c r="D96" s="18" t="n">
        <v>0</v>
      </c>
      <c r="E96" s="18" t="n">
        <v>2.131628207280301e-12</v>
      </c>
      <c r="F96" s="18" t="n">
        <v>0</v>
      </c>
      <c r="G96" s="18" t="n">
        <v>0</v>
      </c>
      <c r="H96" s="18" t="n">
        <v>0</v>
      </c>
      <c r="I96" s="18" t="n">
        <v>3.183231456205249e-12</v>
      </c>
      <c r="J96" s="18" t="n">
        <v>0</v>
      </c>
      <c r="K96" s="18" t="n">
        <v>0</v>
      </c>
      <c r="L96" s="18" t="n">
        <v>0</v>
      </c>
      <c r="M96" s="18" t="n">
        <v>-10755.14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>
        <v>6239.660000000004</v>
      </c>
      <c r="C97" s="18" t="n">
        <v>-1354.119999999996</v>
      </c>
      <c r="D97" s="18" t="n">
        <v>-7263.790000000001</v>
      </c>
      <c r="E97" s="18" t="n">
        <v>162.9700000000028</v>
      </c>
      <c r="F97" s="18" t="n">
        <v>5365.910000000003</v>
      </c>
      <c r="G97" s="18" t="n">
        <v>-5298.069999999999</v>
      </c>
      <c r="H97" s="18" t="n">
        <v>-13277.88</v>
      </c>
      <c r="I97" s="18" t="n">
        <v>-1871.369999999999</v>
      </c>
      <c r="J97" s="18" t="n">
        <v>-5240.260000000001</v>
      </c>
      <c r="K97" s="18" t="n">
        <v>-1153.089999999998</v>
      </c>
      <c r="L97" s="18" t="n">
        <v>-2170.480000000001</v>
      </c>
      <c r="M97" s="18" t="n">
        <v>-5416.610000000001</v>
      </c>
      <c r="N97" s="8" t="n"/>
      <c r="O97" s="60">
        <f>SUM('XNDN TB'!C2:C41)</f>
        <v/>
      </c>
      <c r="P97" s="60">
        <f>SUM('XNDN TB'!D2:D41)</f>
        <v/>
      </c>
      <c r="Q97" s="60">
        <f>SUM('XNDN TB'!E2:E41)</f>
        <v/>
      </c>
      <c r="R97" s="60">
        <f>SUM('XNDN TB'!F2:F41)</f>
        <v/>
      </c>
      <c r="S97" s="60">
        <f>SUM('XNDN TB'!G2:G41)</f>
        <v/>
      </c>
      <c r="T97" s="60">
        <f>SUM('XNDN TB'!H2:H41)</f>
        <v/>
      </c>
      <c r="U97" s="60">
        <f>SUM('XNDN TB'!I2:I41)</f>
        <v/>
      </c>
      <c r="V97" s="60">
        <f>SUM('XNDN TB'!J2:J41)</f>
        <v/>
      </c>
      <c r="W97" s="60">
        <f>SUM('XNDN TB'!K2:K41)</f>
        <v/>
      </c>
      <c r="X97" s="60">
        <f>SUM('XNDN TB'!L2:L41)</f>
        <v/>
      </c>
      <c r="Y97" s="60">
        <f>SUM('XNDN TB'!M2:M41)</f>
        <v/>
      </c>
      <c r="Z97" s="60">
        <f>SUM('XNDN TB'!N2:N41)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P94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9.28515625" customWidth="1" min="27" max="27"/>
    <col width="10.85546875" customWidth="1" min="28" max="28"/>
    <col width="13.28515625" customWidth="1" min="29" max="29"/>
    <col width="7.28515625" customWidth="1" min="35" max="35"/>
    <col width="9.42578125" customWidth="1" min="36" max="36"/>
    <col width="10.85546875" customWidth="1" min="38" max="38"/>
    <col width="5.7109375" customWidth="1" min="40" max="40"/>
    <col width="9.42578125" customWidth="1" min="41" max="41"/>
    <col width="9.85546875" customWidth="1" min="42" max="42"/>
    <col width="9.140625" customWidth="1" min="43" max="43"/>
    <col width="9.140625" customWidth="1" min="44" max="44"/>
  </cols>
  <sheetData>
    <row r="1" ht="18.75" customHeight="1">
      <c r="A1" s="1" t="inlineStr">
        <is>
          <t>Saltway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37257.07</v>
      </c>
      <c r="C8" s="35" t="n">
        <v>33298.19</v>
      </c>
      <c r="D8" s="35" t="n">
        <v>43477.73</v>
      </c>
      <c r="E8" s="35" t="n">
        <v>53897.15</v>
      </c>
      <c r="F8" s="35" t="n">
        <v>40493.17</v>
      </c>
      <c r="G8" s="35" t="n">
        <v>40450.55</v>
      </c>
      <c r="H8" s="35" t="n">
        <v>59564.03999999999</v>
      </c>
      <c r="I8" s="35" t="n">
        <v>50501.36</v>
      </c>
      <c r="J8" s="35" t="n">
        <v>44919.97</v>
      </c>
      <c r="K8" s="35" t="n">
        <v>44608.71</v>
      </c>
      <c r="L8" s="35" t="n">
        <v>39750.3</v>
      </c>
      <c r="M8" s="35" t="n">
        <v>59286.95</v>
      </c>
      <c r="N8" s="36">
        <f>SUM(B8:M8)</f>
        <v/>
      </c>
      <c r="O8" s="37">
        <f>-SUMIF('XSALT TB'!$R:$R,'SALT P&amp;L'!$A8,'XSALT TB'!C:C)</f>
        <v/>
      </c>
      <c r="P8" s="37">
        <f>-SUMIF('XSALT TB'!$R:$R,'SALT P&amp;L'!$A8,'XSALT TB'!D:D)</f>
        <v/>
      </c>
      <c r="Q8" s="37">
        <f>-SUMIF('XSALT TB'!$R:$R,'SALT P&amp;L'!$A8,'XSALT TB'!E:E)</f>
        <v/>
      </c>
      <c r="R8" s="37">
        <f>-SUMIF('XSALT TB'!$R:$R,'SALT P&amp;L'!$A8,'XSALT TB'!F:F)</f>
        <v/>
      </c>
      <c r="S8" s="37">
        <f>-SUMIF('XSALT TB'!$R:$R,'SALT P&amp;L'!$A8,'XSALT TB'!G:G)</f>
        <v/>
      </c>
      <c r="T8" s="37">
        <f>-SUMIF('XSALT TB'!$R:$R,'SALT P&amp;L'!$A8,'XSALT TB'!H:H)</f>
        <v/>
      </c>
      <c r="U8" s="37">
        <f>-SUMIF('SALT TB'!$R:$R,'SALT P&amp;L'!$A8,'SALT TB'!I:I)</f>
        <v/>
      </c>
      <c r="V8" s="38" t="n">
        <v>62099</v>
      </c>
      <c r="W8" s="38" t="n">
        <v>44227</v>
      </c>
      <c r="X8" s="38" t="n">
        <v>40783</v>
      </c>
      <c r="Y8" s="38" t="n">
        <v>44536</v>
      </c>
      <c r="Z8" s="38" t="n">
        <v>67750</v>
      </c>
      <c r="AA8" s="36">
        <f>SUM(O8:U8)</f>
        <v/>
      </c>
      <c r="AB8" s="36">
        <f>SUM(O8:Z8)</f>
        <v/>
      </c>
      <c r="AC8" s="38" t="n">
        <v>96606.42999999999</v>
      </c>
      <c r="AD8" s="38" t="n">
        <v>91623.52</v>
      </c>
      <c r="AE8" s="38" t="n">
        <v>110145.66</v>
      </c>
      <c r="AF8" s="38" t="n">
        <v>82870.42</v>
      </c>
      <c r="AG8" s="38" t="n">
        <v>74081.52</v>
      </c>
      <c r="AH8" s="38" t="n">
        <v>83711.62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15786.38</v>
      </c>
      <c r="C9" s="35" t="n">
        <v>31418.47</v>
      </c>
      <c r="D9" s="35" t="n">
        <v>31418.47</v>
      </c>
      <c r="E9" s="35" t="n">
        <v>11706.01</v>
      </c>
      <c r="F9" s="35" t="n">
        <v>11706.01</v>
      </c>
      <c r="G9" s="35" t="n">
        <v>25742.42</v>
      </c>
      <c r="H9" s="35" t="n">
        <v>26902.67</v>
      </c>
      <c r="I9" s="35" t="n">
        <v>0</v>
      </c>
      <c r="J9" s="35" t="n">
        <v>17420.26</v>
      </c>
      <c r="K9" s="35" t="n">
        <v>17420.26</v>
      </c>
      <c r="L9" s="35" t="n">
        <v>37807.82</v>
      </c>
      <c r="M9" s="35" t="n">
        <v>39399.03</v>
      </c>
      <c r="N9" s="36">
        <f>SUM(B9:M9)</f>
        <v/>
      </c>
      <c r="O9" s="37">
        <f>-SUMIF('XSALT TB'!$R:$R,'SALT P&amp;L'!$A9,'XSALT TB'!C:C)</f>
        <v/>
      </c>
      <c r="P9" s="37">
        <f>-SUMIF('XSALT TB'!$R:$R,'SALT P&amp;L'!$A9,'XSALT TB'!D:D)</f>
        <v/>
      </c>
      <c r="Q9" s="37">
        <f>-SUMIF('XSALT TB'!$R:$R,'SALT P&amp;L'!$A9,'XSALT TB'!E:E)</f>
        <v/>
      </c>
      <c r="R9" s="37">
        <f>-SUMIF('XSALT TB'!$R:$R,'SALT P&amp;L'!$A9,'XSALT TB'!F:F)</f>
        <v/>
      </c>
      <c r="S9" s="37">
        <f>-SUMIF('XSALT TB'!$R:$R,'SALT P&amp;L'!$A9,'XSALT TB'!G:G)</f>
        <v/>
      </c>
      <c r="T9" s="37">
        <f>-SUMIF('XSALT TB'!$R:$R,'SALT P&amp;L'!$A9,'XSALT TB'!H:H)</f>
        <v/>
      </c>
      <c r="U9" s="37">
        <f>-SUMIF('SALT TB'!$R:$R,'SALT P&amp;L'!$A9,'SALT TB'!I:I)</f>
        <v/>
      </c>
      <c r="V9" s="38" t="n">
        <v>0</v>
      </c>
      <c r="W9" s="38" t="n">
        <v>35410</v>
      </c>
      <c r="X9" s="38" t="n">
        <v>42553</v>
      </c>
      <c r="Y9" s="38" t="n">
        <v>42177</v>
      </c>
      <c r="Z9" s="38" t="n">
        <v>19507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63</v>
      </c>
      <c r="C10" s="35" t="n">
        <v>0</v>
      </c>
      <c r="D10" s="35" t="n">
        <v>45</v>
      </c>
      <c r="E10" s="35" t="n">
        <v>424.2</v>
      </c>
      <c r="F10" s="35" t="n">
        <v>0</v>
      </c>
      <c r="G10" s="35" t="n">
        <v>-334.2</v>
      </c>
      <c r="H10" s="35" t="n">
        <v>0</v>
      </c>
      <c r="I10" s="35" t="n">
        <v>3954.91</v>
      </c>
      <c r="J10" s="35" t="n">
        <v>0</v>
      </c>
      <c r="K10" s="35" t="n">
        <v>15</v>
      </c>
      <c r="L10" s="35" t="n">
        <v>0</v>
      </c>
      <c r="M10" s="35" t="n">
        <v>4184.13</v>
      </c>
      <c r="N10" s="36">
        <f>SUM(B10:M10)</f>
        <v/>
      </c>
      <c r="O10" s="37">
        <f>-SUMIF('XSALT TB'!$R:$R,'SALT P&amp;L'!$A10,'XSALT TB'!C:C)</f>
        <v/>
      </c>
      <c r="P10" s="37">
        <f>-SUMIF('XSALT TB'!$R:$R,'SALT P&amp;L'!$A10,'XSALT TB'!D:D)</f>
        <v/>
      </c>
      <c r="Q10" s="37">
        <f>-SUMIF('XSALT TB'!$R:$R,'SALT P&amp;L'!$A10,'XSALT TB'!E:E)</f>
        <v/>
      </c>
      <c r="R10" s="37">
        <f>-SUMIF('XSALT TB'!$R:$R,'SALT P&amp;L'!$A10,'XSALT TB'!F:F)</f>
        <v/>
      </c>
      <c r="S10" s="37">
        <f>-SUMIF('XSALT TB'!$R:$R,'SALT P&amp;L'!$A10,'XSALT TB'!G:G)</f>
        <v/>
      </c>
      <c r="T10" s="37">
        <f>-SUMIF('XSALT TB'!$R:$R,'SALT P&amp;L'!$A10,'XSALT TB'!H:H)</f>
        <v/>
      </c>
      <c r="U10" s="37">
        <f>-SUMIF('SALT TB'!$R:$R,'SALT P&amp;L'!$A10,'SALT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53106.45</v>
      </c>
      <c r="C11" s="42" t="n">
        <v>64716.66</v>
      </c>
      <c r="D11" s="42" t="n">
        <v>74941.20000000001</v>
      </c>
      <c r="E11" s="42" t="n">
        <v>66027.36</v>
      </c>
      <c r="F11" s="42" t="n">
        <v>52199.18</v>
      </c>
      <c r="G11" s="42" t="n">
        <v>65858.77</v>
      </c>
      <c r="H11" s="42" t="n">
        <v>86466.70999999999</v>
      </c>
      <c r="I11" s="42" t="n">
        <v>54456.27</v>
      </c>
      <c r="J11" s="42" t="n">
        <v>62340.23</v>
      </c>
      <c r="K11" s="42" t="n">
        <v>62043.97</v>
      </c>
      <c r="L11" s="42" t="n">
        <v>77558.12</v>
      </c>
      <c r="M11" s="42" t="n">
        <v>102870.11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SUM(O11:U11)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SUM(O12:U12)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79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SUM(O13:U13)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>
        <f>SUM(O14:U14)</f>
        <v/>
      </c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SUM(O15:U15)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30393.27</v>
      </c>
      <c r="C16" s="35" t="n">
        <v>35155.93</v>
      </c>
      <c r="D16" s="35" t="n">
        <v>30489.76</v>
      </c>
      <c r="E16" s="35" t="n">
        <v>31240.36</v>
      </c>
      <c r="F16" s="35" t="n">
        <v>32288.24</v>
      </c>
      <c r="G16" s="35" t="n">
        <v>31815.08</v>
      </c>
      <c r="H16" s="35" t="n">
        <v>35596.24</v>
      </c>
      <c r="I16" s="35" t="n">
        <v>35686.29</v>
      </c>
      <c r="J16" s="35" t="n">
        <v>38903.68</v>
      </c>
      <c r="K16" s="35" t="n">
        <v>41384.71</v>
      </c>
      <c r="L16" s="35" t="n">
        <v>36944.71</v>
      </c>
      <c r="M16" s="35" t="n">
        <v>35884.94</v>
      </c>
      <c r="N16" s="36">
        <f>SUM(B16:M16)</f>
        <v/>
      </c>
      <c r="O16" s="37">
        <f>SUMIF('XSALT TB'!$R:$R,'SALT P&amp;L'!$A16,'XSALT TB'!C:C)</f>
        <v/>
      </c>
      <c r="P16" s="37">
        <f>SUMIF('XSALT TB'!$R:$R,'SALT P&amp;L'!$A16,'XSALT TB'!D:D)</f>
        <v/>
      </c>
      <c r="Q16" s="37">
        <f>SUMIF('XSALT TB'!$R:$R,'SALT P&amp;L'!$A16,'XSALT TB'!E:E)</f>
        <v/>
      </c>
      <c r="R16" s="37">
        <f>SUMIF('XSALT TB'!$R:$R,'SALT P&amp;L'!$A16,'XSALT TB'!F:F)</f>
        <v/>
      </c>
      <c r="S16" s="37">
        <f>SUMIF('XSALT TB'!$R:$R,'SALT P&amp;L'!$A16,'XSALT TB'!G:G)</f>
        <v/>
      </c>
      <c r="T16" s="37">
        <f>SUMIF('XSALT TB'!$R:$R,'SALT P&amp;L'!$A16,'XSALT TB'!H:H)</f>
        <v/>
      </c>
      <c r="U16" s="37">
        <f>SUMIF('SALT TB'!$R:$R,'SALT P&amp;L'!$A16,'SALT TB'!I:I)</f>
        <v/>
      </c>
      <c r="V16" s="38" t="n">
        <v>47153.07</v>
      </c>
      <c r="W16" s="38" t="n">
        <v>47153.07</v>
      </c>
      <c r="X16" s="38" t="n">
        <v>47153.07</v>
      </c>
      <c r="Y16" s="38" t="n">
        <v>47153.07</v>
      </c>
      <c r="Z16" s="38" t="n">
        <v>47153.07</v>
      </c>
      <c r="AA16" s="36">
        <f>SUM(O16:U16)</f>
        <v/>
      </c>
      <c r="AB16" s="36">
        <f>SUM(O16:Z16)</f>
        <v/>
      </c>
      <c r="AC16" s="38" t="n">
        <v>47153.07</v>
      </c>
      <c r="AD16" s="38" t="n">
        <v>47153.07</v>
      </c>
      <c r="AE16" s="38" t="n">
        <v>47153.07</v>
      </c>
      <c r="AF16" s="38" t="n">
        <v>47153.07</v>
      </c>
      <c r="AG16" s="38" t="n">
        <v>47153.07</v>
      </c>
      <c r="AH16" s="38" t="n">
        <v>47153.07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2487.86</v>
      </c>
      <c r="C17" s="35" t="n">
        <v>2930.63</v>
      </c>
      <c r="D17" s="35" t="n">
        <v>2468.52</v>
      </c>
      <c r="E17" s="35" t="n">
        <v>3548.23</v>
      </c>
      <c r="F17" s="35" t="n">
        <v>3707.05</v>
      </c>
      <c r="G17" s="35" t="n">
        <v>3481.19</v>
      </c>
      <c r="H17" s="35" t="n">
        <v>3778.98</v>
      </c>
      <c r="I17" s="35" t="n">
        <v>3691.12</v>
      </c>
      <c r="J17" s="35" t="n">
        <v>4117.66</v>
      </c>
      <c r="K17" s="35" t="n">
        <v>4459.07</v>
      </c>
      <c r="L17" s="35" t="n">
        <v>3885.32</v>
      </c>
      <c r="M17" s="35" t="n">
        <v>3732.95</v>
      </c>
      <c r="N17" s="36">
        <f>SUM(B17:M17)</f>
        <v/>
      </c>
      <c r="O17" s="37">
        <f>SUMIF('XSALT TB'!$R:$R,'SALT P&amp;L'!$A17,'XSALT TB'!C:C)</f>
        <v/>
      </c>
      <c r="P17" s="37">
        <f>SUMIF('XSALT TB'!$R:$R,'SALT P&amp;L'!$A17,'XSALT TB'!D:D)</f>
        <v/>
      </c>
      <c r="Q17" s="37">
        <f>SUMIF('XSALT TB'!$R:$R,'SALT P&amp;L'!$A17,'XSALT TB'!E:E)</f>
        <v/>
      </c>
      <c r="R17" s="37">
        <f>SUMIF('XSALT TB'!$R:$R,'SALT P&amp;L'!$A17,'XSALT TB'!F:F)</f>
        <v/>
      </c>
      <c r="S17" s="37">
        <f>SUMIF('XSALT TB'!$R:$R,'SALT P&amp;L'!$A17,'XSALT TB'!G:G)</f>
        <v/>
      </c>
      <c r="T17" s="37">
        <f>SUMIF('XSALT TB'!$R:$R,'SALT P&amp;L'!$A17,'XSALT TB'!H:H)</f>
        <v/>
      </c>
      <c r="U17" s="37">
        <f>SUMIF('SALT TB'!$R:$R,'SALT P&amp;L'!$A17,'SALT TB'!I:I)</f>
        <v/>
      </c>
      <c r="V17" s="38" t="n">
        <v>4813.83</v>
      </c>
      <c r="W17" s="38" t="n">
        <v>4813.83</v>
      </c>
      <c r="X17" s="38" t="n">
        <v>4813.83</v>
      </c>
      <c r="Y17" s="38" t="n">
        <v>4813.83</v>
      </c>
      <c r="Z17" s="38" t="n">
        <v>4813.83</v>
      </c>
      <c r="AA17" s="36">
        <f>SUM(O17:U17)</f>
        <v/>
      </c>
      <c r="AB17" s="36">
        <f>SUM(O17:Z17)</f>
        <v/>
      </c>
      <c r="AC17" s="38" t="n">
        <v>4813.83</v>
      </c>
      <c r="AD17" s="38" t="n">
        <v>4813.83</v>
      </c>
      <c r="AE17" s="38" t="n">
        <v>4813.83</v>
      </c>
      <c r="AF17" s="38" t="n">
        <v>4813.83</v>
      </c>
      <c r="AG17" s="38" t="n">
        <v>4813.83</v>
      </c>
      <c r="AH17" s="38" t="n">
        <v>4813.83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640.72</v>
      </c>
      <c r="C18" s="35" t="n">
        <v>686.54</v>
      </c>
      <c r="D18" s="35" t="n">
        <v>573.96</v>
      </c>
      <c r="E18" s="35" t="n">
        <v>601.96</v>
      </c>
      <c r="F18" s="35" t="n">
        <v>635.53</v>
      </c>
      <c r="G18" s="35" t="n">
        <v>557.1799999999999</v>
      </c>
      <c r="H18" s="35" t="n">
        <v>710.87</v>
      </c>
      <c r="I18" s="35" t="n">
        <v>676.8</v>
      </c>
      <c r="J18" s="35" t="n">
        <v>643.28</v>
      </c>
      <c r="K18" s="35" t="n">
        <v>675.99</v>
      </c>
      <c r="L18" s="35" t="n">
        <v>679.1799999999999</v>
      </c>
      <c r="M18" s="35" t="n">
        <v>701.47</v>
      </c>
      <c r="N18" s="36">
        <f>SUM(B18:M18)</f>
        <v/>
      </c>
      <c r="O18" s="37">
        <f>SUMIF('XSALT TB'!$R:$R,'SALT P&amp;L'!$A18,'XSALT TB'!C:C)</f>
        <v/>
      </c>
      <c r="P18" s="37">
        <f>SUMIF('XSALT TB'!$R:$R,'SALT P&amp;L'!$A18,'XSALT TB'!D:D)</f>
        <v/>
      </c>
      <c r="Q18" s="37">
        <f>SUMIF('XSALT TB'!$R:$R,'SALT P&amp;L'!$A18,'XSALT TB'!E:E)</f>
        <v/>
      </c>
      <c r="R18" s="37">
        <f>SUMIF('XSALT TB'!$R:$R,'SALT P&amp;L'!$A18,'XSALT TB'!F:F)</f>
        <v/>
      </c>
      <c r="S18" s="37">
        <f>SUMIF('XSALT TB'!$R:$R,'SALT P&amp;L'!$A18,'XSALT TB'!G:G)</f>
        <v/>
      </c>
      <c r="T18" s="37">
        <f>SUMIF('XSALT TB'!$R:$R,'SALT P&amp;L'!$A18,'XSALT TB'!H:H)</f>
        <v/>
      </c>
      <c r="U18" s="37">
        <f>SUMIF('SALT TB'!$R:$R,'SALT P&amp;L'!$A18,'SALT TB'!I:I)</f>
        <v/>
      </c>
      <c r="V18" s="38" t="n">
        <v>843.4</v>
      </c>
      <c r="W18" s="38" t="n">
        <v>843.4</v>
      </c>
      <c r="X18" s="38" t="n">
        <v>843.4</v>
      </c>
      <c r="Y18" s="38" t="n">
        <v>843.4</v>
      </c>
      <c r="Z18" s="38" t="n">
        <v>843.4</v>
      </c>
      <c r="AA18" s="36">
        <f>SUM(O18:U18)</f>
        <v/>
      </c>
      <c r="AB18" s="36">
        <f>SUM(O18:Z18)</f>
        <v/>
      </c>
      <c r="AC18" s="38" t="n">
        <v>843.4</v>
      </c>
      <c r="AD18" s="38" t="n">
        <v>843.4</v>
      </c>
      <c r="AE18" s="38" t="n">
        <v>843.4</v>
      </c>
      <c r="AF18" s="38" t="n">
        <v>843.4</v>
      </c>
      <c r="AG18" s="38" t="n">
        <v>843.4</v>
      </c>
      <c r="AH18" s="38" t="n">
        <v>843.4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231.36</v>
      </c>
      <c r="C19" s="35" t="n">
        <v>161.76</v>
      </c>
      <c r="D19" s="35" t="n">
        <v>0</v>
      </c>
      <c r="E19" s="35" t="n">
        <v>0</v>
      </c>
      <c r="F19" s="35" t="n">
        <v>187.5</v>
      </c>
      <c r="G19" s="35" t="n">
        <v>0</v>
      </c>
      <c r="H19" s="35" t="n">
        <v>0</v>
      </c>
      <c r="I19" s="35" t="n">
        <v>0</v>
      </c>
      <c r="J19" s="35" t="n">
        <v>187.2</v>
      </c>
      <c r="K19" s="35" t="n">
        <v>276.84</v>
      </c>
      <c r="L19" s="35" t="n">
        <v>0</v>
      </c>
      <c r="M19" s="35" t="n">
        <v>0</v>
      </c>
      <c r="N19" s="36">
        <f>SUM(B19:M19)</f>
        <v/>
      </c>
      <c r="O19" s="37">
        <f>SUMIF('XSALT TB'!$R:$R,'SALT P&amp;L'!$A19,'XSALT TB'!C:C)</f>
        <v/>
      </c>
      <c r="P19" s="37">
        <f>SUMIF('XSALT TB'!$R:$R,'SALT P&amp;L'!$A19,'XSALT TB'!D:D)</f>
        <v/>
      </c>
      <c r="Q19" s="37">
        <f>SUMIF('XSALT TB'!$R:$R,'SALT P&amp;L'!$A19,'XSALT TB'!E:E)</f>
        <v/>
      </c>
      <c r="R19" s="37">
        <f>SUMIF('XSALT TB'!$R:$R,'SALT P&amp;L'!$A19,'XSALT TB'!F:F)</f>
        <v/>
      </c>
      <c r="S19" s="37">
        <f>SUMIF('XSALT TB'!$R:$R,'SALT P&amp;L'!$A19,'XSALT TB'!G:G)</f>
        <v/>
      </c>
      <c r="T19" s="37">
        <f>SUMIF('XSALT TB'!$R:$R,'SALT P&amp;L'!$A19,'XSALT TB'!H:H)</f>
        <v/>
      </c>
      <c r="U19" s="37">
        <f>SUMIF('SALT TB'!$R:$R,'SALT P&amp;L'!$A19,'SALT TB'!I:I)</f>
        <v/>
      </c>
      <c r="V19" s="38" t="n">
        <v>49</v>
      </c>
      <c r="W19" s="38" t="n">
        <v>49</v>
      </c>
      <c r="X19" s="38" t="n">
        <v>49</v>
      </c>
      <c r="Y19" s="38" t="n">
        <v>49</v>
      </c>
      <c r="Z19" s="38" t="n">
        <v>49</v>
      </c>
      <c r="AA19" s="36">
        <f>SUM(O19:U19)</f>
        <v/>
      </c>
      <c r="AB19" s="36">
        <f>SUM(O19:Z19)</f>
        <v/>
      </c>
      <c r="AC19" s="38" t="n">
        <v>49</v>
      </c>
      <c r="AD19" s="38" t="n">
        <v>49</v>
      </c>
      <c r="AE19" s="38" t="n">
        <v>49</v>
      </c>
      <c r="AF19" s="38" t="n">
        <v>49</v>
      </c>
      <c r="AG19" s="38" t="n">
        <v>49</v>
      </c>
      <c r="AH19" s="38" t="n">
        <v>49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0</v>
      </c>
      <c r="C20" s="35" t="n">
        <v>50</v>
      </c>
      <c r="D20" s="35" t="n">
        <v>50</v>
      </c>
      <c r="E20" s="35" t="n">
        <v>0</v>
      </c>
      <c r="F20" s="35" t="n">
        <v>50</v>
      </c>
      <c r="G20" s="35" t="n">
        <v>0</v>
      </c>
      <c r="H20" s="35" t="n">
        <v>37.2</v>
      </c>
      <c r="I20" s="35" t="n">
        <v>0</v>
      </c>
      <c r="J20" s="35" t="n">
        <v>175</v>
      </c>
      <c r="K20" s="35" t="n">
        <v>35</v>
      </c>
      <c r="L20" s="35" t="n">
        <v>0</v>
      </c>
      <c r="M20" s="35" t="n">
        <v>0</v>
      </c>
      <c r="N20" s="36">
        <f>SUM(B20:M20)</f>
        <v/>
      </c>
      <c r="O20" s="37">
        <f>SUMIF('XSALT TB'!$R:$R,'SALT P&amp;L'!$A20,'XSALT TB'!C:C)</f>
        <v/>
      </c>
      <c r="P20" s="37">
        <f>SUMIF('XSALT TB'!$R:$R,'SALT P&amp;L'!$A20,'XSALT TB'!D:D)</f>
        <v/>
      </c>
      <c r="Q20" s="37">
        <f>SUMIF('XSALT TB'!$R:$R,'SALT P&amp;L'!$A20,'XSALT TB'!E:E)</f>
        <v/>
      </c>
      <c r="R20" s="37">
        <f>SUMIF('XSALT TB'!$R:$R,'SALT P&amp;L'!$A20,'XSALT TB'!F:F)</f>
        <v/>
      </c>
      <c r="S20" s="37">
        <f>SUMIF('XSALT TB'!$R:$R,'SALT P&amp;L'!$A20,'XSALT TB'!G:G)</f>
        <v/>
      </c>
      <c r="T20" s="37">
        <f>SUMIF('XSALT TB'!$R:$R,'SALT P&amp;L'!$A20,'XSALT TB'!H:H)</f>
        <v/>
      </c>
      <c r="U20" s="37">
        <f>SUMIF('SALT TB'!$R:$R,'SALT P&amp;L'!$A20,'SALT TB'!I:I)</f>
        <v/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0</v>
      </c>
      <c r="C21" s="35" t="n">
        <v>97.42</v>
      </c>
      <c r="D21" s="35" t="n">
        <v>124.67</v>
      </c>
      <c r="E21" s="35" t="n">
        <v>125.05</v>
      </c>
      <c r="F21" s="35" t="n">
        <v>146.5</v>
      </c>
      <c r="G21" s="35" t="n">
        <v>256.75</v>
      </c>
      <c r="H21" s="35" t="n">
        <v>208.36</v>
      </c>
      <c r="I21" s="35" t="n">
        <v>258.4</v>
      </c>
      <c r="J21" s="35" t="n">
        <v>178.56</v>
      </c>
      <c r="K21" s="35" t="n">
        <v>385.43</v>
      </c>
      <c r="L21" s="35" t="n">
        <v>183.22</v>
      </c>
      <c r="M21" s="35" t="n">
        <v>207.28</v>
      </c>
      <c r="N21" s="36">
        <f>SUM(B21:M21)</f>
        <v/>
      </c>
      <c r="O21" s="37">
        <f>SUMIF('XSALT TB'!$R:$R,'SALT P&amp;L'!$A21,'XSALT TB'!C:C)</f>
        <v/>
      </c>
      <c r="P21" s="37">
        <f>SUMIF('XSALT TB'!$R:$R,'SALT P&amp;L'!$A21,'XSALT TB'!D:D)</f>
        <v/>
      </c>
      <c r="Q21" s="37">
        <f>SUMIF('XSALT TB'!$R:$R,'SALT P&amp;L'!$A21,'XSALT TB'!E:E)</f>
        <v/>
      </c>
      <c r="R21" s="37">
        <f>SUMIF('XSALT TB'!$R:$R,'SALT P&amp;L'!$A21,'XSALT TB'!F:F)</f>
        <v/>
      </c>
      <c r="S21" s="37">
        <f>SUMIF('XSALT TB'!$R:$R,'SALT P&amp;L'!$A21,'XSALT TB'!G:G)</f>
        <v/>
      </c>
      <c r="T21" s="37">
        <f>SUMIF('XSALT TB'!$R:$R,'SALT P&amp;L'!$A21,'XSALT TB'!H:H)</f>
        <v/>
      </c>
      <c r="U21" s="37">
        <f>SUMIF('SALT TB'!$R:$R,'SALT P&amp;L'!$A21,'SALT TB'!I:I)</f>
        <v/>
      </c>
      <c r="V21" s="38" t="n">
        <v>100</v>
      </c>
      <c r="W21" s="38" t="n">
        <v>100</v>
      </c>
      <c r="X21" s="38" t="n">
        <v>100</v>
      </c>
      <c r="Y21" s="38" t="n">
        <v>100</v>
      </c>
      <c r="Z21" s="38" t="n">
        <v>100</v>
      </c>
      <c r="AA21" s="36">
        <f>SUM(O21:U21)</f>
        <v/>
      </c>
      <c r="AB21" s="36">
        <f>SUM(O21:Z21)</f>
        <v/>
      </c>
      <c r="AC21" s="38" t="n">
        <v>100</v>
      </c>
      <c r="AD21" s="38" t="n">
        <v>100</v>
      </c>
      <c r="AE21" s="38" t="n">
        <v>100</v>
      </c>
      <c r="AF21" s="38" t="n">
        <v>100</v>
      </c>
      <c r="AG21" s="38" t="n">
        <v>100</v>
      </c>
      <c r="AH21" s="38" t="n">
        <v>100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SUMIF('XSALT TB'!$R:$R,'SALT P&amp;L'!$A22,'XSALT TB'!C:C)</f>
        <v/>
      </c>
      <c r="P22" s="37">
        <f>SUMIF('XSALT TB'!$R:$R,'SALT P&amp;L'!$A22,'XSALT TB'!D:D)</f>
        <v/>
      </c>
      <c r="Q22" s="37">
        <f>SUMIF('XSALT TB'!$R:$R,'SALT P&amp;L'!$A22,'XSALT TB'!E:E)</f>
        <v/>
      </c>
      <c r="R22" s="37">
        <f>SUMIF('XSALT TB'!$R:$R,'SALT P&amp;L'!$A22,'XSALT TB'!F:F)</f>
        <v/>
      </c>
      <c r="S22" s="37">
        <f>SUMIF('XSALT TB'!$R:$R,'SALT P&amp;L'!$A22,'XSALT TB'!G:G)</f>
        <v/>
      </c>
      <c r="T22" s="37">
        <f>SUMIF('XSALT TB'!$R:$R,'SALT P&amp;L'!$A22,'XSALT TB'!H:H)</f>
        <v/>
      </c>
      <c r="U22" s="37">
        <f>SUMIF('SALT TB'!$R:$R,'SALT P&amp;L'!$A22,'SALT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0</v>
      </c>
      <c r="M23" s="35" t="n">
        <v>81.26000000000001</v>
      </c>
      <c r="N23" s="36">
        <f>SUM(B23:M23)</f>
        <v/>
      </c>
      <c r="O23" s="37">
        <f>SUMIF('XSALT TB'!$R:$R,'SALT P&amp;L'!$A23,'XSALT TB'!C:C)</f>
        <v/>
      </c>
      <c r="P23" s="37">
        <f>SUMIF('XSALT TB'!$R:$R,'SALT P&amp;L'!$A23,'XSALT TB'!D:D)</f>
        <v/>
      </c>
      <c r="Q23" s="37">
        <f>SUMIF('XSALT TB'!$R:$R,'SALT P&amp;L'!$A23,'XSALT TB'!E:E)</f>
        <v/>
      </c>
      <c r="R23" s="37">
        <f>SUMIF('XSALT TB'!$R:$R,'SALT P&amp;L'!$A23,'XSALT TB'!F:F)</f>
        <v/>
      </c>
      <c r="S23" s="37">
        <f>SUMIF('XSALT TB'!$R:$R,'SALT P&amp;L'!$A23,'XSALT TB'!G:G)</f>
        <v/>
      </c>
      <c r="T23" s="37">
        <f>SUMIF('XSALT TB'!$R:$R,'SALT P&amp;L'!$A23,'XSALT TB'!H:H)</f>
        <v/>
      </c>
      <c r="U23" s="37">
        <f>SUMIF('SALT TB'!$R:$R,'SALT P&amp;L'!$A23,'SALT TB'!I:I)</f>
        <v/>
      </c>
      <c r="V23" s="38" t="n">
        <v>42</v>
      </c>
      <c r="W23" s="38" t="n">
        <v>42</v>
      </c>
      <c r="X23" s="38" t="n">
        <v>42</v>
      </c>
      <c r="Y23" s="38" t="n">
        <v>42</v>
      </c>
      <c r="Z23" s="38" t="n">
        <v>42</v>
      </c>
      <c r="AA23" s="36">
        <f>SUM(O23:U23)</f>
        <v/>
      </c>
      <c r="AB23" s="36">
        <f>SUM(O23:Z23)</f>
        <v/>
      </c>
      <c r="AC23" s="38" t="n">
        <v>42</v>
      </c>
      <c r="AD23" s="38" t="n">
        <v>42</v>
      </c>
      <c r="AE23" s="38" t="n">
        <v>42</v>
      </c>
      <c r="AF23" s="38" t="n">
        <v>42</v>
      </c>
      <c r="AG23" s="38" t="n">
        <v>42</v>
      </c>
      <c r="AH23" s="38" t="n">
        <v>42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SUMIF('XSALT TB'!$R:$R,'SALT P&amp;L'!$A24,'XSALT TB'!C:C)</f>
        <v/>
      </c>
      <c r="P24" s="37">
        <f>SUMIF('XSALT TB'!$R:$R,'SALT P&amp;L'!$A24,'XSALT TB'!D:D)</f>
        <v/>
      </c>
      <c r="Q24" s="37">
        <f>SUMIF('XSALT TB'!$R:$R,'SALT P&amp;L'!$A24,'XSALT TB'!E:E)</f>
        <v/>
      </c>
      <c r="R24" s="37">
        <f>SUMIF('XSALT TB'!$R:$R,'SALT P&amp;L'!$A24,'XSALT TB'!F:F)</f>
        <v/>
      </c>
      <c r="S24" s="37">
        <f>SUMIF('XSALT TB'!$R:$R,'SALT P&amp;L'!$A24,'XSALT TB'!G:G)</f>
        <v/>
      </c>
      <c r="T24" s="37">
        <f>SUMIF('XSALT TB'!$R:$R,'SALT P&amp;L'!$A24,'XSALT TB'!H:H)</f>
        <v/>
      </c>
      <c r="U24" s="37">
        <f>SUMIF('SALT TB'!$R:$R,'SALT P&amp;L'!$A24,'SALT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33753.21</v>
      </c>
      <c r="C25" s="42" t="n">
        <v>39082.28</v>
      </c>
      <c r="D25" s="42" t="n">
        <v>33706.91</v>
      </c>
      <c r="E25" s="42" t="n">
        <v>35515.60000000001</v>
      </c>
      <c r="F25" s="42" t="n">
        <v>37014.82</v>
      </c>
      <c r="G25" s="42" t="n">
        <v>36110.2</v>
      </c>
      <c r="H25" s="42" t="n">
        <v>40331.65</v>
      </c>
      <c r="I25" s="42" t="n">
        <v>40312.61000000001</v>
      </c>
      <c r="J25" s="42" t="n">
        <v>44205.37999999999</v>
      </c>
      <c r="K25" s="42" t="n">
        <v>47217.03999999999</v>
      </c>
      <c r="L25" s="42" t="n">
        <v>41692.43</v>
      </c>
      <c r="M25" s="42" t="n">
        <v>40607.9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SUM(O25:U25)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SUM(O26:U26)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1807.02</v>
      </c>
      <c r="C27" s="35" t="n">
        <v>2282.34</v>
      </c>
      <c r="D27" s="35" t="n">
        <v>1986.5</v>
      </c>
      <c r="E27" s="35" t="n">
        <v>1945.84</v>
      </c>
      <c r="F27" s="35" t="n">
        <v>2108.16</v>
      </c>
      <c r="G27" s="35" t="n">
        <v>2479.29</v>
      </c>
      <c r="H27" s="35" t="n">
        <v>2220.38</v>
      </c>
      <c r="I27" s="35" t="n">
        <v>1961.75</v>
      </c>
      <c r="J27" s="35" t="n">
        <v>2388.31</v>
      </c>
      <c r="K27" s="35" t="n">
        <v>2419.06</v>
      </c>
      <c r="L27" s="35" t="n">
        <v>2408.76</v>
      </c>
      <c r="M27" s="35" t="n">
        <v>1811.12</v>
      </c>
      <c r="N27" s="36">
        <f>SUM(B27:M27)</f>
        <v/>
      </c>
      <c r="O27" s="37">
        <f>SUMIF('XSALT TB'!$R:$R,'SALT P&amp;L'!$A27,'XSALT TB'!C:C)</f>
        <v/>
      </c>
      <c r="P27" s="37">
        <f>SUMIF('XSALT TB'!$R:$R,'SALT P&amp;L'!$A27,'XSALT TB'!D:D)</f>
        <v/>
      </c>
      <c r="Q27" s="37">
        <f>SUMIF('XSALT TB'!$R:$R,'SALT P&amp;L'!$A27,'XSALT TB'!E:E)</f>
        <v/>
      </c>
      <c r="R27" s="37">
        <f>SUMIF('XSALT TB'!$R:$R,'SALT P&amp;L'!$A27,'XSALT TB'!F:F)</f>
        <v/>
      </c>
      <c r="S27" s="37">
        <f>SUMIF('XSALT TB'!$R:$R,'SALT P&amp;L'!$A27,'XSALT TB'!G:G)</f>
        <v/>
      </c>
      <c r="T27" s="37">
        <f>SUMIF('XSALT TB'!$R:$R,'SALT P&amp;L'!$A27,'XSALT TB'!H:H)</f>
        <v/>
      </c>
      <c r="U27" s="37">
        <f>SUMIF('SALT TB'!$R:$R,'SALT P&amp;L'!$A27,'SALT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68.40000000000001</v>
      </c>
      <c r="C28" s="35" t="n">
        <v>128.78</v>
      </c>
      <c r="D28" s="35" t="n">
        <v>85.5</v>
      </c>
      <c r="E28" s="35" t="n">
        <v>83.75</v>
      </c>
      <c r="F28" s="35" t="n">
        <v>195.42</v>
      </c>
      <c r="G28" s="35" t="n">
        <v>104.04</v>
      </c>
      <c r="H28" s="35" t="n">
        <v>328.45</v>
      </c>
      <c r="I28" s="35" t="n">
        <v>78.45</v>
      </c>
      <c r="J28" s="35" t="n">
        <v>37.86</v>
      </c>
      <c r="K28" s="35" t="n">
        <v>97.79000000000001</v>
      </c>
      <c r="L28" s="35" t="n">
        <v>65.98999999999999</v>
      </c>
      <c r="M28" s="35" t="n">
        <v>18.31</v>
      </c>
      <c r="N28" s="36">
        <f>SUM(B28:M28)</f>
        <v/>
      </c>
      <c r="O28" s="37">
        <f>SUMIF('XSALT TB'!$R:$R,'SALT P&amp;L'!$A28,'XSALT TB'!C:C)</f>
        <v/>
      </c>
      <c r="P28" s="37">
        <f>SUMIF('XSALT TB'!$R:$R,'SALT P&amp;L'!$A28,'XSALT TB'!D:D)</f>
        <v/>
      </c>
      <c r="Q28" s="37">
        <f>SUMIF('XSALT TB'!$R:$R,'SALT P&amp;L'!$A28,'XSALT TB'!E:E)</f>
        <v/>
      </c>
      <c r="R28" s="37">
        <f>SUMIF('XSALT TB'!$R:$R,'SALT P&amp;L'!$A28,'XSALT TB'!F:F)</f>
        <v/>
      </c>
      <c r="S28" s="37">
        <f>SUMIF('XSALT TB'!$R:$R,'SALT P&amp;L'!$A28,'XSALT TB'!G:G)</f>
        <v/>
      </c>
      <c r="T28" s="37">
        <f>SUMIF('XSALT TB'!$R:$R,'SALT P&amp;L'!$A28,'XSALT TB'!H:H)</f>
        <v/>
      </c>
      <c r="U28" s="37">
        <f>SUMIF('SALT TB'!$R:$R,'SALT P&amp;L'!$A28,'SALT TB'!I:I)</f>
        <v/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0</v>
      </c>
      <c r="C29" s="35" t="n">
        <v>405.96</v>
      </c>
      <c r="D29" s="35" t="n">
        <v>364.93</v>
      </c>
      <c r="E29" s="35" t="n">
        <v>434.92</v>
      </c>
      <c r="F29" s="35" t="n">
        <v>10.06</v>
      </c>
      <c r="G29" s="35" t="n">
        <v>89.75</v>
      </c>
      <c r="H29" s="35" t="n">
        <v>0</v>
      </c>
      <c r="I29" s="35" t="n">
        <v>209.61</v>
      </c>
      <c r="J29" s="35" t="n">
        <v>372.71</v>
      </c>
      <c r="K29" s="35" t="n">
        <v>227.91</v>
      </c>
      <c r="L29" s="35" t="n">
        <v>156.16</v>
      </c>
      <c r="M29" s="35" t="n">
        <v>208.44</v>
      </c>
      <c r="N29" s="36">
        <f>SUM(B29:M29)</f>
        <v/>
      </c>
      <c r="O29" s="37">
        <f>SUMIF('XSALT TB'!$R:$R,'SALT P&amp;L'!$A29,'XSALT TB'!C:C)</f>
        <v/>
      </c>
      <c r="P29" s="37">
        <f>SUMIF('XSALT TB'!$R:$R,'SALT P&amp;L'!$A29,'XSALT TB'!D:D)</f>
        <v/>
      </c>
      <c r="Q29" s="37">
        <f>SUMIF('XSALT TB'!$R:$R,'SALT P&amp;L'!$A29,'XSALT TB'!E:E)</f>
        <v/>
      </c>
      <c r="R29" s="37">
        <f>SUMIF('XSALT TB'!$R:$R,'SALT P&amp;L'!$A29,'XSALT TB'!F:F)</f>
        <v/>
      </c>
      <c r="S29" s="37">
        <f>SUMIF('XSALT TB'!$R:$R,'SALT P&amp;L'!$A29,'XSALT TB'!G:G)</f>
        <v/>
      </c>
      <c r="T29" s="37">
        <f>SUMIF('XSALT TB'!$R:$R,'SALT P&amp;L'!$A29,'XSALT TB'!H:H)</f>
        <v/>
      </c>
      <c r="U29" s="37">
        <f>SUMIF('SALT TB'!$R:$R,'SALT P&amp;L'!$A29,'SALT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0.00312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223.47</v>
      </c>
      <c r="C30" s="35" t="n">
        <v>58.78</v>
      </c>
      <c r="D30" s="35" t="n">
        <v>28</v>
      </c>
      <c r="E30" s="35" t="n">
        <v>9.1</v>
      </c>
      <c r="F30" s="35" t="n">
        <v>63.78</v>
      </c>
      <c r="G30" s="35" t="n">
        <v>4.3</v>
      </c>
      <c r="H30" s="35" t="n">
        <v>23.48</v>
      </c>
      <c r="I30" s="35" t="n">
        <v>45.41</v>
      </c>
      <c r="J30" s="35" t="n">
        <v>108.62</v>
      </c>
      <c r="K30" s="35" t="n">
        <v>20.82</v>
      </c>
      <c r="L30" s="35" t="n">
        <v>27.74</v>
      </c>
      <c r="M30" s="35" t="n">
        <v>0</v>
      </c>
      <c r="N30" s="36">
        <f>SUM(B30:M30)</f>
        <v/>
      </c>
      <c r="O30" s="37">
        <f>SUMIF('XSALT TB'!$R:$R,'SALT P&amp;L'!$A30,'XSALT TB'!C:C)</f>
        <v/>
      </c>
      <c r="P30" s="37">
        <f>SUMIF('XSALT TB'!$R:$R,'SALT P&amp;L'!$A30,'XSALT TB'!D:D)</f>
        <v/>
      </c>
      <c r="Q30" s="37">
        <f>SUMIF('XSALT TB'!$R:$R,'SALT P&amp;L'!$A30,'XSALT TB'!E:E)</f>
        <v/>
      </c>
      <c r="R30" s="37">
        <f>SUMIF('XSALT TB'!$R:$R,'SALT P&amp;L'!$A30,'XSALT TB'!F:F)</f>
        <v/>
      </c>
      <c r="S30" s="37">
        <f>SUMIF('XSALT TB'!$R:$R,'SALT P&amp;L'!$A30,'XSALT TB'!G:G)</f>
        <v/>
      </c>
      <c r="T30" s="37">
        <f>SUMIF('XSALT TB'!$R:$R,'SALT P&amp;L'!$A30,'XSALT TB'!H:H)</f>
        <v/>
      </c>
      <c r="U30" s="37">
        <f>SUMIF('SALT TB'!$R:$R,'SALT P&amp;L'!$A30,'SALT TB'!I:I)</f>
        <v/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33.38</v>
      </c>
      <c r="C31" s="35" t="n">
        <v>150.78</v>
      </c>
      <c r="D31" s="35" t="n">
        <v>0</v>
      </c>
      <c r="E31" s="35" t="n">
        <v>86.95</v>
      </c>
      <c r="F31" s="35" t="n">
        <v>197.12</v>
      </c>
      <c r="G31" s="35" t="n">
        <v>87</v>
      </c>
      <c r="H31" s="35" t="n">
        <v>188.42</v>
      </c>
      <c r="I31" s="35" t="n">
        <v>0</v>
      </c>
      <c r="J31" s="35" t="n">
        <v>117.09</v>
      </c>
      <c r="K31" s="35" t="n">
        <v>236.18</v>
      </c>
      <c r="L31" s="35" t="n">
        <v>112.16</v>
      </c>
      <c r="M31" s="35" t="n">
        <v>0</v>
      </c>
      <c r="N31" s="36">
        <f>SUM(B31:M31)</f>
        <v/>
      </c>
      <c r="O31" s="37">
        <f>SUMIF('XSALT TB'!$R:$R,'SALT P&amp;L'!$A31,'XSALT TB'!C:C)</f>
        <v/>
      </c>
      <c r="P31" s="37">
        <f>SUMIF('XSALT TB'!$R:$R,'SALT P&amp;L'!$A31,'XSALT TB'!D:D)</f>
        <v/>
      </c>
      <c r="Q31" s="37">
        <f>SUMIF('XSALT TB'!$R:$R,'SALT P&amp;L'!$A31,'XSALT TB'!E:E)</f>
        <v/>
      </c>
      <c r="R31" s="37">
        <f>SUMIF('XSALT TB'!$R:$R,'SALT P&amp;L'!$A31,'XSALT TB'!F:F)</f>
        <v/>
      </c>
      <c r="S31" s="37">
        <f>SUMIF('XSALT TB'!$R:$R,'SALT P&amp;L'!$A31,'XSALT TB'!G:G)</f>
        <v/>
      </c>
      <c r="T31" s="37">
        <f>SUMIF('XSALT TB'!$R:$R,'SALT P&amp;L'!$A31,'XSALT TB'!H:H)</f>
        <v/>
      </c>
      <c r="U31" s="37">
        <f>SUMIF('SALT TB'!$R:$R,'SALT P&amp;L'!$A31,'SALT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27.09</v>
      </c>
      <c r="C32" s="35" t="n">
        <v>114.5</v>
      </c>
      <c r="D32" s="35" t="n">
        <v>122.26</v>
      </c>
      <c r="E32" s="35" t="n">
        <v>110.6</v>
      </c>
      <c r="F32" s="35" t="n">
        <v>136.03</v>
      </c>
      <c r="G32" s="35" t="n">
        <v>0</v>
      </c>
      <c r="H32" s="35" t="n">
        <v>34.58</v>
      </c>
      <c r="I32" s="35" t="n">
        <v>34.26</v>
      </c>
      <c r="J32" s="35" t="n">
        <v>51.38</v>
      </c>
      <c r="K32" s="35" t="n">
        <v>184.9</v>
      </c>
      <c r="L32" s="35" t="n">
        <v>275.69</v>
      </c>
      <c r="M32" s="35" t="n">
        <v>251.97</v>
      </c>
      <c r="N32" s="36">
        <f>SUM(B32:M32)</f>
        <v/>
      </c>
      <c r="O32" s="37">
        <f>SUMIF('XSALT TB'!$R:$R,'SALT P&amp;L'!$A32,'XSALT TB'!C:C)</f>
        <v/>
      </c>
      <c r="P32" s="37">
        <f>SUMIF('XSALT TB'!$R:$R,'SALT P&amp;L'!$A32,'XSALT TB'!D:D)</f>
        <v/>
      </c>
      <c r="Q32" s="37">
        <f>SUMIF('XSALT TB'!$R:$R,'SALT P&amp;L'!$A32,'XSALT TB'!E:E)</f>
        <v/>
      </c>
      <c r="R32" s="37">
        <f>SUMIF('XSALT TB'!$R:$R,'SALT P&amp;L'!$A32,'XSALT TB'!F:F)</f>
        <v/>
      </c>
      <c r="S32" s="37">
        <f>SUMIF('XSALT TB'!$R:$R,'SALT P&amp;L'!$A32,'XSALT TB'!G:G)</f>
        <v/>
      </c>
      <c r="T32" s="37">
        <f>SUMIF('XSALT TB'!$R:$R,'SALT P&amp;L'!$A32,'XSALT TB'!H:H)</f>
        <v/>
      </c>
      <c r="U32" s="37">
        <f>SUMIF('SALT TB'!$R:$R,'SALT P&amp;L'!$A32,'SALT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0.005200000000000001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SUMIF('XSALT TB'!$R:$R,'SALT P&amp;L'!$A33,'XSALT TB'!C:C)</f>
        <v/>
      </c>
      <c r="P33" s="37">
        <f>SUMIF('XSALT TB'!$R:$R,'SALT P&amp;L'!$A33,'XSALT TB'!D:D)</f>
        <v/>
      </c>
      <c r="Q33" s="37">
        <f>SUMIF('XSALT TB'!$R:$R,'SALT P&amp;L'!$A33,'XSALT TB'!E:E)</f>
        <v/>
      </c>
      <c r="R33" s="37">
        <f>SUMIF('XSALT TB'!$R:$R,'SALT P&amp;L'!$A33,'XSALT TB'!F:F)</f>
        <v/>
      </c>
      <c r="S33" s="37">
        <f>SUMIF('XSALT TB'!$R:$R,'SALT P&amp;L'!$A33,'XSALT TB'!G:G)</f>
        <v/>
      </c>
      <c r="T33" s="37">
        <f>SUMIF('XSALT TB'!$R:$R,'SALT P&amp;L'!$A33,'XSALT TB'!H:H)</f>
        <v/>
      </c>
      <c r="U33" s="37">
        <f>SUMIF('SALT TB'!$R:$R,'SALT P&amp;L'!$A33,'SALT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2159.36</v>
      </c>
      <c r="C34" s="42" t="n">
        <v>3141.140000000001</v>
      </c>
      <c r="D34" s="42" t="n">
        <v>2587.19</v>
      </c>
      <c r="E34" s="42" t="n">
        <v>2671.159999999999</v>
      </c>
      <c r="F34" s="42" t="n">
        <v>2710.57</v>
      </c>
      <c r="G34" s="42" t="n">
        <v>2764.38</v>
      </c>
      <c r="H34" s="42" t="n">
        <v>2795.31</v>
      </c>
      <c r="I34" s="42" t="n">
        <v>2329.48</v>
      </c>
      <c r="J34" s="42" t="n">
        <v>3075.97</v>
      </c>
      <c r="K34" s="42" t="n">
        <v>3186.66</v>
      </c>
      <c r="L34" s="42" t="n">
        <v>3046.5</v>
      </c>
      <c r="M34" s="42" t="n">
        <v>2289.84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SUM(O34:U34)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SUM(O35:U35)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SUMIF('XSALT TB'!$R:$R,'SALT P&amp;L'!$A36,'XSALT TB'!C:C)</f>
        <v/>
      </c>
      <c r="P36" s="37">
        <f>SUMIF('XSALT TB'!$R:$R,'SALT P&amp;L'!$A36,'XSALT TB'!D:D)</f>
        <v/>
      </c>
      <c r="Q36" s="37">
        <f>SUMIF('XSALT TB'!$R:$R,'SALT P&amp;L'!$A36,'XSALT TB'!E:E)</f>
        <v/>
      </c>
      <c r="R36" s="37">
        <f>SUMIF('XSALT TB'!$R:$R,'SALT P&amp;L'!$A36,'XSALT TB'!F:F)</f>
        <v/>
      </c>
      <c r="S36" s="37">
        <f>SUMIF('XSALT TB'!$R:$R,'SALT P&amp;L'!$A36,'XSALT TB'!G:G)</f>
        <v/>
      </c>
      <c r="T36" s="37">
        <f>SUMIF('XSALT TB'!$R:$R,'SALT P&amp;L'!$A36,'XSALT TB'!H:H)</f>
        <v/>
      </c>
      <c r="U36" s="37" t="n"/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-2157.98</v>
      </c>
      <c r="C37" s="35" t="n">
        <v>721.59</v>
      </c>
      <c r="D37" s="35" t="n">
        <v>721.59</v>
      </c>
      <c r="E37" s="35" t="n">
        <v>4207.28</v>
      </c>
      <c r="F37" s="35" t="n">
        <v>758.9</v>
      </c>
      <c r="G37" s="35" t="n">
        <v>758.9</v>
      </c>
      <c r="H37" s="35" t="n">
        <v>758.9</v>
      </c>
      <c r="I37" s="35" t="n">
        <v>758.9</v>
      </c>
      <c r="J37" s="35" t="n">
        <v>758.9</v>
      </c>
      <c r="K37" s="35" t="n">
        <v>758.9</v>
      </c>
      <c r="L37" s="35" t="n">
        <v>758.9</v>
      </c>
      <c r="M37" s="35" t="n">
        <v>758.9</v>
      </c>
      <c r="N37" s="36">
        <f>SUM(B37:M37)</f>
        <v/>
      </c>
      <c r="O37" s="37">
        <f>SUMIF('XSALT TB'!$R:$R,'SALT P&amp;L'!$A37,'XSALT TB'!C:C)</f>
        <v/>
      </c>
      <c r="P37" s="37">
        <f>SUMIF('XSALT TB'!$R:$R,'SALT P&amp;L'!$A37,'XSALT TB'!D:D)</f>
        <v/>
      </c>
      <c r="Q37" s="37">
        <f>SUMIF('XSALT TB'!$R:$R,'SALT P&amp;L'!$A37,'XSALT TB'!E:E)</f>
        <v/>
      </c>
      <c r="R37" s="37">
        <f>SUMIF('XSALT TB'!$R:$R,'SALT P&amp;L'!$A37,'XSALT TB'!F:F)</f>
        <v/>
      </c>
      <c r="S37" s="37">
        <f>SUMIF('XSALT TB'!$R:$R,'SALT P&amp;L'!$A37,'XSALT TB'!G:G)</f>
        <v/>
      </c>
      <c r="T37" s="37">
        <f>SUMIF('XSALT TB'!$R:$R,'SALT P&amp;L'!$A37,'XSALT TB'!H:H)</f>
        <v/>
      </c>
      <c r="U37" s="37">
        <f>SUMIF('SALT TB'!$R:$R,'SALT P&amp;L'!$A37,'SALT TB'!I:I)</f>
        <v/>
      </c>
      <c r="V37" s="38" t="n">
        <v>873</v>
      </c>
      <c r="W37" s="38" t="n">
        <v>873</v>
      </c>
      <c r="X37" s="38" t="n">
        <v>873</v>
      </c>
      <c r="Y37" s="38" t="n">
        <v>873</v>
      </c>
      <c r="Z37" s="38" t="n">
        <v>873</v>
      </c>
      <c r="AA37" s="36">
        <f>SUM(O37:U37)</f>
        <v/>
      </c>
      <c r="AB37" s="36">
        <f>SUM(O37:Z37)</f>
        <v/>
      </c>
      <c r="AC37" s="38" t="n">
        <v>873</v>
      </c>
      <c r="AD37" s="38" t="n">
        <v>873</v>
      </c>
      <c r="AE37" s="38" t="n">
        <v>873</v>
      </c>
      <c r="AF37" s="38" t="n">
        <v>873</v>
      </c>
      <c r="AG37" s="38" t="n">
        <v>873</v>
      </c>
      <c r="AH37" s="38" t="n">
        <v>873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1211.79</v>
      </c>
      <c r="C38" s="35" t="n">
        <v>1770.42</v>
      </c>
      <c r="D38" s="35" t="n">
        <v>1942.85</v>
      </c>
      <c r="E38" s="35" t="n">
        <v>1364.31</v>
      </c>
      <c r="F38" s="35" t="n">
        <v>837.5699999999999</v>
      </c>
      <c r="G38" s="35" t="n">
        <v>573.86</v>
      </c>
      <c r="H38" s="35" t="n">
        <v>402.07</v>
      </c>
      <c r="I38" s="35" t="n">
        <v>0</v>
      </c>
      <c r="J38" s="35" t="n">
        <v>813.2</v>
      </c>
      <c r="K38" s="35" t="n">
        <v>649.55</v>
      </c>
      <c r="L38" s="35" t="n">
        <v>605.8200000000001</v>
      </c>
      <c r="M38" s="35" t="n">
        <v>1258.8</v>
      </c>
      <c r="N38" s="36">
        <f>SUM(B38:M38)</f>
        <v/>
      </c>
      <c r="O38" s="37">
        <f>SUMIF('XSALT TB'!$R:$R,'SALT P&amp;L'!$A38,'XSALT TB'!C:C)</f>
        <v/>
      </c>
      <c r="P38" s="37">
        <f>SUMIF('XSALT TB'!$R:$R,'SALT P&amp;L'!$A38,'XSALT TB'!D:D)</f>
        <v/>
      </c>
      <c r="Q38" s="37">
        <f>SUMIF('XSALT TB'!$R:$R,'SALT P&amp;L'!$A38,'XSALT TB'!E:E)</f>
        <v/>
      </c>
      <c r="R38" s="37">
        <f>SUMIF('XSALT TB'!$R:$R,'SALT P&amp;L'!$A38,'XSALT TB'!F:F)</f>
        <v/>
      </c>
      <c r="S38" s="37">
        <f>SUMIF('XSALT TB'!$R:$R,'SALT P&amp;L'!$A38,'XSALT TB'!G:G)</f>
        <v/>
      </c>
      <c r="T38" s="37">
        <f>SUMIF('XSALT TB'!$R:$R,'SALT P&amp;L'!$A38,'XSALT TB'!H:H)</f>
        <v/>
      </c>
      <c r="U38" s="37">
        <f>SUMIF('SALT TB'!$R:$R,'SALT P&amp;L'!$A38,'SALT TB'!I:I)</f>
        <v/>
      </c>
      <c r="V38" s="38" t="n">
        <v>950</v>
      </c>
      <c r="W38" s="38" t="n">
        <v>950</v>
      </c>
      <c r="X38" s="38" t="n">
        <v>950</v>
      </c>
      <c r="Y38" s="38" t="n">
        <v>950</v>
      </c>
      <c r="Z38" s="38" t="n">
        <v>950</v>
      </c>
      <c r="AA38" s="36">
        <f>SUM(O38:U38)</f>
        <v/>
      </c>
      <c r="AB38" s="36">
        <f>SUM(O38:Z38)</f>
        <v/>
      </c>
      <c r="AC38" s="38" t="n">
        <v>950</v>
      </c>
      <c r="AD38" s="38" t="n">
        <v>950</v>
      </c>
      <c r="AE38" s="38" t="n">
        <v>950</v>
      </c>
      <c r="AF38" s="38" t="n">
        <v>950</v>
      </c>
      <c r="AG38" s="38" t="n">
        <v>950</v>
      </c>
      <c r="AH38" s="38" t="n">
        <v>950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494.65</v>
      </c>
      <c r="C39" s="35" t="n">
        <v>0</v>
      </c>
      <c r="D39" s="35" t="n">
        <v>1927</v>
      </c>
      <c r="E39" s="35" t="n">
        <v>2375.809999999999</v>
      </c>
      <c r="F39" s="35" t="n">
        <v>1374.88</v>
      </c>
      <c r="G39" s="35" t="n">
        <v>70.98</v>
      </c>
      <c r="H39" s="35" t="n">
        <v>536.11</v>
      </c>
      <c r="I39" s="35" t="n">
        <v>185.96</v>
      </c>
      <c r="J39" s="35" t="n">
        <v>0</v>
      </c>
      <c r="K39" s="35" t="n">
        <v>37.19</v>
      </c>
      <c r="L39" s="35" t="n">
        <v>87.64</v>
      </c>
      <c r="M39" s="35" t="n">
        <v>531.6</v>
      </c>
      <c r="N39" s="36">
        <f>SUM(B39:M39)</f>
        <v/>
      </c>
      <c r="O39" s="37">
        <f>SUMIF('XSALT TB'!$R:$R,'SALT P&amp;L'!$A39,'XSALT TB'!C:C)</f>
        <v/>
      </c>
      <c r="P39" s="37">
        <f>SUMIF('XSALT TB'!$R:$R,'SALT P&amp;L'!$A39,'XSALT TB'!D:D)</f>
        <v/>
      </c>
      <c r="Q39" s="37">
        <f>SUMIF('XSALT TB'!$R:$R,'SALT P&amp;L'!$A39,'XSALT TB'!E:E)</f>
        <v/>
      </c>
      <c r="R39" s="37">
        <f>SUMIF('XSALT TB'!$R:$R,'SALT P&amp;L'!$A39,'XSALT TB'!F:F)</f>
        <v/>
      </c>
      <c r="S39" s="37">
        <f>SUMIF('XSALT TB'!$R:$R,'SALT P&amp;L'!$A39,'XSALT TB'!G:G)</f>
        <v/>
      </c>
      <c r="T39" s="37">
        <f>SUMIF('XSALT TB'!$R:$R,'SALT P&amp;L'!$A39,'XSALT TB'!H:H)</f>
        <v/>
      </c>
      <c r="U39" s="37">
        <f>SUMIF('SALT TB'!$R:$R,'SALT P&amp;L'!$A39,'SALT TB'!I:I)</f>
        <v/>
      </c>
      <c r="V39" s="38" t="n"/>
      <c r="W39" s="38" t="n"/>
      <c r="X39" s="38" t="n">
        <v>2000</v>
      </c>
      <c r="Y39" s="38" t="n">
        <v>2000</v>
      </c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1242.55</v>
      </c>
      <c r="C40" s="35" t="n">
        <v>908.0699999999999</v>
      </c>
      <c r="D40" s="35" t="n">
        <v>1204.23</v>
      </c>
      <c r="E40" s="35" t="n">
        <v>1580.58</v>
      </c>
      <c r="F40" s="35" t="n">
        <v>1102.14</v>
      </c>
      <c r="G40" s="35" t="n">
        <v>1077.97</v>
      </c>
      <c r="H40" s="35" t="n">
        <v>1581.4</v>
      </c>
      <c r="I40" s="35" t="n">
        <v>1021.21</v>
      </c>
      <c r="J40" s="35" t="n">
        <v>1373.97</v>
      </c>
      <c r="K40" s="35" t="n">
        <v>1218.93</v>
      </c>
      <c r="L40" s="35" t="n">
        <v>1057.79</v>
      </c>
      <c r="M40" s="35" t="n">
        <v>930.5599999999999</v>
      </c>
      <c r="N40" s="36">
        <f>SUM(B40:M40)</f>
        <v/>
      </c>
      <c r="O40" s="37">
        <f>SUMIF('XSALT TB'!$R:$R,'SALT P&amp;L'!$A40,'XSALT TB'!C:C)</f>
        <v/>
      </c>
      <c r="P40" s="37">
        <f>SUMIF('XSALT TB'!$R:$R,'SALT P&amp;L'!$A40,'XSALT TB'!D:D)</f>
        <v/>
      </c>
      <c r="Q40" s="37">
        <f>SUMIF('XSALT TB'!$R:$R,'SALT P&amp;L'!$A40,'XSALT TB'!E:E)</f>
        <v/>
      </c>
      <c r="R40" s="37">
        <f>SUMIF('XSALT TB'!$R:$R,'SALT P&amp;L'!$A40,'XSALT TB'!F:F)</f>
        <v/>
      </c>
      <c r="S40" s="37">
        <f>SUMIF('XSALT TB'!$R:$R,'SALT P&amp;L'!$A40,'XSALT TB'!G:G)</f>
        <v/>
      </c>
      <c r="T40" s="37">
        <f>SUMIF('XSALT TB'!$R:$R,'SALT P&amp;L'!$A40,'XSALT TB'!H:H)</f>
        <v/>
      </c>
      <c r="U40" s="37">
        <f>SUMIF('SALT TB'!$R:$R,'SALT P&amp;L'!$A40,'SALT TB'!I:I)</f>
        <v/>
      </c>
      <c r="V40" s="38" t="n">
        <v>1232</v>
      </c>
      <c r="W40" s="38" t="n">
        <v>1232</v>
      </c>
      <c r="X40" s="38" t="n">
        <v>1232</v>
      </c>
      <c r="Y40" s="38" t="n">
        <v>1232</v>
      </c>
      <c r="Z40" s="38" t="n">
        <v>1232</v>
      </c>
      <c r="AA40" s="36">
        <f>SUM(O40:U40)</f>
        <v/>
      </c>
      <c r="AB40" s="36">
        <f>SUM(O40:Z40)</f>
        <v/>
      </c>
      <c r="AC40" s="38" t="n">
        <v>1232</v>
      </c>
      <c r="AD40" s="38" t="n">
        <v>1232</v>
      </c>
      <c r="AE40" s="38" t="n">
        <v>1232</v>
      </c>
      <c r="AF40" s="38" t="n">
        <v>1232</v>
      </c>
      <c r="AG40" s="38" t="n">
        <v>1232</v>
      </c>
      <c r="AH40" s="38" t="n">
        <v>1232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329.95</v>
      </c>
      <c r="C41" s="35" t="n">
        <v>622.9300000000001</v>
      </c>
      <c r="D41" s="35" t="n">
        <v>236.94</v>
      </c>
      <c r="E41" s="35" t="n">
        <v>225.05</v>
      </c>
      <c r="F41" s="35" t="n">
        <v>432.79</v>
      </c>
      <c r="G41" s="35" t="n">
        <v>390.78</v>
      </c>
      <c r="H41" s="35" t="n">
        <v>429.19</v>
      </c>
      <c r="I41" s="35" t="n">
        <v>420.09</v>
      </c>
      <c r="J41" s="35" t="n">
        <v>631.8900000000001</v>
      </c>
      <c r="K41" s="35" t="n">
        <v>447.09</v>
      </c>
      <c r="L41" s="35" t="n">
        <v>405.09</v>
      </c>
      <c r="M41" s="35" t="n">
        <v>452.47</v>
      </c>
      <c r="N41" s="36">
        <f>SUM(B41:M41)</f>
        <v/>
      </c>
      <c r="O41" s="37">
        <f>SUMIF('XSALT TB'!$R:$R,'SALT P&amp;L'!$A41,'XSALT TB'!C:C)</f>
        <v/>
      </c>
      <c r="P41" s="37">
        <f>SUMIF('XSALT TB'!$R:$R,'SALT P&amp;L'!$A41,'XSALT TB'!D:D)</f>
        <v/>
      </c>
      <c r="Q41" s="37">
        <f>SUMIF('XSALT TB'!$R:$R,'SALT P&amp;L'!$A41,'XSALT TB'!E:E)</f>
        <v/>
      </c>
      <c r="R41" s="37">
        <f>SUMIF('XSALT TB'!$R:$R,'SALT P&amp;L'!$A41,'XSALT TB'!F:F)</f>
        <v/>
      </c>
      <c r="S41" s="37">
        <f>SUMIF('XSALT TB'!$R:$R,'SALT P&amp;L'!$A41,'XSALT TB'!G:G)</f>
        <v/>
      </c>
      <c r="T41" s="37">
        <f>SUMIF('XSALT TB'!$R:$R,'SALT P&amp;L'!$A41,'XSALT TB'!H:H)</f>
        <v/>
      </c>
      <c r="U41" s="37">
        <f>SUMIF('SALT TB'!$R:$R,'SALT P&amp;L'!$A41,'SALT TB'!I:I)</f>
        <v/>
      </c>
      <c r="V41" s="38" t="n">
        <v>413</v>
      </c>
      <c r="W41" s="38" t="n">
        <v>413</v>
      </c>
      <c r="X41" s="38" t="n">
        <v>413</v>
      </c>
      <c r="Y41" s="38" t="n">
        <v>413</v>
      </c>
      <c r="Z41" s="38" t="n">
        <v>413</v>
      </c>
      <c r="AA41" s="36">
        <f>SUM(O41:U41)</f>
        <v/>
      </c>
      <c r="AB41" s="36">
        <f>SUM(O41:Z41)</f>
        <v/>
      </c>
      <c r="AC41" s="38" t="n">
        <v>413</v>
      </c>
      <c r="AD41" s="38" t="n">
        <v>413</v>
      </c>
      <c r="AE41" s="38" t="n">
        <v>413</v>
      </c>
      <c r="AF41" s="38" t="n">
        <v>413</v>
      </c>
      <c r="AG41" s="38" t="n">
        <v>413</v>
      </c>
      <c r="AH41" s="38" t="n">
        <v>413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0</v>
      </c>
      <c r="C42" s="35" t="n">
        <v>620.59</v>
      </c>
      <c r="D42" s="35" t="n">
        <v>0</v>
      </c>
      <c r="E42" s="35" t="n">
        <v>0</v>
      </c>
      <c r="F42" s="35" t="n">
        <v>689.9400000000001</v>
      </c>
      <c r="G42" s="35" t="n">
        <v>0</v>
      </c>
      <c r="H42" s="35" t="n">
        <v>20.99</v>
      </c>
      <c r="I42" s="35" t="n">
        <v>597.6</v>
      </c>
      <c r="J42" s="35" t="n">
        <v>41.97</v>
      </c>
      <c r="K42" s="35" t="n">
        <v>1007.99</v>
      </c>
      <c r="L42" s="35" t="n">
        <v>0</v>
      </c>
      <c r="M42" s="35" t="n">
        <v>786</v>
      </c>
      <c r="N42" s="36">
        <f>SUM(B42:M42)</f>
        <v/>
      </c>
      <c r="O42" s="37">
        <f>SUMIF('XSALT TB'!$R:$R,'SALT P&amp;L'!$A42,'XSALT TB'!C:C)</f>
        <v/>
      </c>
      <c r="P42" s="37">
        <f>SUMIF('XSALT TB'!$R:$R,'SALT P&amp;L'!$A42,'XSALT TB'!D:D)</f>
        <v/>
      </c>
      <c r="Q42" s="37">
        <f>SUMIF('XSALT TB'!$R:$R,'SALT P&amp;L'!$A42,'XSALT TB'!E:E)</f>
        <v/>
      </c>
      <c r="R42" s="37">
        <f>SUMIF('XSALT TB'!$R:$R,'SALT P&amp;L'!$A42,'XSALT TB'!F:F)</f>
        <v/>
      </c>
      <c r="S42" s="37">
        <f>SUMIF('XSALT TB'!$R:$R,'SALT P&amp;L'!$A42,'XSALT TB'!G:G)</f>
        <v/>
      </c>
      <c r="T42" s="37">
        <f>SUMIF('XSALT TB'!$R:$R,'SALT P&amp;L'!$A42,'XSALT TB'!H:H)</f>
        <v/>
      </c>
      <c r="U42" s="37">
        <f>SUMIF('SALT TB'!$R:$R,'SALT P&amp;L'!$A42,'SALT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849.3399999999999</v>
      </c>
      <c r="C43" s="35" t="n">
        <v>136.41</v>
      </c>
      <c r="D43" s="35" t="n">
        <v>136.41</v>
      </c>
      <c r="E43" s="35" t="n">
        <v>140.14</v>
      </c>
      <c r="F43" s="35" t="n">
        <v>140.14</v>
      </c>
      <c r="G43" s="35" t="n">
        <v>140.14</v>
      </c>
      <c r="H43" s="35" t="n">
        <v>140.14</v>
      </c>
      <c r="I43" s="35" t="n">
        <v>152.77</v>
      </c>
      <c r="J43" s="35" t="n">
        <v>152.77</v>
      </c>
      <c r="K43" s="35" t="n">
        <v>152.77</v>
      </c>
      <c r="L43" s="35" t="n">
        <v>152.77</v>
      </c>
      <c r="M43" s="35" t="n">
        <v>152.77</v>
      </c>
      <c r="N43" s="36">
        <f>SUM(B43:M43)</f>
        <v/>
      </c>
      <c r="O43" s="37">
        <f>SUMIF('XSALT TB'!$R:$R,'SALT P&amp;L'!$A43,'XSALT TB'!C:C)</f>
        <v/>
      </c>
      <c r="P43" s="37">
        <f>SUMIF('XSALT TB'!$R:$R,'SALT P&amp;L'!$A43,'XSALT TB'!D:D)</f>
        <v/>
      </c>
      <c r="Q43" s="37">
        <f>SUMIF('XSALT TB'!$R:$R,'SALT P&amp;L'!$A43,'XSALT TB'!E:E)</f>
        <v/>
      </c>
      <c r="R43" s="37">
        <f>SUMIF('XSALT TB'!$R:$R,'SALT P&amp;L'!$A43,'XSALT TB'!F:F)</f>
        <v/>
      </c>
      <c r="S43" s="37">
        <f>SUMIF('XSALT TB'!$R:$R,'SALT P&amp;L'!$A43,'XSALT TB'!G:G)</f>
        <v/>
      </c>
      <c r="T43" s="37">
        <f>SUMIF('XSALT TB'!$R:$R,'SALT P&amp;L'!$A43,'XSALT TB'!H:H)</f>
        <v/>
      </c>
      <c r="U43" s="37">
        <f>SUMIF('SALT TB'!$R:$R,'SALT P&amp;L'!$A43,'SALT TB'!I:I)</f>
        <v/>
      </c>
      <c r="V43" s="38" t="n">
        <v>153</v>
      </c>
      <c r="W43" s="38" t="n">
        <v>153</v>
      </c>
      <c r="X43" s="38" t="n">
        <v>153</v>
      </c>
      <c r="Y43" s="38" t="n">
        <v>153</v>
      </c>
      <c r="Z43" s="38" t="n">
        <v>153</v>
      </c>
      <c r="AA43" s="36">
        <f>SUM(O43:U43)</f>
        <v/>
      </c>
      <c r="AB43" s="36">
        <f>SUM(O43:Z43)</f>
        <v/>
      </c>
      <c r="AC43" s="38" t="n">
        <v>153</v>
      </c>
      <c r="AD43" s="38" t="n">
        <v>153</v>
      </c>
      <c r="AE43" s="38" t="n">
        <v>153</v>
      </c>
      <c r="AF43" s="38" t="n">
        <v>153</v>
      </c>
      <c r="AG43" s="38" t="n">
        <v>153</v>
      </c>
      <c r="AH43" s="38" t="n">
        <v>153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SUMIF('XSALT TB'!$R:$R,'SALT P&amp;L'!$A44,'XSALT TB'!C:C)</f>
        <v/>
      </c>
      <c r="P44" s="37">
        <f>SUMIF('XSALT TB'!$R:$R,'SALT P&amp;L'!$A44,'XSALT TB'!D:D)</f>
        <v/>
      </c>
      <c r="Q44" s="37">
        <f>SUMIF('XSALT TB'!$R:$R,'SALT P&amp;L'!$A44,'XSALT TB'!E:E)</f>
        <v/>
      </c>
      <c r="R44" s="37">
        <f>SUMIF('XSALT TB'!$R:$R,'SALT P&amp;L'!$A44,'XSALT TB'!F:F)</f>
        <v/>
      </c>
      <c r="S44" s="37">
        <f>SUMIF('XSALT TB'!$R:$R,'SALT P&amp;L'!$A44,'XSALT TB'!G:G)</f>
        <v/>
      </c>
      <c r="T44" s="37">
        <f>SUMIF('XSALT TB'!$R:$R,'SALT P&amp;L'!$A44,'XSALT TB'!H:H)</f>
        <v/>
      </c>
      <c r="U44" s="37">
        <f>SUMIF('SALT TB'!$R:$R,'SALT P&amp;L'!$A44,'SALT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SUMIF('XSALT TB'!$R:$R,'SALT P&amp;L'!$A45,'XSALT TB'!C:C)</f>
        <v/>
      </c>
      <c r="P45" s="37">
        <f>SUMIF('XSALT TB'!$R:$R,'SALT P&amp;L'!$A45,'XSALT TB'!D:D)</f>
        <v/>
      </c>
      <c r="Q45" s="37">
        <f>SUMIF('XSALT TB'!$R:$R,'SALT P&amp;L'!$A45,'XSALT TB'!E:E)</f>
        <v/>
      </c>
      <c r="R45" s="37">
        <f>SUMIF('XSALT TB'!$R:$R,'SALT P&amp;L'!$A45,'XSALT TB'!F:F)</f>
        <v/>
      </c>
      <c r="S45" s="37">
        <f>SUMIF('XSALT TB'!$R:$R,'SALT P&amp;L'!$A45,'XSALT TB'!G:G)</f>
        <v/>
      </c>
      <c r="T45" s="37">
        <f>SUMIF('XSALT TB'!$R:$R,'SALT P&amp;L'!$A45,'XSALT TB'!H:H)</f>
        <v/>
      </c>
      <c r="U45" s="37">
        <f>SUMIF('SALT TB'!$R:$R,'SALT P&amp;L'!$A45,'SALT TB'!I:I)</f>
        <v/>
      </c>
      <c r="V45" s="38" t="n">
        <v>0</v>
      </c>
      <c r="W45" s="38" t="n">
        <v>0</v>
      </c>
      <c r="X45" s="38" t="n">
        <v>0</v>
      </c>
      <c r="Y45" s="38" t="n">
        <v>0</v>
      </c>
      <c r="Z45" s="38" t="n">
        <v>0</v>
      </c>
      <c r="AA45" s="36">
        <f>SUM(O45:U45)</f>
        <v/>
      </c>
      <c r="AB45" s="36">
        <f>SUM(O45:Z45)</f>
        <v/>
      </c>
      <c r="AC45" s="38" t="n">
        <v>0</v>
      </c>
      <c r="AD45" s="38" t="n">
        <v>0</v>
      </c>
      <c r="AE45" s="38" t="n">
        <v>0</v>
      </c>
      <c r="AF45" s="38" t="n">
        <v>0</v>
      </c>
      <c r="AG45" s="38" t="n">
        <v>0</v>
      </c>
      <c r="AH45" s="38" t="n">
        <v>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SUMIF('XSALT TB'!$R:$R,'SALT P&amp;L'!$A46,'XSALT TB'!C:C)</f>
        <v/>
      </c>
      <c r="P46" s="37">
        <f>SUMIF('XSALT TB'!$R:$R,'SALT P&amp;L'!$A46,'XSALT TB'!D:D)</f>
        <v/>
      </c>
      <c r="Q46" s="37">
        <f>SUMIF('XSALT TB'!$R:$R,'SALT P&amp;L'!$A46,'XSALT TB'!E:E)</f>
        <v/>
      </c>
      <c r="R46" s="37">
        <f>SUMIF('XSALT TB'!$R:$R,'SALT P&amp;L'!$A46,'XSALT TB'!F:F)</f>
        <v/>
      </c>
      <c r="S46" s="37">
        <f>SUMIF('XSALT TB'!$R:$R,'SALT P&amp;L'!$A46,'XSALT TB'!G:G)</f>
        <v/>
      </c>
      <c r="T46" s="37">
        <f>SUMIF('XSALT TB'!$R:$R,'SALT P&amp;L'!$A46,'XSALT TB'!H:H)</f>
        <v/>
      </c>
      <c r="U46" s="37">
        <f>SUMIF('SALT TB'!$R:$R,'SALT P&amp;L'!$A46,'SALT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1970.299999999999</v>
      </c>
      <c r="C47" s="42" t="n">
        <v>4780.01</v>
      </c>
      <c r="D47" s="42" t="n">
        <v>6169.02</v>
      </c>
      <c r="E47" s="42" t="n">
        <v>9893.169999999998</v>
      </c>
      <c r="F47" s="42" t="n">
        <v>5336.36</v>
      </c>
      <c r="G47" s="42" t="n">
        <v>3012.63</v>
      </c>
      <c r="H47" s="42" t="n">
        <v>3868.8</v>
      </c>
      <c r="I47" s="42" t="n">
        <v>3136.53</v>
      </c>
      <c r="J47" s="42" t="n">
        <v>3772.7</v>
      </c>
      <c r="K47" s="42" t="n">
        <v>4272.42</v>
      </c>
      <c r="L47" s="42" t="n">
        <v>3068.01</v>
      </c>
      <c r="M47" s="42" t="n">
        <v>4871.1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37882.87</v>
      </c>
      <c r="C48" s="23" t="n">
        <v>47003.43</v>
      </c>
      <c r="D48" s="23" t="n">
        <v>42463.12</v>
      </c>
      <c r="E48" s="23" t="n">
        <v>48079.93</v>
      </c>
      <c r="F48" s="23" t="n">
        <v>45061.75</v>
      </c>
      <c r="G48" s="23" t="n">
        <v>41887.21</v>
      </c>
      <c r="H48" s="23" t="n">
        <v>46995.76</v>
      </c>
      <c r="I48" s="23" t="n">
        <v>45778.62000000001</v>
      </c>
      <c r="J48" s="23" t="n">
        <v>51054.04999999999</v>
      </c>
      <c r="K48" s="23" t="n">
        <v>54676.12</v>
      </c>
      <c r="L48" s="23" t="n">
        <v>47806.94</v>
      </c>
      <c r="M48" s="23" t="n">
        <v>47768.84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>U25+U34+U47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SUM(O48:U48)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SUM(O49:U49)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15223.57999999999</v>
      </c>
      <c r="C50" s="55" t="n">
        <v>17713.23</v>
      </c>
      <c r="D50" s="55" t="n">
        <v>32478.08000000002</v>
      </c>
      <c r="E50" s="55" t="n">
        <v>17947.43</v>
      </c>
      <c r="F50" s="55" t="n">
        <v>7137.43</v>
      </c>
      <c r="G50" s="55" t="n">
        <v>23971.56</v>
      </c>
      <c r="H50" s="55" t="n">
        <v>39470.94999999999</v>
      </c>
      <c r="I50" s="55" t="n">
        <v>8677.649999999994</v>
      </c>
      <c r="J50" s="55" t="n">
        <v>11286.18000000001</v>
      </c>
      <c r="K50" s="55" t="n">
        <v>7367.850000000006</v>
      </c>
      <c r="L50" s="55" t="n">
        <v>29751.17999999999</v>
      </c>
      <c r="M50" s="55" t="n">
        <v>55101.27000000001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6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SUM(O51:U51)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SUM(O52:U52)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SUMIF('XSALT TB'!$R:$R,'SALT P&amp;L'!$A53,'XSALT TB'!C:C)</f>
        <v/>
      </c>
      <c r="P53" s="37">
        <f>SUMIF('XSALT TB'!$R:$R,'SALT P&amp;L'!$A53,'XSALT TB'!D:D)</f>
        <v/>
      </c>
      <c r="Q53" s="37">
        <f>SUMIF('XSALT TB'!$R:$R,'SALT P&amp;L'!$A53,'XSALT TB'!E:E)</f>
        <v/>
      </c>
      <c r="R53" s="37">
        <f>SUMIF('XSALT TB'!$R:$R,'SALT P&amp;L'!$A53,'XSALT TB'!F:F)</f>
        <v/>
      </c>
      <c r="S53" s="37">
        <f>SUMIF('XSALT TB'!$R:$R,'SALT P&amp;L'!$A53,'XSALT TB'!G:G)</f>
        <v/>
      </c>
      <c r="T53" s="37">
        <f>SUMIF('XSALT TB'!$R:$R,'SALT P&amp;L'!$A53,'XSALT TB'!H:H)</f>
        <v/>
      </c>
      <c r="U53" s="37">
        <f>SUMIF('SALT TB'!$R:$R,'SALT P&amp;L'!$A53,'SALT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SUMIF('XSALT TB'!$R:$R,'SALT P&amp;L'!$A54,'XSALT TB'!C:C)</f>
        <v/>
      </c>
      <c r="P54" s="37">
        <f>SUMIF('XSALT TB'!$R:$R,'SALT P&amp;L'!$A54,'XSALT TB'!D:D)</f>
        <v/>
      </c>
      <c r="Q54" s="37">
        <f>SUMIF('XSALT TB'!$R:$R,'SALT P&amp;L'!$A54,'XSALT TB'!E:E)</f>
        <v/>
      </c>
      <c r="R54" s="37">
        <f>SUMIF('XSALT TB'!$R:$R,'SALT P&amp;L'!$A54,'XSALT TB'!F:F)</f>
        <v/>
      </c>
      <c r="S54" s="37">
        <f>SUMIF('XSALT TB'!$R:$R,'SALT P&amp;L'!$A54,'XSALT TB'!G:G)</f>
        <v/>
      </c>
      <c r="T54" s="37">
        <f>SUMIF('XSALT TB'!$R:$R,'SALT P&amp;L'!$A54,'XSALT TB'!H:H)</f>
        <v/>
      </c>
      <c r="U54" s="37">
        <f>SUMIF('SALT TB'!$R:$R,'SALT P&amp;L'!$A54,'SALT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SUMIF('XSALT TB'!$R:$R,'SALT P&amp;L'!$A55,'XSALT TB'!C:C)</f>
        <v/>
      </c>
      <c r="P55" s="37">
        <f>SUMIF('XSALT TB'!$R:$R,'SALT P&amp;L'!$A55,'XSALT TB'!D:D)</f>
        <v/>
      </c>
      <c r="Q55" s="37">
        <f>SUMIF('XSALT TB'!$R:$R,'SALT P&amp;L'!$A55,'XSALT TB'!E:E)</f>
        <v/>
      </c>
      <c r="R55" s="37">
        <f>SUMIF('XSALT TB'!$R:$R,'SALT P&amp;L'!$A55,'XSALT TB'!F:F)</f>
        <v/>
      </c>
      <c r="S55" s="37">
        <f>SUMIF('XSALT TB'!$R:$R,'SALT P&amp;L'!$A55,'XSALT TB'!G:G)</f>
        <v/>
      </c>
      <c r="T55" s="37">
        <f>SUMIF('XSALT TB'!$R:$R,'SALT P&amp;L'!$A55,'XSALT TB'!H:H)</f>
        <v/>
      </c>
      <c r="U55" s="37">
        <f>SUMIF('SALT TB'!$R:$R,'SALT P&amp;L'!$A55,'SALT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SUMIF('XSALT TB'!$R:$R,'SALT P&amp;L'!$A56,'XSALT TB'!C:C)</f>
        <v/>
      </c>
      <c r="P56" s="37">
        <f>SUMIF('XSALT TB'!$R:$R,'SALT P&amp;L'!$A56,'XSALT TB'!D:D)</f>
        <v/>
      </c>
      <c r="Q56" s="37">
        <f>SUMIF('XSALT TB'!$R:$R,'SALT P&amp;L'!$A56,'XSALT TB'!E:E)</f>
        <v/>
      </c>
      <c r="R56" s="37">
        <f>SUMIF('XSALT TB'!$R:$R,'SALT P&amp;L'!$A56,'XSALT TB'!F:F)</f>
        <v/>
      </c>
      <c r="S56" s="37">
        <f>SUMIF('XSALT TB'!$R:$R,'SALT P&amp;L'!$A56,'XSALT TB'!G:G)</f>
        <v/>
      </c>
      <c r="T56" s="37">
        <f>SUMIF('XSALT TB'!$R:$R,'SALT P&amp;L'!$A56,'XSALT TB'!H:H)</f>
        <v/>
      </c>
      <c r="U56" s="37">
        <f>SUMIF('SALT TB'!$R:$R,'SALT P&amp;L'!$A56,'SALT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190</v>
      </c>
      <c r="L57" s="35" t="n">
        <v>0</v>
      </c>
      <c r="M57" s="35" t="n">
        <v>476.11</v>
      </c>
      <c r="N57" s="36">
        <f>SUM(B57:M57)</f>
        <v/>
      </c>
      <c r="O57" s="37">
        <f>SUMIF('XSALT TB'!$R:$R,'SALT P&amp;L'!$A57,'XSALT TB'!C:C)</f>
        <v/>
      </c>
      <c r="P57" s="37">
        <f>SUMIF('XSALT TB'!$R:$R,'SALT P&amp;L'!$A57,'XSALT TB'!D:D)</f>
        <v/>
      </c>
      <c r="Q57" s="37">
        <f>SUMIF('XSALT TB'!$R:$R,'SALT P&amp;L'!$A57,'XSALT TB'!E:E)</f>
        <v/>
      </c>
      <c r="R57" s="37">
        <f>SUMIF('XSALT TB'!$R:$R,'SALT P&amp;L'!$A57,'XSALT TB'!F:F)</f>
        <v/>
      </c>
      <c r="S57" s="37">
        <f>SUMIF('XSALT TB'!$R:$R,'SALT P&amp;L'!$A57,'XSALT TB'!G:G)</f>
        <v/>
      </c>
      <c r="T57" s="37">
        <f>SUMIF('XSALT TB'!$R:$R,'SALT P&amp;L'!$A57,'XSALT TB'!H:H)</f>
        <v/>
      </c>
      <c r="U57" s="37">
        <f>SUMIF('SALT TB'!$R:$R,'SALT P&amp;L'!$A57,'SALT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SUMIF('XSALT TB'!$R:$R,'SALT P&amp;L'!$A58,'XSALT TB'!C:C)</f>
        <v/>
      </c>
      <c r="P58" s="37">
        <f>SUMIF('XSALT TB'!$R:$R,'SALT P&amp;L'!$A58,'XSALT TB'!D:D)</f>
        <v/>
      </c>
      <c r="Q58" s="37">
        <f>SUMIF('XSALT TB'!$R:$R,'SALT P&amp;L'!$A58,'XSALT TB'!E:E)</f>
        <v/>
      </c>
      <c r="R58" s="37">
        <f>SUMIF('XSALT TB'!$R:$R,'SALT P&amp;L'!$A58,'XSALT TB'!F:F)</f>
        <v/>
      </c>
      <c r="S58" s="37">
        <f>SUMIF('XSALT TB'!$R:$R,'SALT P&amp;L'!$A58,'XSALT TB'!G:G)</f>
        <v/>
      </c>
      <c r="T58" s="37">
        <f>SUMIF('XSALT TB'!$R:$R,'SALT P&amp;L'!$A58,'XSALT TB'!H:H)</f>
        <v/>
      </c>
      <c r="U58" s="37">
        <f>SUMIF('SALT TB'!$R:$R,'SALT P&amp;L'!$A58,'SALT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201.37</v>
      </c>
      <c r="G59" s="35" t="n">
        <v>201.38</v>
      </c>
      <c r="H59" s="35" t="n">
        <v>201.38</v>
      </c>
      <c r="I59" s="35" t="n">
        <v>201.37</v>
      </c>
      <c r="J59" s="35" t="n">
        <v>201.37</v>
      </c>
      <c r="K59" s="35" t="n">
        <v>214.8</v>
      </c>
      <c r="L59" s="35" t="n">
        <v>214.8</v>
      </c>
      <c r="M59" s="35" t="n">
        <v>244.7</v>
      </c>
      <c r="N59" s="36">
        <f>SUM(B59:M59)</f>
        <v/>
      </c>
      <c r="O59" s="37">
        <f>SUMIF('XSALT TB'!$R:$R,'SALT P&amp;L'!$A59,'XSALT TB'!C:C)</f>
        <v/>
      </c>
      <c r="P59" s="37">
        <f>SUMIF('XSALT TB'!$R:$R,'SALT P&amp;L'!$A59,'XSALT TB'!D:D)</f>
        <v/>
      </c>
      <c r="Q59" s="37">
        <f>SUMIF('XSALT TB'!$R:$R,'SALT P&amp;L'!$A59,'XSALT TB'!E:E)</f>
        <v/>
      </c>
      <c r="R59" s="37">
        <f>SUMIF('XSALT TB'!$R:$R,'SALT P&amp;L'!$A59,'XSALT TB'!F:F)</f>
        <v/>
      </c>
      <c r="S59" s="37">
        <f>SUMIF('XSALT TB'!$R:$R,'SALT P&amp;L'!$A59,'XSALT TB'!G:G)</f>
        <v/>
      </c>
      <c r="T59" s="37">
        <f>SUMIF('XSALT TB'!$R:$R,'SALT P&amp;L'!$A59,'XSALT TB'!H:H)</f>
        <v/>
      </c>
      <c r="U59" s="37">
        <f>SUMIF('SALT TB'!$R:$R,'SALT P&amp;L'!$A59,'SALT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2.4</v>
      </c>
      <c r="C60" s="35" t="n">
        <v>1.8</v>
      </c>
      <c r="D60" s="35" t="n">
        <v>2.4</v>
      </c>
      <c r="E60" s="35" t="n">
        <v>2.4</v>
      </c>
      <c r="F60" s="35" t="n">
        <v>3</v>
      </c>
      <c r="G60" s="35" t="n">
        <v>48</v>
      </c>
      <c r="H60" s="35" t="n">
        <v>3.6</v>
      </c>
      <c r="I60" s="35" t="n">
        <v>3</v>
      </c>
      <c r="J60" s="35" t="n">
        <v>293.66</v>
      </c>
      <c r="K60" s="35" t="n">
        <v>1.8</v>
      </c>
      <c r="L60" s="35" t="n">
        <v>2.4</v>
      </c>
      <c r="M60" s="35" t="n">
        <v>47.40000000000001</v>
      </c>
      <c r="N60" s="36">
        <f>SUM(B60:M60)</f>
        <v/>
      </c>
      <c r="O60" s="37">
        <f>SUMIF('XSALT TB'!$R:$R,'SALT P&amp;L'!$A60,'XSALT TB'!C:C)</f>
        <v/>
      </c>
      <c r="P60" s="37">
        <f>SUMIF('XSALT TB'!$R:$R,'SALT P&amp;L'!$A60,'XSALT TB'!D:D)</f>
        <v/>
      </c>
      <c r="Q60" s="37">
        <f>SUMIF('XSALT TB'!$R:$R,'SALT P&amp;L'!$A60,'XSALT TB'!E:E)</f>
        <v/>
      </c>
      <c r="R60" s="37">
        <f>SUMIF('XSALT TB'!$R:$R,'SALT P&amp;L'!$A60,'XSALT TB'!F:F)</f>
        <v/>
      </c>
      <c r="S60" s="37">
        <f>SUMIF('XSALT TB'!$R:$R,'SALT P&amp;L'!$A60,'XSALT TB'!G:G)</f>
        <v/>
      </c>
      <c r="T60" s="37">
        <f>SUMIF('XSALT TB'!$R:$R,'SALT P&amp;L'!$A60,'XSALT TB'!H:H)</f>
        <v/>
      </c>
      <c r="U60" s="37">
        <f>SUMIF('SALT TB'!$R:$R,'SALT P&amp;L'!$A60,'SALT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90</v>
      </c>
      <c r="C61" s="35" t="n">
        <v>47.93000000000001</v>
      </c>
      <c r="D61" s="35" t="n">
        <v>9.98</v>
      </c>
      <c r="E61" s="35" t="n">
        <v>51.04</v>
      </c>
      <c r="F61" s="35" t="n">
        <v>0</v>
      </c>
      <c r="G61" s="35" t="n">
        <v>0</v>
      </c>
      <c r="H61" s="35" t="n">
        <v>392.16</v>
      </c>
      <c r="I61" s="35" t="n">
        <v>0</v>
      </c>
      <c r="J61" s="35" t="n">
        <v>0</v>
      </c>
      <c r="K61" s="35" t="n">
        <v>24.95</v>
      </c>
      <c r="L61" s="35" t="n">
        <v>5.69</v>
      </c>
      <c r="M61" s="35" t="n">
        <v>0</v>
      </c>
      <c r="N61" s="36">
        <f>SUM(B61:M61)</f>
        <v/>
      </c>
      <c r="O61" s="37">
        <f>SUMIF('XSALT TB'!$R:$R,'SALT P&amp;L'!$A61,'XSALT TB'!C:C)</f>
        <v/>
      </c>
      <c r="P61" s="37">
        <f>SUMIF('XSALT TB'!$R:$R,'SALT P&amp;L'!$A61,'XSALT TB'!D:D)</f>
        <v/>
      </c>
      <c r="Q61" s="37">
        <f>SUMIF('XSALT TB'!$R:$R,'SALT P&amp;L'!$A61,'XSALT TB'!E:E)</f>
        <v/>
      </c>
      <c r="R61" s="37">
        <f>SUMIF('XSALT TB'!$R:$R,'SALT P&amp;L'!$A61,'XSALT TB'!F:F)</f>
        <v/>
      </c>
      <c r="S61" s="37">
        <f>SUMIF('XSALT TB'!$R:$R,'SALT P&amp;L'!$A61,'XSALT TB'!G:G)</f>
        <v/>
      </c>
      <c r="T61" s="37">
        <f>SUMIF('XSALT TB'!$R:$R,'SALT P&amp;L'!$A61,'XSALT TB'!H:H)</f>
        <v/>
      </c>
      <c r="U61" s="37">
        <f>SUMIF('SALT TB'!$R:$R,'SALT P&amp;L'!$A61,'SALT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8.4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7.2</v>
      </c>
      <c r="J62" s="35" t="n">
        <v>0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>
        <f>SUMIF('XSALT TB'!$R:$R,'SALT P&amp;L'!$A62,'XSALT TB'!C:C)</f>
        <v/>
      </c>
      <c r="P62" s="37">
        <f>SUMIF('XSALT TB'!$R:$R,'SALT P&amp;L'!$A62,'XSALT TB'!D:D)</f>
        <v/>
      </c>
      <c r="Q62" s="37">
        <f>SUMIF('XSALT TB'!$R:$R,'SALT P&amp;L'!$A62,'XSALT TB'!E:E)</f>
        <v/>
      </c>
      <c r="R62" s="37">
        <f>SUMIF('XSALT TB'!$R:$R,'SALT P&amp;L'!$A62,'XSALT TB'!F:F)</f>
        <v/>
      </c>
      <c r="S62" s="37">
        <f>SUMIF('XSALT TB'!$R:$R,'SALT P&amp;L'!$A62,'XSALT TB'!G:G)</f>
        <v/>
      </c>
      <c r="T62" s="37">
        <f>SUMIF('XSALT TB'!$R:$R,'SALT P&amp;L'!$A62,'XSALT TB'!H:H)</f>
        <v/>
      </c>
      <c r="U62" s="37">
        <f>SUMIF('SALT TB'!$R:$R,'SALT P&amp;L'!$A62,'SALT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SUMIF('XSALT TB'!$R:$R,'SALT P&amp;L'!$A63,'XSALT TB'!C:C)</f>
        <v/>
      </c>
      <c r="P63" s="37">
        <f>SUMIF('XSALT TB'!$R:$R,'SALT P&amp;L'!$A63,'XSALT TB'!D:D)</f>
        <v/>
      </c>
      <c r="Q63" s="37">
        <f>SUMIF('XSALT TB'!$R:$R,'SALT P&amp;L'!$A63,'XSALT TB'!E:E)</f>
        <v/>
      </c>
      <c r="R63" s="37">
        <f>SUMIF('XSALT TB'!$R:$R,'SALT P&amp;L'!$A63,'XSALT TB'!F:F)</f>
        <v/>
      </c>
      <c r="S63" s="37">
        <f>SUMIF('XSALT TB'!$R:$R,'SALT P&amp;L'!$A63,'XSALT TB'!G:G)</f>
        <v/>
      </c>
      <c r="T63" s="37">
        <f>SUMIF('XSALT TB'!$R:$R,'SALT P&amp;L'!$A63,'XSALT TB'!H:H)</f>
        <v/>
      </c>
      <c r="U63" s="37">
        <f>SUMIF('SALT TB'!$R:$R,'SALT P&amp;L'!$A63,'SALT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SUMIF('XSALT TB'!$R:$R,'SALT P&amp;L'!$A64,'XSALT TB'!C:C)</f>
        <v/>
      </c>
      <c r="P64" s="37">
        <f>SUMIF('XSALT TB'!$R:$R,'SALT P&amp;L'!$A64,'XSALT TB'!D:D)</f>
        <v/>
      </c>
      <c r="Q64" s="37">
        <f>SUMIF('XSALT TB'!$R:$R,'SALT P&amp;L'!$A64,'XSALT TB'!E:E)</f>
        <v/>
      </c>
      <c r="R64" s="37">
        <f>SUMIF('XSALT TB'!$R:$R,'SALT P&amp;L'!$A64,'XSALT TB'!F:F)</f>
        <v/>
      </c>
      <c r="S64" s="37">
        <f>SUMIF('XSALT TB'!$R:$R,'SALT P&amp;L'!$A64,'XSALT TB'!G:G)</f>
        <v/>
      </c>
      <c r="T64" s="37">
        <f>SUMIF('XSALT TB'!$R:$R,'SALT P&amp;L'!$A64,'XSALT TB'!H:H)</f>
        <v/>
      </c>
      <c r="U64" s="37">
        <f>SUMIF('SALT TB'!$R:$R,'SALT P&amp;L'!$A64,'SALT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SUMIF('XSALT TB'!$R:$R,'SALT P&amp;L'!$A65,'XSALT TB'!C:C)</f>
        <v/>
      </c>
      <c r="P65" s="37">
        <f>SUMIF('XSALT TB'!$R:$R,'SALT P&amp;L'!$A65,'XSALT TB'!D:D)</f>
        <v/>
      </c>
      <c r="Q65" s="37">
        <f>SUMIF('XSALT TB'!$R:$R,'SALT P&amp;L'!$A65,'XSALT TB'!E:E)</f>
        <v/>
      </c>
      <c r="R65" s="37">
        <f>SUMIF('XSALT TB'!$R:$R,'SALT P&amp;L'!$A65,'XSALT TB'!F:F)</f>
        <v/>
      </c>
      <c r="S65" s="37">
        <f>SUMIF('XSALT TB'!$R:$R,'SALT P&amp;L'!$A65,'XSALT TB'!G:G)</f>
        <v/>
      </c>
      <c r="T65" s="37">
        <f>SUMIF('XSALT TB'!$R:$R,'SALT P&amp;L'!$A65,'XSALT TB'!H:H)</f>
        <v/>
      </c>
      <c r="U65" s="37">
        <f>SUMIF('SALT TB'!$R:$R,'SALT P&amp;L'!$A65,'SALT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SUMIF('XSALT TB'!$R:$R,'SALT P&amp;L'!$A66,'XSALT TB'!C:C)</f>
        <v/>
      </c>
      <c r="P66" s="37">
        <f>SUMIF('XSALT TB'!$R:$R,'SALT P&amp;L'!$A66,'XSALT TB'!D:D)</f>
        <v/>
      </c>
      <c r="Q66" s="37">
        <f>SUMIF('XSALT TB'!$R:$R,'SALT P&amp;L'!$A66,'XSALT TB'!E:E)</f>
        <v/>
      </c>
      <c r="R66" s="37">
        <f>SUMIF('XSALT TB'!$R:$R,'SALT P&amp;L'!$A66,'XSALT TB'!F:F)</f>
        <v/>
      </c>
      <c r="S66" s="37">
        <f>SUMIF('XSALT TB'!$R:$R,'SALT P&amp;L'!$A66,'XSALT TB'!G:G)</f>
        <v/>
      </c>
      <c r="T66" s="37">
        <f>SUMIF('XSALT TB'!$R:$R,'SALT P&amp;L'!$A66,'XSALT TB'!H:H)</f>
        <v/>
      </c>
      <c r="U66" s="37">
        <f>SUMIF('SALT TB'!$R:$R,'SALT P&amp;L'!$A66,'SALT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1800</v>
      </c>
      <c r="C67" s="35" t="n">
        <v>0</v>
      </c>
      <c r="D67" s="35" t="n">
        <v>0</v>
      </c>
      <c r="E67" s="35" t="n">
        <v>1084.8</v>
      </c>
      <c r="F67" s="35" t="n">
        <v>0</v>
      </c>
      <c r="G67" s="35" t="n">
        <v>179.4</v>
      </c>
      <c r="H67" s="35" t="n">
        <v>42.75</v>
      </c>
      <c r="I67" s="35" t="n">
        <v>42.75</v>
      </c>
      <c r="J67" s="35" t="n">
        <v>42.75</v>
      </c>
      <c r="K67" s="35" t="n">
        <v>42.75</v>
      </c>
      <c r="L67" s="35" t="n">
        <v>89.75</v>
      </c>
      <c r="M67" s="35" t="n">
        <v>877.95</v>
      </c>
      <c r="N67" s="36">
        <f>SUM(B67:M67)</f>
        <v/>
      </c>
      <c r="O67" s="37">
        <f>SUMIF('XSALT TB'!$R:$R,'SALT P&amp;L'!$A67,'XSALT TB'!C:C)</f>
        <v/>
      </c>
      <c r="P67" s="37">
        <f>SUMIF('XSALT TB'!$R:$R,'SALT P&amp;L'!$A67,'XSALT TB'!D:D)</f>
        <v/>
      </c>
      <c r="Q67" s="37">
        <f>SUMIF('XSALT TB'!$R:$R,'SALT P&amp;L'!$A67,'XSALT TB'!E:E)</f>
        <v/>
      </c>
      <c r="R67" s="37">
        <f>SUMIF('XSALT TB'!$R:$R,'SALT P&amp;L'!$A67,'XSALT TB'!F:F)</f>
        <v/>
      </c>
      <c r="S67" s="37">
        <f>SUMIF('XSALT TB'!$R:$R,'SALT P&amp;L'!$A67,'XSALT TB'!G:G)</f>
        <v/>
      </c>
      <c r="T67" s="37">
        <f>SUMIF('XSALT TB'!$R:$R,'SALT P&amp;L'!$A67,'XSALT TB'!H:H)</f>
        <v/>
      </c>
      <c r="U67" s="37">
        <f>SUMIF('SALT TB'!$R:$R,'SALT P&amp;L'!$A67,'SALT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7.5</v>
      </c>
      <c r="C68" s="35" t="n">
        <v>7.5</v>
      </c>
      <c r="D68" s="35" t="n">
        <v>7.5</v>
      </c>
      <c r="E68" s="35" t="n">
        <v>7.5</v>
      </c>
      <c r="F68" s="35" t="n">
        <v>7.5</v>
      </c>
      <c r="G68" s="35" t="n">
        <v>7.5</v>
      </c>
      <c r="H68" s="35" t="n">
        <v>7.5</v>
      </c>
      <c r="I68" s="35" t="n">
        <v>7.5</v>
      </c>
      <c r="J68" s="35" t="n">
        <v>7.5</v>
      </c>
      <c r="K68" s="35" t="n">
        <v>7.5</v>
      </c>
      <c r="L68" s="35" t="n">
        <v>7.5</v>
      </c>
      <c r="M68" s="35" t="n">
        <v>9.99</v>
      </c>
      <c r="N68" s="36">
        <f>SUM(B68:M68)</f>
        <v/>
      </c>
      <c r="O68" s="37">
        <f>SUMIF('XSALT TB'!$R:$R,'SALT P&amp;L'!$A68,'XSALT TB'!C:C)</f>
        <v/>
      </c>
      <c r="P68" s="37">
        <f>SUMIF('XSALT TB'!$R:$R,'SALT P&amp;L'!$A68,'XSALT TB'!D:D)</f>
        <v/>
      </c>
      <c r="Q68" s="37">
        <f>SUMIF('XSALT TB'!$R:$R,'SALT P&amp;L'!$A68,'XSALT TB'!E:E)</f>
        <v/>
      </c>
      <c r="R68" s="37">
        <f>SUMIF('XSALT TB'!$R:$R,'SALT P&amp;L'!$A68,'XSALT TB'!F:F)</f>
        <v/>
      </c>
      <c r="S68" s="37">
        <f>SUMIF('XSALT TB'!$R:$R,'SALT P&amp;L'!$A68,'XSALT TB'!G:G)</f>
        <v/>
      </c>
      <c r="T68" s="37">
        <f>SUMIF('XSALT TB'!$R:$R,'SALT P&amp;L'!$A68,'XSALT TB'!H:H)</f>
        <v/>
      </c>
      <c r="U68" s="37">
        <f>SUMIF('SALT TB'!$R:$R,'SALT P&amp;L'!$A68,'SALT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2101.28</v>
      </c>
      <c r="C69" s="42" t="n">
        <v>258.61</v>
      </c>
      <c r="D69" s="42" t="n">
        <v>229.66</v>
      </c>
      <c r="E69" s="42" t="n">
        <v>1347.12</v>
      </c>
      <c r="F69" s="42" t="n">
        <v>211.87</v>
      </c>
      <c r="G69" s="42" t="n">
        <v>436.28</v>
      </c>
      <c r="H69" s="42" t="n">
        <v>647.39</v>
      </c>
      <c r="I69" s="42" t="n">
        <v>261.82</v>
      </c>
      <c r="J69" s="42" t="n">
        <v>545.28</v>
      </c>
      <c r="K69" s="42" t="n">
        <v>481.8</v>
      </c>
      <c r="L69" s="42" t="n">
        <v>320.14</v>
      </c>
      <c r="M69" s="42" t="n">
        <v>1656.15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SUM(O69:U69)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13122.3</v>
      </c>
      <c r="C70" s="55" t="n">
        <v>17454.62</v>
      </c>
      <c r="D70" s="55" t="n">
        <v>32248.42000000002</v>
      </c>
      <c r="E70" s="55" t="n">
        <v>16600.31</v>
      </c>
      <c r="F70" s="55" t="n">
        <v>6925.56</v>
      </c>
      <c r="G70" s="55" t="n">
        <v>23535.28000000001</v>
      </c>
      <c r="H70" s="55" t="n">
        <v>38823.55999999999</v>
      </c>
      <c r="I70" s="55" t="n">
        <v>8415.829999999994</v>
      </c>
      <c r="J70" s="55" t="n">
        <v>10740.90000000001</v>
      </c>
      <c r="K70" s="55" t="n">
        <v>6886.050000000006</v>
      </c>
      <c r="L70" s="55" t="n">
        <v>29431.03999999999</v>
      </c>
      <c r="M70" s="55" t="n">
        <v>53445.12000000001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6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60">
        <f>SUM(O71:T71)</f>
        <v/>
      </c>
      <c r="AB71" s="56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2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56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34" t="inlineStr">
        <is>
          <t>Borrowing Costs</t>
        </is>
      </c>
      <c r="B73" s="8" t="n"/>
      <c r="C73" s="8" t="n"/>
      <c r="D73" s="8" t="n"/>
      <c r="E73" s="8" t="n"/>
      <c r="F73" s="8" t="n"/>
      <c r="G73" s="8" t="n"/>
      <c r="H73" s="8" t="n"/>
      <c r="I73" s="56" t="n"/>
      <c r="J73" s="56" t="n"/>
      <c r="K73" s="56" t="n"/>
      <c r="L73" s="56" t="n"/>
      <c r="M73" s="56" t="n"/>
      <c r="N73" s="56" t="n"/>
      <c r="O73" s="60" t="n">
        <v>0</v>
      </c>
      <c r="P73" s="60" t="n">
        <v>0</v>
      </c>
      <c r="Q73" s="60" t="n">
        <v>0</v>
      </c>
      <c r="R73" s="60" t="n">
        <v>0</v>
      </c>
      <c r="S73" s="60" t="n">
        <v>0</v>
      </c>
      <c r="T73" s="60" t="n">
        <v>0</v>
      </c>
      <c r="U73" s="60" t="n">
        <v>0</v>
      </c>
      <c r="V73" s="60" t="n">
        <v>0</v>
      </c>
      <c r="W73" s="60" t="n">
        <v>0</v>
      </c>
      <c r="X73" s="60" t="n">
        <v>0</v>
      </c>
      <c r="Y73" s="60" t="n">
        <v>0</v>
      </c>
      <c r="Z73" s="60" t="n">
        <v>0</v>
      </c>
      <c r="AA73" s="8" t="n"/>
      <c r="AB73" s="60">
        <f>SUM(O73:Z73)</f>
        <v/>
      </c>
      <c r="AC73" s="8" t="n"/>
      <c r="AD73" s="8" t="n"/>
      <c r="AE73" s="8" t="n"/>
      <c r="AF73" s="8" t="n"/>
      <c r="AG73" s="8" t="n"/>
      <c r="AH73" s="8" t="n"/>
      <c r="AI73" s="8" t="n"/>
      <c r="AJ73" s="59" t="inlineStr">
        <is>
          <t>Model assumptions 2027:</t>
        </is>
      </c>
      <c r="AK73" s="8" t="n"/>
      <c r="AL73" s="8" t="n"/>
      <c r="AM73" s="8" t="n"/>
      <c r="AN73" s="40" t="n"/>
      <c r="AO73" s="40" t="n"/>
      <c r="AP73" s="40" t="n"/>
    </row>
    <row r="74">
      <c r="A74" s="34" t="inlineStr">
        <is>
          <t>Depreciation</t>
        </is>
      </c>
      <c r="B74" s="8" t="n"/>
      <c r="C74" s="8" t="n"/>
      <c r="D74" s="8" t="n"/>
      <c r="E74" s="8" t="n"/>
      <c r="F74" s="8" t="n"/>
      <c r="G74" s="8" t="n"/>
      <c r="H74" s="8" t="n"/>
      <c r="I74" s="56" t="n"/>
      <c r="J74" s="56" t="n"/>
      <c r="K74" s="56" t="n"/>
      <c r="L74" s="56" t="n"/>
      <c r="M74" s="56" t="n"/>
      <c r="N74" s="56" t="n"/>
      <c r="O74" s="60" t="n">
        <v>1214.634947916667</v>
      </c>
      <c r="P74" s="60" t="n">
        <v>1214.634947916667</v>
      </c>
      <c r="Q74" s="60" t="n">
        <v>1214.634947916667</v>
      </c>
      <c r="R74" s="60" t="n">
        <v>1214.634947916667</v>
      </c>
      <c r="S74" s="60" t="n">
        <v>1214.634947916667</v>
      </c>
      <c r="T74" s="60" t="n">
        <v>1214.634947916667</v>
      </c>
      <c r="U74" s="60" t="n">
        <v>1241.90578125</v>
      </c>
      <c r="V74" s="60" t="n">
        <v>1241.90578125</v>
      </c>
      <c r="W74" s="60" t="n">
        <v>1241.90578125</v>
      </c>
      <c r="X74" s="60" t="n">
        <v>1241.90578125</v>
      </c>
      <c r="Y74" s="60" t="n">
        <v>1241.90578125</v>
      </c>
      <c r="Z74" s="60" t="n">
        <v>1241.90578125</v>
      </c>
      <c r="AA74" s="8" t="n"/>
      <c r="AB74" s="60">
        <f>SUM(O74:Z74)</f>
        <v/>
      </c>
      <c r="AC74" s="8" t="n"/>
      <c r="AD74" s="8" t="n"/>
      <c r="AE74" s="8" t="n"/>
      <c r="AF74" s="8" t="n"/>
      <c r="AG74" s="8" t="n"/>
      <c r="AH74" s="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40" t="n"/>
      <c r="AO74" s="40" t="n"/>
      <c r="AP74" s="40" t="n"/>
    </row>
    <row r="75">
      <c r="A75" s="34" t="inlineStr">
        <is>
          <t>Amortisation</t>
        </is>
      </c>
      <c r="B75" s="8" t="n"/>
      <c r="C75" s="8" t="n"/>
      <c r="D75" s="8" t="n"/>
      <c r="E75" s="8" t="n"/>
      <c r="F75" s="8" t="n"/>
      <c r="G75" s="8" t="n"/>
      <c r="H75" s="8" t="n"/>
      <c r="I75" s="56" t="n"/>
      <c r="J75" s="56" t="n"/>
      <c r="K75" s="56" t="n"/>
      <c r="L75" s="56" t="n"/>
      <c r="M75" s="56" t="n"/>
      <c r="N75" s="56" t="n"/>
      <c r="O75" s="60">
        <f>8000/12</f>
        <v/>
      </c>
      <c r="P75" s="60">
        <f>8000/12</f>
        <v/>
      </c>
      <c r="Q75" s="60">
        <f>8000/12</f>
        <v/>
      </c>
      <c r="R75" s="60">
        <f>8000/12</f>
        <v/>
      </c>
      <c r="S75" s="60">
        <f>8000/12</f>
        <v/>
      </c>
      <c r="T75" s="60">
        <f>8000/12</f>
        <v/>
      </c>
      <c r="U75" s="60">
        <f>8000/12</f>
        <v/>
      </c>
      <c r="V75" s="60">
        <f>8000/12</f>
        <v/>
      </c>
      <c r="W75" s="60">
        <f>8000/12</f>
        <v/>
      </c>
      <c r="X75" s="60">
        <f>8000/12</f>
        <v/>
      </c>
      <c r="Y75" s="60">
        <f>8000/12</f>
        <v/>
      </c>
      <c r="Z75" s="60">
        <f>8000/12</f>
        <v/>
      </c>
      <c r="AA75" s="8" t="n"/>
      <c r="AB75" s="60">
        <f>SUM(O75:Z75)</f>
        <v/>
      </c>
      <c r="AC75" s="8" t="n"/>
      <c r="AD75" s="8" t="n"/>
      <c r="AE75" s="8" t="n"/>
      <c r="AF75" s="8" t="n"/>
      <c r="AG75" s="8" t="n"/>
      <c r="AH75" s="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40" t="n"/>
      <c r="AO75" s="40" t="n"/>
      <c r="AP75" s="40" t="n"/>
    </row>
    <row r="76">
      <c r="A76" s="70" t="inlineStr">
        <is>
          <t>Profit Before Tax</t>
        </is>
      </c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>
        <f>O70-SUM(O73:O75)</f>
        <v/>
      </c>
      <c r="P76" s="56">
        <f>P70-SUM(P73:P75)</f>
        <v/>
      </c>
      <c r="Q76" s="56">
        <f>Q70-SUM(Q73:Q75)</f>
        <v/>
      </c>
      <c r="R76" s="56">
        <f>R70-SUM(R73:R75)</f>
        <v/>
      </c>
      <c r="S76" s="56">
        <f>S70-SUM(S73:S75)</f>
        <v/>
      </c>
      <c r="T76" s="56">
        <f>T70-SUM(T73:T75)</f>
        <v/>
      </c>
      <c r="U76" s="56">
        <f>U70-SUM(U73:U75)</f>
        <v/>
      </c>
      <c r="V76" s="56">
        <f>V70-SUM(V73:V75)</f>
        <v/>
      </c>
      <c r="W76" s="56">
        <f>W70-SUM(W73:W75)</f>
        <v/>
      </c>
      <c r="X76" s="56">
        <f>X70-SUM(X73:X75)</f>
        <v/>
      </c>
      <c r="Y76" s="56">
        <f>Y70-SUM(Y73:Y75)</f>
        <v/>
      </c>
      <c r="Z76" s="56">
        <f>Z70-SUM(Z73:Z75)</f>
        <v/>
      </c>
      <c r="AA76" s="56" t="n"/>
      <c r="AB76" s="56">
        <f>AB70-SUM(AB73:AB75)</f>
        <v/>
      </c>
      <c r="AC76" s="56" t="n"/>
      <c r="AD76" s="56" t="n"/>
      <c r="AE76" s="56" t="n"/>
      <c r="AF76" s="56" t="n"/>
      <c r="AG76" s="56" t="n"/>
      <c r="AH76" s="56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40" t="n"/>
      <c r="AO76" s="40" t="n"/>
      <c r="AP76" s="40" t="n"/>
    </row>
    <row r="77" ht="15.75" customHeight="1">
      <c r="A77" s="71" t="inlineStr">
        <is>
          <t>Corp Tax Due</t>
        </is>
      </c>
      <c r="B77" s="64" t="n"/>
      <c r="C77" s="64" t="n"/>
      <c r="D77" s="64" t="n"/>
      <c r="E77" s="64" t="n"/>
      <c r="F77" s="64" t="n"/>
      <c r="G77" s="64" t="n"/>
      <c r="H77" s="64" t="n"/>
      <c r="I77" s="72" t="n"/>
      <c r="J77" s="72" t="n"/>
      <c r="K77" s="72" t="n"/>
      <c r="L77" s="72" t="n"/>
      <c r="M77" s="72" t="n"/>
      <c r="N77" s="72" t="n"/>
      <c r="O77" s="72">
        <f>(O76*0.25)</f>
        <v/>
      </c>
      <c r="P77" s="72">
        <f>(P76*0.25)</f>
        <v/>
      </c>
      <c r="Q77" s="72">
        <f>(Q76*0.25)</f>
        <v/>
      </c>
      <c r="R77" s="72">
        <f>(R76*0.25)</f>
        <v/>
      </c>
      <c r="S77" s="72">
        <f>(S76*0.25)</f>
        <v/>
      </c>
      <c r="T77" s="72">
        <f>(T76*0.25)</f>
        <v/>
      </c>
      <c r="U77" s="72">
        <f>(U76*0.25)</f>
        <v/>
      </c>
      <c r="V77" s="72">
        <f>(V76*0.25)</f>
        <v/>
      </c>
      <c r="W77" s="72">
        <f>(W76*0.25)</f>
        <v/>
      </c>
      <c r="X77" s="72">
        <f>(X76*0.25)</f>
        <v/>
      </c>
      <c r="Y77" s="72">
        <f>(Y76*0.25)</f>
        <v/>
      </c>
      <c r="Z77" s="72">
        <f>(Z76*0.25)</f>
        <v/>
      </c>
      <c r="AA77" s="72" t="n"/>
      <c r="AB77" s="72">
        <f>(AB76*0.25)</f>
        <v/>
      </c>
      <c r="AC77" s="72" t="n"/>
      <c r="AD77" s="72" t="n"/>
      <c r="AE77" s="72" t="n"/>
      <c r="AF77" s="72" t="n"/>
      <c r="AG77" s="72" t="n"/>
      <c r="AH77" s="72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40" t="n"/>
      <c r="AO77" s="40" t="n"/>
      <c r="AP77" s="40" t="n"/>
    </row>
    <row r="78" ht="15.75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60" t="inlineStr">
        <is>
          <t>Memo</t>
        </is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60" t="inlineStr">
        <is>
          <t>Direct - Sales</t>
        </is>
      </c>
      <c r="B82" s="60" t="n">
        <v>53106.45</v>
      </c>
      <c r="C82" s="60" t="n">
        <v>64716.66</v>
      </c>
      <c r="D82" s="60" t="n">
        <v>74941.20000000001</v>
      </c>
      <c r="E82" s="60" t="n">
        <v>66027.36</v>
      </c>
      <c r="F82" s="60" t="n">
        <v>52199.18</v>
      </c>
      <c r="G82" s="60" t="n">
        <v>65858.77</v>
      </c>
      <c r="H82" s="60" t="n">
        <v>86466.70999999999</v>
      </c>
      <c r="I82" s="60" t="n">
        <v>54456.27</v>
      </c>
      <c r="J82" s="60" t="n">
        <v>62340.23</v>
      </c>
      <c r="K82" s="60" t="n">
        <v>62043.97</v>
      </c>
      <c r="L82" s="60" t="n">
        <v>77558.12</v>
      </c>
      <c r="M82" s="8" t="n"/>
      <c r="N82" s="8" t="n"/>
      <c r="O82" s="60">
        <f>-SUMIF('XSALT TB'!$T:$T,'SALT P&amp;L'!$A82,'XSALT TB'!C:C)</f>
        <v/>
      </c>
      <c r="P82" s="60">
        <f>-SUMIF('XSALT TB'!$T:$T,'SALT P&amp;L'!$A82,'XSALT TB'!D:D)</f>
        <v/>
      </c>
      <c r="Q82" s="60">
        <f>-SUMIF('XSALT TB'!$T:$T,'SALT P&amp;L'!$A82,'XSALT TB'!E:E)</f>
        <v/>
      </c>
      <c r="R82" s="60">
        <f>-SUMIF('XSALT TB'!$T:$T,'SALT P&amp;L'!$A82,'XSALT TB'!F:F)</f>
        <v/>
      </c>
      <c r="S82" s="60">
        <f>-SUMIF('XSALT TB'!$T:$T,'SALT P&amp;L'!$A82,'XSALT TB'!G:G)</f>
        <v/>
      </c>
      <c r="T82" s="60">
        <f>-SUMIF('XSALT TB'!$T:$T,'SALT P&amp;L'!$A82,'XSALT TB'!H:H)</f>
        <v/>
      </c>
      <c r="U82" s="60">
        <f>-SUMIF('XSALT TB'!$T:$T,'SALT P&amp;L'!$A82,'XSALT TB'!I:I)</f>
        <v/>
      </c>
      <c r="V82" s="60">
        <f>-SUMIF('XSALT TB'!$T:$T,'SALT P&amp;L'!$A82,'XSALT TB'!J:J)</f>
        <v/>
      </c>
      <c r="W82" s="60">
        <f>-SUMIF('XSALT TB'!$T:$T,'SALT P&amp;L'!$A82,'XSALT TB'!K:K)</f>
        <v/>
      </c>
      <c r="X82" s="60">
        <f>-SUMIF('XSALT TB'!$T:$T,'SALT P&amp;L'!$A82,'XSALT TB'!L:L)</f>
        <v/>
      </c>
      <c r="Y82" s="60">
        <f>-SUMIF('XSALT TB'!$T:$T,'SALT P&amp;L'!$A82,'XSALT TB'!M:M)</f>
        <v/>
      </c>
      <c r="Z82" s="60">
        <f>-SUMIF('XSALT TB'!$T:$T,'SALT P&amp;L'!$A82,'XSALT TB'!N:N)</f>
        <v/>
      </c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34" t="inlineStr">
        <is>
          <t>Direct - Staff Cost</t>
        </is>
      </c>
      <c r="B83" s="18" t="n">
        <v>-33753.21</v>
      </c>
      <c r="C83" s="18" t="n">
        <v>-39082.28</v>
      </c>
      <c r="D83" s="18" t="n">
        <v>-33706.91</v>
      </c>
      <c r="E83" s="18" t="n">
        <v>-35515.60000000001</v>
      </c>
      <c r="F83" s="18" t="n">
        <v>-37014.82</v>
      </c>
      <c r="G83" s="18" t="n">
        <v>-36110.2</v>
      </c>
      <c r="H83" s="18" t="n">
        <v>-40331.65</v>
      </c>
      <c r="I83" s="18" t="n">
        <v>-40312.61000000001</v>
      </c>
      <c r="J83" s="18" t="n">
        <v>-44205.37999999999</v>
      </c>
      <c r="K83" s="18" t="n">
        <v>-47217.03999999999</v>
      </c>
      <c r="L83" s="18" t="n">
        <v>-41692.43</v>
      </c>
      <c r="M83" s="18" t="n"/>
      <c r="N83" s="8" t="n"/>
      <c r="O83" s="60">
        <f>-SUMIF('XSALT TB'!$T:$T,'SALT P&amp;L'!$A83,'XSALT TB'!C:C)</f>
        <v/>
      </c>
      <c r="P83" s="60">
        <f>-SUMIF('XSALT TB'!$T:$T,'SALT P&amp;L'!$A83,'XSALT TB'!D:D)</f>
        <v/>
      </c>
      <c r="Q83" s="60">
        <f>-SUMIF('XSALT TB'!$T:$T,'SALT P&amp;L'!$A83,'XSALT TB'!E:E)</f>
        <v/>
      </c>
      <c r="R83" s="60">
        <f>-SUMIF('XSALT TB'!$T:$T,'SALT P&amp;L'!$A83,'XSALT TB'!F:F)</f>
        <v/>
      </c>
      <c r="S83" s="60">
        <f>-SUMIF('XSALT TB'!$T:$T,'SALT P&amp;L'!$A83,'XSALT TB'!G:G)</f>
        <v/>
      </c>
      <c r="T83" s="60">
        <f>-SUMIF('XSALT TB'!$T:$T,'SALT P&amp;L'!$A83,'XSALT TB'!H:H)</f>
        <v/>
      </c>
      <c r="U83" s="60">
        <f>-SUMIF('XSALT TB'!$T:$T,'SALT P&amp;L'!$A83,'XSALT TB'!I:I)</f>
        <v/>
      </c>
      <c r="V83" s="60">
        <f>-SUMIF('XSALT TB'!$T:$T,'SALT P&amp;L'!$A83,'XSALT TB'!J:J)</f>
        <v/>
      </c>
      <c r="W83" s="60">
        <f>-SUMIF('XSALT TB'!$T:$T,'SALT P&amp;L'!$A83,'XSALT TB'!K:K)</f>
        <v/>
      </c>
      <c r="X83" s="60">
        <f>-SUMIF('XSALT TB'!$T:$T,'SALT P&amp;L'!$A83,'XSALT TB'!L:L)</f>
        <v/>
      </c>
      <c r="Y83" s="60">
        <f>-SUMIF('XSALT TB'!$T:$T,'SALT P&amp;L'!$A83,'XSALT TB'!M:M)</f>
        <v/>
      </c>
      <c r="Z83" s="60">
        <f>-SUMIF('XSALT TB'!$T:$T,'SALT P&amp;L'!$A83,'XSALT TB'!N:N)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60" t="inlineStr">
        <is>
          <t>Direct - Childcare Cost</t>
        </is>
      </c>
      <c r="B84" s="18" t="n">
        <v>-2159.36</v>
      </c>
      <c r="C84" s="18" t="n">
        <v>-3141.140000000001</v>
      </c>
      <c r="D84" s="18" t="n">
        <v>-2587.19</v>
      </c>
      <c r="E84" s="18" t="n">
        <v>-2671.159999999999</v>
      </c>
      <c r="F84" s="18" t="n">
        <v>-2710.57</v>
      </c>
      <c r="G84" s="18" t="n">
        <v>-2764.38</v>
      </c>
      <c r="H84" s="18" t="n">
        <v>-2795.31</v>
      </c>
      <c r="I84" s="18" t="n">
        <v>-2329.48</v>
      </c>
      <c r="J84" s="18" t="n">
        <v>-3075.97</v>
      </c>
      <c r="K84" s="18" t="n">
        <v>-3186.66</v>
      </c>
      <c r="L84" s="18" t="n">
        <v>-3046.5</v>
      </c>
      <c r="M84" s="18" t="n">
        <v>-2289.84</v>
      </c>
      <c r="N84" s="8" t="n"/>
      <c r="O84" s="60">
        <f>-SUMIF('XSALT TB'!$T:$T,'SALT P&amp;L'!$A84,'XSALT TB'!C:C)</f>
        <v/>
      </c>
      <c r="P84" s="60">
        <f>-SUMIF('XSALT TB'!$T:$T,'SALT P&amp;L'!$A84,'XSALT TB'!D:D)</f>
        <v/>
      </c>
      <c r="Q84" s="60">
        <f>-SUMIF('XSALT TB'!$T:$T,'SALT P&amp;L'!$A84,'XSALT TB'!E:E)</f>
        <v/>
      </c>
      <c r="R84" s="60">
        <f>-SUMIF('XSALT TB'!$T:$T,'SALT P&amp;L'!$A84,'XSALT TB'!F:F)</f>
        <v/>
      </c>
      <c r="S84" s="60">
        <f>-SUMIF('XSALT TB'!$T:$T,'SALT P&amp;L'!$A84,'XSALT TB'!G:G)</f>
        <v/>
      </c>
      <c r="T84" s="60">
        <f>-SUMIF('XSALT TB'!$T:$T,'SALT P&amp;L'!$A84,'XSALT TB'!H:H)</f>
        <v/>
      </c>
      <c r="U84" s="60">
        <f>-SUMIF('XSALT TB'!$T:$T,'SALT P&amp;L'!$A84,'XSALT TB'!I:I)</f>
        <v/>
      </c>
      <c r="V84" s="60">
        <f>-SUMIF('XSALT TB'!$T:$T,'SALT P&amp;L'!$A84,'XSALT TB'!J:J)</f>
        <v/>
      </c>
      <c r="W84" s="60">
        <f>-SUMIF('XSALT TB'!$T:$T,'SALT P&amp;L'!$A84,'XSALT TB'!K:K)</f>
        <v/>
      </c>
      <c r="X84" s="60">
        <f>-SUMIF('XSALT TB'!$T:$T,'SALT P&amp;L'!$A84,'XSALT TB'!L:L)</f>
        <v/>
      </c>
      <c r="Y84" s="60">
        <f>-SUMIF('XSALT TB'!$T:$T,'SALT P&amp;L'!$A84,'XSALT TB'!M:M)</f>
        <v/>
      </c>
      <c r="Z84" s="60">
        <f>-SUMIF('XSALT TB'!$T:$T,'SALT P&amp;L'!$A84,'XSALT TB'!N:N)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60" t="inlineStr">
        <is>
          <t>Direct - Premises &amp; Admin</t>
        </is>
      </c>
      <c r="B85" s="18" t="n">
        <v>-1970.299999999999</v>
      </c>
      <c r="C85" s="18" t="n">
        <v>-4780.01</v>
      </c>
      <c r="D85" s="18" t="n">
        <v>-6169.02</v>
      </c>
      <c r="E85" s="18" t="n">
        <v>-9893.169999999998</v>
      </c>
      <c r="F85" s="18" t="n">
        <v>-5336.360000000001</v>
      </c>
      <c r="G85" s="18" t="n">
        <v>-3012.63</v>
      </c>
      <c r="H85" s="18" t="n">
        <v>-3868.8</v>
      </c>
      <c r="I85" s="18" t="n">
        <v>-3136.53</v>
      </c>
      <c r="J85" s="18" t="n">
        <v>-3772.7</v>
      </c>
      <c r="K85" s="18" t="n">
        <v>-4272.42</v>
      </c>
      <c r="L85" s="18" t="n">
        <v>-3068.01</v>
      </c>
      <c r="M85" s="18" t="n">
        <v>-4871.1</v>
      </c>
      <c r="N85" s="8" t="n"/>
      <c r="O85" s="60">
        <f>-SUMIF('XSALT TB'!$T:$T,'SALT P&amp;L'!$A85,'XSALT TB'!C:C)</f>
        <v/>
      </c>
      <c r="P85" s="60">
        <f>-SUMIF('XSALT TB'!$T:$T,'SALT P&amp;L'!$A85,'XSALT TB'!D:D)</f>
        <v/>
      </c>
      <c r="Q85" s="60">
        <f>-SUMIF('XSALT TB'!$T:$T,'SALT P&amp;L'!$A85,'XSALT TB'!E:E)</f>
        <v/>
      </c>
      <c r="R85" s="60">
        <f>-SUMIF('XSALT TB'!$T:$T,'SALT P&amp;L'!$A85,'XSALT TB'!F:F)</f>
        <v/>
      </c>
      <c r="S85" s="60">
        <f>-SUMIF('XSALT TB'!$T:$T,'SALT P&amp;L'!$A85,'XSALT TB'!G:G)</f>
        <v/>
      </c>
      <c r="T85" s="60">
        <f>-SUMIF('XSALT TB'!$T:$T,'SALT P&amp;L'!$A85,'XSALT TB'!H:H)</f>
        <v/>
      </c>
      <c r="U85" s="60">
        <f>-SUMIF('XSALT TB'!$T:$T,'SALT P&amp;L'!$A85,'XSALT TB'!I:I)</f>
        <v/>
      </c>
      <c r="V85" s="60">
        <f>-SUMIF('XSALT TB'!$T:$T,'SALT P&amp;L'!$A85,'XSALT TB'!J:J)</f>
        <v/>
      </c>
      <c r="W85" s="60">
        <f>-SUMIF('XSALT TB'!$T:$T,'SALT P&amp;L'!$A85,'XSALT TB'!K:K)</f>
        <v/>
      </c>
      <c r="X85" s="60">
        <f>-SUMIF('XSALT TB'!$T:$T,'SALT P&amp;L'!$A85,'XSALT TB'!L:L)</f>
        <v/>
      </c>
      <c r="Y85" s="60">
        <f>-SUMIF('XSALT TB'!$T:$T,'SALT P&amp;L'!$A85,'XSALT TB'!M:M)</f>
        <v/>
      </c>
      <c r="Z85" s="60">
        <f>-SUMIF('XSALT TB'!$T:$T,'SALT P&amp;L'!$A85,'XSALT TB'!N:N)</f>
        <v/>
      </c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In-Direct - Staff Cost</t>
        </is>
      </c>
      <c r="B86" s="18" t="n">
        <v>0</v>
      </c>
      <c r="C86" s="18" t="n">
        <v>0</v>
      </c>
      <c r="D86" s="18" t="n">
        <v>0</v>
      </c>
      <c r="E86" s="18" t="n">
        <v>0</v>
      </c>
      <c r="F86" s="18" t="n">
        <v>0</v>
      </c>
      <c r="G86" s="18" t="n">
        <v>0</v>
      </c>
      <c r="H86" s="18" t="n">
        <v>0</v>
      </c>
      <c r="I86" s="18" t="n">
        <v>0</v>
      </c>
      <c r="J86" s="18" t="n">
        <v>0</v>
      </c>
      <c r="K86" s="18" t="n">
        <v>0</v>
      </c>
      <c r="L86" s="18" t="n">
        <v>0</v>
      </c>
      <c r="M86" s="18" t="n">
        <v>0</v>
      </c>
      <c r="N86" s="8" t="n"/>
      <c r="O86" s="60">
        <f>-SUMIF('XSALT TB'!$T:$T,'SALT P&amp;L'!$A86,'XSALT TB'!C:C)</f>
        <v/>
      </c>
      <c r="P86" s="60">
        <f>-SUMIF('XSALT TB'!$T:$T,'SALT P&amp;L'!$A86,'XSALT TB'!D:D)</f>
        <v/>
      </c>
      <c r="Q86" s="60">
        <f>-SUMIF('XSALT TB'!$T:$T,'SALT P&amp;L'!$A86,'XSALT TB'!E:E)</f>
        <v/>
      </c>
      <c r="R86" s="60">
        <f>-SUMIF('XSALT TB'!$T:$T,'SALT P&amp;L'!$A86,'XSALT TB'!F:F)</f>
        <v/>
      </c>
      <c r="S86" s="60">
        <f>-SUMIF('XSALT TB'!$T:$T,'SALT P&amp;L'!$A86,'XSALT TB'!G:G)</f>
        <v/>
      </c>
      <c r="T86" s="60">
        <f>-SUMIF('XSALT TB'!$T:$T,'SALT P&amp;L'!$A86,'XSALT TB'!H:H)</f>
        <v/>
      </c>
      <c r="U86" s="60">
        <f>-SUMIF('XSALT TB'!$T:$T,'SALT P&amp;L'!$A86,'XSALT TB'!I:I)</f>
        <v/>
      </c>
      <c r="V86" s="60">
        <f>-SUMIF('XSALT TB'!$T:$T,'SALT P&amp;L'!$A86,'XSALT TB'!J:J)</f>
        <v/>
      </c>
      <c r="W86" s="60">
        <f>-SUMIF('XSALT TB'!$T:$T,'SALT P&amp;L'!$A86,'XSALT TB'!K:K)</f>
        <v/>
      </c>
      <c r="X86" s="60">
        <f>-SUMIF('XSALT TB'!$T:$T,'SALT P&amp;L'!$A86,'XSALT TB'!L:L)</f>
        <v/>
      </c>
      <c r="Y86" s="60">
        <f>-SUMIF('XSALT TB'!$T:$T,'SALT P&amp;L'!$A86,'XSALT TB'!M:M)</f>
        <v/>
      </c>
      <c r="Z86" s="60">
        <f>-SUMIF('XSALT TB'!$T:$T,'SALT P&amp;L'!$A86,'XSALT TB'!N:N)</f>
        <v/>
      </c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In-Direct - Overheads</t>
        </is>
      </c>
      <c r="B87" s="18" t="n">
        <v>-2101.28</v>
      </c>
      <c r="C87" s="18" t="n">
        <v>-258.61</v>
      </c>
      <c r="D87" s="18" t="n">
        <v>-229.66</v>
      </c>
      <c r="E87" s="18" t="n">
        <v>-1347.12</v>
      </c>
      <c r="F87" s="18" t="n">
        <v>-211.87</v>
      </c>
      <c r="G87" s="18" t="n">
        <v>-436.28</v>
      </c>
      <c r="H87" s="18" t="n">
        <v>-647.39</v>
      </c>
      <c r="I87" s="18" t="n">
        <v>-261.82</v>
      </c>
      <c r="J87" s="18" t="n">
        <v>-545.28</v>
      </c>
      <c r="K87" s="18" t="n">
        <v>-481.8</v>
      </c>
      <c r="L87" s="18" t="n">
        <v>-320.14</v>
      </c>
      <c r="M87" s="18" t="n">
        <v>-1656.15</v>
      </c>
      <c r="N87" s="8" t="n"/>
      <c r="O87" s="60">
        <f>-SUMIF('XSALT TB'!$T:$T,'SALT P&amp;L'!$A87,'XSALT TB'!C:C)</f>
        <v/>
      </c>
      <c r="P87" s="60">
        <f>-SUMIF('XSALT TB'!$T:$T,'SALT P&amp;L'!$A87,'XSALT TB'!D:D)</f>
        <v/>
      </c>
      <c r="Q87" s="60">
        <f>-SUMIF('XSALT TB'!$T:$T,'SALT P&amp;L'!$A87,'XSALT TB'!E:E)</f>
        <v/>
      </c>
      <c r="R87" s="60">
        <f>-SUMIF('XSALT TB'!$T:$T,'SALT P&amp;L'!$A87,'XSALT TB'!F:F)</f>
        <v/>
      </c>
      <c r="S87" s="60">
        <f>-SUMIF('XSALT TB'!$T:$T,'SALT P&amp;L'!$A87,'XSALT TB'!G:G)</f>
        <v/>
      </c>
      <c r="T87" s="60">
        <f>-SUMIF('XSALT TB'!$T:$T,'SALT P&amp;L'!$A87,'XSALT TB'!H:H)</f>
        <v/>
      </c>
      <c r="U87" s="60">
        <f>-SUMIF('XSALT TB'!$T:$T,'SALT P&amp;L'!$A87,'XSALT TB'!I:I)</f>
        <v/>
      </c>
      <c r="V87" s="60">
        <f>-SUMIF('XSALT TB'!$T:$T,'SALT P&amp;L'!$A87,'XSALT TB'!J:J)</f>
        <v/>
      </c>
      <c r="W87" s="60">
        <f>-SUMIF('XSALT TB'!$T:$T,'SALT P&amp;L'!$A87,'XSALT TB'!K:K)</f>
        <v/>
      </c>
      <c r="X87" s="60">
        <f>-SUMIF('XSALT TB'!$T:$T,'SALT P&amp;L'!$A87,'XSALT TB'!L:L)</f>
        <v/>
      </c>
      <c r="Y87" s="60">
        <f>-SUMIF('XSALT TB'!$T:$T,'SALT P&amp;L'!$A87,'XSALT TB'!M:M)</f>
        <v/>
      </c>
      <c r="Z87" s="60">
        <f>-SUMIF('XSALT TB'!$T:$T,'SALT P&amp;L'!$A87,'XSALT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 ht="15.75" customHeight="1">
      <c r="A88" s="8" t="n"/>
      <c r="B88" s="67" t="n">
        <v>13122.3</v>
      </c>
      <c r="C88" s="67" t="n">
        <v>17454.62</v>
      </c>
      <c r="D88" s="67" t="n">
        <v>32248.42000000001</v>
      </c>
      <c r="E88" s="67" t="n">
        <v>16600.31</v>
      </c>
      <c r="F88" s="67" t="n">
        <v>6925.559999999999</v>
      </c>
      <c r="G88" s="67" t="n">
        <v>23535.28</v>
      </c>
      <c r="H88" s="67" t="n">
        <v>38823.55999999999</v>
      </c>
      <c r="I88" s="67" t="n">
        <v>8415.829999999996</v>
      </c>
      <c r="J88" s="67" t="n">
        <v>10740.9</v>
      </c>
      <c r="K88" s="67" t="n">
        <v>6886.050000000007</v>
      </c>
      <c r="L88" s="67" t="n">
        <v>29431.03999999999</v>
      </c>
      <c r="M88" s="67" t="n">
        <v>-8817.09</v>
      </c>
      <c r="N88" s="8" t="n"/>
      <c r="O88" s="64">
        <f>SUM(O82:O87)</f>
        <v/>
      </c>
      <c r="P88" s="64">
        <f>SUM(P82:P87)</f>
        <v/>
      </c>
      <c r="Q88" s="64">
        <f>SUM(Q82:Q87)</f>
        <v/>
      </c>
      <c r="R88" s="64">
        <f>SUM(R82:R87)</f>
        <v/>
      </c>
      <c r="S88" s="64">
        <f>SUM(S82:S87)</f>
        <v/>
      </c>
      <c r="T88" s="64">
        <f>SUM(T82:T87)</f>
        <v/>
      </c>
      <c r="U88" s="64">
        <f>SUM(U82:U87)</f>
        <v/>
      </c>
      <c r="V88" s="64">
        <f>SUM(V82:V87)</f>
        <v/>
      </c>
      <c r="W88" s="64">
        <f>SUM(W82:W87)</f>
        <v/>
      </c>
      <c r="X88" s="64">
        <f>SUM(X82:X87)</f>
        <v/>
      </c>
      <c r="Y88" s="64">
        <f>SUM(Y82:Y87)</f>
        <v/>
      </c>
      <c r="Z88" s="64">
        <f>SUM(Z82:Z87)</f>
        <v/>
      </c>
      <c r="AA88" s="8" t="n"/>
      <c r="AB88" s="8" t="n"/>
      <c r="AC88" s="64" t="n"/>
      <c r="AD88" s="64" t="n"/>
      <c r="AE88" s="64" t="n"/>
      <c r="AF88" s="64" t="n"/>
      <c r="AG88" s="64" t="n"/>
      <c r="AH88" s="64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 ht="15.75" customHeight="1">
      <c r="A89" s="8" t="n"/>
      <c r="B89" s="18" t="n">
        <v>0</v>
      </c>
      <c r="C89" s="18" t="n">
        <v>0</v>
      </c>
      <c r="D89" s="18" t="n">
        <v>0</v>
      </c>
      <c r="E89" s="18" t="n">
        <v>0</v>
      </c>
      <c r="F89" s="18" t="n">
        <v>0</v>
      </c>
      <c r="G89" s="18" t="n">
        <v>0</v>
      </c>
      <c r="H89" s="18" t="n">
        <v>0</v>
      </c>
      <c r="I89" s="18" t="n">
        <v>0</v>
      </c>
      <c r="J89" s="18" t="n">
        <v>0</v>
      </c>
      <c r="K89" s="18" t="n">
        <v>0</v>
      </c>
      <c r="L89" s="18" t="n">
        <v>0</v>
      </c>
      <c r="M89" s="18" t="n">
        <v>0</v>
      </c>
      <c r="N89" s="8" t="n"/>
      <c r="O89" s="60">
        <f>+O70-O88</f>
        <v/>
      </c>
      <c r="P89" s="60">
        <f>+P70-P88</f>
        <v/>
      </c>
      <c r="Q89" s="60">
        <f>+Q70-Q88</f>
        <v/>
      </c>
      <c r="R89" s="60">
        <f>+R70-R88</f>
        <v/>
      </c>
      <c r="S89" s="60">
        <f>+S70-S88</f>
        <v/>
      </c>
      <c r="T89" s="60">
        <f>+T70-T88</f>
        <v/>
      </c>
      <c r="U89" s="60">
        <f>+U70-U88</f>
        <v/>
      </c>
      <c r="V89" s="60">
        <f>+V70-V88</f>
        <v/>
      </c>
      <c r="W89" s="60">
        <f>+W70-W88</f>
        <v/>
      </c>
      <c r="X89" s="60">
        <f>+X70-X88</f>
        <v/>
      </c>
      <c r="Y89" s="60">
        <f>+Y70-Y88</f>
        <v/>
      </c>
      <c r="Z89" s="60">
        <f>+Z70-Z88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>
        <v>-1807.499999999989</v>
      </c>
      <c r="C91" s="18" t="n">
        <v>-7.500000000003638</v>
      </c>
      <c r="D91" s="18" t="n">
        <v>-7.500000000007276</v>
      </c>
      <c r="E91" s="18" t="n">
        <v>-1092.300000000003</v>
      </c>
      <c r="F91" s="18" t="n">
        <v>-7.499999999999091</v>
      </c>
      <c r="G91" s="18" t="n">
        <v>-186.9000000000015</v>
      </c>
      <c r="H91" s="18" t="n">
        <v>-50.25</v>
      </c>
      <c r="I91" s="18" t="n">
        <v>-50.25000000000546</v>
      </c>
      <c r="J91" s="18" t="n">
        <v>-50.24999999999272</v>
      </c>
      <c r="K91" s="18" t="n">
        <v>-50.24999999999454</v>
      </c>
      <c r="L91" s="18" t="n">
        <v>-97.24999999999272</v>
      </c>
      <c r="M91" s="18" t="n">
        <v>-63150.15000000001</v>
      </c>
      <c r="N91" s="8" t="n"/>
      <c r="O91" s="60">
        <f>O88+O92</f>
        <v/>
      </c>
      <c r="P91" s="60">
        <f>P88+P92</f>
        <v/>
      </c>
      <c r="Q91" s="60">
        <f>Q88+Q92</f>
        <v/>
      </c>
      <c r="R91" s="60">
        <f>R88+R92</f>
        <v/>
      </c>
      <c r="S91" s="60">
        <f>S88+S92</f>
        <v/>
      </c>
      <c r="T91" s="60">
        <f>T88+T92</f>
        <v/>
      </c>
      <c r="U91" s="60">
        <f>U88+U92</f>
        <v/>
      </c>
      <c r="V91" s="60">
        <f>V88+V92</f>
        <v/>
      </c>
      <c r="W91" s="60">
        <f>W88+W92</f>
        <v/>
      </c>
      <c r="X91" s="60">
        <f>X88+X92</f>
        <v/>
      </c>
      <c r="Y91" s="60">
        <f>Y88+Y92</f>
        <v/>
      </c>
      <c r="Z91" s="60">
        <f>Z88+Z92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>
        <v>-14929.79999999999</v>
      </c>
      <c r="C92" s="18" t="n">
        <v>-17462.12000000001</v>
      </c>
      <c r="D92" s="18" t="n">
        <v>-32255.92000000002</v>
      </c>
      <c r="E92" s="18" t="n">
        <v>-17692.61</v>
      </c>
      <c r="F92" s="18" t="n">
        <v>-6933.059999999999</v>
      </c>
      <c r="G92" s="18" t="n">
        <v>-23722.18</v>
      </c>
      <c r="H92" s="18" t="n">
        <v>-38873.80999999999</v>
      </c>
      <c r="I92" s="18" t="n">
        <v>-8466.080000000002</v>
      </c>
      <c r="J92" s="18" t="n">
        <v>-10791.15</v>
      </c>
      <c r="K92" s="18" t="n">
        <v>-6936.300000000002</v>
      </c>
      <c r="L92" s="18" t="n">
        <v>-29528.28999999999</v>
      </c>
      <c r="M92" s="18" t="n">
        <v>-54333.06000000001</v>
      </c>
      <c r="N92" s="8" t="n"/>
      <c r="O92" s="60">
        <f>SUM('XSALT TB'!C2:C36)</f>
        <v/>
      </c>
      <c r="P92" s="60">
        <f>SUM('XSALT TB'!D2:D36)</f>
        <v/>
      </c>
      <c r="Q92" s="60">
        <f>SUM('XSALT TB'!E2:E36)</f>
        <v/>
      </c>
      <c r="R92" s="60">
        <f>SUM('XSALT TB'!F2:F36)</f>
        <v/>
      </c>
      <c r="S92" s="60">
        <f>SUM('XSALT TB'!G2:G36)</f>
        <v/>
      </c>
      <c r="T92" s="60">
        <f>SUM('XSALT TB'!H2:H36)</f>
        <v/>
      </c>
      <c r="U92" s="60">
        <f>SUM('XSALT TB'!I2:I36)</f>
        <v/>
      </c>
      <c r="V92" s="60">
        <f>SUM('XSALT TB'!J2:J36)</f>
        <v/>
      </c>
      <c r="W92" s="60">
        <f>SUM('XSALT TB'!K2:K36)</f>
        <v/>
      </c>
      <c r="X92" s="60">
        <f>SUM('XSALT TB'!L2:L36)</f>
        <v/>
      </c>
      <c r="Y92" s="60">
        <f>SUM('XSALT TB'!M2:M36)</f>
        <v/>
      </c>
      <c r="Z92" s="60">
        <f>SUM('XSALT TB'!N2:N36)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Smart 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35136.66</v>
      </c>
      <c r="C8" s="35" t="n">
        <v>31904.12</v>
      </c>
      <c r="D8" s="35" t="n">
        <v>37428.88</v>
      </c>
      <c r="E8" s="35" t="n">
        <v>44109.71</v>
      </c>
      <c r="F8" s="35" t="n">
        <v>35175.74</v>
      </c>
      <c r="G8" s="35" t="n">
        <v>35630.7</v>
      </c>
      <c r="H8" s="35" t="n">
        <v>48545.23</v>
      </c>
      <c r="I8" s="35" t="n">
        <v>36978.69</v>
      </c>
      <c r="J8" s="35" t="n">
        <v>23539.81</v>
      </c>
      <c r="K8" s="35" t="n">
        <v>21638.64</v>
      </c>
      <c r="L8" s="35" t="n">
        <v>21476.5</v>
      </c>
      <c r="M8" s="35" t="n">
        <v>29823.68</v>
      </c>
      <c r="N8" s="36">
        <f>SUM(B8:M8)</f>
        <v/>
      </c>
      <c r="O8" s="37">
        <f>-SUMIF('XSDN TB'!$R:$R,'SDN P&amp;L'!$A8,'XSDN TB'!C:C)</f>
        <v/>
      </c>
      <c r="P8" s="37">
        <f>-SUMIF('XSDN TB'!$R:$R,'SDN P&amp;L'!$A8,'XSDN TB'!D:D)</f>
        <v/>
      </c>
      <c r="Q8" s="37">
        <f>-SUMIF('XSDN TB'!$R:$R,'SDN P&amp;L'!$A8,'XSDN TB'!E:E)</f>
        <v/>
      </c>
      <c r="R8" s="37">
        <f>-SUMIF('XSDN TB'!$R:$R,'SDN P&amp;L'!$A8,'XSDN TB'!F:F)</f>
        <v/>
      </c>
      <c r="S8" s="37">
        <f>-SUMIF('XSDN TB'!$R:$R,'SDN P&amp;L'!$A8,'XSDN TB'!G:G)</f>
        <v/>
      </c>
      <c r="T8" s="37">
        <f>-SUMIF('XSDN TB'!$R:$R,'SDN P&amp;L'!$A8,'XSDN TB'!H:H)</f>
        <v/>
      </c>
      <c r="U8" s="37">
        <f>-SUMIF('SDN TB'!$R:$R,'SDN P&amp;L'!$A8,'SDN TB'!I:I)</f>
        <v/>
      </c>
      <c r="V8" s="38" t="n">
        <v>41496.99</v>
      </c>
      <c r="W8" s="38" t="n">
        <v>28979</v>
      </c>
      <c r="X8" s="38" t="n">
        <v>26354</v>
      </c>
      <c r="Y8" s="38" t="n">
        <v>25152</v>
      </c>
      <c r="Z8" s="38" t="n">
        <v>34880</v>
      </c>
      <c r="AA8" s="36">
        <f>SUM(O8:U8)</f>
        <v/>
      </c>
      <c r="AB8" s="36">
        <f>SUM(O8:Z8)</f>
        <v/>
      </c>
      <c r="AC8" s="38" t="n">
        <v>51523.8</v>
      </c>
      <c r="AD8" s="38" t="n">
        <v>47675.55</v>
      </c>
      <c r="AE8" s="38" t="n">
        <v>57134.76</v>
      </c>
      <c r="AF8" s="38" t="n">
        <v>48560.52</v>
      </c>
      <c r="AG8" s="38" t="n">
        <v>49676.32</v>
      </c>
      <c r="AH8" s="38" t="n">
        <v>51026.35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13402.32</v>
      </c>
      <c r="C9" s="35" t="n">
        <v>26714.04</v>
      </c>
      <c r="D9" s="35" t="n">
        <v>26714.04</v>
      </c>
      <c r="E9" s="35" t="n">
        <v>8615.389999999999</v>
      </c>
      <c r="F9" s="35" t="n">
        <v>8615.389999999999</v>
      </c>
      <c r="G9" s="35" t="n">
        <v>22603.64</v>
      </c>
      <c r="H9" s="35" t="n">
        <v>22603.63</v>
      </c>
      <c r="I9" s="35" t="n">
        <v>0</v>
      </c>
      <c r="J9" s="35" t="n">
        <v>9695.389999999999</v>
      </c>
      <c r="K9" s="35" t="n">
        <v>9695.379999999999</v>
      </c>
      <c r="L9" s="35" t="n">
        <v>23858.64</v>
      </c>
      <c r="M9" s="35" t="n">
        <v>23858.64</v>
      </c>
      <c r="N9" s="36">
        <f>SUM(B9:M9)</f>
        <v/>
      </c>
      <c r="O9" s="37">
        <f>-SUMIF('XSDN TB'!$R:$R,'SDN P&amp;L'!$A9,'XSDN TB'!C:C)</f>
        <v/>
      </c>
      <c r="P9" s="37">
        <f>-SUMIF('XSDN TB'!$R:$R,'SDN P&amp;L'!$A9,'XSDN TB'!D:D)</f>
        <v/>
      </c>
      <c r="Q9" s="37">
        <f>-SUMIF('XSDN TB'!$R:$R,'SDN P&amp;L'!$A9,'XSDN TB'!E:E)</f>
        <v/>
      </c>
      <c r="R9" s="37">
        <f>-SUMIF('XSDN TB'!$R:$R,'SDN P&amp;L'!$A9,'XSDN TB'!F:F)</f>
        <v/>
      </c>
      <c r="S9" s="37">
        <f>-SUMIF('XSDN TB'!$R:$R,'SDN P&amp;L'!$A9,'XSDN TB'!G:G)</f>
        <v/>
      </c>
      <c r="T9" s="37">
        <f>-SUMIF('XSDN TB'!$R:$R,'SDN P&amp;L'!$A9,'XSDN TB'!H:H)</f>
        <v/>
      </c>
      <c r="U9" s="37">
        <f>-SUMIF('SDN TB'!$R:$R,'SDN P&amp;L'!$A9,'SDN TB'!I:I)</f>
        <v/>
      </c>
      <c r="V9" s="38" t="n"/>
      <c r="W9" s="38" t="n">
        <v>24059</v>
      </c>
      <c r="X9" s="38" t="n">
        <v>27704</v>
      </c>
      <c r="Y9" s="38" t="n">
        <v>26479</v>
      </c>
      <c r="Z9" s="38" t="n">
        <v>11439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193.25</v>
      </c>
      <c r="C10" s="35" t="n">
        <v>100</v>
      </c>
      <c r="D10" s="35" t="n">
        <v>240</v>
      </c>
      <c r="E10" s="35" t="n">
        <v>150</v>
      </c>
      <c r="F10" s="35" t="n">
        <v>150</v>
      </c>
      <c r="G10" s="35" t="n">
        <v>180</v>
      </c>
      <c r="H10" s="35" t="n">
        <v>722.6900000000001</v>
      </c>
      <c r="I10" s="35" t="n">
        <v>3954.91</v>
      </c>
      <c r="J10" s="35" t="n">
        <v>0</v>
      </c>
      <c r="K10" s="35" t="n">
        <v>30</v>
      </c>
      <c r="L10" s="35" t="n">
        <v>0</v>
      </c>
      <c r="M10" s="35" t="n">
        <v>90</v>
      </c>
      <c r="N10" s="36">
        <f>SUM(B10:M10)</f>
        <v/>
      </c>
      <c r="O10" s="37">
        <f>-SUMIF('XSDN TB'!$R:$R,'SDN P&amp;L'!$A10,'XSDN TB'!C:C)</f>
        <v/>
      </c>
      <c r="P10" s="37">
        <f>-SUMIF('XSDN TB'!$R:$R,'SDN P&amp;L'!$A10,'XSDN TB'!D:D)</f>
        <v/>
      </c>
      <c r="Q10" s="37">
        <f>-SUMIF('XSDN TB'!$R:$R,'SDN P&amp;L'!$A10,'XSDN TB'!E:E)</f>
        <v/>
      </c>
      <c r="R10" s="37">
        <f>-SUMIF('XSDN TB'!$R:$R,'SDN P&amp;L'!$A10,'XSDN TB'!F:F)</f>
        <v/>
      </c>
      <c r="S10" s="37">
        <f>-SUMIF('XSDN TB'!$R:$R,'SDN P&amp;L'!$A10,'XSDN TB'!G:G)</f>
        <v/>
      </c>
      <c r="T10" s="37">
        <f>-SUMIF('XSDN TB'!$R:$R,'SDN P&amp;L'!$A10,'XSDN TB'!H:H)</f>
        <v/>
      </c>
      <c r="U10" s="37">
        <f>-SUMIF('SDN TB'!$R:$R,'SDN P&amp;L'!$A10,'SDN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48732.23</v>
      </c>
      <c r="C11" s="42" t="n">
        <v>58718.16</v>
      </c>
      <c r="D11" s="42" t="n">
        <v>64382.92</v>
      </c>
      <c r="E11" s="42" t="n">
        <v>52875.1</v>
      </c>
      <c r="F11" s="42" t="n">
        <v>43941.13</v>
      </c>
      <c r="G11" s="42" t="n">
        <v>58414.34</v>
      </c>
      <c r="H11" s="42" t="n">
        <v>71871.55</v>
      </c>
      <c r="I11" s="42" t="n">
        <v>40933.60000000001</v>
      </c>
      <c r="J11" s="42" t="n">
        <v>33235.2</v>
      </c>
      <c r="K11" s="42" t="n">
        <v>31364.02</v>
      </c>
      <c r="L11" s="42" t="n">
        <v>45335.14</v>
      </c>
      <c r="M11" s="42" t="n">
        <v>53772.32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79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30287.19</v>
      </c>
      <c r="C16" s="35" t="n">
        <v>28161.92</v>
      </c>
      <c r="D16" s="35" t="n">
        <v>25110.5</v>
      </c>
      <c r="E16" s="35" t="n">
        <v>28269.59</v>
      </c>
      <c r="F16" s="35" t="n">
        <v>32973.91</v>
      </c>
      <c r="G16" s="35" t="n">
        <v>26527.48</v>
      </c>
      <c r="H16" s="35" t="n">
        <v>26525.69</v>
      </c>
      <c r="I16" s="35" t="n">
        <v>24730.92</v>
      </c>
      <c r="J16" s="35" t="n">
        <v>23058.19</v>
      </c>
      <c r="K16" s="35" t="n">
        <v>26098.63</v>
      </c>
      <c r="L16" s="35" t="n">
        <v>25153.72</v>
      </c>
      <c r="M16" s="35" t="n">
        <v>28256.28</v>
      </c>
      <c r="N16" s="36">
        <f>SUM(B16:M16)</f>
        <v/>
      </c>
      <c r="O16" s="37">
        <f>SUMIF('XSDN TB'!$R:$R,'SDN P&amp;L'!$A16,'XSDN TB'!C:C)</f>
        <v/>
      </c>
      <c r="P16" s="37">
        <f>SUMIF('XSDN TB'!$R:$R,'SDN P&amp;L'!$A16,'XSDN TB'!D:D)</f>
        <v/>
      </c>
      <c r="Q16" s="37">
        <f>SUMIF('XSDN TB'!$R:$R,'SDN P&amp;L'!$A16,'XSDN TB'!E:E)</f>
        <v/>
      </c>
      <c r="R16" s="37">
        <f>SUMIF('XSDN TB'!$R:$R,'SDN P&amp;L'!$A16,'XSDN TB'!F:F)</f>
        <v/>
      </c>
      <c r="S16" s="37">
        <f>SUMIF('XSDN TB'!$R:$R,'SDN P&amp;L'!$A16,'XSDN TB'!G:G)</f>
        <v/>
      </c>
      <c r="T16" s="37">
        <f>SUMIF('XSDN TB'!$R:$R,'SDN P&amp;L'!$A16,'XSDN TB'!H:H)</f>
        <v/>
      </c>
      <c r="U16" s="37">
        <f>SUMIF('SDN TB'!$R:$R,'SDN P&amp;L'!$A16,'SDN TB'!I:I)</f>
        <v/>
      </c>
      <c r="V16" s="38" t="n">
        <v>36454.3</v>
      </c>
      <c r="W16" s="38" t="n">
        <v>36454.3</v>
      </c>
      <c r="X16" s="38" t="n">
        <v>36454.3</v>
      </c>
      <c r="Y16" s="38" t="n">
        <v>36454.3</v>
      </c>
      <c r="Z16" s="38" t="n">
        <v>36454.3</v>
      </c>
      <c r="AA16" s="36">
        <f>SUM(O16:U16)</f>
        <v/>
      </c>
      <c r="AB16" s="36">
        <f>SUM(O16:Z16)</f>
        <v/>
      </c>
      <c r="AC16" s="38" t="n">
        <v>36454.3</v>
      </c>
      <c r="AD16" s="38" t="n">
        <v>36454.3</v>
      </c>
      <c r="AE16" s="38" t="n">
        <v>36454.3</v>
      </c>
      <c r="AF16" s="38" t="n">
        <v>36454.3</v>
      </c>
      <c r="AG16" s="38" t="n">
        <v>36454.3</v>
      </c>
      <c r="AH16" s="38" t="n">
        <v>36454.3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2317.34</v>
      </c>
      <c r="C17" s="35" t="n">
        <v>2017.92</v>
      </c>
      <c r="D17" s="35" t="n">
        <v>1979.38</v>
      </c>
      <c r="E17" s="35" t="n">
        <v>2908.34</v>
      </c>
      <c r="F17" s="35" t="n">
        <v>3305.33</v>
      </c>
      <c r="G17" s="35" t="n">
        <v>2920.15</v>
      </c>
      <c r="H17" s="35" t="n">
        <v>3181.89</v>
      </c>
      <c r="I17" s="35" t="n">
        <v>2824.01</v>
      </c>
      <c r="J17" s="35" t="n">
        <v>2565.3</v>
      </c>
      <c r="K17" s="35" t="n">
        <v>2981.29</v>
      </c>
      <c r="L17" s="35" t="n">
        <v>2854.93</v>
      </c>
      <c r="M17" s="35" t="n">
        <v>3162.72</v>
      </c>
      <c r="N17" s="36">
        <f>SUM(B17:M17)</f>
        <v/>
      </c>
      <c r="O17" s="37">
        <f>SUMIF('XSDN TB'!$R:$R,'SDN P&amp;L'!$A17,'XSDN TB'!C:C)</f>
        <v/>
      </c>
      <c r="P17" s="37">
        <f>SUMIF('XSDN TB'!$R:$R,'SDN P&amp;L'!$A17,'XSDN TB'!D:D)</f>
        <v/>
      </c>
      <c r="Q17" s="37">
        <f>SUMIF('XSDN TB'!$R:$R,'SDN P&amp;L'!$A17,'XSDN TB'!E:E)</f>
        <v/>
      </c>
      <c r="R17" s="37">
        <f>SUMIF('XSDN TB'!$R:$R,'SDN P&amp;L'!$A17,'XSDN TB'!F:F)</f>
        <v/>
      </c>
      <c r="S17" s="37">
        <f>SUMIF('XSDN TB'!$R:$R,'SDN P&amp;L'!$A17,'XSDN TB'!G:G)</f>
        <v/>
      </c>
      <c r="T17" s="37">
        <f>SUMIF('XSDN TB'!$R:$R,'SDN P&amp;L'!$A17,'XSDN TB'!H:H)</f>
        <v/>
      </c>
      <c r="U17" s="37">
        <f>SUMIF('SDN TB'!$R:$R,'SDN P&amp;L'!$A17,'SDN TB'!I:I)</f>
        <v/>
      </c>
      <c r="V17" s="38" t="n">
        <v>4331.47</v>
      </c>
      <c r="W17" s="38" t="n">
        <v>4331.47</v>
      </c>
      <c r="X17" s="38" t="n">
        <v>4331.47</v>
      </c>
      <c r="Y17" s="38" t="n">
        <v>4331.47</v>
      </c>
      <c r="Z17" s="38" t="n">
        <v>4331.47</v>
      </c>
      <c r="AA17" s="36">
        <f>SUM(O17:U17)</f>
        <v/>
      </c>
      <c r="AB17" s="36">
        <f>SUM(O17:Z17)</f>
        <v/>
      </c>
      <c r="AC17" s="38" t="n">
        <v>4331.47</v>
      </c>
      <c r="AD17" s="38" t="n">
        <v>4331.47</v>
      </c>
      <c r="AE17" s="38" t="n">
        <v>4331.47</v>
      </c>
      <c r="AF17" s="38" t="n">
        <v>4331.47</v>
      </c>
      <c r="AG17" s="38" t="n">
        <v>4331.47</v>
      </c>
      <c r="AH17" s="38" t="n">
        <v>4331.47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544.37</v>
      </c>
      <c r="C18" s="35" t="n">
        <v>517.16</v>
      </c>
      <c r="D18" s="35" t="n">
        <v>508.79</v>
      </c>
      <c r="E18" s="35" t="n">
        <v>544.54</v>
      </c>
      <c r="F18" s="35" t="n">
        <v>503.06</v>
      </c>
      <c r="G18" s="35" t="n">
        <v>476.9</v>
      </c>
      <c r="H18" s="35" t="n">
        <v>596.13</v>
      </c>
      <c r="I18" s="35" t="n">
        <v>527.66</v>
      </c>
      <c r="J18" s="35" t="n">
        <v>475.92</v>
      </c>
      <c r="K18" s="35" t="n">
        <v>557.97</v>
      </c>
      <c r="L18" s="35" t="n">
        <v>531.24</v>
      </c>
      <c r="M18" s="35" t="n">
        <v>587.5599999999999</v>
      </c>
      <c r="N18" s="36">
        <f>SUM(B18:M18)</f>
        <v/>
      </c>
      <c r="O18" s="37">
        <f>SUMIF('XSDN TB'!$R:$R,'SDN P&amp;L'!$A18,'XSDN TB'!C:C)</f>
        <v/>
      </c>
      <c r="P18" s="37">
        <f>SUMIF('XSDN TB'!$R:$R,'SDN P&amp;L'!$A18,'XSDN TB'!D:D)</f>
        <v/>
      </c>
      <c r="Q18" s="37">
        <f>SUMIF('XSDN TB'!$R:$R,'SDN P&amp;L'!$A18,'XSDN TB'!E:E)</f>
        <v/>
      </c>
      <c r="R18" s="37">
        <f>SUMIF('XSDN TB'!$R:$R,'SDN P&amp;L'!$A18,'XSDN TB'!F:F)</f>
        <v/>
      </c>
      <c r="S18" s="37">
        <f>SUMIF('XSDN TB'!$R:$R,'SDN P&amp;L'!$A18,'XSDN TB'!G:G)</f>
        <v/>
      </c>
      <c r="T18" s="37">
        <f>SUMIF('XSDN TB'!$R:$R,'SDN P&amp;L'!$A18,'XSDN TB'!H:H)</f>
        <v/>
      </c>
      <c r="U18" s="37">
        <f>SUMIF('SDN TB'!$R:$R,'SDN P&amp;L'!$A18,'SDN TB'!I:I)</f>
        <v/>
      </c>
      <c r="V18" s="38" t="n">
        <v>650.65</v>
      </c>
      <c r="W18" s="38" t="n">
        <v>650.65</v>
      </c>
      <c r="X18" s="38" t="n">
        <v>650.65</v>
      </c>
      <c r="Y18" s="38" t="n">
        <v>650.65</v>
      </c>
      <c r="Z18" s="38" t="n">
        <v>650.65</v>
      </c>
      <c r="AA18" s="36">
        <f>SUM(O18:U18)</f>
        <v/>
      </c>
      <c r="AB18" s="36">
        <f>SUM(O18:Z18)</f>
        <v/>
      </c>
      <c r="AC18" s="38" t="n">
        <v>650.65</v>
      </c>
      <c r="AD18" s="38" t="n">
        <v>650.65</v>
      </c>
      <c r="AE18" s="38" t="n">
        <v>650.65</v>
      </c>
      <c r="AF18" s="38" t="n">
        <v>650.65</v>
      </c>
      <c r="AG18" s="38" t="n">
        <v>650.65</v>
      </c>
      <c r="AH18" s="38" t="n">
        <v>650.65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47.28</v>
      </c>
      <c r="E19" s="35" t="n">
        <v>0</v>
      </c>
      <c r="F19" s="35" t="n">
        <v>0</v>
      </c>
      <c r="G19" s="35" t="n">
        <v>0</v>
      </c>
      <c r="H19" s="35" t="n">
        <v>91.14</v>
      </c>
      <c r="I19" s="35" t="n">
        <v>100.14</v>
      </c>
      <c r="J19" s="35" t="n">
        <v>0</v>
      </c>
      <c r="K19" s="35" t="n">
        <v>0</v>
      </c>
      <c r="L19" s="35" t="n">
        <v>39.54</v>
      </c>
      <c r="M19" s="35" t="n">
        <v>24.98</v>
      </c>
      <c r="N19" s="36">
        <f>SUM(B19:M19)</f>
        <v/>
      </c>
      <c r="O19" s="37">
        <f>SUMIF('XSDN TB'!$R:$R,'SDN P&amp;L'!$A19,'XSDN TB'!C:C)</f>
        <v/>
      </c>
      <c r="P19" s="37">
        <f>SUMIF('XSDN TB'!$R:$R,'SDN P&amp;L'!$A19,'XSDN TB'!D:D)</f>
        <v/>
      </c>
      <c r="Q19" s="37">
        <f>SUMIF('XSDN TB'!$R:$R,'SDN P&amp;L'!$A19,'XSDN TB'!E:E)</f>
        <v/>
      </c>
      <c r="R19" s="37">
        <f>SUMIF('XSDN TB'!$R:$R,'SDN P&amp;L'!$A19,'XSDN TB'!F:F)</f>
        <v/>
      </c>
      <c r="S19" s="37">
        <f>SUMIF('XSDN TB'!$R:$R,'SDN P&amp;L'!$A19,'XSDN TB'!G:G)</f>
        <v/>
      </c>
      <c r="T19" s="37">
        <f>SUMIF('XSDN TB'!$R:$R,'SDN P&amp;L'!$A19,'XSDN TB'!H:H)</f>
        <v/>
      </c>
      <c r="U19" s="37">
        <f>SUMIF('SDN TB'!$R:$R,'SDN P&amp;L'!$A19,'SDN TB'!I:I)</f>
        <v/>
      </c>
      <c r="V19" s="38" t="n">
        <v>73.35000000000001</v>
      </c>
      <c r="W19" s="38" t="n">
        <v>73.35000000000001</v>
      </c>
      <c r="X19" s="38" t="n">
        <v>73.35000000000001</v>
      </c>
      <c r="Y19" s="38" t="n">
        <v>73.35000000000001</v>
      </c>
      <c r="Z19" s="38" t="n">
        <v>73.35000000000001</v>
      </c>
      <c r="AA19" s="36">
        <f>SUM(O19:U19)</f>
        <v/>
      </c>
      <c r="AB19" s="36">
        <f>SUM(O19:Z19)</f>
        <v/>
      </c>
      <c r="AC19" s="38" t="n">
        <v>73.35000000000001</v>
      </c>
      <c r="AD19" s="38" t="n">
        <v>73.35000000000001</v>
      </c>
      <c r="AE19" s="38" t="n">
        <v>73.35000000000001</v>
      </c>
      <c r="AF19" s="38" t="n">
        <v>73.35000000000001</v>
      </c>
      <c r="AG19" s="38" t="n">
        <v>73.35000000000001</v>
      </c>
      <c r="AH19" s="38" t="n">
        <v>73.35000000000001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0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0</v>
      </c>
      <c r="H20" s="35" t="n">
        <v>162</v>
      </c>
      <c r="I20" s="35" t="n">
        <v>0</v>
      </c>
      <c r="J20" s="35" t="n">
        <v>180.76</v>
      </c>
      <c r="K20" s="35" t="n">
        <v>37.2</v>
      </c>
      <c r="L20" s="35" t="n">
        <v>0</v>
      </c>
      <c r="M20" s="35" t="n">
        <v>13</v>
      </c>
      <c r="N20" s="36">
        <f>SUM(B20:M20)</f>
        <v/>
      </c>
      <c r="O20" s="37">
        <f>SUMIF('XSDN TB'!$R:$R,'SDN P&amp;L'!$A20,'XSDN TB'!C:C)</f>
        <v/>
      </c>
      <c r="P20" s="37">
        <f>SUMIF('XSDN TB'!$R:$R,'SDN P&amp;L'!$A20,'XSDN TB'!D:D)</f>
        <v/>
      </c>
      <c r="Q20" s="37">
        <f>SUMIF('XSDN TB'!$R:$R,'SDN P&amp;L'!$A20,'XSDN TB'!E:E)</f>
        <v/>
      </c>
      <c r="R20" s="37">
        <f>SUMIF('XSDN TB'!$R:$R,'SDN P&amp;L'!$A20,'XSDN TB'!F:F)</f>
        <v/>
      </c>
      <c r="S20" s="37">
        <f>SUMIF('XSDN TB'!$R:$R,'SDN P&amp;L'!$A20,'XSDN TB'!G:G)</f>
        <v/>
      </c>
      <c r="T20" s="37">
        <f>SUMIF('XSDN TB'!$R:$R,'SDN P&amp;L'!$A20,'XSDN TB'!H:H)</f>
        <v/>
      </c>
      <c r="U20" s="37">
        <f>SUMIF('SDN TB'!$R:$R,'SDN P&amp;L'!$A20,'SDN TB'!I:I)</f>
        <v/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113.59</v>
      </c>
      <c r="C21" s="35" t="n">
        <v>168.36</v>
      </c>
      <c r="D21" s="35" t="n">
        <v>51.79</v>
      </c>
      <c r="E21" s="35" t="n">
        <v>150.6</v>
      </c>
      <c r="F21" s="35" t="n">
        <v>120.41</v>
      </c>
      <c r="G21" s="35" t="n">
        <v>113.1</v>
      </c>
      <c r="H21" s="35" t="n">
        <v>47.23</v>
      </c>
      <c r="I21" s="35" t="n">
        <v>145.53</v>
      </c>
      <c r="J21" s="35" t="n">
        <v>0</v>
      </c>
      <c r="K21" s="35" t="n">
        <v>110.87</v>
      </c>
      <c r="L21" s="35" t="n">
        <v>175.33</v>
      </c>
      <c r="M21" s="35" t="n">
        <v>89.36</v>
      </c>
      <c r="N21" s="36">
        <f>SUM(B21:M21)</f>
        <v/>
      </c>
      <c r="O21" s="37">
        <f>SUMIF('XSDN TB'!$R:$R,'SDN P&amp;L'!$A21,'XSDN TB'!C:C)</f>
        <v/>
      </c>
      <c r="P21" s="37">
        <f>SUMIF('XSDN TB'!$R:$R,'SDN P&amp;L'!$A21,'XSDN TB'!D:D)</f>
        <v/>
      </c>
      <c r="Q21" s="37">
        <f>SUMIF('XSDN TB'!$R:$R,'SDN P&amp;L'!$A21,'XSDN TB'!E:E)</f>
        <v/>
      </c>
      <c r="R21" s="37">
        <f>SUMIF('XSDN TB'!$R:$R,'SDN P&amp;L'!$A21,'XSDN TB'!F:F)</f>
        <v/>
      </c>
      <c r="S21" s="37">
        <f>SUMIF('XSDN TB'!$R:$R,'SDN P&amp;L'!$A21,'XSDN TB'!G:G)</f>
        <v/>
      </c>
      <c r="T21" s="37">
        <f>SUMIF('XSDN TB'!$R:$R,'SDN P&amp;L'!$A21,'XSDN TB'!H:H)</f>
        <v/>
      </c>
      <c r="U21" s="37">
        <f>SUMIF('SDN TB'!$R:$R,'SDN P&amp;L'!$A21,'SDN TB'!I:I)</f>
        <v/>
      </c>
      <c r="V21" s="38" t="n">
        <v>150</v>
      </c>
      <c r="W21" s="38" t="n">
        <v>150</v>
      </c>
      <c r="X21" s="38" t="n">
        <v>150</v>
      </c>
      <c r="Y21" s="38" t="n">
        <v>150</v>
      </c>
      <c r="Z21" s="38" t="n">
        <v>150</v>
      </c>
      <c r="AA21" s="36">
        <f>SUM(O21:U21)</f>
        <v/>
      </c>
      <c r="AB21" s="36">
        <f>SUM(O21:Z21)</f>
        <v/>
      </c>
      <c r="AC21" s="38" t="n">
        <v>150</v>
      </c>
      <c r="AD21" s="38" t="n">
        <v>150</v>
      </c>
      <c r="AE21" s="38" t="n">
        <v>150</v>
      </c>
      <c r="AF21" s="38" t="n">
        <v>150</v>
      </c>
      <c r="AG21" s="38" t="n">
        <v>150</v>
      </c>
      <c r="AH21" s="38" t="n">
        <v>150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SUMIF('XSDN TB'!$R:$R,'SDN P&amp;L'!$A22,'XSDN TB'!C:C)</f>
        <v/>
      </c>
      <c r="P22" s="37">
        <f>SUMIF('XSDN TB'!$R:$R,'SDN P&amp;L'!$A22,'XSDN TB'!D:D)</f>
        <v/>
      </c>
      <c r="Q22" s="37">
        <f>SUMIF('XSDN TB'!$R:$R,'SDN P&amp;L'!$A22,'XSDN TB'!E:E)</f>
        <v/>
      </c>
      <c r="R22" s="37">
        <f>SUMIF('XSDN TB'!$R:$R,'SDN P&amp;L'!$A22,'XSDN TB'!F:F)</f>
        <v/>
      </c>
      <c r="S22" s="37">
        <f>SUMIF('XSDN TB'!$R:$R,'SDN P&amp;L'!$A22,'XSDN TB'!G:G)</f>
        <v/>
      </c>
      <c r="T22" s="37">
        <f>SUMIF('XSDN TB'!$R:$R,'SDN P&amp;L'!$A22,'XSDN TB'!H:H)</f>
        <v/>
      </c>
      <c r="U22" s="37">
        <f>SUMIF('SDN TB'!$R:$R,'SDN P&amp;L'!$A22,'SDN TB'!I:I)</f>
        <v/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51</v>
      </c>
      <c r="L23" s="35" t="n">
        <v>0</v>
      </c>
      <c r="M23" s="35" t="n">
        <v>0</v>
      </c>
      <c r="N23" s="36">
        <f>SUM(B23:M23)</f>
        <v/>
      </c>
      <c r="O23" s="37">
        <f>SUMIF('XSDN TB'!$R:$R,'SDN P&amp;L'!$A23,'XSDN TB'!C:C)</f>
        <v/>
      </c>
      <c r="P23" s="37">
        <f>SUMIF('XSDN TB'!$R:$R,'SDN P&amp;L'!$A23,'XSDN TB'!D:D)</f>
        <v/>
      </c>
      <c r="Q23" s="37">
        <f>SUMIF('XSDN TB'!$R:$R,'SDN P&amp;L'!$A23,'XSDN TB'!E:E)</f>
        <v/>
      </c>
      <c r="R23" s="37">
        <f>SUMIF('XSDN TB'!$R:$R,'SDN P&amp;L'!$A23,'XSDN TB'!F:F)</f>
        <v/>
      </c>
      <c r="S23" s="37">
        <f>SUMIF('XSDN TB'!$R:$R,'SDN P&amp;L'!$A23,'XSDN TB'!G:G)</f>
        <v/>
      </c>
      <c r="T23" s="37">
        <f>SUMIF('XSDN TB'!$R:$R,'SDN P&amp;L'!$A23,'XSDN TB'!H:H)</f>
        <v/>
      </c>
      <c r="U23" s="37">
        <f>SUMIF('SDN TB'!$R:$R,'SDN P&amp;L'!$A23,'SDN TB'!I:I)</f>
        <v/>
      </c>
      <c r="V23" s="38" t="n">
        <v>63</v>
      </c>
      <c r="W23" s="38" t="n">
        <v>63</v>
      </c>
      <c r="X23" s="38" t="n">
        <v>63</v>
      </c>
      <c r="Y23" s="38" t="n">
        <v>63</v>
      </c>
      <c r="Z23" s="38" t="n">
        <v>63</v>
      </c>
      <c r="AA23" s="36">
        <f>SUM(O23:U23)</f>
        <v/>
      </c>
      <c r="AB23" s="36">
        <f>SUM(O23:Z23)</f>
        <v/>
      </c>
      <c r="AC23" s="38" t="n">
        <v>63</v>
      </c>
      <c r="AD23" s="38" t="n">
        <v>63</v>
      </c>
      <c r="AE23" s="38" t="n">
        <v>63</v>
      </c>
      <c r="AF23" s="38" t="n">
        <v>63</v>
      </c>
      <c r="AG23" s="38" t="n">
        <v>63</v>
      </c>
      <c r="AH23" s="38" t="n">
        <v>63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SUMIF('XSDN TB'!$R:$R,'SDN P&amp;L'!$A24,'XSDN TB'!C:C)</f>
        <v/>
      </c>
      <c r="P24" s="37">
        <f>SUMIF('XSDN TB'!$R:$R,'SDN P&amp;L'!$A24,'XSDN TB'!D:D)</f>
        <v/>
      </c>
      <c r="Q24" s="37">
        <f>SUMIF('XSDN TB'!$R:$R,'SDN P&amp;L'!$A24,'XSDN TB'!E:E)</f>
        <v/>
      </c>
      <c r="R24" s="37">
        <f>SUMIF('XSDN TB'!$R:$R,'SDN P&amp;L'!$A24,'XSDN TB'!F:F)</f>
        <v/>
      </c>
      <c r="S24" s="37">
        <f>SUMIF('XSDN TB'!$R:$R,'SDN P&amp;L'!$A24,'XSDN TB'!G:G)</f>
        <v/>
      </c>
      <c r="T24" s="37">
        <f>SUMIF('XSDN TB'!$R:$R,'SDN P&amp;L'!$A24,'XSDN TB'!H:H)</f>
        <v/>
      </c>
      <c r="U24" s="37">
        <f>SUMIF('SDN TB'!$R:$R,'SDN P&amp;L'!$A24,'SDN TB'!I:I)</f>
        <v/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33262.49</v>
      </c>
      <c r="C25" s="42" t="n">
        <v>30865.36</v>
      </c>
      <c r="D25" s="42" t="n">
        <v>27697.74</v>
      </c>
      <c r="E25" s="42" t="n">
        <v>31873.07</v>
      </c>
      <c r="F25" s="42" t="n">
        <v>36902.71000000001</v>
      </c>
      <c r="G25" s="42" t="n">
        <v>30037.63</v>
      </c>
      <c r="H25" s="42" t="n">
        <v>30604.08</v>
      </c>
      <c r="I25" s="42" t="n">
        <v>28328.26</v>
      </c>
      <c r="J25" s="42" t="n">
        <v>26280.16999999999</v>
      </c>
      <c r="K25" s="42" t="n">
        <v>29836.96</v>
      </c>
      <c r="L25" s="42" t="n">
        <v>28754.76000000001</v>
      </c>
      <c r="M25" s="42" t="n">
        <v>32133.9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1567.44</v>
      </c>
      <c r="C27" s="35" t="n">
        <v>1984.79</v>
      </c>
      <c r="D27" s="35" t="n">
        <v>1532.82</v>
      </c>
      <c r="E27" s="35" t="n">
        <v>1541.61</v>
      </c>
      <c r="F27" s="35" t="n">
        <v>1710.34</v>
      </c>
      <c r="G27" s="35" t="n">
        <v>1913.82</v>
      </c>
      <c r="H27" s="35" t="n">
        <v>1900.36</v>
      </c>
      <c r="I27" s="35" t="n">
        <v>1513.73</v>
      </c>
      <c r="J27" s="35" t="n">
        <v>1347.69</v>
      </c>
      <c r="K27" s="35" t="n">
        <v>1248.11</v>
      </c>
      <c r="L27" s="35" t="n">
        <v>1303.32</v>
      </c>
      <c r="M27" s="35" t="n">
        <v>1021.02</v>
      </c>
      <c r="N27" s="36">
        <f>SUM(B27:M27)</f>
        <v/>
      </c>
      <c r="O27" s="37">
        <f>SUMIF('XSDN TB'!$R:$R,'SDN P&amp;L'!$A27,'XSDN TB'!C:C)</f>
        <v/>
      </c>
      <c r="P27" s="37">
        <f>SUMIF('XSDN TB'!$R:$R,'SDN P&amp;L'!$A27,'XSDN TB'!D:D)</f>
        <v/>
      </c>
      <c r="Q27" s="37">
        <f>SUMIF('XSDN TB'!$R:$R,'SDN P&amp;L'!$A27,'XSDN TB'!E:E)</f>
        <v/>
      </c>
      <c r="R27" s="37">
        <f>SUMIF('XSDN TB'!$R:$R,'SDN P&amp;L'!$A27,'XSDN TB'!F:F)</f>
        <v/>
      </c>
      <c r="S27" s="37">
        <f>SUMIF('XSDN TB'!$R:$R,'SDN P&amp;L'!$A27,'XSDN TB'!G:G)</f>
        <v/>
      </c>
      <c r="T27" s="37">
        <f>SUMIF('XSDN TB'!$R:$R,'SDN P&amp;L'!$A27,'XSDN TB'!H:H)</f>
        <v/>
      </c>
      <c r="U27" s="37">
        <f>SUMIF('SDN TB'!$R:$R,'SDN P&amp;L'!$A27,'SDN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222.62</v>
      </c>
      <c r="C28" s="35" t="n">
        <v>59.73999999999999</v>
      </c>
      <c r="D28" s="35" t="n">
        <v>73.67999999999999</v>
      </c>
      <c r="E28" s="35" t="n">
        <v>488.16</v>
      </c>
      <c r="F28" s="35" t="n">
        <v>415.09</v>
      </c>
      <c r="G28" s="35" t="n">
        <v>429.36</v>
      </c>
      <c r="H28" s="35" t="n">
        <v>221.83</v>
      </c>
      <c r="I28" s="35" t="n">
        <v>213.52</v>
      </c>
      <c r="J28" s="35" t="n">
        <v>155</v>
      </c>
      <c r="K28" s="35" t="n">
        <v>76.69</v>
      </c>
      <c r="L28" s="35" t="n">
        <v>104.83</v>
      </c>
      <c r="M28" s="35" t="n">
        <v>51.49</v>
      </c>
      <c r="N28" s="36">
        <f>SUM(B28:M28)</f>
        <v/>
      </c>
      <c r="O28" s="37">
        <f>SUMIF('XSDN TB'!$R:$R,'SDN P&amp;L'!$A28,'XSDN TB'!C:C)</f>
        <v/>
      </c>
      <c r="P28" s="37">
        <f>SUMIF('XSDN TB'!$R:$R,'SDN P&amp;L'!$A28,'XSDN TB'!D:D)</f>
        <v/>
      </c>
      <c r="Q28" s="37">
        <f>SUMIF('XSDN TB'!$R:$R,'SDN P&amp;L'!$A28,'XSDN TB'!E:E)</f>
        <v/>
      </c>
      <c r="R28" s="37">
        <f>SUMIF('XSDN TB'!$R:$R,'SDN P&amp;L'!$A28,'XSDN TB'!F:F)</f>
        <v/>
      </c>
      <c r="S28" s="37">
        <f>SUMIF('XSDN TB'!$R:$R,'SDN P&amp;L'!$A28,'XSDN TB'!G:G)</f>
        <v/>
      </c>
      <c r="T28" s="37">
        <f>SUMIF('XSDN TB'!$R:$R,'SDN P&amp;L'!$A28,'XSDN TB'!H:H)</f>
        <v/>
      </c>
      <c r="U28" s="37">
        <f>SUMIF('SDN TB'!$R:$R,'SDN P&amp;L'!$A28,'SDN TB'!I:I)</f>
        <v/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199.22</v>
      </c>
      <c r="C29" s="35" t="n">
        <v>495.7599999999999</v>
      </c>
      <c r="D29" s="35" t="n">
        <v>33.84</v>
      </c>
      <c r="E29" s="35" t="n">
        <v>86.84</v>
      </c>
      <c r="F29" s="35" t="n">
        <v>145.97</v>
      </c>
      <c r="G29" s="35" t="n">
        <v>167.57</v>
      </c>
      <c r="H29" s="35" t="n">
        <v>170.99</v>
      </c>
      <c r="I29" s="35" t="n">
        <v>238.61</v>
      </c>
      <c r="J29" s="35" t="n">
        <v>137.82</v>
      </c>
      <c r="K29" s="35" t="n">
        <v>292.09</v>
      </c>
      <c r="L29" s="35" t="n">
        <v>282.84</v>
      </c>
      <c r="M29" s="35" t="n">
        <v>212.34</v>
      </c>
      <c r="N29" s="36">
        <f>SUM(B29:M29)</f>
        <v/>
      </c>
      <c r="O29" s="37">
        <f>SUMIF('XSDN TB'!$R:$R,'SDN P&amp;L'!$A29,'XSDN TB'!C:C)</f>
        <v/>
      </c>
      <c r="P29" s="37">
        <f>SUMIF('XSDN TB'!$R:$R,'SDN P&amp;L'!$A29,'XSDN TB'!D:D)</f>
        <v/>
      </c>
      <c r="Q29" s="37">
        <f>SUMIF('XSDN TB'!$R:$R,'SDN P&amp;L'!$A29,'XSDN TB'!E:E)</f>
        <v/>
      </c>
      <c r="R29" s="37">
        <f>SUMIF('XSDN TB'!$R:$R,'SDN P&amp;L'!$A29,'XSDN TB'!F:F)</f>
        <v/>
      </c>
      <c r="S29" s="37">
        <f>SUMIF('XSDN TB'!$R:$R,'SDN P&amp;L'!$A29,'XSDN TB'!G:G)</f>
        <v/>
      </c>
      <c r="T29" s="37">
        <f>SUMIF('XSDN TB'!$R:$R,'SDN P&amp;L'!$A29,'XSDN TB'!H:H)</f>
        <v/>
      </c>
      <c r="U29" s="37">
        <f>SUMIF('SDN TB'!$R:$R,'SDN P&amp;L'!$A29,'SDN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80" t="n">
        <v>0.00208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SUMIF('XSDN TB'!$R:$R,'SDN P&amp;L'!$A30,'XSDN TB'!C:C)</f>
        <v/>
      </c>
      <c r="P30" s="37">
        <f>SUMIF('XSDN TB'!$R:$R,'SDN P&amp;L'!$A30,'XSDN TB'!D:D)</f>
        <v/>
      </c>
      <c r="Q30" s="37">
        <f>SUMIF('XSDN TB'!$R:$R,'SDN P&amp;L'!$A30,'XSDN TB'!E:E)</f>
        <v/>
      </c>
      <c r="R30" s="37">
        <f>SUMIF('XSDN TB'!$R:$R,'SDN P&amp;L'!$A30,'XSDN TB'!F:F)</f>
        <v/>
      </c>
      <c r="S30" s="37">
        <f>SUMIF('XSDN TB'!$R:$R,'SDN P&amp;L'!$A30,'XSDN TB'!G:G)</f>
        <v/>
      </c>
      <c r="T30" s="37">
        <f>SUMIF('XSDN TB'!$R:$R,'SDN P&amp;L'!$A30,'XSDN TB'!H:H)</f>
        <v/>
      </c>
      <c r="U30" s="37">
        <f>SUMIF('SDN TB'!$R:$R,'SDN P&amp;L'!$A30,'SDN TB'!I:I)</f>
        <v/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0</v>
      </c>
      <c r="C31" s="35" t="n">
        <v>306.01</v>
      </c>
      <c r="D31" s="35" t="n">
        <v>335.76</v>
      </c>
      <c r="E31" s="35" t="n">
        <v>5.49</v>
      </c>
      <c r="F31" s="35" t="n">
        <v>344.88</v>
      </c>
      <c r="G31" s="35" t="n">
        <v>0</v>
      </c>
      <c r="H31" s="35" t="n">
        <v>159.56</v>
      </c>
      <c r="I31" s="35" t="n">
        <v>34.84999999999999</v>
      </c>
      <c r="J31" s="35" t="n">
        <v>146.99</v>
      </c>
      <c r="K31" s="35" t="n">
        <v>99.87</v>
      </c>
      <c r="L31" s="35" t="n">
        <v>14.99</v>
      </c>
      <c r="M31" s="35" t="n">
        <v>49.87</v>
      </c>
      <c r="N31" s="36">
        <f>SUM(B31:M31)</f>
        <v/>
      </c>
      <c r="O31" s="37">
        <f>SUMIF('XSDN TB'!$R:$R,'SDN P&amp;L'!$A31,'XSDN TB'!C:C)</f>
        <v/>
      </c>
      <c r="P31" s="37">
        <f>SUMIF('XSDN TB'!$R:$R,'SDN P&amp;L'!$A31,'XSDN TB'!D:D)</f>
        <v/>
      </c>
      <c r="Q31" s="37">
        <f>SUMIF('XSDN TB'!$R:$R,'SDN P&amp;L'!$A31,'XSDN TB'!E:E)</f>
        <v/>
      </c>
      <c r="R31" s="37">
        <f>SUMIF('XSDN TB'!$R:$R,'SDN P&amp;L'!$A31,'XSDN TB'!F:F)</f>
        <v/>
      </c>
      <c r="S31" s="37">
        <f>SUMIF('XSDN TB'!$R:$R,'SDN P&amp;L'!$A31,'XSDN TB'!G:G)</f>
        <v/>
      </c>
      <c r="T31" s="37">
        <f>SUMIF('XSDN TB'!$R:$R,'SDN P&amp;L'!$A31,'XSDN TB'!H:H)</f>
        <v/>
      </c>
      <c r="U31" s="37">
        <f>SUMIF('SDN TB'!$R:$R,'SDN P&amp;L'!$A31,'SDN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18.87</v>
      </c>
      <c r="C32" s="35" t="n">
        <v>114.9</v>
      </c>
      <c r="D32" s="35" t="n">
        <v>135.47</v>
      </c>
      <c r="E32" s="35" t="n">
        <v>17.31</v>
      </c>
      <c r="F32" s="35" t="n">
        <v>112.19</v>
      </c>
      <c r="G32" s="35" t="n">
        <v>0</v>
      </c>
      <c r="H32" s="35" t="n">
        <v>13.89</v>
      </c>
      <c r="I32" s="35" t="n">
        <v>233.47</v>
      </c>
      <c r="J32" s="35" t="n">
        <v>59.64</v>
      </c>
      <c r="K32" s="35" t="n">
        <v>170.31</v>
      </c>
      <c r="L32" s="35" t="n">
        <v>206.26</v>
      </c>
      <c r="M32" s="35" t="n">
        <v>171.28</v>
      </c>
      <c r="N32" s="36">
        <f>SUM(B32:M32)</f>
        <v/>
      </c>
      <c r="O32" s="37">
        <f>SUMIF('XSDN TB'!$R:$R,'SDN P&amp;L'!$A32,'XSDN TB'!C:C)</f>
        <v/>
      </c>
      <c r="P32" s="37">
        <f>SUMIF('XSDN TB'!$R:$R,'SDN P&amp;L'!$A32,'XSDN TB'!D:D)</f>
        <v/>
      </c>
      <c r="Q32" s="37">
        <f>SUMIF('XSDN TB'!$R:$R,'SDN P&amp;L'!$A32,'XSDN TB'!E:E)</f>
        <v/>
      </c>
      <c r="R32" s="37">
        <f>SUMIF('XSDN TB'!$R:$R,'SDN P&amp;L'!$A32,'XSDN TB'!F:F)</f>
        <v/>
      </c>
      <c r="S32" s="37">
        <f>SUMIF('XSDN TB'!$R:$R,'SDN P&amp;L'!$A32,'XSDN TB'!G:G)</f>
        <v/>
      </c>
      <c r="T32" s="37">
        <f>SUMIF('XSDN TB'!$R:$R,'SDN P&amp;L'!$A32,'XSDN TB'!H:H)</f>
        <v/>
      </c>
      <c r="U32" s="37">
        <f>SUMIF('SDN TB'!$R:$R,'SDN P&amp;L'!$A32,'SDN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0.005200000000000001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SUMIF('XSDN TB'!$R:$R,'SDN P&amp;L'!$A33,'XSDN TB'!C:C)</f>
        <v/>
      </c>
      <c r="P33" s="37">
        <f>SUMIF('XSDN TB'!$R:$R,'SDN P&amp;L'!$A33,'XSDN TB'!D:D)</f>
        <v/>
      </c>
      <c r="Q33" s="37">
        <f>SUMIF('XSDN TB'!$R:$R,'SDN P&amp;L'!$A33,'XSDN TB'!E:E)</f>
        <v/>
      </c>
      <c r="R33" s="37">
        <f>SUMIF('XSDN TB'!$R:$R,'SDN P&amp;L'!$A33,'XSDN TB'!F:F)</f>
        <v/>
      </c>
      <c r="S33" s="37">
        <f>SUMIF('XSDN TB'!$R:$R,'SDN P&amp;L'!$A33,'XSDN TB'!G:G)</f>
        <v/>
      </c>
      <c r="T33" s="37">
        <f>SUMIF('XSDN TB'!$R:$R,'SDN P&amp;L'!$A33,'XSDN TB'!H:H)</f>
        <v/>
      </c>
      <c r="U33" s="37">
        <f>SUMIF('SDN TB'!$R:$R,'SDN P&amp;L'!$A33,'SDN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2008.15</v>
      </c>
      <c r="C34" s="42" t="n">
        <v>2961.2</v>
      </c>
      <c r="D34" s="42" t="n">
        <v>2111.57</v>
      </c>
      <c r="E34" s="42" t="n">
        <v>2139.41</v>
      </c>
      <c r="F34" s="42" t="n">
        <v>2728.47</v>
      </c>
      <c r="G34" s="42" t="n">
        <v>2510.75</v>
      </c>
      <c r="H34" s="42" t="n">
        <v>2466.63</v>
      </c>
      <c r="I34" s="42" t="n">
        <v>2234.18</v>
      </c>
      <c r="J34" s="42" t="n">
        <v>1847.14</v>
      </c>
      <c r="K34" s="42" t="n">
        <v>1887.07</v>
      </c>
      <c r="L34" s="42" t="n">
        <v>1912.24</v>
      </c>
      <c r="M34" s="42" t="n">
        <v>1506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SUMIF('XSDN TB'!$R:$R,'SDN P&amp;L'!$A36,'XSDN TB'!C:C)</f>
        <v/>
      </c>
      <c r="P36" s="37">
        <f>SUMIF('XSDN TB'!$R:$R,'SDN P&amp;L'!$A36,'XSDN TB'!D:D)</f>
        <v/>
      </c>
      <c r="Q36" s="37">
        <f>SUMIF('XSDN TB'!$R:$R,'SDN P&amp;L'!$A36,'XSDN TB'!E:E)</f>
        <v/>
      </c>
      <c r="R36" s="37">
        <f>SUMIF('XSDN TB'!$R:$R,'SDN P&amp;L'!$A36,'XSDN TB'!F:F)</f>
        <v/>
      </c>
      <c r="S36" s="37">
        <f>SUMIF('XSDN TB'!$R:$R,'SDN P&amp;L'!$A36,'XSDN TB'!G:G)</f>
        <v/>
      </c>
      <c r="T36" s="37">
        <f>SUMIF('XSDN TB'!$R:$R,'SDN P&amp;L'!$A36,'XSDN TB'!H:H)</f>
        <v/>
      </c>
      <c r="U36" s="37" t="n"/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1263.58</v>
      </c>
      <c r="C37" s="35" t="n">
        <v>1263.58</v>
      </c>
      <c r="D37" s="35" t="n">
        <v>1300.46</v>
      </c>
      <c r="E37" s="35" t="n">
        <v>1263.58</v>
      </c>
      <c r="F37" s="35" t="n">
        <v>1263.59</v>
      </c>
      <c r="G37" s="35" t="n">
        <v>1263.58</v>
      </c>
      <c r="H37" s="35" t="n">
        <v>1263.58</v>
      </c>
      <c r="I37" s="35" t="n">
        <v>1263.58</v>
      </c>
      <c r="J37" s="35" t="n">
        <v>1263.58</v>
      </c>
      <c r="K37" s="35" t="n">
        <v>1263.58</v>
      </c>
      <c r="L37" s="35" t="n">
        <v>1263.58</v>
      </c>
      <c r="M37" s="35" t="n">
        <v>1263.58</v>
      </c>
      <c r="N37" s="36">
        <f>SUM(B37:M37)</f>
        <v/>
      </c>
      <c r="O37" s="37">
        <f>SUMIF('XSDN TB'!$R:$R,'SDN P&amp;L'!$A37,'XSDN TB'!C:C)</f>
        <v/>
      </c>
      <c r="P37" s="37">
        <f>SUMIF('XSDN TB'!$R:$R,'SDN P&amp;L'!$A37,'XSDN TB'!D:D)</f>
        <v/>
      </c>
      <c r="Q37" s="37">
        <f>SUMIF('XSDN TB'!$R:$R,'SDN P&amp;L'!$A37,'XSDN TB'!E:E)</f>
        <v/>
      </c>
      <c r="R37" s="37">
        <f>SUMIF('XSDN TB'!$R:$R,'SDN P&amp;L'!$A37,'XSDN TB'!F:F)</f>
        <v/>
      </c>
      <c r="S37" s="37">
        <f>SUMIF('XSDN TB'!$R:$R,'SDN P&amp;L'!$A37,'XSDN TB'!G:G)</f>
        <v/>
      </c>
      <c r="T37" s="37">
        <f>SUMIF('XSDN TB'!$R:$R,'SDN P&amp;L'!$A37,'XSDN TB'!H:H)</f>
        <v/>
      </c>
      <c r="U37" s="37">
        <f>SUMIF('SDN TB'!$R:$R,'SDN P&amp;L'!$A37,'SDN TB'!I:I)</f>
        <v/>
      </c>
      <c r="V37" s="38" t="n">
        <v>1503</v>
      </c>
      <c r="W37" s="38" t="n">
        <v>1503</v>
      </c>
      <c r="X37" s="38" t="n">
        <v>1503</v>
      </c>
      <c r="Y37" s="38" t="n">
        <v>1503</v>
      </c>
      <c r="Z37" s="38" t="n">
        <v>1503</v>
      </c>
      <c r="AA37" s="36">
        <f>SUM(O37:U37)</f>
        <v/>
      </c>
      <c r="AB37" s="36">
        <f>SUM(O37:Z37)</f>
        <v/>
      </c>
      <c r="AC37" s="38" t="n">
        <v>1503</v>
      </c>
      <c r="AD37" s="38" t="n">
        <v>1503</v>
      </c>
      <c r="AE37" s="38" t="n">
        <v>1503</v>
      </c>
      <c r="AF37" s="38" t="n">
        <v>1503</v>
      </c>
      <c r="AG37" s="38" t="n">
        <v>1503</v>
      </c>
      <c r="AH37" s="38" t="n">
        <v>1503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1548.48</v>
      </c>
      <c r="C38" s="35" t="n">
        <v>1795.97</v>
      </c>
      <c r="D38" s="35" t="n">
        <v>1775.8</v>
      </c>
      <c r="E38" s="35" t="n">
        <v>1821.43</v>
      </c>
      <c r="F38" s="35" t="n">
        <v>994.7900000000001</v>
      </c>
      <c r="G38" s="35" t="n">
        <v>965.26</v>
      </c>
      <c r="H38" s="35" t="n">
        <v>867.74</v>
      </c>
      <c r="I38" s="35" t="n">
        <v>930.28</v>
      </c>
      <c r="J38" s="35" t="n">
        <v>882.15</v>
      </c>
      <c r="K38" s="35" t="n">
        <v>955.24</v>
      </c>
      <c r="L38" s="35" t="n">
        <v>1003.91</v>
      </c>
      <c r="M38" s="35" t="n">
        <v>347.26</v>
      </c>
      <c r="N38" s="36">
        <f>SUM(B38:M38)</f>
        <v/>
      </c>
      <c r="O38" s="37">
        <f>SUMIF('XSDN TB'!$R:$R,'SDN P&amp;L'!$A38,'XSDN TB'!C:C)</f>
        <v/>
      </c>
      <c r="P38" s="37">
        <f>SUMIF('XSDN TB'!$R:$R,'SDN P&amp;L'!$A38,'XSDN TB'!D:D)</f>
        <v/>
      </c>
      <c r="Q38" s="37">
        <f>SUMIF('XSDN TB'!$R:$R,'SDN P&amp;L'!$A38,'XSDN TB'!E:E)</f>
        <v/>
      </c>
      <c r="R38" s="37">
        <f>SUMIF('XSDN TB'!$R:$R,'SDN P&amp;L'!$A38,'XSDN TB'!F:F)</f>
        <v/>
      </c>
      <c r="S38" s="37">
        <f>SUMIF('XSDN TB'!$R:$R,'SDN P&amp;L'!$A38,'XSDN TB'!G:G)</f>
        <v/>
      </c>
      <c r="T38" s="37">
        <f>SUMIF('XSDN TB'!$R:$R,'SDN P&amp;L'!$A38,'XSDN TB'!H:H)</f>
        <v/>
      </c>
      <c r="U38" s="37">
        <f>SUMIF('SDN TB'!$R:$R,'SDN P&amp;L'!$A38,'SDN TB'!I:I)</f>
        <v/>
      </c>
      <c r="V38" s="38" t="n">
        <v>840</v>
      </c>
      <c r="W38" s="38" t="n">
        <v>840</v>
      </c>
      <c r="X38" s="38" t="n">
        <v>840</v>
      </c>
      <c r="Y38" s="38" t="n">
        <v>840</v>
      </c>
      <c r="Z38" s="38" t="n">
        <v>840</v>
      </c>
      <c r="AA38" s="36">
        <f>SUM(O38:U38)</f>
        <v/>
      </c>
      <c r="AB38" s="36">
        <f>SUM(O38:Z38)</f>
        <v/>
      </c>
      <c r="AC38" s="38" t="n">
        <v>840</v>
      </c>
      <c r="AD38" s="38" t="n">
        <v>840</v>
      </c>
      <c r="AE38" s="38" t="n">
        <v>840</v>
      </c>
      <c r="AF38" s="38" t="n">
        <v>840</v>
      </c>
      <c r="AG38" s="38" t="n">
        <v>840</v>
      </c>
      <c r="AH38" s="38" t="n">
        <v>840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524.33</v>
      </c>
      <c r="C39" s="35" t="n">
        <v>390.5599999999999</v>
      </c>
      <c r="D39" s="35" t="n">
        <v>512.22</v>
      </c>
      <c r="E39" s="35" t="n">
        <v>57.92</v>
      </c>
      <c r="F39" s="35" t="n">
        <v>489.11</v>
      </c>
      <c r="G39" s="35" t="n">
        <v>201.13</v>
      </c>
      <c r="H39" s="35" t="n">
        <v>134.13</v>
      </c>
      <c r="I39" s="35" t="n">
        <v>373.59</v>
      </c>
      <c r="J39" s="35" t="n">
        <v>106.35</v>
      </c>
      <c r="K39" s="35" t="n">
        <v>161.51</v>
      </c>
      <c r="L39" s="35" t="n">
        <v>300.59</v>
      </c>
      <c r="M39" s="35" t="n">
        <v>430.6</v>
      </c>
      <c r="N39" s="36">
        <f>SUM(B39:M39)</f>
        <v/>
      </c>
      <c r="O39" s="37">
        <f>SUMIF('XSDN TB'!$R:$R,'SDN P&amp;L'!$A39,'XSDN TB'!C:C)</f>
        <v/>
      </c>
      <c r="P39" s="37">
        <f>SUMIF('XSDN TB'!$R:$R,'SDN P&amp;L'!$A39,'XSDN TB'!D:D)</f>
        <v/>
      </c>
      <c r="Q39" s="37">
        <f>SUMIF('XSDN TB'!$R:$R,'SDN P&amp;L'!$A39,'XSDN TB'!E:E)</f>
        <v/>
      </c>
      <c r="R39" s="37">
        <f>SUMIF('XSDN TB'!$R:$R,'SDN P&amp;L'!$A39,'XSDN TB'!F:F)</f>
        <v/>
      </c>
      <c r="S39" s="37">
        <f>SUMIF('XSDN TB'!$R:$R,'SDN P&amp;L'!$A39,'XSDN TB'!G:G)</f>
        <v/>
      </c>
      <c r="T39" s="37">
        <f>SUMIF('XSDN TB'!$R:$R,'SDN P&amp;L'!$A39,'XSDN TB'!H:H)</f>
        <v/>
      </c>
      <c r="U39" s="37">
        <f>SUMIF('SDN TB'!$R:$R,'SDN P&amp;L'!$A39,'SDN TB'!I:I)</f>
        <v/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396.5600000000001</v>
      </c>
      <c r="C40" s="35" t="n">
        <v>271</v>
      </c>
      <c r="D40" s="35" t="n">
        <v>270.02</v>
      </c>
      <c r="E40" s="35" t="n">
        <v>362.36</v>
      </c>
      <c r="F40" s="35" t="n">
        <v>392.06</v>
      </c>
      <c r="G40" s="35" t="n">
        <v>280.72</v>
      </c>
      <c r="H40" s="35" t="n">
        <v>264.16</v>
      </c>
      <c r="I40" s="35" t="n">
        <v>300.25</v>
      </c>
      <c r="J40" s="35" t="n">
        <v>193.25</v>
      </c>
      <c r="K40" s="35" t="n">
        <v>369.08</v>
      </c>
      <c r="L40" s="35" t="n">
        <v>339.99</v>
      </c>
      <c r="M40" s="35" t="n">
        <v>119.65</v>
      </c>
      <c r="N40" s="36">
        <f>SUM(B40:M40)</f>
        <v/>
      </c>
      <c r="O40" s="37">
        <f>SUMIF('XSDN TB'!$R:$R,'SDN P&amp;L'!$A40,'XSDN TB'!C:C)</f>
        <v/>
      </c>
      <c r="P40" s="37">
        <f>SUMIF('XSDN TB'!$R:$R,'SDN P&amp;L'!$A40,'XSDN TB'!D:D)</f>
        <v/>
      </c>
      <c r="Q40" s="37">
        <f>SUMIF('XSDN TB'!$R:$R,'SDN P&amp;L'!$A40,'XSDN TB'!E:E)</f>
        <v/>
      </c>
      <c r="R40" s="37">
        <f>SUMIF('XSDN TB'!$R:$R,'SDN P&amp;L'!$A40,'XSDN TB'!F:F)</f>
        <v/>
      </c>
      <c r="S40" s="37">
        <f>SUMIF('XSDN TB'!$R:$R,'SDN P&amp;L'!$A40,'XSDN TB'!G:G)</f>
        <v/>
      </c>
      <c r="T40" s="37">
        <f>SUMIF('XSDN TB'!$R:$R,'SDN P&amp;L'!$A40,'XSDN TB'!H:H)</f>
        <v/>
      </c>
      <c r="U40" s="37">
        <f>SUMIF('SDN TB'!$R:$R,'SDN P&amp;L'!$A40,'SDN TB'!I:I)</f>
        <v/>
      </c>
      <c r="V40" s="38" t="n">
        <v>242</v>
      </c>
      <c r="W40" s="38" t="n">
        <v>242</v>
      </c>
      <c r="X40" s="38" t="n">
        <v>242</v>
      </c>
      <c r="Y40" s="38" t="n">
        <v>242</v>
      </c>
      <c r="Z40" s="38" t="n">
        <v>242</v>
      </c>
      <c r="AA40" s="36">
        <f>SUM(O40:U40)</f>
        <v/>
      </c>
      <c r="AB40" s="36">
        <f>SUM(O40:Z40)</f>
        <v/>
      </c>
      <c r="AC40" s="38" t="n">
        <v>242</v>
      </c>
      <c r="AD40" s="38" t="n">
        <v>242</v>
      </c>
      <c r="AE40" s="38" t="n">
        <v>242</v>
      </c>
      <c r="AF40" s="38" t="n">
        <v>242</v>
      </c>
      <c r="AG40" s="38" t="n">
        <v>242</v>
      </c>
      <c r="AH40" s="38" t="n">
        <v>242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308.93</v>
      </c>
      <c r="C41" s="35" t="n">
        <v>362.03</v>
      </c>
      <c r="D41" s="35" t="n">
        <v>281.93</v>
      </c>
      <c r="E41" s="35" t="n">
        <v>329.99</v>
      </c>
      <c r="F41" s="35" t="n">
        <v>314.02</v>
      </c>
      <c r="G41" s="35" t="n">
        <v>314.02</v>
      </c>
      <c r="H41" s="35" t="n">
        <v>389.84</v>
      </c>
      <c r="I41" s="35" t="n">
        <v>314.02</v>
      </c>
      <c r="J41" s="35" t="n">
        <v>540.8200000000001</v>
      </c>
      <c r="K41" s="35" t="n">
        <v>341.02</v>
      </c>
      <c r="L41" s="35" t="n">
        <v>314.02</v>
      </c>
      <c r="M41" s="35" t="n">
        <v>361.42</v>
      </c>
      <c r="N41" s="36">
        <f>SUM(B41:M41)</f>
        <v/>
      </c>
      <c r="O41" s="37">
        <f>SUMIF('XSDN TB'!$R:$R,'SDN P&amp;L'!$A41,'XSDN TB'!C:C)</f>
        <v/>
      </c>
      <c r="P41" s="37">
        <f>SUMIF('XSDN TB'!$R:$R,'SDN P&amp;L'!$A41,'XSDN TB'!D:D)</f>
        <v/>
      </c>
      <c r="Q41" s="37">
        <f>SUMIF('XSDN TB'!$R:$R,'SDN P&amp;L'!$A41,'XSDN TB'!E:E)</f>
        <v/>
      </c>
      <c r="R41" s="37">
        <f>SUMIF('XSDN TB'!$R:$R,'SDN P&amp;L'!$A41,'XSDN TB'!F:F)</f>
        <v/>
      </c>
      <c r="S41" s="37">
        <f>SUMIF('XSDN TB'!$R:$R,'SDN P&amp;L'!$A41,'XSDN TB'!G:G)</f>
        <v/>
      </c>
      <c r="T41" s="37">
        <f>SUMIF('XSDN TB'!$R:$R,'SDN P&amp;L'!$A41,'XSDN TB'!H:H)</f>
        <v/>
      </c>
      <c r="U41" s="37">
        <f>SUMIF('SDN TB'!$R:$R,'SDN P&amp;L'!$A41,'SDN TB'!I:I)</f>
        <v/>
      </c>
      <c r="V41" s="38" t="n">
        <v>298</v>
      </c>
      <c r="W41" s="38" t="n">
        <v>298</v>
      </c>
      <c r="X41" s="38" t="n">
        <v>298</v>
      </c>
      <c r="Y41" s="38" t="n">
        <v>298</v>
      </c>
      <c r="Z41" s="38" t="n">
        <v>298</v>
      </c>
      <c r="AA41" s="36">
        <f>SUM(O41:U41)</f>
        <v/>
      </c>
      <c r="AB41" s="36">
        <f>SUM(O41:Z41)</f>
        <v/>
      </c>
      <c r="AC41" s="38" t="n">
        <v>298</v>
      </c>
      <c r="AD41" s="38" t="n">
        <v>298</v>
      </c>
      <c r="AE41" s="38" t="n">
        <v>298</v>
      </c>
      <c r="AF41" s="38" t="n">
        <v>298</v>
      </c>
      <c r="AG41" s="38" t="n">
        <v>298</v>
      </c>
      <c r="AH41" s="38" t="n">
        <v>298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557.6900000000001</v>
      </c>
      <c r="C42" s="35" t="n">
        <v>106.55</v>
      </c>
      <c r="D42" s="35" t="n">
        <v>240.41</v>
      </c>
      <c r="E42" s="35" t="n">
        <v>125.88</v>
      </c>
      <c r="F42" s="35" t="n">
        <v>167.31</v>
      </c>
      <c r="G42" s="35" t="n">
        <v>183.93</v>
      </c>
      <c r="H42" s="35" t="n">
        <v>95.75999999999999</v>
      </c>
      <c r="I42" s="35" t="n">
        <v>90.22</v>
      </c>
      <c r="J42" s="35" t="n">
        <v>53.93000000000001</v>
      </c>
      <c r="K42" s="35" t="n">
        <v>168.56</v>
      </c>
      <c r="L42" s="35" t="n">
        <v>112.62</v>
      </c>
      <c r="M42" s="35" t="n">
        <v>144.07</v>
      </c>
      <c r="N42" s="36">
        <f>SUM(B42:M42)</f>
        <v/>
      </c>
      <c r="O42" s="37">
        <f>SUMIF('XSDN TB'!$R:$R,'SDN P&amp;L'!$A42,'XSDN TB'!C:C)</f>
        <v/>
      </c>
      <c r="P42" s="37">
        <f>SUMIF('XSDN TB'!$R:$R,'SDN P&amp;L'!$A42,'XSDN TB'!D:D)</f>
        <v/>
      </c>
      <c r="Q42" s="37">
        <f>SUMIF('XSDN TB'!$R:$R,'SDN P&amp;L'!$A42,'XSDN TB'!E:E)</f>
        <v/>
      </c>
      <c r="R42" s="37">
        <f>SUMIF('XSDN TB'!$R:$R,'SDN P&amp;L'!$A42,'XSDN TB'!F:F)</f>
        <v/>
      </c>
      <c r="S42" s="37">
        <f>SUMIF('XSDN TB'!$R:$R,'SDN P&amp;L'!$A42,'XSDN TB'!G:G)</f>
        <v/>
      </c>
      <c r="T42" s="37">
        <f>SUMIF('XSDN TB'!$R:$R,'SDN P&amp;L'!$A42,'XSDN TB'!H:H)</f>
        <v/>
      </c>
      <c r="U42" s="37">
        <f>SUMIF('SDN TB'!$R:$R,'SDN P&amp;L'!$A42,'SDN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SUMIF('XSDN TB'!$R:$R,'SDN P&amp;L'!$A43,'XSDN TB'!C:C)</f>
        <v/>
      </c>
      <c r="P43" s="37">
        <f>SUMIF('XSDN TB'!$R:$R,'SDN P&amp;L'!$A43,'XSDN TB'!D:D)</f>
        <v/>
      </c>
      <c r="Q43" s="37">
        <f>SUMIF('XSDN TB'!$R:$R,'SDN P&amp;L'!$A43,'XSDN TB'!E:E)</f>
        <v/>
      </c>
      <c r="R43" s="37">
        <f>SUMIF('XSDN TB'!$R:$R,'SDN P&amp;L'!$A43,'XSDN TB'!F:F)</f>
        <v/>
      </c>
      <c r="S43" s="37">
        <f>SUMIF('XSDN TB'!$R:$R,'SDN P&amp;L'!$A43,'XSDN TB'!G:G)</f>
        <v/>
      </c>
      <c r="T43" s="37">
        <f>SUMIF('XSDN TB'!$R:$R,'SDN P&amp;L'!$A43,'XSDN TB'!H:H)</f>
        <v/>
      </c>
      <c r="U43" s="37">
        <f>SUMIF('SDN TB'!$R:$R,'SDN P&amp;L'!$A43,'SDN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SUMIF('XSDN TB'!$R:$R,'SDN P&amp;L'!$A44,'XSDN TB'!C:C)</f>
        <v/>
      </c>
      <c r="P44" s="37">
        <f>SUMIF('XSDN TB'!$R:$R,'SDN P&amp;L'!$A44,'XSDN TB'!D:D)</f>
        <v/>
      </c>
      <c r="Q44" s="37">
        <f>SUMIF('XSDN TB'!$R:$R,'SDN P&amp;L'!$A44,'XSDN TB'!E:E)</f>
        <v/>
      </c>
      <c r="R44" s="37">
        <f>SUMIF('XSDN TB'!$R:$R,'SDN P&amp;L'!$A44,'XSDN TB'!F:F)</f>
        <v/>
      </c>
      <c r="S44" s="37">
        <f>SUMIF('XSDN TB'!$R:$R,'SDN P&amp;L'!$A44,'XSDN TB'!G:G)</f>
        <v/>
      </c>
      <c r="T44" s="37">
        <f>SUMIF('XSDN TB'!$R:$R,'SDN P&amp;L'!$A44,'XSDN TB'!H:H)</f>
        <v/>
      </c>
      <c r="U44" s="37">
        <f>SUMIF('SDN TB'!$R:$R,'SDN P&amp;L'!$A44,'SDN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57</v>
      </c>
      <c r="K45" s="35" t="n">
        <v>324.79</v>
      </c>
      <c r="L45" s="35" t="n">
        <v>0</v>
      </c>
      <c r="M45" s="35" t="n">
        <v>0</v>
      </c>
      <c r="N45" s="36">
        <f>SUM(B45:M45)</f>
        <v/>
      </c>
      <c r="O45" s="37">
        <f>SUMIF('XSDN TB'!$R:$R,'SDN P&amp;L'!$A45,'XSDN TB'!C:C)</f>
        <v/>
      </c>
      <c r="P45" s="37">
        <f>SUMIF('XSDN TB'!$R:$R,'SDN P&amp;L'!$A45,'XSDN TB'!D:D)</f>
        <v/>
      </c>
      <c r="Q45" s="37">
        <f>SUMIF('XSDN TB'!$R:$R,'SDN P&amp;L'!$A45,'XSDN TB'!E:E)</f>
        <v/>
      </c>
      <c r="R45" s="37">
        <f>SUMIF('XSDN TB'!$R:$R,'SDN P&amp;L'!$A45,'XSDN TB'!F:F)</f>
        <v/>
      </c>
      <c r="S45" s="37">
        <f>SUMIF('XSDN TB'!$R:$R,'SDN P&amp;L'!$A45,'XSDN TB'!G:G)</f>
        <v/>
      </c>
      <c r="T45" s="37">
        <f>SUMIF('XSDN TB'!$R:$R,'SDN P&amp;L'!$A45,'XSDN TB'!H:H)</f>
        <v/>
      </c>
      <c r="U45" s="37">
        <f>SUMIF('SDN TB'!$R:$R,'SDN P&amp;L'!$A45,'SDN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SUMIF('XSDN TB'!$R:$R,'SDN P&amp;L'!$A46,'XSDN TB'!C:C)</f>
        <v/>
      </c>
      <c r="P46" s="37">
        <f>SUMIF('XSDN TB'!$R:$R,'SDN P&amp;L'!$A46,'XSDN TB'!D:D)</f>
        <v/>
      </c>
      <c r="Q46" s="37">
        <f>SUMIF('XSDN TB'!$R:$R,'SDN P&amp;L'!$A46,'XSDN TB'!E:E)</f>
        <v/>
      </c>
      <c r="R46" s="37">
        <f>SUMIF('XSDN TB'!$R:$R,'SDN P&amp;L'!$A46,'XSDN TB'!F:F)</f>
        <v/>
      </c>
      <c r="S46" s="37">
        <f>SUMIF('XSDN TB'!$R:$R,'SDN P&amp;L'!$A46,'XSDN TB'!G:G)</f>
        <v/>
      </c>
      <c r="T46" s="37">
        <f>SUMIF('XSDN TB'!$R:$R,'SDN P&amp;L'!$A46,'XSDN TB'!H:H)</f>
        <v/>
      </c>
      <c r="U46" s="37">
        <f>SUMIF('SDN TB'!$R:$R,'SDN P&amp;L'!$A46,'SDN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4599.57</v>
      </c>
      <c r="C47" s="42" t="n">
        <v>4189.690000000001</v>
      </c>
      <c r="D47" s="42" t="n">
        <v>4380.84</v>
      </c>
      <c r="E47" s="42" t="n">
        <v>3961.160000000001</v>
      </c>
      <c r="F47" s="42" t="n">
        <v>3620.88</v>
      </c>
      <c r="G47" s="42" t="n">
        <v>3208.64</v>
      </c>
      <c r="H47" s="42" t="n">
        <v>3015.21</v>
      </c>
      <c r="I47" s="42" t="n">
        <v>3271.94</v>
      </c>
      <c r="J47" s="42" t="n">
        <v>3097.08</v>
      </c>
      <c r="K47" s="42" t="n">
        <v>3583.78</v>
      </c>
      <c r="L47" s="42" t="n">
        <v>3334.71</v>
      </c>
      <c r="M47" s="42" t="n">
        <v>2666.58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39870.21</v>
      </c>
      <c r="C48" s="23" t="n">
        <v>38016.25</v>
      </c>
      <c r="D48" s="23" t="n">
        <v>34190.15</v>
      </c>
      <c r="E48" s="23" t="n">
        <v>37973.64</v>
      </c>
      <c r="F48" s="23" t="n">
        <v>43252.06</v>
      </c>
      <c r="G48" s="23" t="n">
        <v>35757.02</v>
      </c>
      <c r="H48" s="23" t="n">
        <v>36085.92</v>
      </c>
      <c r="I48" s="23" t="n">
        <v>33834.38</v>
      </c>
      <c r="J48" s="23" t="n">
        <v>31224.38999999999</v>
      </c>
      <c r="K48" s="23" t="n">
        <v>35307.81</v>
      </c>
      <c r="L48" s="23" t="n">
        <v>34001.71000000001</v>
      </c>
      <c r="M48" s="23" t="n">
        <v>36306.48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>U25+U34+U47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8862.019999999997</v>
      </c>
      <c r="C50" s="55" t="n">
        <v>20701.91</v>
      </c>
      <c r="D50" s="55" t="n">
        <v>30192.77</v>
      </c>
      <c r="E50" s="55" t="n">
        <v>14901.46</v>
      </c>
      <c r="F50" s="55" t="n">
        <v>689.0699999999924</v>
      </c>
      <c r="G50" s="55" t="n">
        <v>22657.31999999999</v>
      </c>
      <c r="H50" s="55" t="n">
        <v>35785.63</v>
      </c>
      <c r="I50" s="55" t="n">
        <v>7099.220000000008</v>
      </c>
      <c r="J50" s="55" t="n">
        <v>2010.810000000005</v>
      </c>
      <c r="K50" s="55" t="n">
        <v>-3943.790000000008</v>
      </c>
      <c r="L50" s="55" t="n">
        <v>11333.42999999999</v>
      </c>
      <c r="M50" s="55" t="n">
        <v>17465.84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6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SUMIF('XSDN TB'!$R:$R,'SDN P&amp;L'!$A53,'XSDN TB'!C:C)</f>
        <v/>
      </c>
      <c r="P53" s="37">
        <f>SUMIF('XSDN TB'!$R:$R,'SDN P&amp;L'!$A53,'XSDN TB'!D:D)</f>
        <v/>
      </c>
      <c r="Q53" s="37">
        <f>SUMIF('XSDN TB'!$R:$R,'SDN P&amp;L'!$A53,'XSDN TB'!E:E)</f>
        <v/>
      </c>
      <c r="R53" s="37">
        <f>SUMIF('XSDN TB'!$R:$R,'SDN P&amp;L'!$A53,'XSDN TB'!F:F)</f>
        <v/>
      </c>
      <c r="S53" s="37">
        <f>SUMIF('XSDN TB'!$R:$R,'SDN P&amp;L'!$A53,'XSDN TB'!G:G)</f>
        <v/>
      </c>
      <c r="T53" s="37">
        <f>SUMIF('XSDN TB'!$R:$R,'SDN P&amp;L'!$A53,'XSDN TB'!H:H)</f>
        <v/>
      </c>
      <c r="U53" s="37">
        <f>SUMIF('SDN TB'!$R:$R,'SDN P&amp;L'!$A53,'SDN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SUMIF('XSDN TB'!$R:$R,'SDN P&amp;L'!$A54,'XSDN TB'!C:C)</f>
        <v/>
      </c>
      <c r="P54" s="37">
        <f>SUMIF('XSDN TB'!$R:$R,'SDN P&amp;L'!$A54,'XSDN TB'!D:D)</f>
        <v/>
      </c>
      <c r="Q54" s="37">
        <f>SUMIF('XSDN TB'!$R:$R,'SDN P&amp;L'!$A54,'XSDN TB'!E:E)</f>
        <v/>
      </c>
      <c r="R54" s="37">
        <f>SUMIF('XSDN TB'!$R:$R,'SDN P&amp;L'!$A54,'XSDN TB'!F:F)</f>
        <v/>
      </c>
      <c r="S54" s="37">
        <f>SUMIF('XSDN TB'!$R:$R,'SDN P&amp;L'!$A54,'XSDN TB'!G:G)</f>
        <v/>
      </c>
      <c r="T54" s="37">
        <f>SUMIF('XSDN TB'!$R:$R,'SDN P&amp;L'!$A54,'XSDN TB'!H:H)</f>
        <v/>
      </c>
      <c r="U54" s="37">
        <f>SUMIF('SDN TB'!$R:$R,'SDN P&amp;L'!$A54,'SDN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SUMIF('XSDN TB'!$R:$R,'SDN P&amp;L'!$A55,'XSDN TB'!C:C)</f>
        <v/>
      </c>
      <c r="P55" s="37">
        <f>SUMIF('XSDN TB'!$R:$R,'SDN P&amp;L'!$A55,'XSDN TB'!D:D)</f>
        <v/>
      </c>
      <c r="Q55" s="37">
        <f>SUMIF('XSDN TB'!$R:$R,'SDN P&amp;L'!$A55,'XSDN TB'!E:E)</f>
        <v/>
      </c>
      <c r="R55" s="37">
        <f>SUMIF('XSDN TB'!$R:$R,'SDN P&amp;L'!$A55,'XSDN TB'!F:F)</f>
        <v/>
      </c>
      <c r="S55" s="37">
        <f>SUMIF('XSDN TB'!$R:$R,'SDN P&amp;L'!$A55,'XSDN TB'!G:G)</f>
        <v/>
      </c>
      <c r="T55" s="37">
        <f>SUMIF('XSDN TB'!$R:$R,'SDN P&amp;L'!$A55,'XSDN TB'!H:H)</f>
        <v/>
      </c>
      <c r="U55" s="37">
        <f>SUMIF('SDN TB'!$R:$R,'SDN P&amp;L'!$A55,'SDN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SUMIF('XSDN TB'!$R:$R,'SDN P&amp;L'!$A56,'XSDN TB'!C:C)</f>
        <v/>
      </c>
      <c r="P56" s="37">
        <f>SUMIF('XSDN TB'!$R:$R,'SDN P&amp;L'!$A56,'XSDN TB'!D:D)</f>
        <v/>
      </c>
      <c r="Q56" s="37">
        <f>SUMIF('XSDN TB'!$R:$R,'SDN P&amp;L'!$A56,'XSDN TB'!E:E)</f>
        <v/>
      </c>
      <c r="R56" s="37">
        <f>SUMIF('XSDN TB'!$R:$R,'SDN P&amp;L'!$A56,'XSDN TB'!F:F)</f>
        <v/>
      </c>
      <c r="S56" s="37">
        <f>SUMIF('XSDN TB'!$R:$R,'SDN P&amp;L'!$A56,'XSDN TB'!G:G)</f>
        <v/>
      </c>
      <c r="T56" s="37">
        <f>SUMIF('XSDN TB'!$R:$R,'SDN P&amp;L'!$A56,'XSDN TB'!H:H)</f>
        <v/>
      </c>
      <c r="U56" s="37">
        <f>SUMIF('SDN TB'!$R:$R,'SDN P&amp;L'!$A56,'SDN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348.87</v>
      </c>
      <c r="N57" s="36">
        <f>SUM(B57:M57)</f>
        <v/>
      </c>
      <c r="O57" s="37">
        <f>SUMIF('XSDN TB'!$R:$R,'SDN P&amp;L'!$A57,'XSDN TB'!C:C)</f>
        <v/>
      </c>
      <c r="P57" s="37">
        <f>SUMIF('XSDN TB'!$R:$R,'SDN P&amp;L'!$A57,'XSDN TB'!D:D)</f>
        <v/>
      </c>
      <c r="Q57" s="37">
        <f>SUMIF('XSDN TB'!$R:$R,'SDN P&amp;L'!$A57,'XSDN TB'!E:E)</f>
        <v/>
      </c>
      <c r="R57" s="37">
        <f>SUMIF('XSDN TB'!$R:$R,'SDN P&amp;L'!$A57,'XSDN TB'!F:F)</f>
        <v/>
      </c>
      <c r="S57" s="37">
        <f>SUMIF('XSDN TB'!$R:$R,'SDN P&amp;L'!$A57,'XSDN TB'!G:G)</f>
        <v/>
      </c>
      <c r="T57" s="37">
        <f>SUMIF('XSDN TB'!$R:$R,'SDN P&amp;L'!$A57,'XSDN TB'!H:H)</f>
        <v/>
      </c>
      <c r="U57" s="37">
        <f>SUMIF('SDN TB'!$R:$R,'SDN P&amp;L'!$A57,'SDN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SUMIF('XSDN TB'!$R:$R,'SDN P&amp;L'!$A58,'XSDN TB'!C:C)</f>
        <v/>
      </c>
      <c r="P58" s="37">
        <f>SUMIF('XSDN TB'!$R:$R,'SDN P&amp;L'!$A58,'XSDN TB'!D:D)</f>
        <v/>
      </c>
      <c r="Q58" s="37">
        <f>SUMIF('XSDN TB'!$R:$R,'SDN P&amp;L'!$A58,'XSDN TB'!E:E)</f>
        <v/>
      </c>
      <c r="R58" s="37">
        <f>SUMIF('XSDN TB'!$R:$R,'SDN P&amp;L'!$A58,'XSDN TB'!F:F)</f>
        <v/>
      </c>
      <c r="S58" s="37">
        <f>SUMIF('XSDN TB'!$R:$R,'SDN P&amp;L'!$A58,'XSDN TB'!G:G)</f>
        <v/>
      </c>
      <c r="T58" s="37">
        <f>SUMIF('XSDN TB'!$R:$R,'SDN P&amp;L'!$A58,'XSDN TB'!H:H)</f>
        <v/>
      </c>
      <c r="U58" s="37">
        <f>SUMIF('SDN TB'!$R:$R,'SDN P&amp;L'!$A58,'SDN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201.37</v>
      </c>
      <c r="D59" s="35" t="n">
        <v>201.37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201.37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SUMIF('XSDN TB'!$R:$R,'SDN P&amp;L'!$A59,'XSDN TB'!C:C)</f>
        <v/>
      </c>
      <c r="P59" s="37">
        <f>SUMIF('XSDN TB'!$R:$R,'SDN P&amp;L'!$A59,'XSDN TB'!D:D)</f>
        <v/>
      </c>
      <c r="Q59" s="37">
        <f>SUMIF('XSDN TB'!$R:$R,'SDN P&amp;L'!$A59,'XSDN TB'!E:E)</f>
        <v/>
      </c>
      <c r="R59" s="37">
        <f>SUMIF('XSDN TB'!$R:$R,'SDN P&amp;L'!$A59,'XSDN TB'!F:F)</f>
        <v/>
      </c>
      <c r="S59" s="37">
        <f>SUMIF('XSDN TB'!$R:$R,'SDN P&amp;L'!$A59,'XSDN TB'!G:G)</f>
        <v/>
      </c>
      <c r="T59" s="37">
        <f>SUMIF('XSDN TB'!$R:$R,'SDN P&amp;L'!$A59,'XSDN TB'!H:H)</f>
        <v/>
      </c>
      <c r="U59" s="37">
        <f>SUMIF('SDN TB'!$R:$R,'SDN P&amp;L'!$A59,'SDN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8.58</v>
      </c>
      <c r="C60" s="35" t="n">
        <v>0</v>
      </c>
      <c r="D60" s="35" t="n">
        <v>362.21</v>
      </c>
      <c r="E60" s="35" t="n">
        <v>2.4</v>
      </c>
      <c r="F60" s="35" t="n">
        <v>1.8</v>
      </c>
      <c r="G60" s="35" t="n">
        <v>45</v>
      </c>
      <c r="H60" s="35" t="n">
        <v>20.55</v>
      </c>
      <c r="I60" s="35" t="n">
        <v>1.2</v>
      </c>
      <c r="J60" s="35" t="n">
        <v>2.4</v>
      </c>
      <c r="K60" s="35" t="n">
        <v>68.19999999999999</v>
      </c>
      <c r="L60" s="35" t="n">
        <v>2.4</v>
      </c>
      <c r="M60" s="35" t="n">
        <v>47.40000000000001</v>
      </c>
      <c r="N60" s="36">
        <f>SUM(B60:M60)</f>
        <v/>
      </c>
      <c r="O60" s="37">
        <f>SUMIF('XSDN TB'!$R:$R,'SDN P&amp;L'!$A60,'XSDN TB'!C:C)</f>
        <v/>
      </c>
      <c r="P60" s="37">
        <f>SUMIF('XSDN TB'!$R:$R,'SDN P&amp;L'!$A60,'XSDN TB'!D:D)</f>
        <v/>
      </c>
      <c r="Q60" s="37">
        <f>SUMIF('XSDN TB'!$R:$R,'SDN P&amp;L'!$A60,'XSDN TB'!E:E)</f>
        <v/>
      </c>
      <c r="R60" s="37">
        <f>SUMIF('XSDN TB'!$R:$R,'SDN P&amp;L'!$A60,'XSDN TB'!F:F)</f>
        <v/>
      </c>
      <c r="S60" s="37">
        <f>SUMIF('XSDN TB'!$R:$R,'SDN P&amp;L'!$A60,'XSDN TB'!G:G)</f>
        <v/>
      </c>
      <c r="T60" s="37">
        <f>SUMIF('XSDN TB'!$R:$R,'SDN P&amp;L'!$A60,'XSDN TB'!H:H)</f>
        <v/>
      </c>
      <c r="U60" s="37">
        <f>SUMIF('SDN TB'!$R:$R,'SDN P&amp;L'!$A60,'SDN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43.2</v>
      </c>
      <c r="C61" s="35" t="n">
        <v>48.88</v>
      </c>
      <c r="D61" s="35" t="n">
        <v>27.94</v>
      </c>
      <c r="E61" s="35" t="n">
        <v>5.81</v>
      </c>
      <c r="F61" s="35" t="n">
        <v>27.4</v>
      </c>
      <c r="G61" s="35" t="n">
        <v>0</v>
      </c>
      <c r="H61" s="35" t="n">
        <v>31.57</v>
      </c>
      <c r="I61" s="35" t="n">
        <v>0</v>
      </c>
      <c r="J61" s="35" t="n">
        <v>0</v>
      </c>
      <c r="K61" s="35" t="n">
        <v>18.94</v>
      </c>
      <c r="L61" s="35" t="n">
        <v>11.74</v>
      </c>
      <c r="M61" s="35" t="n">
        <v>20.97</v>
      </c>
      <c r="N61" s="36">
        <f>SUM(B61:M61)</f>
        <v/>
      </c>
      <c r="O61" s="37">
        <f>SUMIF('XSDN TB'!$R:$R,'SDN P&amp;L'!$A61,'XSDN TB'!C:C)</f>
        <v/>
      </c>
      <c r="P61" s="37">
        <f>SUMIF('XSDN TB'!$R:$R,'SDN P&amp;L'!$A61,'XSDN TB'!D:D)</f>
        <v/>
      </c>
      <c r="Q61" s="37">
        <f>SUMIF('XSDN TB'!$R:$R,'SDN P&amp;L'!$A61,'XSDN TB'!E:E)</f>
        <v/>
      </c>
      <c r="R61" s="37">
        <f>SUMIF('XSDN TB'!$R:$R,'SDN P&amp;L'!$A61,'XSDN TB'!F:F)</f>
        <v/>
      </c>
      <c r="S61" s="37">
        <f>SUMIF('XSDN TB'!$R:$R,'SDN P&amp;L'!$A61,'XSDN TB'!G:G)</f>
        <v/>
      </c>
      <c r="T61" s="37">
        <f>SUMIF('XSDN TB'!$R:$R,'SDN P&amp;L'!$A61,'XSDN TB'!H:H)</f>
        <v/>
      </c>
      <c r="U61" s="37">
        <f>SUMIF('SDN TB'!$R:$R,'SDN P&amp;L'!$A61,'SDN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61.95</v>
      </c>
      <c r="D62" s="35" t="n">
        <v>0</v>
      </c>
      <c r="E62" s="35" t="n">
        <v>12.1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0</v>
      </c>
      <c r="L62" s="35" t="n">
        <v>0</v>
      </c>
      <c r="M62" s="35" t="n">
        <v>21.7</v>
      </c>
      <c r="N62" s="36">
        <f>SUM(B62:M62)</f>
        <v/>
      </c>
      <c r="O62" s="37">
        <f>SUMIF('XSDN TB'!$R:$R,'SDN P&amp;L'!$A62,'XSDN TB'!C:C)</f>
        <v/>
      </c>
      <c r="P62" s="37">
        <f>SUMIF('XSDN TB'!$R:$R,'SDN P&amp;L'!$A62,'XSDN TB'!D:D)</f>
        <v/>
      </c>
      <c r="Q62" s="37">
        <f>SUMIF('XSDN TB'!$R:$R,'SDN P&amp;L'!$A62,'XSDN TB'!E:E)</f>
        <v/>
      </c>
      <c r="R62" s="37">
        <f>SUMIF('XSDN TB'!$R:$R,'SDN P&amp;L'!$A62,'XSDN TB'!F:F)</f>
        <v/>
      </c>
      <c r="S62" s="37">
        <f>SUMIF('XSDN TB'!$R:$R,'SDN P&amp;L'!$A62,'XSDN TB'!G:G)</f>
        <v/>
      </c>
      <c r="T62" s="37">
        <f>SUMIF('XSDN TB'!$R:$R,'SDN P&amp;L'!$A62,'XSDN TB'!H:H)</f>
        <v/>
      </c>
      <c r="U62" s="37">
        <f>SUMIF('SDN TB'!$R:$R,'SDN P&amp;L'!$A62,'SDN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SUMIF('XSDN TB'!$R:$R,'SDN P&amp;L'!$A63,'XSDN TB'!C:C)</f>
        <v/>
      </c>
      <c r="P63" s="37">
        <f>SUMIF('XSDN TB'!$R:$R,'SDN P&amp;L'!$A63,'XSDN TB'!D:D)</f>
        <v/>
      </c>
      <c r="Q63" s="37">
        <f>SUMIF('XSDN TB'!$R:$R,'SDN P&amp;L'!$A63,'XSDN TB'!E:E)</f>
        <v/>
      </c>
      <c r="R63" s="37">
        <f>SUMIF('XSDN TB'!$R:$R,'SDN P&amp;L'!$A63,'XSDN TB'!F:F)</f>
        <v/>
      </c>
      <c r="S63" s="37">
        <f>SUMIF('XSDN TB'!$R:$R,'SDN P&amp;L'!$A63,'XSDN TB'!G:G)</f>
        <v/>
      </c>
      <c r="T63" s="37">
        <f>SUMIF('XSDN TB'!$R:$R,'SDN P&amp;L'!$A63,'XSDN TB'!H:H)</f>
        <v/>
      </c>
      <c r="U63" s="37">
        <f>SUMIF('SDN TB'!$R:$R,'SDN P&amp;L'!$A63,'SDN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SUMIF('XSDN TB'!$R:$R,'SDN P&amp;L'!$A64,'XSDN TB'!C:C)</f>
        <v/>
      </c>
      <c r="P64" s="37">
        <f>SUMIF('XSDN TB'!$R:$R,'SDN P&amp;L'!$A64,'XSDN TB'!D:D)</f>
        <v/>
      </c>
      <c r="Q64" s="37">
        <f>SUMIF('XSDN TB'!$R:$R,'SDN P&amp;L'!$A64,'XSDN TB'!E:E)</f>
        <v/>
      </c>
      <c r="R64" s="37">
        <f>SUMIF('XSDN TB'!$R:$R,'SDN P&amp;L'!$A64,'XSDN TB'!F:F)</f>
        <v/>
      </c>
      <c r="S64" s="37">
        <f>SUMIF('XSDN TB'!$R:$R,'SDN P&amp;L'!$A64,'XSDN TB'!G:G)</f>
        <v/>
      </c>
      <c r="T64" s="37">
        <f>SUMIF('XSDN TB'!$R:$R,'SDN P&amp;L'!$A64,'XSDN TB'!H:H)</f>
        <v/>
      </c>
      <c r="U64" s="37">
        <f>SUMIF('SDN TB'!$R:$R,'SDN P&amp;L'!$A64,'SDN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SUMIF('XSDN TB'!$R:$R,'SDN P&amp;L'!$A65,'XSDN TB'!C:C)</f>
        <v/>
      </c>
      <c r="P65" s="37">
        <f>SUMIF('XSDN TB'!$R:$R,'SDN P&amp;L'!$A65,'XSDN TB'!D:D)</f>
        <v/>
      </c>
      <c r="Q65" s="37">
        <f>SUMIF('XSDN TB'!$R:$R,'SDN P&amp;L'!$A65,'XSDN TB'!E:E)</f>
        <v/>
      </c>
      <c r="R65" s="37">
        <f>SUMIF('XSDN TB'!$R:$R,'SDN P&amp;L'!$A65,'XSDN TB'!F:F)</f>
        <v/>
      </c>
      <c r="S65" s="37">
        <f>SUMIF('XSDN TB'!$R:$R,'SDN P&amp;L'!$A65,'XSDN TB'!G:G)</f>
        <v/>
      </c>
      <c r="T65" s="37">
        <f>SUMIF('XSDN TB'!$R:$R,'SDN P&amp;L'!$A65,'XSDN TB'!H:H)</f>
        <v/>
      </c>
      <c r="U65" s="37">
        <f>SUMIF('SDN TB'!$R:$R,'SDN P&amp;L'!$A65,'SDN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SUMIF('XSDN TB'!$R:$R,'SDN P&amp;L'!$A66,'XSDN TB'!C:C)</f>
        <v/>
      </c>
      <c r="P66" s="37">
        <f>SUMIF('XSDN TB'!$R:$R,'SDN P&amp;L'!$A66,'XSDN TB'!D:D)</f>
        <v/>
      </c>
      <c r="Q66" s="37">
        <f>SUMIF('XSDN TB'!$R:$R,'SDN P&amp;L'!$A66,'XSDN TB'!E:E)</f>
        <v/>
      </c>
      <c r="R66" s="37">
        <f>SUMIF('XSDN TB'!$R:$R,'SDN P&amp;L'!$A66,'XSDN TB'!F:F)</f>
        <v/>
      </c>
      <c r="S66" s="37">
        <f>SUMIF('XSDN TB'!$R:$R,'SDN P&amp;L'!$A66,'XSDN TB'!G:G)</f>
        <v/>
      </c>
      <c r="T66" s="37">
        <f>SUMIF('XSDN TB'!$R:$R,'SDN P&amp;L'!$A66,'XSDN TB'!H:H)</f>
        <v/>
      </c>
      <c r="U66" s="37">
        <f>SUMIF('SDN TB'!$R:$R,'SDN P&amp;L'!$A66,'SDN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SUMIF('XSDN TB'!$R:$R,'SDN P&amp;L'!$A67,'XSDN TB'!C:C)</f>
        <v/>
      </c>
      <c r="P67" s="37">
        <f>SUMIF('XSDN TB'!$R:$R,'SDN P&amp;L'!$A67,'XSDN TB'!D:D)</f>
        <v/>
      </c>
      <c r="Q67" s="37">
        <f>SUMIF('XSDN TB'!$R:$R,'SDN P&amp;L'!$A67,'XSDN TB'!E:E)</f>
        <v/>
      </c>
      <c r="R67" s="37">
        <f>SUMIF('XSDN TB'!$R:$R,'SDN P&amp;L'!$A67,'XSDN TB'!F:F)</f>
        <v/>
      </c>
      <c r="S67" s="37">
        <f>SUMIF('XSDN TB'!$R:$R,'SDN P&amp;L'!$A67,'XSDN TB'!G:G)</f>
        <v/>
      </c>
      <c r="T67" s="37">
        <f>SUMIF('XSDN TB'!$R:$R,'SDN P&amp;L'!$A67,'XSDN TB'!H:H)</f>
        <v/>
      </c>
      <c r="U67" s="37">
        <f>SUMIF('SDN TB'!$R:$R,'SDN P&amp;L'!$A67,'SDN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SUMIF('XSDN TB'!$R:$R,'SDN P&amp;L'!$A68,'XSDN TB'!C:C)</f>
        <v/>
      </c>
      <c r="P68" s="37">
        <f>SUMIF('XSDN TB'!$R:$R,'SDN P&amp;L'!$A68,'XSDN TB'!D:D)</f>
        <v/>
      </c>
      <c r="Q68" s="37">
        <f>SUMIF('XSDN TB'!$R:$R,'SDN P&amp;L'!$A68,'XSDN TB'!E:E)</f>
        <v/>
      </c>
      <c r="R68" s="37">
        <f>SUMIF('XSDN TB'!$R:$R,'SDN P&amp;L'!$A68,'XSDN TB'!F:F)</f>
        <v/>
      </c>
      <c r="S68" s="37">
        <f>SUMIF('XSDN TB'!$R:$R,'SDN P&amp;L'!$A68,'XSDN TB'!G:G)</f>
        <v/>
      </c>
      <c r="T68" s="37">
        <f>SUMIF('XSDN TB'!$R:$R,'SDN P&amp;L'!$A68,'XSDN TB'!H:H)</f>
        <v/>
      </c>
      <c r="U68" s="37">
        <f>SUMIF('SDN TB'!$R:$R,'SDN P&amp;L'!$A68,'SDN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253.16</v>
      </c>
      <c r="C69" s="42" t="n">
        <v>312.2</v>
      </c>
      <c r="D69" s="42" t="n">
        <v>591.52</v>
      </c>
      <c r="E69" s="42" t="n">
        <v>221.69</v>
      </c>
      <c r="F69" s="42" t="n">
        <v>230.58</v>
      </c>
      <c r="G69" s="42" t="n">
        <v>246.38</v>
      </c>
      <c r="H69" s="42" t="n">
        <v>253.5</v>
      </c>
      <c r="I69" s="42" t="n">
        <v>202.58</v>
      </c>
      <c r="J69" s="42" t="n">
        <v>203.77</v>
      </c>
      <c r="K69" s="42" t="n">
        <v>301.94</v>
      </c>
      <c r="L69" s="42" t="n">
        <v>228.94</v>
      </c>
      <c r="M69" s="42" t="n">
        <v>653.7400000000001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8608.859999999997</v>
      </c>
      <c r="C70" s="55" t="n">
        <v>20389.71</v>
      </c>
      <c r="D70" s="55" t="n">
        <v>29601.25</v>
      </c>
      <c r="E70" s="55" t="n">
        <v>14679.77</v>
      </c>
      <c r="F70" s="55" t="n">
        <v>458.4899999999924</v>
      </c>
      <c r="G70" s="55" t="n">
        <v>22410.93999999999</v>
      </c>
      <c r="H70" s="55" t="n">
        <v>35532.13</v>
      </c>
      <c r="I70" s="55" t="n">
        <v>6896.640000000009</v>
      </c>
      <c r="J70" s="55" t="n">
        <v>1807.040000000005</v>
      </c>
      <c r="K70" s="55" t="n">
        <v>-4245.730000000008</v>
      </c>
      <c r="L70" s="55" t="n">
        <v>11104.48999999999</v>
      </c>
      <c r="M70" s="55" t="n">
        <v>16812.09999999999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6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2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8" t="n"/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60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60" t="inlineStr">
        <is>
          <t>Memo</t>
        </is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60">
        <f>SUM(O73:T73)</f>
        <v/>
      </c>
      <c r="AB73" s="56" t="n"/>
      <c r="AC73" s="8" t="n"/>
      <c r="AD73" s="8" t="n"/>
      <c r="AE73" s="8" t="n"/>
      <c r="AF73" s="8" t="n"/>
      <c r="AG73" s="8" t="n"/>
      <c r="AH73" s="8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60" t="inlineStr">
        <is>
          <t>Direct - Sales</t>
        </is>
      </c>
      <c r="B74" s="60" t="n">
        <v>48732.23</v>
      </c>
      <c r="C74" s="60" t="n">
        <v>58718.16</v>
      </c>
      <c r="D74" s="60" t="n">
        <v>64382.92</v>
      </c>
      <c r="E74" s="60" t="n">
        <v>52875.1</v>
      </c>
      <c r="F74" s="60" t="n">
        <v>43941.13</v>
      </c>
      <c r="G74" s="60" t="n">
        <v>58414.34</v>
      </c>
      <c r="H74" s="60" t="n">
        <v>71871.55</v>
      </c>
      <c r="I74" s="60" t="n">
        <v>40933.60000000001</v>
      </c>
      <c r="J74" s="60" t="n">
        <v>33235.2</v>
      </c>
      <c r="K74" s="60" t="n">
        <v>31364.02</v>
      </c>
      <c r="L74" s="60" t="n">
        <v>45335.14</v>
      </c>
      <c r="M74" s="8" t="n"/>
      <c r="N74" s="8" t="n"/>
      <c r="O74" s="60">
        <f>-SUMIF('XSDN TB'!$T:$T,'SDN P&amp;L'!$A74,'XSDN TB'!C:C)</f>
        <v/>
      </c>
      <c r="P74" s="60">
        <f>-SUMIF('XSDN TB'!$T:$T,'SDN P&amp;L'!$A74,'XSDN TB'!D:D)</f>
        <v/>
      </c>
      <c r="Q74" s="60">
        <f>-SUMIF('XSDN TB'!$T:$T,'SDN P&amp;L'!$A74,'XSDN TB'!E:E)</f>
        <v/>
      </c>
      <c r="R74" s="60">
        <f>-SUMIF('XSDN TB'!$T:$T,'SDN P&amp;L'!$A74,'XSDN TB'!F:F)</f>
        <v/>
      </c>
      <c r="S74" s="60">
        <f>-SUMIF('XSDN TB'!$T:$T,'SDN P&amp;L'!$A74,'XSDN TB'!G:G)</f>
        <v/>
      </c>
      <c r="T74" s="60">
        <f>-SUMIF('XSDN TB'!$T:$T,'SDN P&amp;L'!$A74,'XSDN TB'!H:H)</f>
        <v/>
      </c>
      <c r="U74" s="60">
        <f>-SUMIF('XSDN TB'!$T:$T,'SDN P&amp;L'!$A74,'XSDN TB'!I:I)</f>
        <v/>
      </c>
      <c r="V74" s="60">
        <f>-SUMIF('XSDN TB'!$T:$T,'SDN P&amp;L'!$A74,'XSDN TB'!J:J)</f>
        <v/>
      </c>
      <c r="W74" s="60">
        <f>-SUMIF('XSDN TB'!$T:$T,'SDN P&amp;L'!$A74,'XSDN TB'!K:K)</f>
        <v/>
      </c>
      <c r="X74" s="60">
        <f>-SUMIF('XSDN TB'!$T:$T,'SDN P&amp;L'!$A74,'XSDN TB'!L:L)</f>
        <v/>
      </c>
      <c r="Y74" s="60">
        <f>-SUMIF('XSDN TB'!$T:$T,'SDN P&amp;L'!$A74,'XSDN TB'!M:M)</f>
        <v/>
      </c>
      <c r="Z74" s="60">
        <f>-SUMIF('XSDN TB'!$T:$T,'SDN P&amp;L'!$A74,'XSDN TB'!N:N)</f>
        <v/>
      </c>
      <c r="AA74" s="60">
        <f>SUM(O74:T74)</f>
        <v/>
      </c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34" t="inlineStr">
        <is>
          <t>Direct - Staff Cost</t>
        </is>
      </c>
      <c r="B75" s="18" t="n">
        <v>-33262.49</v>
      </c>
      <c r="C75" s="18" t="n">
        <v>-30865.36</v>
      </c>
      <c r="D75" s="18" t="n">
        <v>-27697.74</v>
      </c>
      <c r="E75" s="18" t="n">
        <v>-31873.07</v>
      </c>
      <c r="F75" s="18" t="n">
        <v>-36902.71000000001</v>
      </c>
      <c r="G75" s="18" t="n">
        <v>-30037.63</v>
      </c>
      <c r="H75" s="18" t="n">
        <v>-30604.08</v>
      </c>
      <c r="I75" s="18" t="n">
        <v>-28328.26</v>
      </c>
      <c r="J75" s="18" t="n">
        <v>-26280.16999999999</v>
      </c>
      <c r="K75" s="18" t="n">
        <v>-29836.96</v>
      </c>
      <c r="L75" s="18" t="n">
        <v>-28754.76000000001</v>
      </c>
      <c r="M75" s="18" t="n"/>
      <c r="N75" s="8" t="n"/>
      <c r="O75" s="60">
        <f>-SUMIF('XSDN TB'!$T:$T,'SDN P&amp;L'!$A75,'XSDN TB'!C:C)</f>
        <v/>
      </c>
      <c r="P75" s="60">
        <f>-SUMIF('XSDN TB'!$T:$T,'SDN P&amp;L'!$A75,'XSDN TB'!D:D)</f>
        <v/>
      </c>
      <c r="Q75" s="60">
        <f>-SUMIF('XSDN TB'!$T:$T,'SDN P&amp;L'!$A75,'XSDN TB'!E:E)</f>
        <v/>
      </c>
      <c r="R75" s="60">
        <f>-SUMIF('XSDN TB'!$T:$T,'SDN P&amp;L'!$A75,'XSDN TB'!F:F)</f>
        <v/>
      </c>
      <c r="S75" s="60">
        <f>-SUMIF('XSDN TB'!$T:$T,'SDN P&amp;L'!$A75,'XSDN TB'!G:G)</f>
        <v/>
      </c>
      <c r="T75" s="60">
        <f>-SUMIF('XSDN TB'!$T:$T,'SDN P&amp;L'!$A75,'XSDN TB'!H:H)</f>
        <v/>
      </c>
      <c r="U75" s="60">
        <f>-SUMIF('XSDN TB'!$T:$T,'SDN P&amp;L'!$A75,'XSDN TB'!I:I)</f>
        <v/>
      </c>
      <c r="V75" s="60">
        <f>-SUMIF('XSDN TB'!$T:$T,'SDN P&amp;L'!$A75,'XSDN TB'!J:J)</f>
        <v/>
      </c>
      <c r="W75" s="60">
        <f>-SUMIF('XSDN TB'!$T:$T,'SDN P&amp;L'!$A75,'XSDN TB'!K:K)</f>
        <v/>
      </c>
      <c r="X75" s="60">
        <f>-SUMIF('XSDN TB'!$T:$T,'SDN P&amp;L'!$A75,'XSDN TB'!L:L)</f>
        <v/>
      </c>
      <c r="Y75" s="60">
        <f>-SUMIF('XSDN TB'!$T:$T,'SDN P&amp;L'!$A75,'XSDN TB'!M:M)</f>
        <v/>
      </c>
      <c r="Z75" s="60">
        <f>-SUMIF('XSDN TB'!$T:$T,'SDN P&amp;L'!$A75,'XSDN TB'!N:N)</f>
        <v/>
      </c>
      <c r="AA75" s="60">
        <f>SUM(O75:T75)</f>
        <v/>
      </c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8" t="n"/>
      <c r="AP75" s="8" t="n"/>
    </row>
    <row r="76">
      <c r="A76" s="60" t="inlineStr">
        <is>
          <t>Direct - Childcare Cost</t>
        </is>
      </c>
      <c r="B76" s="18" t="n">
        <v>-2008.15</v>
      </c>
      <c r="C76" s="18" t="n">
        <v>-2961.2</v>
      </c>
      <c r="D76" s="18" t="n">
        <v>-2111.57</v>
      </c>
      <c r="E76" s="18" t="n">
        <v>-2139.41</v>
      </c>
      <c r="F76" s="18" t="n">
        <v>-2728.47</v>
      </c>
      <c r="G76" s="18" t="n">
        <v>-2510.75</v>
      </c>
      <c r="H76" s="18" t="n">
        <v>-2466.63</v>
      </c>
      <c r="I76" s="18" t="n">
        <v>-2234.18</v>
      </c>
      <c r="J76" s="18" t="n">
        <v>-1847.14</v>
      </c>
      <c r="K76" s="18" t="n">
        <v>-1887.07</v>
      </c>
      <c r="L76" s="18" t="n">
        <v>-1912.24</v>
      </c>
      <c r="M76" s="18" t="n">
        <v>-1506</v>
      </c>
      <c r="N76" s="8" t="n"/>
      <c r="O76" s="60">
        <f>-SUMIF('XSDN TB'!$T:$T,'SDN P&amp;L'!$A76,'XSDN TB'!C:C)</f>
        <v/>
      </c>
      <c r="P76" s="60">
        <f>-SUMIF('XSDN TB'!$T:$T,'SDN P&amp;L'!$A76,'XSDN TB'!D:D)</f>
        <v/>
      </c>
      <c r="Q76" s="60">
        <f>-SUMIF('XSDN TB'!$T:$T,'SDN P&amp;L'!$A76,'XSDN TB'!E:E)</f>
        <v/>
      </c>
      <c r="R76" s="60">
        <f>-SUMIF('XSDN TB'!$T:$T,'SDN P&amp;L'!$A76,'XSDN TB'!F:F)</f>
        <v/>
      </c>
      <c r="S76" s="60">
        <f>-SUMIF('XSDN TB'!$T:$T,'SDN P&amp;L'!$A76,'XSDN TB'!G:G)</f>
        <v/>
      </c>
      <c r="T76" s="60">
        <f>-SUMIF('XSDN TB'!$T:$T,'SDN P&amp;L'!$A76,'XSDN TB'!H:H)</f>
        <v/>
      </c>
      <c r="U76" s="60">
        <f>-SUMIF('XSDN TB'!$T:$T,'SDN P&amp;L'!$A76,'XSDN TB'!I:I)</f>
        <v/>
      </c>
      <c r="V76" s="60">
        <f>-SUMIF('XSDN TB'!$T:$T,'SDN P&amp;L'!$A76,'XSDN TB'!J:J)</f>
        <v/>
      </c>
      <c r="W76" s="60">
        <f>-SUMIF('XSDN TB'!$T:$T,'SDN P&amp;L'!$A76,'XSDN TB'!K:K)</f>
        <v/>
      </c>
      <c r="X76" s="60">
        <f>-SUMIF('XSDN TB'!$T:$T,'SDN P&amp;L'!$A76,'XSDN TB'!L:L)</f>
        <v/>
      </c>
      <c r="Y76" s="60">
        <f>-SUMIF('XSDN TB'!$T:$T,'SDN P&amp;L'!$A76,'XSDN TB'!M:M)</f>
        <v/>
      </c>
      <c r="Z76" s="60">
        <f>-SUMIF('XSDN TB'!$T:$T,'SDN P&amp;L'!$A76,'XSDN TB'!N:N)</f>
        <v/>
      </c>
      <c r="AA76" s="60">
        <f>SUM(O76:T76)</f>
        <v/>
      </c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>
      <c r="A77" s="60" t="inlineStr">
        <is>
          <t>Direct - Premises &amp; Admin</t>
        </is>
      </c>
      <c r="B77" s="18" t="n">
        <v>-4599.569999999999</v>
      </c>
      <c r="C77" s="18" t="n">
        <v>-4189.69</v>
      </c>
      <c r="D77" s="18" t="n">
        <v>-4380.840000000001</v>
      </c>
      <c r="E77" s="18" t="n">
        <v>-3961.16</v>
      </c>
      <c r="F77" s="18" t="n">
        <v>-3620.88</v>
      </c>
      <c r="G77" s="18" t="n">
        <v>-3208.64</v>
      </c>
      <c r="H77" s="18" t="n">
        <v>-3015.21</v>
      </c>
      <c r="I77" s="18" t="n">
        <v>-3271.94</v>
      </c>
      <c r="J77" s="18" t="n">
        <v>-3097.08</v>
      </c>
      <c r="K77" s="18" t="n">
        <v>-3583.78</v>
      </c>
      <c r="L77" s="18" t="n">
        <v>-3334.71</v>
      </c>
      <c r="M77" s="18" t="n">
        <v>-2666.58</v>
      </c>
      <c r="N77" s="8" t="n"/>
      <c r="O77" s="60">
        <f>-SUMIF('XSDN TB'!$T:$T,'SDN P&amp;L'!$A77,'XSDN TB'!C:C)</f>
        <v/>
      </c>
      <c r="P77" s="60">
        <f>-SUMIF('XSDN TB'!$T:$T,'SDN P&amp;L'!$A77,'XSDN TB'!D:D)</f>
        <v/>
      </c>
      <c r="Q77" s="60">
        <f>-SUMIF('XSDN TB'!$T:$T,'SDN P&amp;L'!$A77,'XSDN TB'!E:E)</f>
        <v/>
      </c>
      <c r="R77" s="60">
        <f>-SUMIF('XSDN TB'!$T:$T,'SDN P&amp;L'!$A77,'XSDN TB'!F:F)</f>
        <v/>
      </c>
      <c r="S77" s="60">
        <f>-SUMIF('XSDN TB'!$T:$T,'SDN P&amp;L'!$A77,'XSDN TB'!G:G)</f>
        <v/>
      </c>
      <c r="T77" s="60">
        <f>-SUMIF('XSDN TB'!$T:$T,'SDN P&amp;L'!$A77,'XSDN TB'!H:H)</f>
        <v/>
      </c>
      <c r="U77" s="60">
        <f>-SUMIF('XSDN TB'!$T:$T,'SDN P&amp;L'!$A77,'XSDN TB'!I:I)</f>
        <v/>
      </c>
      <c r="V77" s="60">
        <f>-SUMIF('XSDN TB'!$T:$T,'SDN P&amp;L'!$A77,'XSDN TB'!J:J)</f>
        <v/>
      </c>
      <c r="W77" s="60">
        <f>-SUMIF('XSDN TB'!$T:$T,'SDN P&amp;L'!$A77,'XSDN TB'!K:K)</f>
        <v/>
      </c>
      <c r="X77" s="60">
        <f>-SUMIF('XSDN TB'!$T:$T,'SDN P&amp;L'!$A77,'XSDN TB'!L:L)</f>
        <v/>
      </c>
      <c r="Y77" s="60">
        <f>-SUMIF('XSDN TB'!$T:$T,'SDN P&amp;L'!$A77,'XSDN TB'!M:M)</f>
        <v/>
      </c>
      <c r="Z77" s="60">
        <f>-SUMIF('XSDN TB'!$T:$T,'SDN P&amp;L'!$A77,'XSDN TB'!N:N)</f>
        <v/>
      </c>
      <c r="AA77" s="60">
        <f>SUM(O77:T77)</f>
        <v/>
      </c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8" t="n"/>
      <c r="O78" s="60">
        <f>-SUMIF('XSDN TB'!$T:$T,'SDN P&amp;L'!$A78,'XSDN TB'!C:C)</f>
        <v/>
      </c>
      <c r="P78" s="60">
        <f>-SUMIF('XSDN TB'!$T:$T,'SDN P&amp;L'!$A78,'XSDN TB'!D:D)</f>
        <v/>
      </c>
      <c r="Q78" s="60">
        <f>-SUMIF('XSDN TB'!$T:$T,'SDN P&amp;L'!$A78,'XSDN TB'!E:E)</f>
        <v/>
      </c>
      <c r="R78" s="60">
        <f>-SUMIF('XSDN TB'!$T:$T,'SDN P&amp;L'!$A78,'XSDN TB'!F:F)</f>
        <v/>
      </c>
      <c r="S78" s="60">
        <f>-SUMIF('XSDN TB'!$T:$T,'SDN P&amp;L'!$A78,'XSDN TB'!G:G)</f>
        <v/>
      </c>
      <c r="T78" s="60">
        <f>-SUMIF('XSDN TB'!$T:$T,'SDN P&amp;L'!$A78,'XSDN TB'!H:H)</f>
        <v/>
      </c>
      <c r="U78" s="60">
        <f>-SUMIF('XSDN TB'!$T:$T,'SDN P&amp;L'!$A78,'XSDN TB'!I:I)</f>
        <v/>
      </c>
      <c r="V78" s="60">
        <f>-SUMIF('XSDN TB'!$T:$T,'SDN P&amp;L'!$A78,'XSDN TB'!J:J)</f>
        <v/>
      </c>
      <c r="W78" s="60">
        <f>-SUMIF('XSDN TB'!$T:$T,'SDN P&amp;L'!$A78,'XSDN TB'!K:K)</f>
        <v/>
      </c>
      <c r="X78" s="60">
        <f>-SUMIF('XSDN TB'!$T:$T,'SDN P&amp;L'!$A78,'XSDN TB'!L:L)</f>
        <v/>
      </c>
      <c r="Y78" s="60">
        <f>-SUMIF('XSDN TB'!$T:$T,'SDN P&amp;L'!$A78,'XSDN TB'!M:M)</f>
        <v/>
      </c>
      <c r="Z78" s="60">
        <f>-SUMIF('XSDN TB'!$T:$T,'SDN P&amp;L'!$A78,'XSDN TB'!N:N)</f>
        <v/>
      </c>
      <c r="AA78" s="60">
        <f>SUM(O78:T78)</f>
        <v/>
      </c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60" t="inlineStr">
        <is>
          <t>In-Direct - Overheads</t>
        </is>
      </c>
      <c r="B79" s="18" t="n">
        <v>-253.16</v>
      </c>
      <c r="C79" s="18" t="n">
        <v>-312.2</v>
      </c>
      <c r="D79" s="18" t="n">
        <v>-591.52</v>
      </c>
      <c r="E79" s="18" t="n">
        <v>-221.69</v>
      </c>
      <c r="F79" s="18" t="n">
        <v>-230.58</v>
      </c>
      <c r="G79" s="18" t="n">
        <v>-246.38</v>
      </c>
      <c r="H79" s="18" t="n">
        <v>-253.5</v>
      </c>
      <c r="I79" s="18" t="n">
        <v>-202.58</v>
      </c>
      <c r="J79" s="18" t="n">
        <v>-203.77</v>
      </c>
      <c r="K79" s="18" t="n">
        <v>-301.94</v>
      </c>
      <c r="L79" s="18" t="n">
        <v>-228.94</v>
      </c>
      <c r="M79" s="18" t="n">
        <v>-653.7400000000001</v>
      </c>
      <c r="N79" s="8" t="n"/>
      <c r="O79" s="60">
        <f>-SUMIF('XSDN TB'!$T:$T,'SDN P&amp;L'!$A79,'XSDN TB'!C:C)</f>
        <v/>
      </c>
      <c r="P79" s="60">
        <f>-SUMIF('XSDN TB'!$T:$T,'SDN P&amp;L'!$A79,'XSDN TB'!D:D)</f>
        <v/>
      </c>
      <c r="Q79" s="60">
        <f>-SUMIF('XSDN TB'!$T:$T,'SDN P&amp;L'!$A79,'XSDN TB'!E:E)</f>
        <v/>
      </c>
      <c r="R79" s="60">
        <f>-SUMIF('XSDN TB'!$T:$T,'SDN P&amp;L'!$A79,'XSDN TB'!F:F)</f>
        <v/>
      </c>
      <c r="S79" s="60">
        <f>-SUMIF('XSDN TB'!$T:$T,'SDN P&amp;L'!$A79,'XSDN TB'!G:G)</f>
        <v/>
      </c>
      <c r="T79" s="60">
        <f>-SUMIF('XSDN TB'!$T:$T,'SDN P&amp;L'!$A79,'XSDN TB'!H:H)</f>
        <v/>
      </c>
      <c r="U79" s="60">
        <f>-SUMIF('XSDN TB'!$T:$T,'SDN P&amp;L'!$A79,'XSDN TB'!I:I)</f>
        <v/>
      </c>
      <c r="V79" s="60">
        <f>-SUMIF('XSDN TB'!$T:$T,'SDN P&amp;L'!$A79,'XSDN TB'!J:J)</f>
        <v/>
      </c>
      <c r="W79" s="60">
        <f>-SUMIF('XSDN TB'!$T:$T,'SDN P&amp;L'!$A79,'XSDN TB'!K:K)</f>
        <v/>
      </c>
      <c r="X79" s="60">
        <f>-SUMIF('XSDN TB'!$T:$T,'SDN P&amp;L'!$A79,'XSDN TB'!L:L)</f>
        <v/>
      </c>
      <c r="Y79" s="60">
        <f>-SUMIF('XSDN TB'!$T:$T,'SDN P&amp;L'!$A79,'XSDN TB'!M:M)</f>
        <v/>
      </c>
      <c r="Z79" s="60">
        <f>-SUMIF('XSDN TB'!$T:$T,'SDN P&amp;L'!$A79,'XSDN TB'!N:N)</f>
        <v/>
      </c>
      <c r="AA79" s="60">
        <f>SUM(O79:T79)</f>
        <v/>
      </c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 ht="15.75" customHeight="1">
      <c r="A80" s="8" t="n"/>
      <c r="B80" s="67" t="n">
        <v>8608.860000000001</v>
      </c>
      <c r="C80" s="67" t="n">
        <v>20389.71000000001</v>
      </c>
      <c r="D80" s="67" t="n">
        <v>29601.24999999999</v>
      </c>
      <c r="E80" s="67" t="n">
        <v>14679.77</v>
      </c>
      <c r="F80" s="67" t="n">
        <v>458.4899999999906</v>
      </c>
      <c r="G80" s="67" t="n">
        <v>22410.94</v>
      </c>
      <c r="H80" s="67" t="n">
        <v>35532.13</v>
      </c>
      <c r="I80" s="67" t="n">
        <v>6896.640000000007</v>
      </c>
      <c r="J80" s="67" t="n">
        <v>1807.040000000002</v>
      </c>
      <c r="K80" s="67" t="n">
        <v>-4245.730000000005</v>
      </c>
      <c r="L80" s="67" t="n">
        <v>11104.48999999999</v>
      </c>
      <c r="M80" s="67" t="n">
        <v>-4826.32</v>
      </c>
      <c r="N80" s="8" t="n"/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4">
        <f>SUM(V74:V79)</f>
        <v/>
      </c>
      <c r="W80" s="64">
        <f>SUM(W74:W79)</f>
        <v/>
      </c>
      <c r="X80" s="64">
        <f>SUM(X74:X79)</f>
        <v/>
      </c>
      <c r="Y80" s="64">
        <f>SUM(Y74:Y79)</f>
        <v/>
      </c>
      <c r="Z80" s="64">
        <f>SUM(Z74:Z79)</f>
        <v/>
      </c>
      <c r="AA80" s="60">
        <f>SUM(O80:T80)</f>
        <v/>
      </c>
      <c r="AB80" s="8" t="n"/>
      <c r="AC80" s="64" t="n"/>
      <c r="AD80" s="64" t="n"/>
      <c r="AE80" s="64" t="n"/>
      <c r="AF80" s="64" t="n"/>
      <c r="AG80" s="64" t="n"/>
      <c r="AH80" s="64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 ht="15.75" customHeight="1">
      <c r="A81" s="8" t="n"/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1.818989403545856e-12</v>
      </c>
      <c r="G81" s="18" t="n">
        <v>0</v>
      </c>
      <c r="H81" s="18" t="n">
        <v>0</v>
      </c>
      <c r="I81" s="18" t="n">
        <v>0</v>
      </c>
      <c r="J81" s="18" t="n">
        <v>2.728484105318785e-12</v>
      </c>
      <c r="K81" s="18" t="n">
        <v>0</v>
      </c>
      <c r="L81" s="18" t="n">
        <v>0</v>
      </c>
      <c r="M81" s="18" t="n">
        <v>21638.41999999999</v>
      </c>
      <c r="N81" s="8" t="n"/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18" t="n">
        <v>0</v>
      </c>
      <c r="C83" s="18" t="n">
        <v>0</v>
      </c>
      <c r="D83" s="18" t="n">
        <v>0</v>
      </c>
      <c r="E83" s="18" t="n">
        <v>0</v>
      </c>
      <c r="F83" s="18" t="n">
        <v>-2.216893335571513e-12</v>
      </c>
      <c r="G83" s="18" t="n">
        <v>0</v>
      </c>
      <c r="H83" s="18" t="n">
        <v>0</v>
      </c>
      <c r="I83" s="18" t="n">
        <v>0</v>
      </c>
      <c r="J83" s="18" t="n">
        <v>3.637978807091713e-12</v>
      </c>
      <c r="K83" s="18" t="n">
        <v>0</v>
      </c>
      <c r="L83" s="18" t="n">
        <v>0</v>
      </c>
      <c r="M83" s="18" t="n">
        <v>-21638.42</v>
      </c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18" t="n">
        <v>-8608.859999999995</v>
      </c>
      <c r="C84" s="18" t="n">
        <v>-20389.71</v>
      </c>
      <c r="D84" s="18" t="n">
        <v>-29601.25</v>
      </c>
      <c r="E84" s="18" t="n">
        <v>-14679.76999999999</v>
      </c>
      <c r="F84" s="18" t="n">
        <v>-458.4899999999928</v>
      </c>
      <c r="G84" s="18" t="n">
        <v>-22410.94</v>
      </c>
      <c r="H84" s="18" t="n">
        <v>-35532.13</v>
      </c>
      <c r="I84" s="18" t="n">
        <v>-6896.640000000008</v>
      </c>
      <c r="J84" s="18" t="n">
        <v>-1807.039999999999</v>
      </c>
      <c r="K84" s="18" t="n">
        <v>4245.730000000003</v>
      </c>
      <c r="L84" s="18" t="n">
        <v>-11104.48999999999</v>
      </c>
      <c r="M84" s="18" t="n">
        <v>-16812.1</v>
      </c>
      <c r="N84" s="8" t="n"/>
      <c r="O84" s="60">
        <f>SUM('XSDN TB'!C2:C42)</f>
        <v/>
      </c>
      <c r="P84" s="60">
        <f>SUM('XSDN TB'!D2:D42)</f>
        <v/>
      </c>
      <c r="Q84" s="60">
        <f>SUM('XSDN TB'!E2:E42)</f>
        <v/>
      </c>
      <c r="R84" s="60">
        <f>SUM('XSDN TB'!F2:F42)</f>
        <v/>
      </c>
      <c r="S84" s="60">
        <f>SUM('XSDN TB'!G2:G42)</f>
        <v/>
      </c>
      <c r="T84" s="60">
        <f>SUM('XSDN TB'!H2:H42)</f>
        <v/>
      </c>
      <c r="U84" s="60">
        <f>SUM('XSDN TB'!I2:I42)</f>
        <v/>
      </c>
      <c r="V84" s="60">
        <f>SUM('XSDN TB'!J2:J42)</f>
        <v/>
      </c>
      <c r="W84" s="60">
        <f>SUM('XSDN TB'!K2:K42)</f>
        <v/>
      </c>
      <c r="X84" s="60">
        <f>SUM('XSDN TB'!L2:L42)</f>
        <v/>
      </c>
      <c r="Y84" s="60">
        <f>SUM('XSDN TB'!M2:M42)</f>
        <v/>
      </c>
      <c r="Z84" s="60">
        <f>SUM('XSDN TB'!N2:N42)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Steppingstones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47272.73</v>
      </c>
      <c r="C8" s="35" t="n">
        <v>41439.07</v>
      </c>
      <c r="D8" s="35" t="n">
        <v>47933.15</v>
      </c>
      <c r="E8" s="35" t="n">
        <v>50993.37</v>
      </c>
      <c r="F8" s="35" t="n">
        <v>45605.89</v>
      </c>
      <c r="G8" s="35" t="n">
        <v>43338.36</v>
      </c>
      <c r="H8" s="35" t="n">
        <v>49651.73</v>
      </c>
      <c r="I8" s="35" t="n">
        <v>45155.16</v>
      </c>
      <c r="J8" s="35" t="n">
        <v>35763.55</v>
      </c>
      <c r="K8" s="35" t="n">
        <v>37137.94</v>
      </c>
      <c r="L8" s="35" t="n">
        <v>34126.29</v>
      </c>
      <c r="M8" s="35" t="n">
        <v>43136.03</v>
      </c>
      <c r="N8" s="36">
        <f>SUM(B8:M8)</f>
        <v/>
      </c>
      <c r="O8" s="37">
        <f>-SUMIF('SST TB'!$R:$R,'SST P&amp;L'!$A8,'SST TB'!C:C)</f>
        <v/>
      </c>
      <c r="P8" s="37">
        <f>-SUMIF('SST TB'!$R:$R,'SST P&amp;L'!$A8,'SST TB'!D:D)</f>
        <v/>
      </c>
      <c r="Q8" s="37">
        <f>-SUMIF('SST TB'!$R:$R,'SST P&amp;L'!$A8,'SST TB'!E:E)</f>
        <v/>
      </c>
      <c r="R8" s="37">
        <f>-SUMIF('SST TB'!$R:$R,'SST P&amp;L'!$A8,'SST TB'!F:F)</f>
        <v/>
      </c>
      <c r="S8" s="37">
        <f>-SUMIF('SST TB'!$R:$R,'SST P&amp;L'!$A8,'SST TB'!G:G)</f>
        <v/>
      </c>
      <c r="T8" s="37">
        <f>-SUMIF('SST TB'!$R:$R,'SST P&amp;L'!$A8,'SST TB'!H:H)</f>
        <v/>
      </c>
      <c r="U8" s="37">
        <f>-SUMIF('SST TB'!$R:$R,'SST P&amp;L'!$A8,'SST TB'!I:I)</f>
        <v/>
      </c>
      <c r="V8" s="38" t="n">
        <v>43415.66</v>
      </c>
      <c r="W8" s="38" t="n">
        <v>26102</v>
      </c>
      <c r="X8" s="38" t="n">
        <v>22884</v>
      </c>
      <c r="Y8" s="38" t="n">
        <v>22464</v>
      </c>
      <c r="Z8" s="38" t="n">
        <v>31756</v>
      </c>
      <c r="AA8" s="36">
        <f>SUM(O8:U8)</f>
        <v/>
      </c>
      <c r="AB8" s="36">
        <f>SUM(O8:Z8)</f>
        <v/>
      </c>
      <c r="AC8" s="38" t="n">
        <v>42836.88</v>
      </c>
      <c r="AD8" s="38" t="n">
        <v>32424.51</v>
      </c>
      <c r="AE8" s="38" t="n">
        <v>55090.04</v>
      </c>
      <c r="AF8" s="38" t="n">
        <v>42857.01</v>
      </c>
      <c r="AG8" s="38" t="n">
        <v>43360.87</v>
      </c>
      <c r="AH8" s="38" t="n">
        <v>39588.43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13845.22</v>
      </c>
      <c r="C9" s="35" t="n">
        <v>13845.22</v>
      </c>
      <c r="D9" s="35" t="n">
        <v>14298.7</v>
      </c>
      <c r="E9" s="35" t="n">
        <v>12728.52</v>
      </c>
      <c r="F9" s="35" t="n">
        <v>12728.52</v>
      </c>
      <c r="G9" s="35" t="n">
        <v>12728.53</v>
      </c>
      <c r="H9" s="35" t="n">
        <v>23643.93</v>
      </c>
      <c r="I9" s="35" t="n">
        <v>0</v>
      </c>
      <c r="J9" s="35" t="n">
        <v>11531.5</v>
      </c>
      <c r="K9" s="35" t="n">
        <v>11531.5</v>
      </c>
      <c r="L9" s="35" t="n">
        <v>26935.88999999999</v>
      </c>
      <c r="M9" s="35" t="n">
        <v>27141.4</v>
      </c>
      <c r="N9" s="36">
        <f>SUM(B9:M9)</f>
        <v/>
      </c>
      <c r="O9" s="37">
        <f>-SUMIF('SST TB'!$R:$R,'SST P&amp;L'!$A9,'SST TB'!C:C)</f>
        <v/>
      </c>
      <c r="P9" s="37">
        <f>-SUMIF('SST TB'!$R:$R,'SST P&amp;L'!$A9,'SST TB'!D:D)</f>
        <v/>
      </c>
      <c r="Q9" s="37">
        <f>-SUMIF('SST TB'!$R:$R,'SST P&amp;L'!$A9,'SST TB'!E:E)</f>
        <v/>
      </c>
      <c r="R9" s="37">
        <f>-SUMIF('SST TB'!$R:$R,'SST P&amp;L'!$A9,'SST TB'!F:F)</f>
        <v/>
      </c>
      <c r="S9" s="37">
        <f>-SUMIF('SST TB'!$R:$R,'SST P&amp;L'!$A9,'SST TB'!G:G)</f>
        <v/>
      </c>
      <c r="T9" s="37">
        <f>-SUMIF('SST TB'!$R:$R,'SST P&amp;L'!$A9,'SST TB'!H:H)</f>
        <v/>
      </c>
      <c r="U9" s="37">
        <f>-SUMIF('SST TB'!$R:$R,'SST P&amp;L'!$A9,'SST TB'!I:I)</f>
        <v/>
      </c>
      <c r="V9" s="38" t="n">
        <v>0</v>
      </c>
      <c r="W9" s="38" t="n">
        <v>18438</v>
      </c>
      <c r="X9" s="38" t="n">
        <v>22151</v>
      </c>
      <c r="Y9" s="38" t="n">
        <v>21981</v>
      </c>
      <c r="Z9" s="38" t="n">
        <v>9840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2971.91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-SUMIF('SST TB'!$R:$R,'SST P&amp;L'!$A10,'SST TB'!C:C)</f>
        <v/>
      </c>
      <c r="P10" s="37">
        <f>-SUMIF('SST TB'!$R:$R,'SST P&amp;L'!$A10,'SST TB'!D:D)</f>
        <v/>
      </c>
      <c r="Q10" s="37">
        <f>-SUMIF('SST TB'!$R:$R,'SST P&amp;L'!$A10,'SST TB'!E:E)</f>
        <v/>
      </c>
      <c r="R10" s="37">
        <f>-SUMIF('SST TB'!$R:$R,'SST P&amp;L'!$A10,'SST TB'!F:F)</f>
        <v/>
      </c>
      <c r="S10" s="37">
        <f>-SUMIF('SST TB'!$R:$R,'SST P&amp;L'!$A10,'SST TB'!G:G)</f>
        <v/>
      </c>
      <c r="T10" s="37">
        <f>-SUMIF('SST TB'!$R:$R,'SST P&amp;L'!$A10,'SST TB'!H:H)</f>
        <v/>
      </c>
      <c r="U10" s="37">
        <f>-SUMIF('SST TB'!$R:$R,'SST P&amp;L'!$A10,'SST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61117.95</v>
      </c>
      <c r="C11" s="42" t="n">
        <v>55284.29</v>
      </c>
      <c r="D11" s="42" t="n">
        <v>62231.85</v>
      </c>
      <c r="E11" s="42" t="n">
        <v>63721.89</v>
      </c>
      <c r="F11" s="42" t="n">
        <v>58334.41</v>
      </c>
      <c r="G11" s="42" t="n">
        <v>56066.89</v>
      </c>
      <c r="H11" s="42" t="n">
        <v>73295.66</v>
      </c>
      <c r="I11" s="42" t="n">
        <v>48127.07000000001</v>
      </c>
      <c r="J11" s="42" t="n">
        <v>47295.05</v>
      </c>
      <c r="K11" s="42" t="n">
        <v>48669.44</v>
      </c>
      <c r="L11" s="42" t="n">
        <v>61062.17999999999</v>
      </c>
      <c r="M11" s="42" t="n">
        <v>70277.42999999999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21607.1</v>
      </c>
      <c r="C16" s="35" t="n">
        <v>18599.12</v>
      </c>
      <c r="D16" s="35" t="n">
        <v>18828.61</v>
      </c>
      <c r="E16" s="35" t="n">
        <v>30196.38</v>
      </c>
      <c r="F16" s="35" t="n">
        <v>21271.92</v>
      </c>
      <c r="G16" s="35" t="n">
        <v>21185.22</v>
      </c>
      <c r="H16" s="35" t="n">
        <v>20748.59</v>
      </c>
      <c r="I16" s="35" t="n">
        <v>15728.54</v>
      </c>
      <c r="J16" s="35" t="n">
        <v>13769.68</v>
      </c>
      <c r="K16" s="35" t="n">
        <v>21655.25</v>
      </c>
      <c r="L16" s="35" t="n">
        <v>23068.26</v>
      </c>
      <c r="M16" s="35" t="n">
        <v>25028.67</v>
      </c>
      <c r="N16" s="36">
        <f>SUM(B16:M16)</f>
        <v/>
      </c>
      <c r="O16" s="37">
        <f>SUMIF('SST TB'!$R:$R,'SST P&amp;L'!$A16,'SST TB'!C:C)</f>
        <v/>
      </c>
      <c r="P16" s="37">
        <f>SUMIF('SST TB'!$R:$R,'SST P&amp;L'!$A16,'SST TB'!D:D)</f>
        <v/>
      </c>
      <c r="Q16" s="37">
        <f>SUMIF('SST TB'!$R:$R,'SST P&amp;L'!$A16,'SST TB'!E:E)</f>
        <v/>
      </c>
      <c r="R16" s="37">
        <f>SUMIF('SST TB'!$R:$R,'SST P&amp;L'!$A16,'SST TB'!F:F)</f>
        <v/>
      </c>
      <c r="S16" s="37">
        <f>SUMIF('SST TB'!$R:$R,'SST P&amp;L'!$A16,'SST TB'!G:G)</f>
        <v/>
      </c>
      <c r="T16" s="37">
        <f>SUMIF('SST TB'!$R:$R,'SST P&amp;L'!$A16,'SST TB'!H:H)</f>
        <v/>
      </c>
      <c r="U16" s="37">
        <f>SUMIF('SST TB'!$R:$R,'SST P&amp;L'!$A16,'SST TB'!I:I)</f>
        <v/>
      </c>
      <c r="V16" s="38" t="n">
        <v>23764.36</v>
      </c>
      <c r="W16" s="38" t="n">
        <v>23764.36</v>
      </c>
      <c r="X16" s="38" t="n">
        <v>23764.36</v>
      </c>
      <c r="Y16" s="38" t="n">
        <v>23764.36</v>
      </c>
      <c r="Z16" s="38" t="n">
        <v>23764.36</v>
      </c>
      <c r="AA16" s="36">
        <f>SUM(O16:U16)</f>
        <v/>
      </c>
      <c r="AB16" s="36">
        <f>SUM(O16:Z16)</f>
        <v/>
      </c>
      <c r="AC16" s="38" t="n">
        <v>23764.36</v>
      </c>
      <c r="AD16" s="38" t="n">
        <v>23764.36</v>
      </c>
      <c r="AE16" s="38" t="n">
        <v>23764.36</v>
      </c>
      <c r="AF16" s="38" t="n">
        <v>23764.36</v>
      </c>
      <c r="AG16" s="38" t="n">
        <v>23764.36</v>
      </c>
      <c r="AH16" s="38" t="n">
        <v>23764.36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1518.87</v>
      </c>
      <c r="C17" s="35" t="n">
        <v>1465.4</v>
      </c>
      <c r="D17" s="35" t="n">
        <v>1387.39</v>
      </c>
      <c r="E17" s="35" t="n">
        <v>3382.54</v>
      </c>
      <c r="F17" s="35" t="n">
        <v>2202.22</v>
      </c>
      <c r="G17" s="35" t="n">
        <v>2183.99</v>
      </c>
      <c r="H17" s="35" t="n">
        <v>2079.75</v>
      </c>
      <c r="I17" s="35" t="n">
        <v>1659.35</v>
      </c>
      <c r="J17" s="35" t="n">
        <v>1486.66</v>
      </c>
      <c r="K17" s="35" t="n">
        <v>2384.28</v>
      </c>
      <c r="L17" s="35" t="n">
        <v>2508.07</v>
      </c>
      <c r="M17" s="35" t="n">
        <v>2817.56</v>
      </c>
      <c r="N17" s="36">
        <f>SUM(B17:M17)</f>
        <v/>
      </c>
      <c r="O17" s="37">
        <f>SUMIF('SST TB'!$R:$R,'SST P&amp;L'!$A17,'SST TB'!C:C)</f>
        <v/>
      </c>
      <c r="P17" s="37">
        <f>SUMIF('SST TB'!$R:$R,'SST P&amp;L'!$A17,'SST TB'!D:D)</f>
        <v/>
      </c>
      <c r="Q17" s="37">
        <f>SUMIF('SST TB'!$R:$R,'SST P&amp;L'!$A17,'SST TB'!E:E)</f>
        <v/>
      </c>
      <c r="R17" s="37">
        <f>SUMIF('SST TB'!$R:$R,'SST P&amp;L'!$A17,'SST TB'!F:F)</f>
        <v/>
      </c>
      <c r="S17" s="37">
        <f>SUMIF('SST TB'!$R:$R,'SST P&amp;L'!$A17,'SST TB'!G:G)</f>
        <v/>
      </c>
      <c r="T17" s="37">
        <f>SUMIF('SST TB'!$R:$R,'SST P&amp;L'!$A17,'SST TB'!H:H)</f>
        <v/>
      </c>
      <c r="U17" s="37">
        <f>SUMIF('SST TB'!$R:$R,'SST P&amp;L'!$A17,'SST TB'!I:I)</f>
        <v/>
      </c>
      <c r="V17" s="38" t="n">
        <v>2504.85</v>
      </c>
      <c r="W17" s="38" t="n">
        <v>2504.85</v>
      </c>
      <c r="X17" s="38" t="n">
        <v>2504.85</v>
      </c>
      <c r="Y17" s="38" t="n">
        <v>2504.85</v>
      </c>
      <c r="Z17" s="38" t="n">
        <v>2504.85</v>
      </c>
      <c r="AA17" s="36">
        <f>SUM(O17:U17)</f>
        <v/>
      </c>
      <c r="AB17" s="36">
        <f>SUM(O17:Z17)</f>
        <v/>
      </c>
      <c r="AC17" s="38" t="n">
        <v>2504.85</v>
      </c>
      <c r="AD17" s="38" t="n">
        <v>2504.85</v>
      </c>
      <c r="AE17" s="38" t="n">
        <v>2504.85</v>
      </c>
      <c r="AF17" s="38" t="n">
        <v>2504.85</v>
      </c>
      <c r="AG17" s="38" t="n">
        <v>2504.85</v>
      </c>
      <c r="AH17" s="38" t="n">
        <v>2504.85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380.15</v>
      </c>
      <c r="C18" s="35" t="n">
        <v>368.53</v>
      </c>
      <c r="D18" s="35" t="n">
        <v>351.56</v>
      </c>
      <c r="E18" s="35" t="n">
        <v>312.94</v>
      </c>
      <c r="F18" s="35" t="n">
        <v>271.31</v>
      </c>
      <c r="G18" s="35" t="n">
        <v>268.31</v>
      </c>
      <c r="H18" s="35" t="n">
        <v>299.41</v>
      </c>
      <c r="I18" s="35" t="n">
        <v>266.04</v>
      </c>
      <c r="J18" s="35" t="n">
        <v>278.77</v>
      </c>
      <c r="K18" s="35" t="n">
        <v>424.36</v>
      </c>
      <c r="L18" s="35" t="n">
        <v>387.08</v>
      </c>
      <c r="M18" s="35" t="n">
        <v>532.5699999999999</v>
      </c>
      <c r="N18" s="36">
        <f>SUM(B18:M18)</f>
        <v/>
      </c>
      <c r="O18" s="37">
        <f>SUMIF('SST TB'!$R:$R,'SST P&amp;L'!$A18,'SST TB'!C:C)</f>
        <v/>
      </c>
      <c r="P18" s="37">
        <f>SUMIF('SST TB'!$R:$R,'SST P&amp;L'!$A18,'SST TB'!D:D)</f>
        <v/>
      </c>
      <c r="Q18" s="37">
        <f>SUMIF('SST TB'!$R:$R,'SST P&amp;L'!$A18,'SST TB'!E:E)</f>
        <v/>
      </c>
      <c r="R18" s="37">
        <f>SUMIF('SST TB'!$R:$R,'SST P&amp;L'!$A18,'SST TB'!F:F)</f>
        <v/>
      </c>
      <c r="S18" s="37">
        <f>SUMIF('SST TB'!$R:$R,'SST P&amp;L'!$A18,'SST TB'!G:G)</f>
        <v/>
      </c>
      <c r="T18" s="37">
        <f>SUMIF('SST TB'!$R:$R,'SST P&amp;L'!$A18,'SST TB'!H:H)</f>
        <v/>
      </c>
      <c r="U18" s="37">
        <f>SUMIF('SST TB'!$R:$R,'SST P&amp;L'!$A18,'SST TB'!I:I)</f>
        <v/>
      </c>
      <c r="V18" s="38" t="n">
        <v>417</v>
      </c>
      <c r="W18" s="38" t="n">
        <v>417</v>
      </c>
      <c r="X18" s="38" t="n">
        <v>417</v>
      </c>
      <c r="Y18" s="38" t="n">
        <v>417</v>
      </c>
      <c r="Z18" s="38" t="n">
        <v>417</v>
      </c>
      <c r="AA18" s="36">
        <f>SUM(O18:U18)</f>
        <v/>
      </c>
      <c r="AB18" s="36">
        <f>SUM(O18:Z18)</f>
        <v/>
      </c>
      <c r="AC18" s="38" t="n">
        <v>417</v>
      </c>
      <c r="AD18" s="38" t="n">
        <v>417</v>
      </c>
      <c r="AE18" s="38" t="n">
        <v>417</v>
      </c>
      <c r="AF18" s="38" t="n">
        <v>417</v>
      </c>
      <c r="AG18" s="38" t="n">
        <v>417</v>
      </c>
      <c r="AH18" s="38" t="n">
        <v>417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186.12</v>
      </c>
      <c r="C19" s="35" t="n">
        <v>0</v>
      </c>
      <c r="D19" s="35" t="n">
        <v>0</v>
      </c>
      <c r="E19" s="35" t="n">
        <v>67.02</v>
      </c>
      <c r="F19" s="35" t="n">
        <v>0</v>
      </c>
      <c r="G19" s="35" t="n">
        <v>0</v>
      </c>
      <c r="H19" s="35" t="n">
        <v>72.54000000000001</v>
      </c>
      <c r="I19" s="35" t="n">
        <v>0</v>
      </c>
      <c r="J19" s="35" t="n">
        <v>120</v>
      </c>
      <c r="K19" s="35" t="n">
        <v>0</v>
      </c>
      <c r="L19" s="35" t="n">
        <v>128.76</v>
      </c>
      <c r="M19" s="35" t="n">
        <v>0</v>
      </c>
      <c r="N19" s="36">
        <f>SUM(B19:M19)</f>
        <v/>
      </c>
      <c r="O19" s="37">
        <f>SUMIF('SST TB'!$R:$R,'SST P&amp;L'!$A19,'SST TB'!C:C)</f>
        <v/>
      </c>
      <c r="P19" s="37">
        <f>SUMIF('SST TB'!$R:$R,'SST P&amp;L'!$A19,'SST TB'!D:D)</f>
        <v/>
      </c>
      <c r="Q19" s="37">
        <f>SUMIF('SST TB'!$R:$R,'SST P&amp;L'!$A19,'SST TB'!E:E)</f>
        <v/>
      </c>
      <c r="R19" s="37">
        <f>SUMIF('SST TB'!$R:$R,'SST P&amp;L'!$A19,'SST TB'!F:F)</f>
        <v/>
      </c>
      <c r="S19" s="37">
        <f>SUMIF('SST TB'!$R:$R,'SST P&amp;L'!$A19,'SST TB'!G:G)</f>
        <v/>
      </c>
      <c r="T19" s="37">
        <f>SUMIF('SST TB'!$R:$R,'SST P&amp;L'!$A19,'SST TB'!H:H)</f>
        <v/>
      </c>
      <c r="U19" s="37">
        <f>SUMIF('SST TB'!$R:$R,'SST P&amp;L'!$A19,'SST TB'!I:I)</f>
        <v/>
      </c>
      <c r="V19" s="38" t="n">
        <v>60</v>
      </c>
      <c r="W19" s="38" t="n">
        <v>60</v>
      </c>
      <c r="X19" s="38" t="n">
        <v>60</v>
      </c>
      <c r="Y19" s="38" t="n">
        <v>60</v>
      </c>
      <c r="Z19" s="38" t="n">
        <v>60</v>
      </c>
      <c r="AA19" s="36">
        <f>SUM(O19:U19)</f>
        <v/>
      </c>
      <c r="AB19" s="36">
        <f>SUM(O19:Z19)</f>
        <v/>
      </c>
      <c r="AC19" s="38" t="n">
        <v>60</v>
      </c>
      <c r="AD19" s="38" t="n">
        <v>60</v>
      </c>
      <c r="AE19" s="38" t="n">
        <v>60</v>
      </c>
      <c r="AF19" s="38" t="n">
        <v>60</v>
      </c>
      <c r="AG19" s="38" t="n">
        <v>60</v>
      </c>
      <c r="AH19" s="38" t="n">
        <v>60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0</v>
      </c>
      <c r="C20" s="35" t="n">
        <v>0</v>
      </c>
      <c r="D20" s="35" t="n">
        <v>0</v>
      </c>
      <c r="E20" s="35" t="n">
        <v>139.2</v>
      </c>
      <c r="F20" s="35" t="n">
        <v>48</v>
      </c>
      <c r="G20" s="35" t="n">
        <v>164.4</v>
      </c>
      <c r="H20" s="35" t="n">
        <v>0</v>
      </c>
      <c r="I20" s="35" t="n">
        <v>115.2</v>
      </c>
      <c r="J20" s="35" t="n">
        <v>0</v>
      </c>
      <c r="K20" s="35" t="n">
        <v>0</v>
      </c>
      <c r="L20" s="35" t="n">
        <v>403.2</v>
      </c>
      <c r="M20" s="35" t="n">
        <v>0</v>
      </c>
      <c r="N20" s="36">
        <f>SUM(B20:M20)</f>
        <v/>
      </c>
      <c r="O20" s="37">
        <f>SUMIF('SST TB'!$R:$R,'SST P&amp;L'!$A20,'SST TB'!C:C)</f>
        <v/>
      </c>
      <c r="P20" s="37">
        <f>SUMIF('SST TB'!$R:$R,'SST P&amp;L'!$A20,'SST TB'!D:D)</f>
        <v/>
      </c>
      <c r="Q20" s="37">
        <f>SUMIF('SST TB'!$R:$R,'SST P&amp;L'!$A20,'SST TB'!E:E)</f>
        <v/>
      </c>
      <c r="R20" s="37">
        <f>SUMIF('SST TB'!$R:$R,'SST P&amp;L'!$A20,'SST TB'!F:F)</f>
        <v/>
      </c>
      <c r="S20" s="37">
        <f>SUMIF('SST TB'!$R:$R,'SST P&amp;L'!$A20,'SST TB'!G:G)</f>
        <v/>
      </c>
      <c r="T20" s="37">
        <f>SUMIF('SST TB'!$R:$R,'SST P&amp;L'!$A20,'SST TB'!H:H)</f>
        <v/>
      </c>
      <c r="U20" s="37">
        <f>SUMIF('SST TB'!$R:$R,'SST P&amp;L'!$A20,'SST TB'!I:I)</f>
        <v/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106.99</v>
      </c>
      <c r="C21" s="35" t="n">
        <v>173.03</v>
      </c>
      <c r="D21" s="35" t="n">
        <v>86.29000000000001</v>
      </c>
      <c r="E21" s="35" t="n">
        <v>113.6</v>
      </c>
      <c r="F21" s="35" t="n">
        <v>155.62</v>
      </c>
      <c r="G21" s="35" t="n">
        <v>91.43000000000001</v>
      </c>
      <c r="H21" s="35" t="n">
        <v>58.88</v>
      </c>
      <c r="I21" s="35" t="n">
        <v>85.14</v>
      </c>
      <c r="J21" s="35" t="n">
        <v>67.09999999999999</v>
      </c>
      <c r="K21" s="35" t="n">
        <v>62.73</v>
      </c>
      <c r="L21" s="35" t="n">
        <v>40.9</v>
      </c>
      <c r="M21" s="35" t="n">
        <v>86.56</v>
      </c>
      <c r="N21" s="36">
        <f>SUM(B21:M21)</f>
        <v/>
      </c>
      <c r="O21" s="37">
        <f>SUMIF('SST TB'!$R:$R,'SST P&amp;L'!$A21,'SST TB'!C:C)</f>
        <v/>
      </c>
      <c r="P21" s="37">
        <f>SUMIF('SST TB'!$R:$R,'SST P&amp;L'!$A21,'SST TB'!D:D)</f>
        <v/>
      </c>
      <c r="Q21" s="37">
        <f>SUMIF('SST TB'!$R:$R,'SST P&amp;L'!$A21,'SST TB'!E:E)</f>
        <v/>
      </c>
      <c r="R21" s="37">
        <f>SUMIF('SST TB'!$R:$R,'SST P&amp;L'!$A21,'SST TB'!F:F)</f>
        <v/>
      </c>
      <c r="S21" s="37">
        <f>SUMIF('SST TB'!$R:$R,'SST P&amp;L'!$A21,'SST TB'!G:G)</f>
        <v/>
      </c>
      <c r="T21" s="37">
        <f>SUMIF('SST TB'!$R:$R,'SST P&amp;L'!$A21,'SST TB'!H:H)</f>
        <v/>
      </c>
      <c r="U21" s="37">
        <f>SUMIF('SST TB'!$R:$R,'SST P&amp;L'!$A21,'SST TB'!I:I)</f>
        <v/>
      </c>
      <c r="V21" s="38" t="n">
        <v>120</v>
      </c>
      <c r="W21" s="38" t="n">
        <v>120</v>
      </c>
      <c r="X21" s="38" t="n">
        <v>120</v>
      </c>
      <c r="Y21" s="38" t="n">
        <v>120</v>
      </c>
      <c r="Z21" s="38" t="n">
        <v>120</v>
      </c>
      <c r="AA21" s="36">
        <f>SUM(O21:U21)</f>
        <v/>
      </c>
      <c r="AB21" s="36">
        <f>SUM(O21:Z21)</f>
        <v/>
      </c>
      <c r="AC21" s="38" t="n">
        <v>120</v>
      </c>
      <c r="AD21" s="38" t="n">
        <v>120</v>
      </c>
      <c r="AE21" s="38" t="n">
        <v>120</v>
      </c>
      <c r="AF21" s="38" t="n">
        <v>120</v>
      </c>
      <c r="AG21" s="38" t="n">
        <v>120</v>
      </c>
      <c r="AH21" s="38" t="n">
        <v>120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4169.88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SUMIF('SST TB'!$R:$R,'SST P&amp;L'!$A22,'SST TB'!C:C)</f>
        <v/>
      </c>
      <c r="P22" s="37">
        <f>SUMIF('SST TB'!$R:$R,'SST P&amp;L'!$A22,'SST TB'!D:D)</f>
        <v/>
      </c>
      <c r="Q22" s="37">
        <f>SUMIF('SST TB'!$R:$R,'SST P&amp;L'!$A22,'SST TB'!E:E)</f>
        <v/>
      </c>
      <c r="R22" s="37">
        <f>SUMIF('SST TB'!$R:$R,'SST P&amp;L'!$A22,'SST TB'!F:F)</f>
        <v/>
      </c>
      <c r="S22" s="37">
        <f>SUMIF('SST TB'!$R:$R,'SST P&amp;L'!$A22,'SST TB'!G:G)</f>
        <v/>
      </c>
      <c r="T22" s="37">
        <f>SUMIF('SST TB'!$R:$R,'SST P&amp;L'!$A22,'SST TB'!H:H)</f>
        <v/>
      </c>
      <c r="U22" s="37">
        <f>SUMIF('SST TB'!$R:$R,'SST P&amp;L'!$A22,'SST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26.99</v>
      </c>
      <c r="I23" s="35" t="n">
        <v>0</v>
      </c>
      <c r="J23" s="35" t="n">
        <v>64.36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>
        <f>SUMIF('SST TB'!$R:$R,'SST P&amp;L'!$A23,'SST TB'!C:C)</f>
        <v/>
      </c>
      <c r="P23" s="37">
        <f>SUMIF('SST TB'!$R:$R,'SST P&amp;L'!$A23,'SST TB'!D:D)</f>
        <v/>
      </c>
      <c r="Q23" s="37">
        <f>SUMIF('SST TB'!$R:$R,'SST P&amp;L'!$A23,'SST TB'!E:E)</f>
        <v/>
      </c>
      <c r="R23" s="37">
        <f>SUMIF('SST TB'!$R:$R,'SST P&amp;L'!$A23,'SST TB'!F:F)</f>
        <v/>
      </c>
      <c r="S23" s="37">
        <f>SUMIF('SST TB'!$R:$R,'SST P&amp;L'!$A23,'SST TB'!G:G)</f>
        <v/>
      </c>
      <c r="T23" s="37">
        <f>SUMIF('SST TB'!$R:$R,'SST P&amp;L'!$A23,'SST TB'!H:H)</f>
        <v/>
      </c>
      <c r="U23" s="37">
        <f>SUMIF('SST TB'!$R:$R,'SST P&amp;L'!$A23,'SST TB'!I:I)</f>
        <v/>
      </c>
      <c r="V23" s="38" t="n">
        <v>50</v>
      </c>
      <c r="W23" s="38" t="n">
        <v>50</v>
      </c>
      <c r="X23" s="38" t="n">
        <v>50</v>
      </c>
      <c r="Y23" s="38" t="n">
        <v>50</v>
      </c>
      <c r="Z23" s="38" t="n">
        <v>50</v>
      </c>
      <c r="AA23" s="36">
        <f>SUM(O23:U23)</f>
        <v/>
      </c>
      <c r="AB23" s="36">
        <f>SUM(O23:Z23)</f>
        <v/>
      </c>
      <c r="AC23" s="38" t="n">
        <v>50</v>
      </c>
      <c r="AD23" s="38" t="n">
        <v>50</v>
      </c>
      <c r="AE23" s="38" t="n">
        <v>50</v>
      </c>
      <c r="AF23" s="38" t="n">
        <v>50</v>
      </c>
      <c r="AG23" s="38" t="n">
        <v>50</v>
      </c>
      <c r="AH23" s="38" t="n">
        <v>50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SUMIF('SST TB'!$R:$R,'SST P&amp;L'!$A24,'SST TB'!C:C)</f>
        <v/>
      </c>
      <c r="P24" s="37">
        <f>SUMIF('SST TB'!$R:$R,'SST P&amp;L'!$A24,'SST TB'!D:D)</f>
        <v/>
      </c>
      <c r="Q24" s="37">
        <f>SUMIF('SST TB'!$R:$R,'SST P&amp;L'!$A24,'SST TB'!E:E)</f>
        <v/>
      </c>
      <c r="R24" s="37">
        <f>SUMIF('SST TB'!$R:$R,'SST P&amp;L'!$A24,'SST TB'!F:F)</f>
        <v/>
      </c>
      <c r="S24" s="37">
        <f>SUMIF('SST TB'!$R:$R,'SST P&amp;L'!$A24,'SST TB'!G:G)</f>
        <v/>
      </c>
      <c r="T24" s="37">
        <f>SUMIF('SST TB'!$R:$R,'SST P&amp;L'!$A24,'SST TB'!H:H)</f>
        <v/>
      </c>
      <c r="U24" s="37">
        <f>SUMIF('SST TB'!$R:$R,'SST P&amp;L'!$A24,'SST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23799.23</v>
      </c>
      <c r="C25" s="42" t="n">
        <v>20606.08</v>
      </c>
      <c r="D25" s="42" t="n">
        <v>20653.85</v>
      </c>
      <c r="E25" s="42" t="n">
        <v>38381.55999999999</v>
      </c>
      <c r="F25" s="42" t="n">
        <v>23949.07</v>
      </c>
      <c r="G25" s="42" t="n">
        <v>23893.35</v>
      </c>
      <c r="H25" s="42" t="n">
        <v>23286.16</v>
      </c>
      <c r="I25" s="42" t="n">
        <v>17854.27</v>
      </c>
      <c r="J25" s="42" t="n">
        <v>15786.57</v>
      </c>
      <c r="K25" s="42" t="n">
        <v>24526.62</v>
      </c>
      <c r="L25" s="42" t="n">
        <v>26536.27</v>
      </c>
      <c r="M25" s="42" t="n">
        <v>28465.36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1976.95</v>
      </c>
      <c r="C27" s="35" t="n">
        <v>1443.01</v>
      </c>
      <c r="D27" s="35" t="n">
        <v>1187.18</v>
      </c>
      <c r="E27" s="35" t="n">
        <v>1138.34</v>
      </c>
      <c r="F27" s="35" t="n">
        <v>584.17</v>
      </c>
      <c r="G27" s="35" t="n">
        <v>1127.49</v>
      </c>
      <c r="H27" s="35" t="n">
        <v>937.36</v>
      </c>
      <c r="I27" s="35" t="n">
        <v>1743.46</v>
      </c>
      <c r="J27" s="35" t="n">
        <v>1146.68</v>
      </c>
      <c r="K27" s="35" t="n">
        <v>1299.82</v>
      </c>
      <c r="L27" s="35" t="n">
        <v>1334.53</v>
      </c>
      <c r="M27" s="35" t="n">
        <v>968.6700000000001</v>
      </c>
      <c r="N27" s="36">
        <f>SUM(B27:M27)</f>
        <v/>
      </c>
      <c r="O27" s="37">
        <f>SUMIF('SST TB'!$R:$R,'SST P&amp;L'!$A27,'SST TB'!C:C)</f>
        <v/>
      </c>
      <c r="P27" s="37">
        <f>SUMIF('SST TB'!$R:$R,'SST P&amp;L'!$A27,'SST TB'!D:D)</f>
        <v/>
      </c>
      <c r="Q27" s="37">
        <f>SUMIF('SST TB'!$R:$R,'SST P&amp;L'!$A27,'SST TB'!E:E)</f>
        <v/>
      </c>
      <c r="R27" s="37">
        <f>SUMIF('SST TB'!$R:$R,'SST P&amp;L'!$A27,'SST TB'!F:F)</f>
        <v/>
      </c>
      <c r="S27" s="37">
        <f>SUMIF('SST TB'!$R:$R,'SST P&amp;L'!$A27,'SST TB'!G:G)</f>
        <v/>
      </c>
      <c r="T27" s="37">
        <f>SUMIF('SST TB'!$R:$R,'SST P&amp;L'!$A27,'SST TB'!H:H)</f>
        <v/>
      </c>
      <c r="U27" s="37">
        <f>SUMIF('SST TB'!$R:$R,'SST P&amp;L'!$A27,'SST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152.72</v>
      </c>
      <c r="C28" s="35" t="n">
        <v>57.08</v>
      </c>
      <c r="D28" s="35" t="n">
        <v>79.77</v>
      </c>
      <c r="E28" s="35" t="n">
        <v>114.39</v>
      </c>
      <c r="F28" s="35" t="n">
        <v>137.45</v>
      </c>
      <c r="G28" s="35" t="n">
        <v>30.35</v>
      </c>
      <c r="H28" s="35" t="n">
        <v>123.05</v>
      </c>
      <c r="I28" s="35" t="n">
        <v>2545.39</v>
      </c>
      <c r="J28" s="35" t="n">
        <v>573.58</v>
      </c>
      <c r="K28" s="35" t="n">
        <v>36.85</v>
      </c>
      <c r="L28" s="35" t="n">
        <v>46.98</v>
      </c>
      <c r="M28" s="35" t="n">
        <v>8</v>
      </c>
      <c r="N28" s="36">
        <f>SUM(B28:M28)</f>
        <v/>
      </c>
      <c r="O28" s="37">
        <f>SUMIF('SST TB'!$R:$R,'SST P&amp;L'!$A28,'SST TB'!C:C)</f>
        <v/>
      </c>
      <c r="P28" s="37">
        <f>SUMIF('SST TB'!$R:$R,'SST P&amp;L'!$A28,'SST TB'!D:D)</f>
        <v/>
      </c>
      <c r="Q28" s="37">
        <f>SUMIF('SST TB'!$R:$R,'SST P&amp;L'!$A28,'SST TB'!E:E)</f>
        <v/>
      </c>
      <c r="R28" s="37">
        <f>SUMIF('SST TB'!$R:$R,'SST P&amp;L'!$A28,'SST TB'!F:F)</f>
        <v/>
      </c>
      <c r="S28" s="37">
        <f>SUMIF('SST TB'!$R:$R,'SST P&amp;L'!$A28,'SST TB'!G:G)</f>
        <v/>
      </c>
      <c r="T28" s="37">
        <f>SUMIF('SST TB'!$R:$R,'SST P&amp;L'!$A28,'SST TB'!H:H)</f>
        <v/>
      </c>
      <c r="U28" s="37">
        <f>SUMIF('SST TB'!$R:$R,'SST P&amp;L'!$A28,'SST TB'!I:I)</f>
        <v/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34.35</v>
      </c>
      <c r="C29" s="35" t="n">
        <v>189.07</v>
      </c>
      <c r="D29" s="35" t="n">
        <v>0</v>
      </c>
      <c r="E29" s="35" t="n">
        <v>5.94</v>
      </c>
      <c r="F29" s="35" t="n">
        <v>0</v>
      </c>
      <c r="G29" s="35" t="n">
        <v>343.1</v>
      </c>
      <c r="H29" s="35" t="n">
        <v>16.74</v>
      </c>
      <c r="I29" s="35" t="n">
        <v>0</v>
      </c>
      <c r="J29" s="35" t="n">
        <v>60.31</v>
      </c>
      <c r="K29" s="35" t="n">
        <v>159.73</v>
      </c>
      <c r="L29" s="35" t="n">
        <v>225.08</v>
      </c>
      <c r="M29" s="35" t="n">
        <v>0</v>
      </c>
      <c r="N29" s="36">
        <f>SUM(B29:M29)</f>
        <v/>
      </c>
      <c r="O29" s="37">
        <f>SUMIF('SST TB'!$R:$R,'SST P&amp;L'!$A29,'SST TB'!C:C)</f>
        <v/>
      </c>
      <c r="P29" s="37">
        <f>SUMIF('SST TB'!$R:$R,'SST P&amp;L'!$A29,'SST TB'!D:D)</f>
        <v/>
      </c>
      <c r="Q29" s="37">
        <f>SUMIF('SST TB'!$R:$R,'SST P&amp;L'!$A29,'SST TB'!E:E)</f>
        <v/>
      </c>
      <c r="R29" s="37">
        <f>SUMIF('SST TB'!$R:$R,'SST P&amp;L'!$A29,'SST TB'!F:F)</f>
        <v/>
      </c>
      <c r="S29" s="37">
        <f>SUMIF('SST TB'!$R:$R,'SST P&amp;L'!$A29,'SST TB'!G:G)</f>
        <v/>
      </c>
      <c r="T29" s="37">
        <f>SUMIF('SST TB'!$R:$R,'SST P&amp;L'!$A29,'SST TB'!H:H)</f>
        <v/>
      </c>
      <c r="U29" s="37">
        <f>SUMIF('SST TB'!$R:$R,'SST P&amp;L'!$A29,'SST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0.00208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72.27000000000001</v>
      </c>
      <c r="C30" s="35" t="n">
        <v>90.23999999999999</v>
      </c>
      <c r="D30" s="35" t="n">
        <v>3.95</v>
      </c>
      <c r="E30" s="35" t="n">
        <v>20.61</v>
      </c>
      <c r="F30" s="35" t="n">
        <v>6.64</v>
      </c>
      <c r="G30" s="35" t="n">
        <v>17.43</v>
      </c>
      <c r="H30" s="35" t="n">
        <v>25.88</v>
      </c>
      <c r="I30" s="35" t="n">
        <v>0</v>
      </c>
      <c r="J30" s="35" t="n">
        <v>0</v>
      </c>
      <c r="K30" s="35" t="n">
        <v>25.42</v>
      </c>
      <c r="L30" s="35" t="n">
        <v>28.11</v>
      </c>
      <c r="M30" s="35" t="n">
        <v>0</v>
      </c>
      <c r="N30" s="36">
        <f>SUM(B30:M30)</f>
        <v/>
      </c>
      <c r="O30" s="37">
        <f>SUMIF('SST TB'!$R:$R,'SST P&amp;L'!$A30,'SST TB'!C:C)</f>
        <v/>
      </c>
      <c r="P30" s="37">
        <f>SUMIF('SST TB'!$R:$R,'SST P&amp;L'!$A30,'SST TB'!D:D)</f>
        <v/>
      </c>
      <c r="Q30" s="37">
        <f>SUMIF('SST TB'!$R:$R,'SST P&amp;L'!$A30,'SST TB'!E:E)</f>
        <v/>
      </c>
      <c r="R30" s="37">
        <f>SUMIF('SST TB'!$R:$R,'SST P&amp;L'!$A30,'SST TB'!F:F)</f>
        <v/>
      </c>
      <c r="S30" s="37">
        <f>SUMIF('SST TB'!$R:$R,'SST P&amp;L'!$A30,'SST TB'!G:G)</f>
        <v/>
      </c>
      <c r="T30" s="37">
        <f>SUMIF('SST TB'!$R:$R,'SST P&amp;L'!$A30,'SST TB'!H:H)</f>
        <v/>
      </c>
      <c r="U30" s="37">
        <f>SUMIF('SST TB'!$R:$R,'SST P&amp;L'!$A30,'SST TB'!I:I)</f>
        <v/>
      </c>
      <c r="V30" s="38" t="n">
        <v>50</v>
      </c>
      <c r="W30" s="38" t="n">
        <v>50</v>
      </c>
      <c r="X30" s="38" t="n">
        <v>50</v>
      </c>
      <c r="Y30" s="38" t="n">
        <v>50</v>
      </c>
      <c r="Z30" s="38" t="n">
        <v>50</v>
      </c>
      <c r="AA30" s="36">
        <f>SUM(O30:U30)</f>
        <v/>
      </c>
      <c r="AB30" s="36">
        <f>SUM(O30:Z30)</f>
        <v/>
      </c>
      <c r="AC30" s="38" t="n">
        <v>50</v>
      </c>
      <c r="AD30" s="38" t="n">
        <v>50</v>
      </c>
      <c r="AE30" s="38" t="n">
        <v>50</v>
      </c>
      <c r="AF30" s="38" t="n">
        <v>50</v>
      </c>
      <c r="AG30" s="38" t="n">
        <v>50</v>
      </c>
      <c r="AH30" s="38" t="n">
        <v>50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61.07999999999999</v>
      </c>
      <c r="C31" s="35" t="n">
        <v>408.14</v>
      </c>
      <c r="D31" s="35" t="n">
        <v>0</v>
      </c>
      <c r="E31" s="35" t="n">
        <v>0</v>
      </c>
      <c r="F31" s="35" t="n">
        <v>0</v>
      </c>
      <c r="G31" s="35" t="n">
        <v>137.33</v>
      </c>
      <c r="H31" s="35" t="n">
        <v>0</v>
      </c>
      <c r="I31" s="35" t="n">
        <v>0</v>
      </c>
      <c r="J31" s="35" t="n">
        <v>15.49</v>
      </c>
      <c r="K31" s="35" t="n">
        <v>136.52</v>
      </c>
      <c r="L31" s="35" t="n">
        <v>87.22</v>
      </c>
      <c r="M31" s="35" t="n">
        <v>0</v>
      </c>
      <c r="N31" s="36">
        <f>SUM(B31:M31)</f>
        <v/>
      </c>
      <c r="O31" s="37">
        <f>SUMIF('SST TB'!$R:$R,'SST P&amp;L'!$A31,'SST TB'!C:C)</f>
        <v/>
      </c>
      <c r="P31" s="37">
        <f>SUMIF('SST TB'!$R:$R,'SST P&amp;L'!$A31,'SST TB'!D:D)</f>
        <v/>
      </c>
      <c r="Q31" s="37">
        <f>SUMIF('SST TB'!$R:$R,'SST P&amp;L'!$A31,'SST TB'!E:E)</f>
        <v/>
      </c>
      <c r="R31" s="37">
        <f>SUMIF('SST TB'!$R:$R,'SST P&amp;L'!$A31,'SST TB'!F:F)</f>
        <v/>
      </c>
      <c r="S31" s="37">
        <f>SUMIF('SST TB'!$R:$R,'SST P&amp;L'!$A31,'SST TB'!G:G)</f>
        <v/>
      </c>
      <c r="T31" s="37">
        <f>SUMIF('SST TB'!$R:$R,'SST P&amp;L'!$A31,'SST TB'!H:H)</f>
        <v/>
      </c>
      <c r="U31" s="37">
        <f>SUMIF('SST TB'!$R:$R,'SST P&amp;L'!$A31,'SST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153.95</v>
      </c>
      <c r="C32" s="35" t="n">
        <v>25.49</v>
      </c>
      <c r="D32" s="35" t="n">
        <v>76.11</v>
      </c>
      <c r="E32" s="35" t="n">
        <v>48.42</v>
      </c>
      <c r="F32" s="35" t="n">
        <v>528.41</v>
      </c>
      <c r="G32" s="35" t="n">
        <v>177.93</v>
      </c>
      <c r="H32" s="35" t="n">
        <v>177.59</v>
      </c>
      <c r="I32" s="35" t="n">
        <v>40.88</v>
      </c>
      <c r="J32" s="35" t="n">
        <v>118.28</v>
      </c>
      <c r="K32" s="35" t="n">
        <v>171.62</v>
      </c>
      <c r="L32" s="35" t="n">
        <v>380.9999999999999</v>
      </c>
      <c r="M32" s="35" t="n">
        <v>167.87</v>
      </c>
      <c r="N32" s="36">
        <f>SUM(B32:M32)</f>
        <v/>
      </c>
      <c r="O32" s="37">
        <f>SUMIF('SST TB'!$R:$R,'SST P&amp;L'!$A32,'SST TB'!C:C)</f>
        <v/>
      </c>
      <c r="P32" s="37">
        <f>SUMIF('SST TB'!$R:$R,'SST P&amp;L'!$A32,'SST TB'!D:D)</f>
        <v/>
      </c>
      <c r="Q32" s="37">
        <f>SUMIF('SST TB'!$R:$R,'SST P&amp;L'!$A32,'SST TB'!E:E)</f>
        <v/>
      </c>
      <c r="R32" s="37">
        <f>SUMIF('SST TB'!$R:$R,'SST P&amp;L'!$A32,'SST TB'!F:F)</f>
        <v/>
      </c>
      <c r="S32" s="37">
        <f>SUMIF('SST TB'!$R:$R,'SST P&amp;L'!$A32,'SST TB'!G:G)</f>
        <v/>
      </c>
      <c r="T32" s="37">
        <f>SUMIF('SST TB'!$R:$R,'SST P&amp;L'!$A32,'SST TB'!H:H)</f>
        <v/>
      </c>
      <c r="U32" s="37">
        <f>SUMIF('SST TB'!$R:$R,'SST P&amp;L'!$A32,'SST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0.004160000000000001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SUMIF('SST TB'!$R:$R,'SST P&amp;L'!$A33,'SST TB'!C:C)</f>
        <v/>
      </c>
      <c r="P33" s="37">
        <f>SUMIF('SST TB'!$R:$R,'SST P&amp;L'!$A33,'SST TB'!D:D)</f>
        <v/>
      </c>
      <c r="Q33" s="37">
        <f>SUMIF('SST TB'!$R:$R,'SST P&amp;L'!$A33,'SST TB'!E:E)</f>
        <v/>
      </c>
      <c r="R33" s="37">
        <f>SUMIF('SST TB'!$R:$R,'SST P&amp;L'!$A33,'SST TB'!F:F)</f>
        <v/>
      </c>
      <c r="S33" s="37">
        <f>SUMIF('SST TB'!$R:$R,'SST P&amp;L'!$A33,'SST TB'!G:G)</f>
        <v/>
      </c>
      <c r="T33" s="37">
        <f>SUMIF('SST TB'!$R:$R,'SST P&amp;L'!$A33,'SST TB'!H:H)</f>
        <v/>
      </c>
      <c r="U33" s="37">
        <f>SUMIF('SST TB'!$R:$R,'SST P&amp;L'!$A33,'SST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2451.319999999999</v>
      </c>
      <c r="C34" s="42" t="n">
        <v>2213.03</v>
      </c>
      <c r="D34" s="42" t="n">
        <v>1347.01</v>
      </c>
      <c r="E34" s="42" t="n">
        <v>1327.7</v>
      </c>
      <c r="F34" s="42" t="n">
        <v>1256.67</v>
      </c>
      <c r="G34" s="42" t="n">
        <v>1833.63</v>
      </c>
      <c r="H34" s="42" t="n">
        <v>1280.62</v>
      </c>
      <c r="I34" s="42" t="n">
        <v>4329.73</v>
      </c>
      <c r="J34" s="42" t="n">
        <v>1914.34</v>
      </c>
      <c r="K34" s="42" t="n">
        <v>1829.96</v>
      </c>
      <c r="L34" s="42" t="n">
        <v>2102.92</v>
      </c>
      <c r="M34" s="42" t="n">
        <v>1144.54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SUMIF('SST TB'!$R:$R,'SST P&amp;L'!$A36,'SST TB'!C:C)</f>
        <v/>
      </c>
      <c r="P36" s="37">
        <f>SUMIF('SST TB'!$R:$R,'SST P&amp;L'!$A36,'SST TB'!D:D)</f>
        <v/>
      </c>
      <c r="Q36" s="37">
        <f>SUMIF('SST TB'!$R:$R,'SST P&amp;L'!$A36,'SST TB'!E:E)</f>
        <v/>
      </c>
      <c r="R36" s="37">
        <f>SUMIF('SST TB'!$R:$R,'SST P&amp;L'!$A36,'SST TB'!F:F)</f>
        <v/>
      </c>
      <c r="S36" s="37">
        <f>SUMIF('SST TB'!$R:$R,'SST P&amp;L'!$A36,'SST TB'!G:G)</f>
        <v/>
      </c>
      <c r="T36" s="37">
        <f>SUMIF('SST TB'!$R:$R,'SST P&amp;L'!$A36,'SST TB'!H:H)</f>
        <v/>
      </c>
      <c r="U36" s="37">
        <f>SUMIF('SST TB'!$R:$R,'SST P&amp;L'!$A36,'SST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1382.65</v>
      </c>
      <c r="C37" s="35" t="n">
        <v>1382.65</v>
      </c>
      <c r="D37" s="35" t="n">
        <v>1382.65</v>
      </c>
      <c r="E37" s="35" t="n">
        <v>1382.65</v>
      </c>
      <c r="F37" s="35" t="n">
        <v>1382.65</v>
      </c>
      <c r="G37" s="35" t="n">
        <v>1382.65</v>
      </c>
      <c r="H37" s="35" t="n">
        <v>1382.65</v>
      </c>
      <c r="I37" s="35" t="n">
        <v>1382.65</v>
      </c>
      <c r="J37" s="35" t="n">
        <v>1382.65</v>
      </c>
      <c r="K37" s="35" t="n">
        <v>1382.65</v>
      </c>
      <c r="L37" s="35" t="n">
        <v>1382.65</v>
      </c>
      <c r="M37" s="35" t="n">
        <v>1382.65</v>
      </c>
      <c r="N37" s="36">
        <f>SUM(B37:M37)</f>
        <v/>
      </c>
      <c r="O37" s="37">
        <f>SUMIF('SST TB'!$R:$R,'SST P&amp;L'!$A37,'SST TB'!C:C)</f>
        <v/>
      </c>
      <c r="P37" s="37">
        <f>SUMIF('SST TB'!$R:$R,'SST P&amp;L'!$A37,'SST TB'!D:D)</f>
        <v/>
      </c>
      <c r="Q37" s="37">
        <f>SUMIF('SST TB'!$R:$R,'SST P&amp;L'!$A37,'SST TB'!E:E)</f>
        <v/>
      </c>
      <c r="R37" s="37">
        <f>SUMIF('SST TB'!$R:$R,'SST P&amp;L'!$A37,'SST TB'!F:F)</f>
        <v/>
      </c>
      <c r="S37" s="37">
        <f>SUMIF('SST TB'!$R:$R,'SST P&amp;L'!$A37,'SST TB'!G:G)</f>
        <v/>
      </c>
      <c r="T37" s="37">
        <f>SUMIF('SST TB'!$R:$R,'SST P&amp;L'!$A37,'SST TB'!H:H)</f>
        <v/>
      </c>
      <c r="U37" s="37">
        <f>SUMIF('SST TB'!$R:$R,'SST P&amp;L'!$A37,'SST TB'!I:I)</f>
        <v/>
      </c>
      <c r="V37" s="38" t="n">
        <v>1500.96</v>
      </c>
      <c r="W37" s="38" t="n">
        <v>1500.96</v>
      </c>
      <c r="X37" s="38" t="n">
        <v>1500.96</v>
      </c>
      <c r="Y37" s="38" t="n">
        <v>1500.96</v>
      </c>
      <c r="Z37" s="38" t="n">
        <v>1500.96</v>
      </c>
      <c r="AA37" s="36">
        <f>SUM(O37:U37)</f>
        <v/>
      </c>
      <c r="AB37" s="36">
        <f>SUM(O37:Z37)</f>
        <v/>
      </c>
      <c r="AC37" s="38" t="n">
        <v>1500.96</v>
      </c>
      <c r="AD37" s="38" t="n">
        <v>1500.96</v>
      </c>
      <c r="AE37" s="38" t="n">
        <v>1500.96</v>
      </c>
      <c r="AF37" s="38" t="n">
        <v>1500.96</v>
      </c>
      <c r="AG37" s="38" t="n">
        <v>1500.96</v>
      </c>
      <c r="AH37" s="38" t="n">
        <v>1500.96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1570.08</v>
      </c>
      <c r="C38" s="35" t="n">
        <v>515.15</v>
      </c>
      <c r="D38" s="35" t="n">
        <v>1396.8</v>
      </c>
      <c r="E38" s="35" t="n">
        <v>1226.21</v>
      </c>
      <c r="F38" s="35" t="n">
        <v>942.79</v>
      </c>
      <c r="G38" s="35" t="n">
        <v>1589.85</v>
      </c>
      <c r="H38" s="35" t="n">
        <v>881.61</v>
      </c>
      <c r="I38" s="35" t="n">
        <v>878.34</v>
      </c>
      <c r="J38" s="35" t="n">
        <v>-105.41</v>
      </c>
      <c r="K38" s="35" t="n">
        <v>934.6199999999999</v>
      </c>
      <c r="L38" s="35" t="n">
        <v>782.97</v>
      </c>
      <c r="M38" s="35" t="n">
        <v>1267.92</v>
      </c>
      <c r="N38" s="36">
        <f>SUM(B38:M38)</f>
        <v/>
      </c>
      <c r="O38" s="37">
        <f>SUMIF('SST TB'!$R:$R,'SST P&amp;L'!$A38,'SST TB'!C:C)</f>
        <v/>
      </c>
      <c r="P38" s="37">
        <f>SUMIF('SST TB'!$R:$R,'SST P&amp;L'!$A38,'SST TB'!D:D)</f>
        <v/>
      </c>
      <c r="Q38" s="37">
        <f>SUMIF('SST TB'!$R:$R,'SST P&amp;L'!$A38,'SST TB'!E:E)</f>
        <v/>
      </c>
      <c r="R38" s="37">
        <f>SUMIF('SST TB'!$R:$R,'SST P&amp;L'!$A38,'SST TB'!F:F)</f>
        <v/>
      </c>
      <c r="S38" s="37">
        <f>SUMIF('SST TB'!$R:$R,'SST P&amp;L'!$A38,'SST TB'!G:G)</f>
        <v/>
      </c>
      <c r="T38" s="37">
        <f>SUMIF('SST TB'!$R:$R,'SST P&amp;L'!$A38,'SST TB'!H:H)</f>
        <v/>
      </c>
      <c r="U38" s="37">
        <f>SUMIF('SST TB'!$R:$R,'SST P&amp;L'!$A38,'SST TB'!I:I)</f>
        <v/>
      </c>
      <c r="V38" s="38" t="n">
        <v>1038</v>
      </c>
      <c r="W38" s="38" t="n">
        <v>1038</v>
      </c>
      <c r="X38" s="38" t="n">
        <v>1038</v>
      </c>
      <c r="Y38" s="38" t="n">
        <v>1038</v>
      </c>
      <c r="Z38" s="38" t="n">
        <v>1038</v>
      </c>
      <c r="AA38" s="36">
        <f>SUM(O38:U38)</f>
        <v/>
      </c>
      <c r="AB38" s="36">
        <f>SUM(O38:Z38)</f>
        <v/>
      </c>
      <c r="AC38" s="38" t="n">
        <v>1038</v>
      </c>
      <c r="AD38" s="38" t="n">
        <v>1038</v>
      </c>
      <c r="AE38" s="38" t="n">
        <v>1038</v>
      </c>
      <c r="AF38" s="38" t="n">
        <v>1038</v>
      </c>
      <c r="AG38" s="38" t="n">
        <v>1038</v>
      </c>
      <c r="AH38" s="38" t="n">
        <v>1038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383.82</v>
      </c>
      <c r="C39" s="35" t="n">
        <v>21.9</v>
      </c>
      <c r="D39" s="35" t="n">
        <v>102.21</v>
      </c>
      <c r="E39" s="35" t="n">
        <v>9.359999999999999</v>
      </c>
      <c r="F39" s="35" t="n">
        <v>220.56</v>
      </c>
      <c r="G39" s="35" t="n">
        <v>278.76</v>
      </c>
      <c r="H39" s="35" t="n">
        <v>0</v>
      </c>
      <c r="I39" s="35" t="n">
        <v>0</v>
      </c>
      <c r="J39" s="35" t="n">
        <v>107.67</v>
      </c>
      <c r="K39" s="35" t="n">
        <v>169.3</v>
      </c>
      <c r="L39" s="35" t="n">
        <v>179.1</v>
      </c>
      <c r="M39" s="35" t="n">
        <v>428.4</v>
      </c>
      <c r="N39" s="36">
        <f>SUM(B39:M39)</f>
        <v/>
      </c>
      <c r="O39" s="37">
        <f>SUMIF('SST TB'!$R:$R,'SST P&amp;L'!$A39,'SST TB'!C:C)</f>
        <v/>
      </c>
      <c r="P39" s="37">
        <f>SUMIF('SST TB'!$R:$R,'SST P&amp;L'!$A39,'SST TB'!D:D)</f>
        <v/>
      </c>
      <c r="Q39" s="37">
        <f>SUMIF('SST TB'!$R:$R,'SST P&amp;L'!$A39,'SST TB'!E:E)</f>
        <v/>
      </c>
      <c r="R39" s="37">
        <f>SUMIF('SST TB'!$R:$R,'SST P&amp;L'!$A39,'SST TB'!F:F)</f>
        <v/>
      </c>
      <c r="S39" s="37">
        <f>SUMIF('SST TB'!$R:$R,'SST P&amp;L'!$A39,'SST TB'!G:G)</f>
        <v/>
      </c>
      <c r="T39" s="37">
        <f>SUMIF('SST TB'!$R:$R,'SST P&amp;L'!$A39,'SST TB'!H:H)</f>
        <v/>
      </c>
      <c r="U39" s="37">
        <f>SUMIF('SST TB'!$R:$R,'SST P&amp;L'!$A39,'SST TB'!I:I)</f>
        <v/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310.57</v>
      </c>
      <c r="C40" s="35" t="n">
        <v>254.08</v>
      </c>
      <c r="D40" s="35" t="n">
        <v>248.65</v>
      </c>
      <c r="E40" s="35" t="n">
        <v>308.98</v>
      </c>
      <c r="F40" s="35" t="n">
        <v>101.99</v>
      </c>
      <c r="G40" s="35" t="n">
        <v>261.22</v>
      </c>
      <c r="H40" s="35" t="n">
        <v>245.36</v>
      </c>
      <c r="I40" s="35" t="n">
        <v>395.58</v>
      </c>
      <c r="J40" s="35" t="n">
        <v>143.96</v>
      </c>
      <c r="K40" s="35" t="n">
        <v>306.08</v>
      </c>
      <c r="L40" s="35" t="n">
        <v>192.07</v>
      </c>
      <c r="M40" s="35" t="n">
        <v>240.79</v>
      </c>
      <c r="N40" s="36">
        <f>SUM(B40:M40)</f>
        <v/>
      </c>
      <c r="O40" s="37">
        <f>SUMIF('SST TB'!$R:$R,'SST P&amp;L'!$A40,'SST TB'!C:C)</f>
        <v/>
      </c>
      <c r="P40" s="37">
        <f>SUMIF('SST TB'!$R:$R,'SST P&amp;L'!$A40,'SST TB'!D:D)</f>
        <v/>
      </c>
      <c r="Q40" s="37">
        <f>SUMIF('SST TB'!$R:$R,'SST P&amp;L'!$A40,'SST TB'!E:E)</f>
        <v/>
      </c>
      <c r="R40" s="37">
        <f>SUMIF('SST TB'!$R:$R,'SST P&amp;L'!$A40,'SST TB'!F:F)</f>
        <v/>
      </c>
      <c r="S40" s="37">
        <f>SUMIF('SST TB'!$R:$R,'SST P&amp;L'!$A40,'SST TB'!G:G)</f>
        <v/>
      </c>
      <c r="T40" s="37">
        <f>SUMIF('SST TB'!$R:$R,'SST P&amp;L'!$A40,'SST TB'!H:H)</f>
        <v/>
      </c>
      <c r="U40" s="37">
        <f>SUMIF('SST TB'!$R:$R,'SST P&amp;L'!$A40,'SST TB'!I:I)</f>
        <v/>
      </c>
      <c r="V40" s="38" t="n">
        <v>257</v>
      </c>
      <c r="W40" s="38" t="n">
        <v>257</v>
      </c>
      <c r="X40" s="38" t="n">
        <v>257</v>
      </c>
      <c r="Y40" s="38" t="n">
        <v>257</v>
      </c>
      <c r="Z40" s="38" t="n">
        <v>257</v>
      </c>
      <c r="AA40" s="36">
        <f>SUM(O40:U40)</f>
        <v/>
      </c>
      <c r="AB40" s="36">
        <f>SUM(O40:Z40)</f>
        <v/>
      </c>
      <c r="AC40" s="38" t="n">
        <v>257</v>
      </c>
      <c r="AD40" s="38" t="n">
        <v>257</v>
      </c>
      <c r="AE40" s="38" t="n">
        <v>257</v>
      </c>
      <c r="AF40" s="38" t="n">
        <v>257</v>
      </c>
      <c r="AG40" s="38" t="n">
        <v>257</v>
      </c>
      <c r="AH40" s="38" t="n">
        <v>257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204</v>
      </c>
      <c r="C41" s="35" t="n">
        <v>247.44</v>
      </c>
      <c r="D41" s="35" t="n">
        <v>306.67</v>
      </c>
      <c r="E41" s="35" t="n">
        <v>213.65</v>
      </c>
      <c r="F41" s="35" t="n">
        <v>352.32</v>
      </c>
      <c r="G41" s="35" t="n">
        <v>369.11</v>
      </c>
      <c r="H41" s="35" t="n">
        <v>366.11</v>
      </c>
      <c r="I41" s="35" t="n">
        <v>323.55</v>
      </c>
      <c r="J41" s="35" t="n">
        <v>592.36</v>
      </c>
      <c r="K41" s="35" t="n">
        <v>323.56</v>
      </c>
      <c r="L41" s="35" t="n">
        <v>323.55</v>
      </c>
      <c r="M41" s="35" t="n">
        <v>477.7600000000001</v>
      </c>
      <c r="N41" s="36">
        <f>SUM(B41:M41)</f>
        <v/>
      </c>
      <c r="O41" s="37">
        <f>SUMIF('SST TB'!$R:$R,'SST P&amp;L'!$A41,'SST TB'!C:C)</f>
        <v/>
      </c>
      <c r="P41" s="37">
        <f>SUMIF('SST TB'!$R:$R,'SST P&amp;L'!$A41,'SST TB'!D:D)</f>
        <v/>
      </c>
      <c r="Q41" s="37">
        <f>SUMIF('SST TB'!$R:$R,'SST P&amp;L'!$A41,'SST TB'!E:E)</f>
        <v/>
      </c>
      <c r="R41" s="37">
        <f>SUMIF('SST TB'!$R:$R,'SST P&amp;L'!$A41,'SST TB'!F:F)</f>
        <v/>
      </c>
      <c r="S41" s="37">
        <f>SUMIF('SST TB'!$R:$R,'SST P&amp;L'!$A41,'SST TB'!G:G)</f>
        <v/>
      </c>
      <c r="T41" s="37">
        <f>SUMIF('SST TB'!$R:$R,'SST P&amp;L'!$A41,'SST TB'!H:H)</f>
        <v/>
      </c>
      <c r="U41" s="37">
        <f>SUMIF('SST TB'!$R:$R,'SST P&amp;L'!$A41,'SST TB'!I:I)</f>
        <v/>
      </c>
      <c r="V41" s="38" t="n">
        <v>330</v>
      </c>
      <c r="W41" s="38" t="n">
        <v>330</v>
      </c>
      <c r="X41" s="38" t="n">
        <v>330</v>
      </c>
      <c r="Y41" s="38" t="n">
        <v>330</v>
      </c>
      <c r="Z41" s="38" t="n">
        <v>330</v>
      </c>
      <c r="AA41" s="36">
        <f>SUM(O41:U41)</f>
        <v/>
      </c>
      <c r="AB41" s="36">
        <f>SUM(O41:Z41)</f>
        <v/>
      </c>
      <c r="AC41" s="38" t="n">
        <v>330</v>
      </c>
      <c r="AD41" s="38" t="n">
        <v>330</v>
      </c>
      <c r="AE41" s="38" t="n">
        <v>330</v>
      </c>
      <c r="AF41" s="38" t="n">
        <v>330</v>
      </c>
      <c r="AG41" s="38" t="n">
        <v>330</v>
      </c>
      <c r="AH41" s="38" t="n">
        <v>330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51.84</v>
      </c>
      <c r="C42" s="35" t="n">
        <v>71.55</v>
      </c>
      <c r="D42" s="35" t="n">
        <v>38.53</v>
      </c>
      <c r="E42" s="35" t="n">
        <v>53.47</v>
      </c>
      <c r="F42" s="35" t="n">
        <v>25.52</v>
      </c>
      <c r="G42" s="35" t="n">
        <v>21.61</v>
      </c>
      <c r="H42" s="35" t="n">
        <v>43.68</v>
      </c>
      <c r="I42" s="35" t="n">
        <v>41.65</v>
      </c>
      <c r="J42" s="35" t="n">
        <v>40.84</v>
      </c>
      <c r="K42" s="35" t="n">
        <v>31.14</v>
      </c>
      <c r="L42" s="35" t="n">
        <v>22.14</v>
      </c>
      <c r="M42" s="35" t="n">
        <v>46.7</v>
      </c>
      <c r="N42" s="36">
        <f>SUM(B42:M42)</f>
        <v/>
      </c>
      <c r="O42" s="37">
        <f>SUMIF('SST TB'!$R:$R,'SST P&amp;L'!$A42,'SST TB'!C:C)</f>
        <v/>
      </c>
      <c r="P42" s="37">
        <f>SUMIF('SST TB'!$R:$R,'SST P&amp;L'!$A42,'SST TB'!D:D)</f>
        <v/>
      </c>
      <c r="Q42" s="37">
        <f>SUMIF('SST TB'!$R:$R,'SST P&amp;L'!$A42,'SST TB'!E:E)</f>
        <v/>
      </c>
      <c r="R42" s="37">
        <f>SUMIF('SST TB'!$R:$R,'SST P&amp;L'!$A42,'SST TB'!F:F)</f>
        <v/>
      </c>
      <c r="S42" s="37">
        <f>SUMIF('SST TB'!$R:$R,'SST P&amp;L'!$A42,'SST TB'!G:G)</f>
        <v/>
      </c>
      <c r="T42" s="37">
        <f>SUMIF('SST TB'!$R:$R,'SST P&amp;L'!$A42,'SST TB'!H:H)</f>
        <v/>
      </c>
      <c r="U42" s="37">
        <f>SUMIF('SST TB'!$R:$R,'SST P&amp;L'!$A42,'SST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SUMIF('SST TB'!$R:$R,'SST P&amp;L'!$A43,'SST TB'!C:C)</f>
        <v/>
      </c>
      <c r="P43" s="37">
        <f>SUMIF('SST TB'!$R:$R,'SST P&amp;L'!$A43,'SST TB'!D:D)</f>
        <v/>
      </c>
      <c r="Q43" s="37">
        <f>SUMIF('SST TB'!$R:$R,'SST P&amp;L'!$A43,'SST TB'!E:E)</f>
        <v/>
      </c>
      <c r="R43" s="37">
        <f>SUMIF('SST TB'!$R:$R,'SST P&amp;L'!$A43,'SST TB'!F:F)</f>
        <v/>
      </c>
      <c r="S43" s="37">
        <f>SUMIF('SST TB'!$R:$R,'SST P&amp;L'!$A43,'SST TB'!G:G)</f>
        <v/>
      </c>
      <c r="T43" s="37">
        <f>SUMIF('SST TB'!$R:$R,'SST P&amp;L'!$A43,'SST TB'!H:H)</f>
        <v/>
      </c>
      <c r="U43" s="37">
        <f>SUMIF('SST TB'!$R:$R,'SST P&amp;L'!$A43,'SST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SUMIF('SST TB'!$R:$R,'SST P&amp;L'!$A44,'SST TB'!C:C)</f>
        <v/>
      </c>
      <c r="P44" s="37">
        <f>SUMIF('SST TB'!$R:$R,'SST P&amp;L'!$A44,'SST TB'!D:D)</f>
        <v/>
      </c>
      <c r="Q44" s="37">
        <f>SUMIF('SST TB'!$R:$R,'SST P&amp;L'!$A44,'SST TB'!E:E)</f>
        <v/>
      </c>
      <c r="R44" s="37">
        <f>SUMIF('SST TB'!$R:$R,'SST P&amp;L'!$A44,'SST TB'!F:F)</f>
        <v/>
      </c>
      <c r="S44" s="37">
        <f>SUMIF('SST TB'!$R:$R,'SST P&amp;L'!$A44,'SST TB'!G:G)</f>
        <v/>
      </c>
      <c r="T44" s="37">
        <f>SUMIF('SST TB'!$R:$R,'SST P&amp;L'!$A44,'SST TB'!H:H)</f>
        <v/>
      </c>
      <c r="U44" s="37">
        <f>SUMIF('SST TB'!$R:$R,'SST P&amp;L'!$A44,'SST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135.22</v>
      </c>
      <c r="E45" s="35" t="n">
        <v>0</v>
      </c>
      <c r="F45" s="35" t="n">
        <v>0</v>
      </c>
      <c r="G45" s="35" t="n">
        <v>45</v>
      </c>
      <c r="H45" s="35" t="n">
        <v>117.88</v>
      </c>
      <c r="I45" s="35" t="n">
        <v>45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SUMIF('SST TB'!$R:$R,'SST P&amp;L'!$A45,'SST TB'!C:C)</f>
        <v/>
      </c>
      <c r="P45" s="37">
        <f>SUMIF('SST TB'!$R:$R,'SST P&amp;L'!$A45,'SST TB'!D:D)</f>
        <v/>
      </c>
      <c r="Q45" s="37">
        <f>SUMIF('SST TB'!$R:$R,'SST P&amp;L'!$A45,'SST TB'!E:E)</f>
        <v/>
      </c>
      <c r="R45" s="37">
        <f>SUMIF('SST TB'!$R:$R,'SST P&amp;L'!$A45,'SST TB'!F:F)</f>
        <v/>
      </c>
      <c r="S45" s="37">
        <f>SUMIF('SST TB'!$R:$R,'SST P&amp;L'!$A45,'SST TB'!G:G)</f>
        <v/>
      </c>
      <c r="T45" s="37">
        <f>SUMIF('SST TB'!$R:$R,'SST P&amp;L'!$A45,'SST TB'!H:H)</f>
        <v/>
      </c>
      <c r="U45" s="37">
        <f>SUMIF('SST TB'!$R:$R,'SST P&amp;L'!$A45,'SST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SUMIF('SST TB'!$R:$R,'SST P&amp;L'!$A46,'SST TB'!C:C)</f>
        <v/>
      </c>
      <c r="P46" s="37">
        <f>SUMIF('SST TB'!$R:$R,'SST P&amp;L'!$A46,'SST TB'!D:D)</f>
        <v/>
      </c>
      <c r="Q46" s="37">
        <f>SUMIF('SST TB'!$R:$R,'SST P&amp;L'!$A46,'SST TB'!E:E)</f>
        <v/>
      </c>
      <c r="R46" s="37">
        <f>SUMIF('SST TB'!$R:$R,'SST P&amp;L'!$A46,'SST TB'!F:F)</f>
        <v/>
      </c>
      <c r="S46" s="37">
        <f>SUMIF('SST TB'!$R:$R,'SST P&amp;L'!$A46,'SST TB'!G:G)</f>
        <v/>
      </c>
      <c r="T46" s="37">
        <f>SUMIF('SST TB'!$R:$R,'SST P&amp;L'!$A46,'SST TB'!H:H)</f>
        <v/>
      </c>
      <c r="U46" s="37">
        <f>SUMIF('SST TB'!$R:$R,'SST P&amp;L'!$A46,'SST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3902.96</v>
      </c>
      <c r="C47" s="42" t="n">
        <v>2492.77</v>
      </c>
      <c r="D47" s="42" t="n">
        <v>3610.73</v>
      </c>
      <c r="E47" s="42" t="n">
        <v>3194.32</v>
      </c>
      <c r="F47" s="42" t="n">
        <v>3025.83</v>
      </c>
      <c r="G47" s="42" t="n">
        <v>3948.200000000001</v>
      </c>
      <c r="H47" s="42" t="n">
        <v>3037.29</v>
      </c>
      <c r="I47" s="42" t="n">
        <v>3066.77</v>
      </c>
      <c r="J47" s="42" t="n">
        <v>2162.07</v>
      </c>
      <c r="K47" s="42" t="n">
        <v>3147.35</v>
      </c>
      <c r="L47" s="42" t="n">
        <v>2882.48</v>
      </c>
      <c r="M47" s="42" t="n">
        <v>3844.22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30153.51</v>
      </c>
      <c r="C48" s="23" t="n">
        <v>25311.88</v>
      </c>
      <c r="D48" s="23" t="n">
        <v>25611.59</v>
      </c>
      <c r="E48" s="23" t="n">
        <v>42903.57999999999</v>
      </c>
      <c r="F48" s="23" t="n">
        <v>28231.57</v>
      </c>
      <c r="G48" s="23" t="n">
        <v>29675.18</v>
      </c>
      <c r="H48" s="23" t="n">
        <v>27604.07</v>
      </c>
      <c r="I48" s="23" t="n">
        <v>25250.77</v>
      </c>
      <c r="J48" s="23" t="n">
        <v>19862.98</v>
      </c>
      <c r="K48" s="23" t="n">
        <v>29503.93</v>
      </c>
      <c r="L48" s="23" t="n">
        <v>31521.67</v>
      </c>
      <c r="M48" s="23" t="n">
        <v>33454.12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30964.44</v>
      </c>
      <c r="C50" s="55" t="n">
        <v>29972.41</v>
      </c>
      <c r="D50" s="55" t="n">
        <v>36620.25999999999</v>
      </c>
      <c r="E50" s="55" t="n">
        <v>20818.31000000001</v>
      </c>
      <c r="F50" s="55" t="n">
        <v>30102.84</v>
      </c>
      <c r="G50" s="55" t="n">
        <v>26391.71</v>
      </c>
      <c r="H50" s="55" t="n">
        <v>45691.59</v>
      </c>
      <c r="I50" s="55" t="n">
        <v>22876.30000000001</v>
      </c>
      <c r="J50" s="55" t="n">
        <v>27432.07</v>
      </c>
      <c r="K50" s="55" t="n">
        <v>19165.51000000001</v>
      </c>
      <c r="L50" s="55" t="n">
        <v>29540.50999999999</v>
      </c>
      <c r="M50" s="55" t="n">
        <v>36823.30999999999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SUMIF('SST TB'!$R:$R,'SST P&amp;L'!$A53,'SST TB'!C:C)</f>
        <v/>
      </c>
      <c r="P53" s="37">
        <f>SUMIF('SST TB'!$R:$R,'SST P&amp;L'!$A53,'SST TB'!D:D)</f>
        <v/>
      </c>
      <c r="Q53" s="37">
        <f>SUMIF('SST TB'!$R:$R,'SST P&amp;L'!$A53,'SST TB'!E:E)</f>
        <v/>
      </c>
      <c r="R53" s="37">
        <f>SUMIF('SST TB'!$R:$R,'SST P&amp;L'!$A53,'SST TB'!F:F)</f>
        <v/>
      </c>
      <c r="S53" s="37">
        <f>SUMIF('SST TB'!$R:$R,'SST P&amp;L'!$A53,'SST TB'!G:G)</f>
        <v/>
      </c>
      <c r="T53" s="37">
        <f>SUMIF('SST TB'!$R:$R,'SST P&amp;L'!$A53,'SST TB'!H:H)</f>
        <v/>
      </c>
      <c r="U53" s="37">
        <f>SUMIF('SST TB'!$R:$R,'SST P&amp;L'!$A53,'SST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SUMIF('SST TB'!$R:$R,'SST P&amp;L'!$A54,'SST TB'!C:C)</f>
        <v/>
      </c>
      <c r="P54" s="37">
        <f>SUMIF('SST TB'!$R:$R,'SST P&amp;L'!$A54,'SST TB'!D:D)</f>
        <v/>
      </c>
      <c r="Q54" s="37">
        <f>SUMIF('SST TB'!$R:$R,'SST P&amp;L'!$A54,'SST TB'!E:E)</f>
        <v/>
      </c>
      <c r="R54" s="37">
        <f>SUMIF('SST TB'!$R:$R,'SST P&amp;L'!$A54,'SST TB'!F:F)</f>
        <v/>
      </c>
      <c r="S54" s="37">
        <f>SUMIF('SST TB'!$R:$R,'SST P&amp;L'!$A54,'SST TB'!G:G)</f>
        <v/>
      </c>
      <c r="T54" s="37">
        <f>SUMIF('SST TB'!$R:$R,'SST P&amp;L'!$A54,'SST TB'!H:H)</f>
        <v/>
      </c>
      <c r="U54" s="37">
        <f>SUMIF('SST TB'!$R:$R,'SST P&amp;L'!$A54,'SST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SUMIF('SST TB'!$R:$R,'SST P&amp;L'!$A55,'SST TB'!C:C)</f>
        <v/>
      </c>
      <c r="P55" s="37">
        <f>SUMIF('SST TB'!$R:$R,'SST P&amp;L'!$A55,'SST TB'!D:D)</f>
        <v/>
      </c>
      <c r="Q55" s="37">
        <f>SUMIF('SST TB'!$R:$R,'SST P&amp;L'!$A55,'SST TB'!E:E)</f>
        <v/>
      </c>
      <c r="R55" s="37">
        <f>SUMIF('SST TB'!$R:$R,'SST P&amp;L'!$A55,'SST TB'!F:F)</f>
        <v/>
      </c>
      <c r="S55" s="37">
        <f>SUMIF('SST TB'!$R:$R,'SST P&amp;L'!$A55,'SST TB'!G:G)</f>
        <v/>
      </c>
      <c r="T55" s="37">
        <f>SUMIF('SST TB'!$R:$R,'SST P&amp;L'!$A55,'SST TB'!H:H)</f>
        <v/>
      </c>
      <c r="U55" s="37">
        <f>SUMIF('SST TB'!$R:$R,'SST P&amp;L'!$A55,'SST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SUMIF('SST TB'!$R:$R,'SST P&amp;L'!$A56,'SST TB'!C:C)</f>
        <v/>
      </c>
      <c r="P56" s="37">
        <f>SUMIF('SST TB'!$R:$R,'SST P&amp;L'!$A56,'SST TB'!D:D)</f>
        <v/>
      </c>
      <c r="Q56" s="37">
        <f>SUMIF('SST TB'!$R:$R,'SST P&amp;L'!$A56,'SST TB'!E:E)</f>
        <v/>
      </c>
      <c r="R56" s="37">
        <f>SUMIF('SST TB'!$R:$R,'SST P&amp;L'!$A56,'SST TB'!F:F)</f>
        <v/>
      </c>
      <c r="S56" s="37">
        <f>SUMIF('SST TB'!$R:$R,'SST P&amp;L'!$A56,'SST TB'!G:G)</f>
        <v/>
      </c>
      <c r="T56" s="37">
        <f>SUMIF('SST TB'!$R:$R,'SST P&amp;L'!$A56,'SST TB'!H:H)</f>
        <v/>
      </c>
      <c r="U56" s="37">
        <f>SUMIF('SST TB'!$R:$R,'SST P&amp;L'!$A56,'SST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243.93</v>
      </c>
      <c r="N57" s="36">
        <f>SUM(B57:M57)</f>
        <v/>
      </c>
      <c r="O57" s="37">
        <f>SUMIF('SST TB'!$R:$R,'SST P&amp;L'!$A57,'SST TB'!C:C)</f>
        <v/>
      </c>
      <c r="P57" s="37">
        <f>SUMIF('SST TB'!$R:$R,'SST P&amp;L'!$A57,'SST TB'!D:D)</f>
        <v/>
      </c>
      <c r="Q57" s="37">
        <f>SUMIF('SST TB'!$R:$R,'SST P&amp;L'!$A57,'SST TB'!E:E)</f>
        <v/>
      </c>
      <c r="R57" s="37">
        <f>SUMIF('SST TB'!$R:$R,'SST P&amp;L'!$A57,'SST TB'!F:F)</f>
        <v/>
      </c>
      <c r="S57" s="37">
        <f>SUMIF('SST TB'!$R:$R,'SST P&amp;L'!$A57,'SST TB'!G:G)</f>
        <v/>
      </c>
      <c r="T57" s="37">
        <f>SUMIF('SST TB'!$R:$R,'SST P&amp;L'!$A57,'SST TB'!H:H)</f>
        <v/>
      </c>
      <c r="U57" s="37">
        <f>SUMIF('SST TB'!$R:$R,'SST P&amp;L'!$A57,'SST TB'!I:I)</f>
        <v/>
      </c>
      <c r="V57" s="38" t="n"/>
      <c r="W57" s="38" t="n"/>
      <c r="X57" s="38" t="n"/>
      <c r="Y57" s="38" t="n"/>
      <c r="Z57" s="38">
        <f>30*12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SUMIF('SST TB'!$R:$R,'SST P&amp;L'!$A58,'SST TB'!C:C)</f>
        <v/>
      </c>
      <c r="P58" s="37">
        <f>SUMIF('SST TB'!$R:$R,'SST P&amp;L'!$A58,'SST TB'!D:D)</f>
        <v/>
      </c>
      <c r="Q58" s="37">
        <f>SUMIF('SST TB'!$R:$R,'SST P&amp;L'!$A58,'SST TB'!E:E)</f>
        <v/>
      </c>
      <c r="R58" s="37">
        <f>SUMIF('SST TB'!$R:$R,'SST P&amp;L'!$A58,'SST TB'!F:F)</f>
        <v/>
      </c>
      <c r="S58" s="37">
        <f>SUMIF('SST TB'!$R:$R,'SST P&amp;L'!$A58,'SST TB'!G:G)</f>
        <v/>
      </c>
      <c r="T58" s="37">
        <f>SUMIF('SST TB'!$R:$R,'SST P&amp;L'!$A58,'SST TB'!H:H)</f>
        <v/>
      </c>
      <c r="U58" s="37">
        <f>SUMIF('SST TB'!$R:$R,'SST P&amp;L'!$A58,'SST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SUMIF('SST TB'!$R:$R,'SST P&amp;L'!$A59,'SST TB'!C:C)</f>
        <v/>
      </c>
      <c r="P59" s="37">
        <f>SUMIF('SST TB'!$R:$R,'SST P&amp;L'!$A59,'SST TB'!D:D)</f>
        <v/>
      </c>
      <c r="Q59" s="37">
        <f>SUMIF('SST TB'!$R:$R,'SST P&amp;L'!$A59,'SST TB'!E:E)</f>
        <v/>
      </c>
      <c r="R59" s="37">
        <f>SUMIF('SST TB'!$R:$R,'SST P&amp;L'!$A59,'SST TB'!F:F)</f>
        <v/>
      </c>
      <c r="S59" s="37">
        <f>SUMIF('SST TB'!$R:$R,'SST P&amp;L'!$A59,'SST TB'!G:G)</f>
        <v/>
      </c>
      <c r="T59" s="37">
        <f>SUMIF('SST TB'!$R:$R,'SST P&amp;L'!$A59,'SST TB'!H:H)</f>
        <v/>
      </c>
      <c r="U59" s="37">
        <f>SUMIF('SST TB'!$R:$R,'SST P&amp;L'!$A59,'SST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6.6</v>
      </c>
      <c r="C60" s="35" t="n">
        <v>7.8</v>
      </c>
      <c r="D60" s="35" t="n">
        <v>7.8</v>
      </c>
      <c r="E60" s="35" t="n">
        <v>7.800000000000001</v>
      </c>
      <c r="F60" s="35" t="n">
        <v>10.2</v>
      </c>
      <c r="G60" s="35" t="n">
        <v>8.4</v>
      </c>
      <c r="H60" s="35" t="n">
        <v>7.8</v>
      </c>
      <c r="I60" s="35" t="n">
        <v>7.2</v>
      </c>
      <c r="J60" s="35" t="n">
        <v>7.8</v>
      </c>
      <c r="K60" s="35" t="n">
        <v>74.80000000000001</v>
      </c>
      <c r="L60" s="35" t="n">
        <v>6</v>
      </c>
      <c r="M60" s="35" t="n">
        <v>6.6</v>
      </c>
      <c r="N60" s="36">
        <f>SUM(B60:M60)</f>
        <v/>
      </c>
      <c r="O60" s="37">
        <f>SUMIF('SST TB'!$R:$R,'SST P&amp;L'!$A60,'SST TB'!C:C)</f>
        <v/>
      </c>
      <c r="P60" s="37">
        <f>SUMIF('SST TB'!$R:$R,'SST P&amp;L'!$A60,'SST TB'!D:D)</f>
        <v/>
      </c>
      <c r="Q60" s="37">
        <f>SUMIF('SST TB'!$R:$R,'SST P&amp;L'!$A60,'SST TB'!E:E)</f>
        <v/>
      </c>
      <c r="R60" s="37">
        <f>SUMIF('SST TB'!$R:$R,'SST P&amp;L'!$A60,'SST TB'!F:F)</f>
        <v/>
      </c>
      <c r="S60" s="37">
        <f>SUMIF('SST TB'!$R:$R,'SST P&amp;L'!$A60,'SST TB'!G:G)</f>
        <v/>
      </c>
      <c r="T60" s="37">
        <f>SUMIF('SST TB'!$R:$R,'SST P&amp;L'!$A60,'SST TB'!H:H)</f>
        <v/>
      </c>
      <c r="U60" s="37">
        <f>SUMIF('SST TB'!$R:$R,'SST P&amp;L'!$A60,'SST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3.6</v>
      </c>
      <c r="G61" s="35" t="n">
        <v>46.78</v>
      </c>
      <c r="H61" s="35" t="n">
        <v>0</v>
      </c>
      <c r="I61" s="35" t="n">
        <v>0</v>
      </c>
      <c r="J61" s="35" t="n">
        <v>0</v>
      </c>
      <c r="K61" s="35" t="n">
        <v>13.65</v>
      </c>
      <c r="L61" s="35" t="n">
        <v>0</v>
      </c>
      <c r="M61" s="35" t="n">
        <v>33.4</v>
      </c>
      <c r="N61" s="36">
        <f>SUM(B61:M61)</f>
        <v/>
      </c>
      <c r="O61" s="37">
        <f>SUMIF('SST TB'!$R:$R,'SST P&amp;L'!$A61,'SST TB'!C:C)</f>
        <v/>
      </c>
      <c r="P61" s="37">
        <f>SUMIF('SST TB'!$R:$R,'SST P&amp;L'!$A61,'SST TB'!D:D)</f>
        <v/>
      </c>
      <c r="Q61" s="37">
        <f>SUMIF('SST TB'!$R:$R,'SST P&amp;L'!$A61,'SST TB'!E:E)</f>
        <v/>
      </c>
      <c r="R61" s="37">
        <f>SUMIF('SST TB'!$R:$R,'SST P&amp;L'!$A61,'SST TB'!F:F)</f>
        <v/>
      </c>
      <c r="S61" s="37">
        <f>SUMIF('SST TB'!$R:$R,'SST P&amp;L'!$A61,'SST TB'!G:G)</f>
        <v/>
      </c>
      <c r="T61" s="37">
        <f>SUMIF('SST TB'!$R:$R,'SST P&amp;L'!$A61,'SST TB'!H:H)</f>
        <v/>
      </c>
      <c r="U61" s="37">
        <f>SUMIF('SST TB'!$R:$R,'SST P&amp;L'!$A61,'SST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140</v>
      </c>
      <c r="D62" s="35" t="n">
        <v>180</v>
      </c>
      <c r="E62" s="35" t="n">
        <v>289.5</v>
      </c>
      <c r="F62" s="35" t="n">
        <v>409.5</v>
      </c>
      <c r="G62" s="35" t="n">
        <v>105</v>
      </c>
      <c r="H62" s="35" t="n">
        <v>40</v>
      </c>
      <c r="I62" s="35" t="n">
        <v>157</v>
      </c>
      <c r="J62" s="35" t="n">
        <v>340</v>
      </c>
      <c r="K62" s="35" t="n">
        <v>0</v>
      </c>
      <c r="L62" s="35" t="n">
        <v>40</v>
      </c>
      <c r="M62" s="35" t="n">
        <v>0</v>
      </c>
      <c r="N62" s="36">
        <f>SUM(B62:M62)</f>
        <v/>
      </c>
      <c r="O62" s="37">
        <f>SUMIF('SST TB'!$R:$R,'SST P&amp;L'!$A62,'SST TB'!C:C)</f>
        <v/>
      </c>
      <c r="P62" s="37">
        <f>SUMIF('SST TB'!$R:$R,'SST P&amp;L'!$A62,'SST TB'!D:D)</f>
        <v/>
      </c>
      <c r="Q62" s="37">
        <f>SUMIF('SST TB'!$R:$R,'SST P&amp;L'!$A62,'SST TB'!E:E)</f>
        <v/>
      </c>
      <c r="R62" s="37">
        <f>SUMIF('SST TB'!$R:$R,'SST P&amp;L'!$A62,'SST TB'!F:F)</f>
        <v/>
      </c>
      <c r="S62" s="37">
        <f>SUMIF('SST TB'!$R:$R,'SST P&amp;L'!$A62,'SST TB'!G:G)</f>
        <v/>
      </c>
      <c r="T62" s="37">
        <f>SUMIF('SST TB'!$R:$R,'SST P&amp;L'!$A62,'SST TB'!H:H)</f>
        <v/>
      </c>
      <c r="U62" s="37">
        <f>SUMIF('SST TB'!$R:$R,'SST P&amp;L'!$A62,'SST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SUMIF('SST TB'!$R:$R,'SST P&amp;L'!$A63,'SST TB'!C:C)</f>
        <v/>
      </c>
      <c r="P63" s="37">
        <f>SUMIF('SST TB'!$R:$R,'SST P&amp;L'!$A63,'SST TB'!D:D)</f>
        <v/>
      </c>
      <c r="Q63" s="37">
        <f>SUMIF('SST TB'!$R:$R,'SST P&amp;L'!$A63,'SST TB'!E:E)</f>
        <v/>
      </c>
      <c r="R63" s="37">
        <f>SUMIF('SST TB'!$R:$R,'SST P&amp;L'!$A63,'SST TB'!F:F)</f>
        <v/>
      </c>
      <c r="S63" s="37">
        <f>SUMIF('SST TB'!$R:$R,'SST P&amp;L'!$A63,'SST TB'!G:G)</f>
        <v/>
      </c>
      <c r="T63" s="37">
        <f>SUMIF('SST TB'!$R:$R,'SST P&amp;L'!$A63,'SST TB'!H:H)</f>
        <v/>
      </c>
      <c r="U63" s="37">
        <f>SUMIF('SST TB'!$R:$R,'SST P&amp;L'!$A63,'SST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SUMIF('SST TB'!$R:$R,'SST P&amp;L'!$A64,'SST TB'!C:C)</f>
        <v/>
      </c>
      <c r="P64" s="37">
        <f>SUMIF('SST TB'!$R:$R,'SST P&amp;L'!$A64,'SST TB'!D:D)</f>
        <v/>
      </c>
      <c r="Q64" s="37">
        <f>SUMIF('SST TB'!$R:$R,'SST P&amp;L'!$A64,'SST TB'!E:E)</f>
        <v/>
      </c>
      <c r="R64" s="37">
        <f>SUMIF('SST TB'!$R:$R,'SST P&amp;L'!$A64,'SST TB'!F:F)</f>
        <v/>
      </c>
      <c r="S64" s="37">
        <f>SUMIF('SST TB'!$R:$R,'SST P&amp;L'!$A64,'SST TB'!G:G)</f>
        <v/>
      </c>
      <c r="T64" s="37">
        <f>SUMIF('SST TB'!$R:$R,'SST P&amp;L'!$A64,'SST TB'!H:H)</f>
        <v/>
      </c>
      <c r="U64" s="37">
        <f>SUMIF('SST TB'!$R:$R,'SST P&amp;L'!$A64,'SST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SUMIF('SST TB'!$R:$R,'SST P&amp;L'!$A65,'SST TB'!C:C)</f>
        <v/>
      </c>
      <c r="P65" s="37">
        <f>SUMIF('SST TB'!$R:$R,'SST P&amp;L'!$A65,'SST TB'!D:D)</f>
        <v/>
      </c>
      <c r="Q65" s="37">
        <f>SUMIF('SST TB'!$R:$R,'SST P&amp;L'!$A65,'SST TB'!E:E)</f>
        <v/>
      </c>
      <c r="R65" s="37">
        <f>SUMIF('SST TB'!$R:$R,'SST P&amp;L'!$A65,'SST TB'!F:F)</f>
        <v/>
      </c>
      <c r="S65" s="37">
        <f>SUMIF('SST TB'!$R:$R,'SST P&amp;L'!$A65,'SST TB'!G:G)</f>
        <v/>
      </c>
      <c r="T65" s="37">
        <f>SUMIF('SST TB'!$R:$R,'SST P&amp;L'!$A65,'SST TB'!H:H)</f>
        <v/>
      </c>
      <c r="U65" s="37">
        <f>SUMIF('SST TB'!$R:$R,'SST P&amp;L'!$A65,'SST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SUMIF('SST TB'!$R:$R,'SST P&amp;L'!$A66,'SST TB'!C:C)</f>
        <v/>
      </c>
      <c r="P66" s="37">
        <f>SUMIF('SST TB'!$R:$R,'SST P&amp;L'!$A66,'SST TB'!D:D)</f>
        <v/>
      </c>
      <c r="Q66" s="37">
        <f>SUMIF('SST TB'!$R:$R,'SST P&amp;L'!$A66,'SST TB'!E:E)</f>
        <v/>
      </c>
      <c r="R66" s="37">
        <f>SUMIF('SST TB'!$R:$R,'SST P&amp;L'!$A66,'SST TB'!F:F)</f>
        <v/>
      </c>
      <c r="S66" s="37">
        <f>SUMIF('SST TB'!$R:$R,'SST P&amp;L'!$A66,'SST TB'!G:G)</f>
        <v/>
      </c>
      <c r="T66" s="37">
        <f>SUMIF('SST TB'!$R:$R,'SST P&amp;L'!$A66,'SST TB'!H:H)</f>
        <v/>
      </c>
      <c r="U66" s="37">
        <f>SUMIF('SST TB'!$R:$R,'SST P&amp;L'!$A66,'SST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220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SUMIF('SST TB'!$R:$R,'SST P&amp;L'!$A67,'SST TB'!C:C)</f>
        <v/>
      </c>
      <c r="P67" s="37">
        <f>SUMIF('SST TB'!$R:$R,'SST P&amp;L'!$A67,'SST TB'!D:D)</f>
        <v/>
      </c>
      <c r="Q67" s="37">
        <f>SUMIF('SST TB'!$R:$R,'SST P&amp;L'!$A67,'SST TB'!E:E)</f>
        <v/>
      </c>
      <c r="R67" s="37">
        <f>SUMIF('SST TB'!$R:$R,'SST P&amp;L'!$A67,'SST TB'!F:F)</f>
        <v/>
      </c>
      <c r="S67" s="37">
        <f>SUMIF('SST TB'!$R:$R,'SST P&amp;L'!$A67,'SST TB'!G:G)</f>
        <v/>
      </c>
      <c r="T67" s="37">
        <f>SUMIF('SST TB'!$R:$R,'SST P&amp;L'!$A67,'SST TB'!H:H)</f>
        <v/>
      </c>
      <c r="U67" s="37">
        <f>SUMIF('SST TB'!$R:$R,'SST P&amp;L'!$A67,'SST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SUMIF('SST TB'!$R:$R,'SST P&amp;L'!$A68,'SST TB'!C:C)</f>
        <v/>
      </c>
      <c r="P68" s="37">
        <f>SUMIF('SST TB'!$R:$R,'SST P&amp;L'!$A68,'SST TB'!D:D)</f>
        <v/>
      </c>
      <c r="Q68" s="37">
        <f>SUMIF('SST TB'!$R:$R,'SST P&amp;L'!$A68,'SST TB'!E:E)</f>
        <v/>
      </c>
      <c r="R68" s="37">
        <f>SUMIF('SST TB'!$R:$R,'SST P&amp;L'!$A68,'SST TB'!F:F)</f>
        <v/>
      </c>
      <c r="S68" s="37">
        <f>SUMIF('SST TB'!$R:$R,'SST P&amp;L'!$A68,'SST TB'!G:G)</f>
        <v/>
      </c>
      <c r="T68" s="37">
        <f>SUMIF('SST TB'!$R:$R,'SST P&amp;L'!$A68,'SST TB'!H:H)</f>
        <v/>
      </c>
      <c r="U68" s="37">
        <f>SUMIF('SST TB'!$R:$R,'SST P&amp;L'!$A68,'SST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207.98</v>
      </c>
      <c r="C69" s="42" t="n">
        <v>349.18</v>
      </c>
      <c r="D69" s="42" t="n">
        <v>389.18</v>
      </c>
      <c r="E69" s="42" t="n">
        <v>498.68</v>
      </c>
      <c r="F69" s="42" t="n">
        <v>844.6799999999999</v>
      </c>
      <c r="G69" s="42" t="n">
        <v>361.56</v>
      </c>
      <c r="H69" s="42" t="n">
        <v>249.18</v>
      </c>
      <c r="I69" s="42" t="n">
        <v>365.58</v>
      </c>
      <c r="J69" s="42" t="n">
        <v>549.1800000000001</v>
      </c>
      <c r="K69" s="42" t="n">
        <v>303.25</v>
      </c>
      <c r="L69" s="42" t="n">
        <v>260.8</v>
      </c>
      <c r="M69" s="42" t="n">
        <v>498.73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30756.46</v>
      </c>
      <c r="C70" s="55" t="n">
        <v>29623.23</v>
      </c>
      <c r="D70" s="55" t="n">
        <v>36231.07999999999</v>
      </c>
      <c r="E70" s="55" t="n">
        <v>20319.63000000001</v>
      </c>
      <c r="F70" s="55" t="n">
        <v>29258.16</v>
      </c>
      <c r="G70" s="55" t="n">
        <v>26030.14999999999</v>
      </c>
      <c r="H70" s="55" t="n">
        <v>45442.41</v>
      </c>
      <c r="I70" s="55" t="n">
        <v>22510.72</v>
      </c>
      <c r="J70" s="55" t="n">
        <v>26882.89</v>
      </c>
      <c r="K70" s="55" t="n">
        <v>18862.26000000001</v>
      </c>
      <c r="L70" s="55" t="n">
        <v>29279.70999999999</v>
      </c>
      <c r="M70" s="55" t="n">
        <v>36324.57999999999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60">
        <f>SUM(O72:T72)</f>
        <v/>
      </c>
      <c r="AB72" s="56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60" t="inlineStr">
        <is>
          <t>Memo</t>
        </is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60">
        <f>SUM(O73:T73)</f>
        <v/>
      </c>
      <c r="AB73" s="56" t="n"/>
      <c r="AC73" s="8" t="n"/>
      <c r="AD73" s="8" t="n"/>
      <c r="AE73" s="8" t="n"/>
      <c r="AF73" s="8" t="n"/>
      <c r="AG73" s="8" t="n"/>
      <c r="AH73" s="8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60" t="inlineStr">
        <is>
          <t>Direct - Sales</t>
        </is>
      </c>
      <c r="B74" s="60" t="n">
        <v>61117.95</v>
      </c>
      <c r="C74" s="60" t="n">
        <v>55284.29</v>
      </c>
      <c r="D74" s="60" t="n">
        <v>62231.85</v>
      </c>
      <c r="E74" s="60" t="n">
        <v>63721.89</v>
      </c>
      <c r="F74" s="60" t="n">
        <v>58334.41</v>
      </c>
      <c r="G74" s="60" t="n">
        <v>56066.89</v>
      </c>
      <c r="H74" s="60" t="n">
        <v>73295.66</v>
      </c>
      <c r="I74" s="60" t="n">
        <v>48127.07000000001</v>
      </c>
      <c r="J74" s="60" t="n">
        <v>47295.05</v>
      </c>
      <c r="K74" s="60" t="n">
        <v>48669.44</v>
      </c>
      <c r="L74" s="60" t="n">
        <v>61062.17999999999</v>
      </c>
      <c r="M74" s="8" t="n"/>
      <c r="N74" s="8" t="n"/>
      <c r="O74" s="60">
        <f>-SUMIF('SST TB'!$T:$T,'SST P&amp;L'!$A74,'SST TB'!C:C)</f>
        <v/>
      </c>
      <c r="P74" s="60">
        <f>-SUMIF('SST TB'!$T:$T,'SST P&amp;L'!$A74,'SST TB'!D:D)</f>
        <v/>
      </c>
      <c r="Q74" s="60">
        <f>-SUMIF('SST TB'!$T:$T,'SST P&amp;L'!$A74,'SST TB'!E:E)</f>
        <v/>
      </c>
      <c r="R74" s="60">
        <f>-SUMIF('SST TB'!$T:$T,'SST P&amp;L'!$A74,'SST TB'!F:F)</f>
        <v/>
      </c>
      <c r="S74" s="60">
        <f>-SUMIF('SST TB'!$T:$T,'SST P&amp;L'!$A74,'SST TB'!G:G)</f>
        <v/>
      </c>
      <c r="T74" s="60">
        <f>-SUMIF('SST TB'!$T:$T,'SST P&amp;L'!$A74,'SST TB'!H:H)</f>
        <v/>
      </c>
      <c r="U74" s="60">
        <f>-SUMIF('SST TB'!$T:$T,'SST P&amp;L'!$A74,'SST TB'!I:I)</f>
        <v/>
      </c>
      <c r="V74" s="60">
        <f>-SUMIF('SST TB'!$T:$T,'SST P&amp;L'!$A74,'SST TB'!J:J)</f>
        <v/>
      </c>
      <c r="W74" s="60">
        <f>-SUMIF('SST TB'!$T:$T,'SST P&amp;L'!$A74,'SST TB'!K:K)</f>
        <v/>
      </c>
      <c r="X74" s="60">
        <f>-SUMIF('SST TB'!$T:$T,'SST P&amp;L'!$A74,'SST TB'!L:L)</f>
        <v/>
      </c>
      <c r="Y74" s="60">
        <f>-SUMIF('SST TB'!$T:$T,'SST P&amp;L'!$A74,'SST TB'!M:M)</f>
        <v/>
      </c>
      <c r="Z74" s="60">
        <f>-SUMIF('SST TB'!$T:$T,'SST P&amp;L'!$A74,'SST TB'!N:N)</f>
        <v/>
      </c>
      <c r="AA74" s="60">
        <f>SUM(O74:T74)</f>
        <v/>
      </c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34" t="inlineStr">
        <is>
          <t>Direct - Staff Cost</t>
        </is>
      </c>
      <c r="B75" s="18" t="n">
        <v>-23799.23</v>
      </c>
      <c r="C75" s="18" t="n">
        <v>-20606.08</v>
      </c>
      <c r="D75" s="18" t="n">
        <v>-20653.85</v>
      </c>
      <c r="E75" s="18" t="n">
        <v>-38381.55999999999</v>
      </c>
      <c r="F75" s="18" t="n">
        <v>-23949.07</v>
      </c>
      <c r="G75" s="18" t="n">
        <v>-23893.35</v>
      </c>
      <c r="H75" s="18" t="n">
        <v>-23286.16</v>
      </c>
      <c r="I75" s="18" t="n">
        <v>-17854.27</v>
      </c>
      <c r="J75" s="18" t="n">
        <v>-15786.57</v>
      </c>
      <c r="K75" s="18" t="n">
        <v>-24526.62</v>
      </c>
      <c r="L75" s="18" t="n">
        <v>-26536.27</v>
      </c>
      <c r="M75" s="18" t="n"/>
      <c r="N75" s="8" t="n"/>
      <c r="O75" s="60">
        <f>-SUMIF('SST TB'!$T:$T,'SST P&amp;L'!$A75,'SST TB'!C:C)</f>
        <v/>
      </c>
      <c r="P75" s="60">
        <f>-SUMIF('SST TB'!$T:$T,'SST P&amp;L'!$A75,'SST TB'!D:D)</f>
        <v/>
      </c>
      <c r="Q75" s="60">
        <f>-SUMIF('SST TB'!$T:$T,'SST P&amp;L'!$A75,'SST TB'!E:E)</f>
        <v/>
      </c>
      <c r="R75" s="60">
        <f>-SUMIF('SST TB'!$T:$T,'SST P&amp;L'!$A75,'SST TB'!F:F)</f>
        <v/>
      </c>
      <c r="S75" s="60">
        <f>-SUMIF('SST TB'!$T:$T,'SST P&amp;L'!$A75,'SST TB'!G:G)</f>
        <v/>
      </c>
      <c r="T75" s="60">
        <f>-SUMIF('SST TB'!$T:$T,'SST P&amp;L'!$A75,'SST TB'!H:H)</f>
        <v/>
      </c>
      <c r="U75" s="60">
        <f>-SUMIF('SST TB'!$T:$T,'SST P&amp;L'!$A75,'SST TB'!I:I)</f>
        <v/>
      </c>
      <c r="V75" s="60">
        <f>-SUMIF('SST TB'!$T:$T,'SST P&amp;L'!$A75,'SST TB'!J:J)</f>
        <v/>
      </c>
      <c r="W75" s="60">
        <f>-SUMIF('SST TB'!$T:$T,'SST P&amp;L'!$A75,'SST TB'!K:K)</f>
        <v/>
      </c>
      <c r="X75" s="60">
        <f>-SUMIF('SST TB'!$T:$T,'SST P&amp;L'!$A75,'SST TB'!L:L)</f>
        <v/>
      </c>
      <c r="Y75" s="60">
        <f>-SUMIF('SST TB'!$T:$T,'SST P&amp;L'!$A75,'SST TB'!M:M)</f>
        <v/>
      </c>
      <c r="Z75" s="60">
        <f>-SUMIF('SST TB'!$T:$T,'SST P&amp;L'!$A75,'SST TB'!N:N)</f>
        <v/>
      </c>
      <c r="AA75" s="60">
        <f>SUM(O75:T75)</f>
        <v/>
      </c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8" t="n"/>
      <c r="AP75" s="8" t="n"/>
    </row>
    <row r="76">
      <c r="A76" s="60" t="inlineStr">
        <is>
          <t>Direct - Childcare Cost</t>
        </is>
      </c>
      <c r="B76" s="18" t="n">
        <v>-2451.32</v>
      </c>
      <c r="C76" s="18" t="n">
        <v>-2213.03</v>
      </c>
      <c r="D76" s="18" t="n">
        <v>-1347.01</v>
      </c>
      <c r="E76" s="18" t="n">
        <v>-1327.7</v>
      </c>
      <c r="F76" s="18" t="n">
        <v>-1256.67</v>
      </c>
      <c r="G76" s="18" t="n">
        <v>-1833.63</v>
      </c>
      <c r="H76" s="18" t="n">
        <v>-1280.62</v>
      </c>
      <c r="I76" s="18" t="n">
        <v>-4329.73</v>
      </c>
      <c r="J76" s="18" t="n">
        <v>-1914.34</v>
      </c>
      <c r="K76" s="18" t="n">
        <v>-1829.96</v>
      </c>
      <c r="L76" s="18" t="n">
        <v>-2102.92</v>
      </c>
      <c r="M76" s="18" t="n">
        <v>-1144.54</v>
      </c>
      <c r="N76" s="8" t="n"/>
      <c r="O76" s="60">
        <f>-SUMIF('SST TB'!$T:$T,'SST P&amp;L'!$A76,'SST TB'!C:C)</f>
        <v/>
      </c>
      <c r="P76" s="60">
        <f>-SUMIF('SST TB'!$T:$T,'SST P&amp;L'!$A76,'SST TB'!D:D)</f>
        <v/>
      </c>
      <c r="Q76" s="60">
        <f>-SUMIF('SST TB'!$T:$T,'SST P&amp;L'!$A76,'SST TB'!E:E)</f>
        <v/>
      </c>
      <c r="R76" s="60">
        <f>-SUMIF('SST TB'!$T:$T,'SST P&amp;L'!$A76,'SST TB'!F:F)</f>
        <v/>
      </c>
      <c r="S76" s="60">
        <f>-SUMIF('SST TB'!$T:$T,'SST P&amp;L'!$A76,'SST TB'!G:G)</f>
        <v/>
      </c>
      <c r="T76" s="60">
        <f>-SUMIF('SST TB'!$T:$T,'SST P&amp;L'!$A76,'SST TB'!H:H)</f>
        <v/>
      </c>
      <c r="U76" s="60">
        <f>-SUMIF('SST TB'!$T:$T,'SST P&amp;L'!$A76,'SST TB'!I:I)</f>
        <v/>
      </c>
      <c r="V76" s="60">
        <f>-SUMIF('SST TB'!$T:$T,'SST P&amp;L'!$A76,'SST TB'!J:J)</f>
        <v/>
      </c>
      <c r="W76" s="60">
        <f>-SUMIF('SST TB'!$T:$T,'SST P&amp;L'!$A76,'SST TB'!K:K)</f>
        <v/>
      </c>
      <c r="X76" s="60">
        <f>-SUMIF('SST TB'!$T:$T,'SST P&amp;L'!$A76,'SST TB'!L:L)</f>
        <v/>
      </c>
      <c r="Y76" s="60">
        <f>-SUMIF('SST TB'!$T:$T,'SST P&amp;L'!$A76,'SST TB'!M:M)</f>
        <v/>
      </c>
      <c r="Z76" s="60">
        <f>-SUMIF('SST TB'!$T:$T,'SST P&amp;L'!$A76,'SST TB'!N:N)</f>
        <v/>
      </c>
      <c r="AA76" s="60">
        <f>SUM(O76:T76)</f>
        <v/>
      </c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>
      <c r="A77" s="60" t="inlineStr">
        <is>
          <t>Direct - Premises &amp; Admin</t>
        </is>
      </c>
      <c r="B77" s="18" t="n">
        <v>-3902.96</v>
      </c>
      <c r="C77" s="18" t="n">
        <v>-2492.77</v>
      </c>
      <c r="D77" s="18" t="n">
        <v>-3610.73</v>
      </c>
      <c r="E77" s="18" t="n">
        <v>-3194.32</v>
      </c>
      <c r="F77" s="18" t="n">
        <v>-3025.83</v>
      </c>
      <c r="G77" s="18" t="n">
        <v>-3948.200000000001</v>
      </c>
      <c r="H77" s="18" t="n">
        <v>-3037.29</v>
      </c>
      <c r="I77" s="18" t="n">
        <v>-3066.77</v>
      </c>
      <c r="J77" s="18" t="n">
        <v>-2162.070000000001</v>
      </c>
      <c r="K77" s="18" t="n">
        <v>-3147.35</v>
      </c>
      <c r="L77" s="18" t="n">
        <v>-2882.48</v>
      </c>
      <c r="M77" s="18" t="n">
        <v>-3844.22</v>
      </c>
      <c r="N77" s="8" t="n"/>
      <c r="O77" s="60">
        <f>-SUMIF('SST TB'!$T:$T,'SST P&amp;L'!$A77,'SST TB'!C:C)</f>
        <v/>
      </c>
      <c r="P77" s="60">
        <f>-SUMIF('SST TB'!$T:$T,'SST P&amp;L'!$A77,'SST TB'!D:D)</f>
        <v/>
      </c>
      <c r="Q77" s="60">
        <f>-SUMIF('SST TB'!$T:$T,'SST P&amp;L'!$A77,'SST TB'!E:E)</f>
        <v/>
      </c>
      <c r="R77" s="60">
        <f>-SUMIF('SST TB'!$T:$T,'SST P&amp;L'!$A77,'SST TB'!F:F)</f>
        <v/>
      </c>
      <c r="S77" s="60">
        <f>-SUMIF('SST TB'!$T:$T,'SST P&amp;L'!$A77,'SST TB'!G:G)</f>
        <v/>
      </c>
      <c r="T77" s="60">
        <f>-SUMIF('SST TB'!$T:$T,'SST P&amp;L'!$A77,'SST TB'!H:H)</f>
        <v/>
      </c>
      <c r="U77" s="60">
        <f>-SUMIF('SST TB'!$T:$T,'SST P&amp;L'!$A77,'SST TB'!I:I)</f>
        <v/>
      </c>
      <c r="V77" s="60">
        <f>-SUMIF('SST TB'!$T:$T,'SST P&amp;L'!$A77,'SST TB'!J:J)</f>
        <v/>
      </c>
      <c r="W77" s="60">
        <f>-SUMIF('SST TB'!$T:$T,'SST P&amp;L'!$A77,'SST TB'!K:K)</f>
        <v/>
      </c>
      <c r="X77" s="60">
        <f>-SUMIF('SST TB'!$T:$T,'SST P&amp;L'!$A77,'SST TB'!L:L)</f>
        <v/>
      </c>
      <c r="Y77" s="60">
        <f>-SUMIF('SST TB'!$T:$T,'SST P&amp;L'!$A77,'SST TB'!M:M)</f>
        <v/>
      </c>
      <c r="Z77" s="60">
        <f>-SUMIF('SST TB'!$T:$T,'SST P&amp;L'!$A77,'SST TB'!N:N)</f>
        <v/>
      </c>
      <c r="AA77" s="60">
        <f>SUM(O77:T77)</f>
        <v/>
      </c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8" t="n"/>
      <c r="O78" s="60">
        <f>-SUMIF('SST TB'!$T:$T,'SST P&amp;L'!$A78,'SST TB'!C:C)</f>
        <v/>
      </c>
      <c r="P78" s="60">
        <f>-SUMIF('SST TB'!$T:$T,'SST P&amp;L'!$A78,'SST TB'!D:D)</f>
        <v/>
      </c>
      <c r="Q78" s="60">
        <f>-SUMIF('SST TB'!$T:$T,'SST P&amp;L'!$A78,'SST TB'!E:E)</f>
        <v/>
      </c>
      <c r="R78" s="60">
        <f>-SUMIF('SST TB'!$T:$T,'SST P&amp;L'!$A78,'SST TB'!F:F)</f>
        <v/>
      </c>
      <c r="S78" s="60">
        <f>-SUMIF('SST TB'!$T:$T,'SST P&amp;L'!$A78,'SST TB'!G:G)</f>
        <v/>
      </c>
      <c r="T78" s="60">
        <f>-SUMIF('SST TB'!$T:$T,'SST P&amp;L'!$A78,'SST TB'!H:H)</f>
        <v/>
      </c>
      <c r="U78" s="60">
        <f>-SUMIF('SST TB'!$T:$T,'SST P&amp;L'!$A78,'SST TB'!I:I)</f>
        <v/>
      </c>
      <c r="V78" s="60">
        <f>-SUMIF('SST TB'!$T:$T,'SST P&amp;L'!$A78,'SST TB'!J:J)</f>
        <v/>
      </c>
      <c r="W78" s="60">
        <f>-SUMIF('SST TB'!$T:$T,'SST P&amp;L'!$A78,'SST TB'!K:K)</f>
        <v/>
      </c>
      <c r="X78" s="60">
        <f>-SUMIF('SST TB'!$T:$T,'SST P&amp;L'!$A78,'SST TB'!L:L)</f>
        <v/>
      </c>
      <c r="Y78" s="60">
        <f>-SUMIF('SST TB'!$T:$T,'SST P&amp;L'!$A78,'SST TB'!M:M)</f>
        <v/>
      </c>
      <c r="Z78" s="60">
        <f>-SUMIF('SST TB'!$T:$T,'SST P&amp;L'!$A78,'SST TB'!N:N)</f>
        <v/>
      </c>
      <c r="AA78" s="60">
        <f>SUM(O78:T78)</f>
        <v/>
      </c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60" t="inlineStr">
        <is>
          <t>In-Direct - Overheads</t>
        </is>
      </c>
      <c r="B79" s="18" t="n">
        <v>-207.98</v>
      </c>
      <c r="C79" s="18" t="n">
        <v>-349.18</v>
      </c>
      <c r="D79" s="18" t="n">
        <v>-389.18</v>
      </c>
      <c r="E79" s="18" t="n">
        <v>-498.68</v>
      </c>
      <c r="F79" s="18" t="n">
        <v>-844.6799999999999</v>
      </c>
      <c r="G79" s="18" t="n">
        <v>-361.56</v>
      </c>
      <c r="H79" s="18" t="n">
        <v>-249.18</v>
      </c>
      <c r="I79" s="18" t="n">
        <v>-365.58</v>
      </c>
      <c r="J79" s="18" t="n">
        <v>-549.1800000000001</v>
      </c>
      <c r="K79" s="18" t="n">
        <v>-303.25</v>
      </c>
      <c r="L79" s="18" t="n">
        <v>-260.8</v>
      </c>
      <c r="M79" s="18" t="n">
        <v>-498.73</v>
      </c>
      <c r="N79" s="8" t="n"/>
      <c r="O79" s="60">
        <f>-SUMIF('SST TB'!$T:$T,'SST P&amp;L'!$A79,'SST TB'!C:C)</f>
        <v/>
      </c>
      <c r="P79" s="60">
        <f>-SUMIF('SST TB'!$T:$T,'SST P&amp;L'!$A79,'SST TB'!D:D)</f>
        <v/>
      </c>
      <c r="Q79" s="60">
        <f>-SUMIF('SST TB'!$T:$T,'SST P&amp;L'!$A79,'SST TB'!E:E)</f>
        <v/>
      </c>
      <c r="R79" s="60">
        <f>-SUMIF('SST TB'!$T:$T,'SST P&amp;L'!$A79,'SST TB'!F:F)</f>
        <v/>
      </c>
      <c r="S79" s="60">
        <f>-SUMIF('SST TB'!$T:$T,'SST P&amp;L'!$A79,'SST TB'!G:G)</f>
        <v/>
      </c>
      <c r="T79" s="60">
        <f>-SUMIF('SST TB'!$T:$T,'SST P&amp;L'!$A79,'SST TB'!H:H)</f>
        <v/>
      </c>
      <c r="U79" s="60">
        <f>-SUMIF('SST TB'!$T:$T,'SST P&amp;L'!$A79,'SST TB'!I:I)</f>
        <v/>
      </c>
      <c r="V79" s="60">
        <f>-SUMIF('SST TB'!$T:$T,'SST P&amp;L'!$A79,'SST TB'!J:J)</f>
        <v/>
      </c>
      <c r="W79" s="60">
        <f>-SUMIF('SST TB'!$T:$T,'SST P&amp;L'!$A79,'SST TB'!K:K)</f>
        <v/>
      </c>
      <c r="X79" s="60">
        <f>-SUMIF('SST TB'!$T:$T,'SST P&amp;L'!$A79,'SST TB'!L:L)</f>
        <v/>
      </c>
      <c r="Y79" s="60">
        <f>-SUMIF('SST TB'!$T:$T,'SST P&amp;L'!$A79,'SST TB'!M:M)</f>
        <v/>
      </c>
      <c r="Z79" s="60">
        <f>-SUMIF('SST TB'!$T:$T,'SST P&amp;L'!$A79,'SST TB'!N:N)</f>
        <v/>
      </c>
      <c r="AA79" s="60">
        <f>SUM(O79:T79)</f>
        <v/>
      </c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 ht="15.75" customHeight="1">
      <c r="A80" s="8" t="n"/>
      <c r="B80" s="67" t="n">
        <v>30756.46</v>
      </c>
      <c r="C80" s="67" t="n">
        <v>29623.23000000001</v>
      </c>
      <c r="D80" s="67" t="n">
        <v>36231.07999999999</v>
      </c>
      <c r="E80" s="67" t="n">
        <v>20319.63000000001</v>
      </c>
      <c r="F80" s="67" t="n">
        <v>29258.16</v>
      </c>
      <c r="G80" s="67" t="n">
        <v>26030.14999999999</v>
      </c>
      <c r="H80" s="67" t="n">
        <v>45442.41</v>
      </c>
      <c r="I80" s="67" t="n">
        <v>22510.72</v>
      </c>
      <c r="J80" s="67" t="n">
        <v>26882.89</v>
      </c>
      <c r="K80" s="67" t="n">
        <v>18862.26000000001</v>
      </c>
      <c r="L80" s="67" t="n">
        <v>29279.70999999999</v>
      </c>
      <c r="M80" s="67" t="n">
        <v>-5487.49</v>
      </c>
      <c r="N80" s="64" t="n"/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4">
        <f>SUM(V74:V79)</f>
        <v/>
      </c>
      <c r="W80" s="64">
        <f>SUM(W74:W79)</f>
        <v/>
      </c>
      <c r="X80" s="64">
        <f>SUM(X74:X79)</f>
        <v/>
      </c>
      <c r="Y80" s="64">
        <f>SUM(Y74:Y79)</f>
        <v/>
      </c>
      <c r="Z80" s="64">
        <f>SUM(Z74:Z79)</f>
        <v/>
      </c>
      <c r="AA80" s="64">
        <f>SUM(O80:T80)</f>
        <v/>
      </c>
      <c r="AB80" s="8" t="n"/>
      <c r="AC80" s="64" t="n"/>
      <c r="AD80" s="64" t="n"/>
      <c r="AE80" s="64" t="n"/>
      <c r="AF80" s="64" t="n"/>
      <c r="AG80" s="64" t="n"/>
      <c r="AH80" s="64" t="n"/>
      <c r="AI80" s="8" t="n"/>
      <c r="AJ80" s="64" t="n"/>
      <c r="AK80" s="64" t="n"/>
      <c r="AL80" s="64" t="n"/>
      <c r="AM80" s="64" t="n"/>
      <c r="AN80" s="64" t="n"/>
      <c r="AO80" s="64" t="n"/>
      <c r="AP80" s="64" t="n"/>
    </row>
    <row r="81" ht="15.75" customHeight="1">
      <c r="A81" s="8" t="n"/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0</v>
      </c>
      <c r="G81" s="18" t="n">
        <v>0</v>
      </c>
      <c r="H81" s="18" t="n">
        <v>0</v>
      </c>
      <c r="I81" s="18" t="n">
        <v>0</v>
      </c>
      <c r="J81" s="18" t="n">
        <v>0</v>
      </c>
      <c r="K81" s="18" t="n">
        <v>0</v>
      </c>
      <c r="L81" s="18" t="n">
        <v>0</v>
      </c>
      <c r="M81" s="18" t="n">
        <v>41812.06999999999</v>
      </c>
      <c r="N81" s="8" t="n"/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18" t="n">
        <v>0</v>
      </c>
      <c r="C83" s="18" t="n">
        <v>0</v>
      </c>
      <c r="D83" s="18" t="n">
        <v>0</v>
      </c>
      <c r="E83" s="18" t="n">
        <v>0</v>
      </c>
      <c r="F83" s="18" t="n">
        <v>0</v>
      </c>
      <c r="G83" s="18" t="n">
        <v>0</v>
      </c>
      <c r="H83" s="18" t="n">
        <v>0</v>
      </c>
      <c r="I83" s="18" t="n">
        <v>0</v>
      </c>
      <c r="J83" s="18" t="n">
        <v>0</v>
      </c>
      <c r="K83" s="18" t="n">
        <v>0</v>
      </c>
      <c r="L83" s="18" t="n">
        <v>0</v>
      </c>
      <c r="M83" s="18" t="n">
        <v>-41812.06999999999</v>
      </c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18" t="n">
        <v>-30756.45999999999</v>
      </c>
      <c r="C84" s="18" t="n">
        <v>-29623.22999999999</v>
      </c>
      <c r="D84" s="18" t="n">
        <v>-36231.08</v>
      </c>
      <c r="E84" s="18" t="n">
        <v>-20319.62999999999</v>
      </c>
      <c r="F84" s="18" t="n">
        <v>-29258.16000000001</v>
      </c>
      <c r="G84" s="18" t="n">
        <v>-26030.14999999999</v>
      </c>
      <c r="H84" s="18" t="n">
        <v>-45442.41000000001</v>
      </c>
      <c r="I84" s="18" t="n">
        <v>-22510.72</v>
      </c>
      <c r="J84" s="18" t="n">
        <v>-26882.89</v>
      </c>
      <c r="K84" s="18" t="n">
        <v>-18862.26</v>
      </c>
      <c r="L84" s="18" t="n">
        <v>-29279.71</v>
      </c>
      <c r="M84" s="18" t="n">
        <v>-36324.57999999999</v>
      </c>
      <c r="N84" s="8" t="n"/>
      <c r="O84" s="60">
        <f>SUM('SST TB'!C2:C44)</f>
        <v/>
      </c>
      <c r="P84" s="60">
        <f>SUM('SST TB'!D2:D44)</f>
        <v/>
      </c>
      <c r="Q84" s="60">
        <f>SUM('SST TB'!E2:E44)</f>
        <v/>
      </c>
      <c r="R84" s="60">
        <f>SUM('SST TB'!F2:F44)</f>
        <v/>
      </c>
      <c r="S84" s="60">
        <f>SUM('SST TB'!G2:G44)</f>
        <v/>
      </c>
      <c r="T84" s="60">
        <f>SUM('SST TB'!H2:H44)</f>
        <v/>
      </c>
      <c r="U84" s="60">
        <f>SUM('SST TB'!I2:I44)</f>
        <v/>
      </c>
      <c r="V84" s="60">
        <f>SUM('SST TB'!J2:J44)</f>
        <v/>
      </c>
      <c r="W84" s="60">
        <f>SUM('SST TB'!K2:K44)</f>
        <v/>
      </c>
      <c r="X84" s="60">
        <f>SUM('SST TB'!L2:L44)</f>
        <v/>
      </c>
      <c r="Y84" s="60">
        <f>SUM('SST TB'!M2:M44)</f>
        <v/>
      </c>
      <c r="Z84" s="60">
        <f>SUM('SST TB'!N2:N44)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Woosehill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46878.47</v>
      </c>
      <c r="C8" s="35" t="n">
        <v>39504.51</v>
      </c>
      <c r="D8" s="35" t="n">
        <v>40145.68</v>
      </c>
      <c r="E8" s="35" t="n">
        <v>48708.67</v>
      </c>
      <c r="F8" s="35" t="n">
        <v>42205.54</v>
      </c>
      <c r="G8" s="35" t="n">
        <v>34613.52</v>
      </c>
      <c r="H8" s="35" t="n">
        <v>42245.26</v>
      </c>
      <c r="I8" s="35" t="n">
        <v>33672.63</v>
      </c>
      <c r="J8" s="35" t="n">
        <v>25033.76</v>
      </c>
      <c r="K8" s="35" t="n">
        <v>26253.02</v>
      </c>
      <c r="L8" s="35" t="n">
        <v>21180.81</v>
      </c>
      <c r="M8" s="35" t="n">
        <v>28282.41</v>
      </c>
      <c r="N8" s="36">
        <f>SUM(B8:M8)</f>
        <v/>
      </c>
      <c r="O8" s="37">
        <f>-SUMIF('YBHN WH TB'!$R:$R,'WH P&amp;L'!$A8,'YBHN WH TB'!C:C)</f>
        <v/>
      </c>
      <c r="P8" s="37">
        <f>-SUMIF('YBHN WH TB'!$R:$R,'WH P&amp;L'!$A8,'YBHN WH TB'!D:D)</f>
        <v/>
      </c>
      <c r="Q8" s="37">
        <f>-SUMIF('YBHN WH TB'!$R:$R,'WH P&amp;L'!$A8,'YBHN WH TB'!E:E)</f>
        <v/>
      </c>
      <c r="R8" s="37">
        <f>-SUMIF('YBHN WH TB'!$R:$R,'WH P&amp;L'!$A8,'YBHN WH TB'!F:F)</f>
        <v/>
      </c>
      <c r="S8" s="37">
        <f>-SUMIF('YBHN WH TB'!$R:$R,'WH P&amp;L'!$A8,'YBHN WH TB'!G:G)</f>
        <v/>
      </c>
      <c r="T8" s="37">
        <f>-SUMIF('YBHN WH TB'!$R:$R,'WH P&amp;L'!$A8,'YBHN WH TB'!H:H)</f>
        <v/>
      </c>
      <c r="U8" s="37">
        <f>-SUMIF('YBHN WH TB'!$R:$R,'WH P&amp;L'!$A8,'YBHN WH TB'!I:I)</f>
        <v/>
      </c>
      <c r="V8" s="38" t="n">
        <v>32680.41</v>
      </c>
      <c r="W8" s="38" t="n">
        <v>23942</v>
      </c>
      <c r="X8" s="38" t="n">
        <v>24553</v>
      </c>
      <c r="Y8" s="38" t="n">
        <v>23399</v>
      </c>
      <c r="Z8" s="38" t="n">
        <v>30884</v>
      </c>
      <c r="AA8" s="36">
        <f>SUM(O8:U8)</f>
        <v/>
      </c>
      <c r="AB8" s="36">
        <f>SUM(O8:Z8)</f>
        <v/>
      </c>
      <c r="AC8" s="38" t="n">
        <v>41588.67</v>
      </c>
      <c r="AD8" s="38" t="n">
        <v>39304.87</v>
      </c>
      <c r="AE8" s="38" t="n">
        <v>45975.67</v>
      </c>
      <c r="AF8" s="38" t="n">
        <v>44447.98</v>
      </c>
      <c r="AG8" s="38" t="n">
        <v>44789.08</v>
      </c>
      <c r="AH8" s="38" t="n">
        <v>46211.46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13609.7</v>
      </c>
      <c r="C9" s="35" t="n">
        <v>13565.2</v>
      </c>
      <c r="D9" s="35" t="n">
        <v>18208.75</v>
      </c>
      <c r="E9" s="35" t="n">
        <v>10311.05</v>
      </c>
      <c r="F9" s="35" t="n">
        <v>10311.05</v>
      </c>
      <c r="G9" s="35" t="n">
        <v>10311.05</v>
      </c>
      <c r="H9" s="35" t="n">
        <v>19083.82</v>
      </c>
      <c r="I9" s="35" t="n">
        <v>0</v>
      </c>
      <c r="J9" s="35" t="n">
        <v>11153.12</v>
      </c>
      <c r="K9" s="35" t="n">
        <v>11153.12</v>
      </c>
      <c r="L9" s="35" t="n">
        <v>14192.63</v>
      </c>
      <c r="M9" s="35" t="n">
        <v>14500.48</v>
      </c>
      <c r="N9" s="36">
        <f>SUM(B9:M9)</f>
        <v/>
      </c>
      <c r="O9" s="37">
        <f>-SUMIF('YBHN WH TB'!$R:$R,'WH P&amp;L'!$A9,'YBHN WH TB'!C:C)</f>
        <v/>
      </c>
      <c r="P9" s="37">
        <f>-SUMIF('YBHN WH TB'!$R:$R,'WH P&amp;L'!$A9,'YBHN WH TB'!D:D)</f>
        <v/>
      </c>
      <c r="Q9" s="37">
        <f>-SUMIF('YBHN WH TB'!$R:$R,'WH P&amp;L'!$A9,'YBHN WH TB'!E:E)</f>
        <v/>
      </c>
      <c r="R9" s="37">
        <f>-SUMIF('YBHN WH TB'!$R:$R,'WH P&amp;L'!$A9,'YBHN WH TB'!F:F)</f>
        <v/>
      </c>
      <c r="S9" s="37">
        <f>-SUMIF('YBHN WH TB'!$R:$R,'WH P&amp;L'!$A9,'YBHN WH TB'!G:G)</f>
        <v/>
      </c>
      <c r="T9" s="37">
        <f>-SUMIF('YBHN WH TB'!$R:$R,'WH P&amp;L'!$A9,'YBHN WH TB'!H:H)</f>
        <v/>
      </c>
      <c r="U9" s="37">
        <f>-SUMIF('YBHN WH TB'!$R:$R,'WH P&amp;L'!$A9,'YBHN WH TB'!I:I)</f>
        <v/>
      </c>
      <c r="V9" s="38" t="n"/>
      <c r="W9" s="38" t="n">
        <v>15880</v>
      </c>
      <c r="X9" s="38" t="n">
        <v>14790</v>
      </c>
      <c r="Y9" s="38" t="n">
        <v>18944</v>
      </c>
      <c r="Z9" s="38" t="n">
        <v>13616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3087.1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-SUMIF('YBHN WH TB'!$R:$R,'WH P&amp;L'!$A10,'YBHN WH TB'!C:C)</f>
        <v/>
      </c>
      <c r="P10" s="37">
        <f>-SUMIF('YBHN WH TB'!$R:$R,'WH P&amp;L'!$A10,'YBHN WH TB'!D:D)</f>
        <v/>
      </c>
      <c r="Q10" s="37">
        <f>-SUMIF('YBHN WH TB'!$R:$R,'WH P&amp;L'!$A10,'YBHN WH TB'!E:E)</f>
        <v/>
      </c>
      <c r="R10" s="37">
        <f>-SUMIF('YBHN WH TB'!$R:$R,'WH P&amp;L'!$A10,'YBHN WH TB'!F:F)</f>
        <v/>
      </c>
      <c r="S10" s="37">
        <f>-SUMIF('YBHN WH TB'!$R:$R,'WH P&amp;L'!$A10,'YBHN WH TB'!G:G)</f>
        <v/>
      </c>
      <c r="T10" s="37">
        <f>-SUMIF('YBHN WH TB'!$R:$R,'WH P&amp;L'!$A10,'YBHN WH TB'!H:H)</f>
        <v/>
      </c>
      <c r="U10" s="37">
        <f>-SUMIF('YBHN WH TB'!$R:$R,'WH P&amp;L'!$A10,'YBHN WH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60488.17</v>
      </c>
      <c r="C11" s="42" t="n">
        <v>53069.71000000001</v>
      </c>
      <c r="D11" s="42" t="n">
        <v>58354.43</v>
      </c>
      <c r="E11" s="42" t="n">
        <v>59019.72</v>
      </c>
      <c r="F11" s="42" t="n">
        <v>52516.59</v>
      </c>
      <c r="G11" s="42" t="n">
        <v>44924.56999999999</v>
      </c>
      <c r="H11" s="42" t="n">
        <v>61329.08</v>
      </c>
      <c r="I11" s="42" t="n">
        <v>36759.73</v>
      </c>
      <c r="J11" s="42" t="n">
        <v>36186.88</v>
      </c>
      <c r="K11" s="42" t="n">
        <v>37406.14</v>
      </c>
      <c r="L11" s="42" t="n">
        <v>35373.44</v>
      </c>
      <c r="M11" s="42" t="n">
        <v>42782.89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20756.36</v>
      </c>
      <c r="C16" s="35" t="n">
        <v>19806.86</v>
      </c>
      <c r="D16" s="35" t="n">
        <v>20531.46</v>
      </c>
      <c r="E16" s="35" t="n">
        <v>19402.01</v>
      </c>
      <c r="F16" s="35" t="n">
        <v>22124.86</v>
      </c>
      <c r="G16" s="35" t="n">
        <v>22021.86</v>
      </c>
      <c r="H16" s="35" t="n">
        <v>24315.4</v>
      </c>
      <c r="I16" s="35" t="n">
        <v>24581.26</v>
      </c>
      <c r="J16" s="35" t="n">
        <v>23919.17</v>
      </c>
      <c r="K16" s="35" t="n">
        <v>23372.12</v>
      </c>
      <c r="L16" s="35" t="n">
        <v>23435.07</v>
      </c>
      <c r="M16" s="35" t="n">
        <v>23209.45</v>
      </c>
      <c r="N16" s="36">
        <f>SUM(B16:M16)</f>
        <v/>
      </c>
      <c r="O16" s="37">
        <f>SUMIF('YBHN WH TB'!$R:$R,'WH P&amp;L'!$A16,'YBHN WH TB'!C:C)</f>
        <v/>
      </c>
      <c r="P16" s="37">
        <f>SUMIF('YBHN WH TB'!$R:$R,'WH P&amp;L'!$A16,'YBHN WH TB'!D:D)</f>
        <v/>
      </c>
      <c r="Q16" s="37">
        <f>SUMIF('YBHN WH TB'!$R:$R,'WH P&amp;L'!$A16,'YBHN WH TB'!E:E)</f>
        <v/>
      </c>
      <c r="R16" s="37">
        <f>SUMIF('YBHN WH TB'!$R:$R,'WH P&amp;L'!$A16,'YBHN WH TB'!F:F)</f>
        <v/>
      </c>
      <c r="S16" s="37">
        <f>SUMIF('YBHN WH TB'!$R:$R,'WH P&amp;L'!$A16,'YBHN WH TB'!G:G)</f>
        <v/>
      </c>
      <c r="T16" s="37">
        <f>SUMIF('YBHN WH TB'!$R:$R,'WH P&amp;L'!$A16,'YBHN WH TB'!H:H)</f>
        <v/>
      </c>
      <c r="U16" s="37">
        <f>SUMIF('YBHN WH TB'!$R:$R,'WH P&amp;L'!$A16,'YBHN WH TB'!I:I)</f>
        <v/>
      </c>
      <c r="V16" s="38" t="n">
        <v>23746</v>
      </c>
      <c r="W16" s="38" t="n">
        <v>23746</v>
      </c>
      <c r="X16" s="38" t="n">
        <v>23746</v>
      </c>
      <c r="Y16" s="38" t="n">
        <v>23746</v>
      </c>
      <c r="Z16" s="38" t="n">
        <v>23746</v>
      </c>
      <c r="AA16" s="36">
        <f>SUM(O16:U16)</f>
        <v/>
      </c>
      <c r="AB16" s="36">
        <f>SUM(O16:Z16)</f>
        <v/>
      </c>
      <c r="AC16" s="38" t="n">
        <v>23746</v>
      </c>
      <c r="AD16" s="38" t="n">
        <v>23746</v>
      </c>
      <c r="AE16" s="38" t="n">
        <v>23746</v>
      </c>
      <c r="AF16" s="38" t="n">
        <v>23746</v>
      </c>
      <c r="AG16" s="38" t="n">
        <v>23746</v>
      </c>
      <c r="AH16" s="38" t="n">
        <v>23746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1655.57</v>
      </c>
      <c r="C17" s="35" t="n">
        <v>1539.05</v>
      </c>
      <c r="D17" s="35" t="n">
        <v>1352.02</v>
      </c>
      <c r="E17" s="35" t="n">
        <v>2052.92</v>
      </c>
      <c r="F17" s="35" t="n">
        <v>2333.4</v>
      </c>
      <c r="G17" s="35" t="n">
        <v>2443.45</v>
      </c>
      <c r="H17" s="35" t="n">
        <v>2653.22</v>
      </c>
      <c r="I17" s="35" t="n">
        <v>2586.83</v>
      </c>
      <c r="J17" s="35" t="n">
        <v>2580.16</v>
      </c>
      <c r="K17" s="35" t="n">
        <v>2539.9</v>
      </c>
      <c r="L17" s="35" t="n">
        <v>2560.76</v>
      </c>
      <c r="M17" s="35" t="n">
        <v>2576.25</v>
      </c>
      <c r="N17" s="36">
        <f>SUM(B17:M17)</f>
        <v/>
      </c>
      <c r="O17" s="37">
        <f>SUMIF('YBHN WH TB'!$R:$R,'WH P&amp;L'!$A17,'YBHN WH TB'!C:C)</f>
        <v/>
      </c>
      <c r="P17" s="37">
        <f>SUMIF('YBHN WH TB'!$R:$R,'WH P&amp;L'!$A17,'YBHN WH TB'!D:D)</f>
        <v/>
      </c>
      <c r="Q17" s="37">
        <f>SUMIF('YBHN WH TB'!$R:$R,'WH P&amp;L'!$A17,'YBHN WH TB'!E:E)</f>
        <v/>
      </c>
      <c r="R17" s="37">
        <f>SUMIF('YBHN WH TB'!$R:$R,'WH P&amp;L'!$A17,'YBHN WH TB'!F:F)</f>
        <v/>
      </c>
      <c r="S17" s="37">
        <f>SUMIF('YBHN WH TB'!$R:$R,'WH P&amp;L'!$A17,'YBHN WH TB'!G:G)</f>
        <v/>
      </c>
      <c r="T17" s="37">
        <f>SUMIF('YBHN WH TB'!$R:$R,'WH P&amp;L'!$A17,'YBHN WH TB'!H:H)</f>
        <v/>
      </c>
      <c r="U17" s="37">
        <f>SUMIF('YBHN WH TB'!$R:$R,'WH P&amp;L'!$A17,'YBHN WH TB'!I:I)</f>
        <v/>
      </c>
      <c r="V17" s="38" t="n">
        <v>2720</v>
      </c>
      <c r="W17" s="38" t="n">
        <v>2720</v>
      </c>
      <c r="X17" s="38" t="n">
        <v>2720</v>
      </c>
      <c r="Y17" s="38" t="n">
        <v>2720</v>
      </c>
      <c r="Z17" s="38" t="n">
        <v>2720</v>
      </c>
      <c r="AA17" s="36">
        <f>SUM(O17:U17)</f>
        <v/>
      </c>
      <c r="AB17" s="36">
        <f>SUM(O17:Z17)</f>
        <v/>
      </c>
      <c r="AC17" s="38" t="n">
        <v>2720</v>
      </c>
      <c r="AD17" s="38" t="n">
        <v>2720</v>
      </c>
      <c r="AE17" s="38" t="n">
        <v>2720</v>
      </c>
      <c r="AF17" s="38" t="n">
        <v>2720</v>
      </c>
      <c r="AG17" s="38" t="n">
        <v>2720</v>
      </c>
      <c r="AH17" s="38" t="n">
        <v>2720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417.15</v>
      </c>
      <c r="C18" s="35" t="n">
        <v>385.03</v>
      </c>
      <c r="D18" s="35" t="n">
        <v>349.16</v>
      </c>
      <c r="E18" s="35" t="n">
        <v>295.5</v>
      </c>
      <c r="F18" s="35" t="n">
        <v>316.81</v>
      </c>
      <c r="G18" s="35" t="n">
        <v>324.97</v>
      </c>
      <c r="H18" s="35" t="n">
        <v>296.65</v>
      </c>
      <c r="I18" s="35" t="n">
        <v>300.58</v>
      </c>
      <c r="J18" s="35" t="n">
        <v>267.24</v>
      </c>
      <c r="K18" s="35" t="n">
        <v>328.1</v>
      </c>
      <c r="L18" s="35" t="n">
        <v>388.4</v>
      </c>
      <c r="M18" s="35" t="n">
        <v>392.25</v>
      </c>
      <c r="N18" s="36">
        <f>SUM(B18:M18)</f>
        <v/>
      </c>
      <c r="O18" s="37">
        <f>SUMIF('YBHN WH TB'!$R:$R,'WH P&amp;L'!$A18,'YBHN WH TB'!C:C)</f>
        <v/>
      </c>
      <c r="P18" s="37">
        <f>SUMIF('YBHN WH TB'!$R:$R,'WH P&amp;L'!$A18,'YBHN WH TB'!D:D)</f>
        <v/>
      </c>
      <c r="Q18" s="37">
        <f>SUMIF('YBHN WH TB'!$R:$R,'WH P&amp;L'!$A18,'YBHN WH TB'!E:E)</f>
        <v/>
      </c>
      <c r="R18" s="37">
        <f>SUMIF('YBHN WH TB'!$R:$R,'WH P&amp;L'!$A18,'YBHN WH TB'!F:F)</f>
        <v/>
      </c>
      <c r="S18" s="37">
        <f>SUMIF('YBHN WH TB'!$R:$R,'WH P&amp;L'!$A18,'YBHN WH TB'!G:G)</f>
        <v/>
      </c>
      <c r="T18" s="37">
        <f>SUMIF('YBHN WH TB'!$R:$R,'WH P&amp;L'!$A18,'YBHN WH TB'!H:H)</f>
        <v/>
      </c>
      <c r="U18" s="37">
        <f>SUMIF('YBHN WH TB'!$R:$R,'WH P&amp;L'!$A18,'YBHN WH TB'!I:I)</f>
        <v/>
      </c>
      <c r="V18" s="38" t="n">
        <v>398</v>
      </c>
      <c r="W18" s="38" t="n">
        <v>398</v>
      </c>
      <c r="X18" s="38" t="n">
        <v>398</v>
      </c>
      <c r="Y18" s="38" t="n">
        <v>398</v>
      </c>
      <c r="Z18" s="38" t="n">
        <v>398</v>
      </c>
      <c r="AA18" s="36">
        <f>SUM(O18:U18)</f>
        <v/>
      </c>
      <c r="AB18" s="36">
        <f>SUM(O18:Z18)</f>
        <v/>
      </c>
      <c r="AC18" s="38" t="n">
        <v>398</v>
      </c>
      <c r="AD18" s="38" t="n">
        <v>398</v>
      </c>
      <c r="AE18" s="38" t="n">
        <v>398</v>
      </c>
      <c r="AF18" s="38" t="n">
        <v>398</v>
      </c>
      <c r="AG18" s="38" t="n">
        <v>398</v>
      </c>
      <c r="AH18" s="38" t="n">
        <v>398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102.56</v>
      </c>
      <c r="C19" s="35" t="n">
        <v>0</v>
      </c>
      <c r="D19" s="35" t="n">
        <v>132.9</v>
      </c>
      <c r="E19" s="35" t="n">
        <v>0</v>
      </c>
      <c r="F19" s="35" t="n">
        <v>0</v>
      </c>
      <c r="G19" s="35" t="n">
        <v>0</v>
      </c>
      <c r="H19" s="35" t="n">
        <v>365.88</v>
      </c>
      <c r="I19" s="35" t="n">
        <v>0</v>
      </c>
      <c r="J19" s="35" t="n">
        <v>10.99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>
        <f>SUMIF('YBHN WH TB'!$R:$R,'WH P&amp;L'!$A19,'YBHN WH TB'!C:C)</f>
        <v/>
      </c>
      <c r="P19" s="37">
        <f>SUMIF('YBHN WH TB'!$R:$R,'WH P&amp;L'!$A19,'YBHN WH TB'!D:D)</f>
        <v/>
      </c>
      <c r="Q19" s="37">
        <f>SUMIF('YBHN WH TB'!$R:$R,'WH P&amp;L'!$A19,'YBHN WH TB'!E:E)</f>
        <v/>
      </c>
      <c r="R19" s="37">
        <f>SUMIF('YBHN WH TB'!$R:$R,'WH P&amp;L'!$A19,'YBHN WH TB'!F:F)</f>
        <v/>
      </c>
      <c r="S19" s="37">
        <f>SUMIF('YBHN WH TB'!$R:$R,'WH P&amp;L'!$A19,'YBHN WH TB'!G:G)</f>
        <v/>
      </c>
      <c r="T19" s="37">
        <f>SUMIF('YBHN WH TB'!$R:$R,'WH P&amp;L'!$A19,'YBHN WH TB'!H:H)</f>
        <v/>
      </c>
      <c r="U19" s="37">
        <f>SUMIF('YBHN WH TB'!$R:$R,'WH P&amp;L'!$A19,'YBHN WH TB'!I:I)</f>
        <v/>
      </c>
      <c r="V19" s="38" t="n">
        <v>59</v>
      </c>
      <c r="W19" s="38" t="n">
        <v>59</v>
      </c>
      <c r="X19" s="38" t="n">
        <v>59</v>
      </c>
      <c r="Y19" s="38" t="n">
        <v>59</v>
      </c>
      <c r="Z19" s="38" t="n">
        <v>59</v>
      </c>
      <c r="AA19" s="36">
        <f>SUM(O19:U19)</f>
        <v/>
      </c>
      <c r="AB19" s="36">
        <f>SUM(O19:Z19)</f>
        <v/>
      </c>
      <c r="AC19" s="38" t="n">
        <v>59</v>
      </c>
      <c r="AD19" s="38" t="n">
        <v>59</v>
      </c>
      <c r="AE19" s="38" t="n">
        <v>59</v>
      </c>
      <c r="AF19" s="38" t="n">
        <v>59</v>
      </c>
      <c r="AG19" s="38" t="n">
        <v>59</v>
      </c>
      <c r="AH19" s="38" t="n">
        <v>59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13.99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120</v>
      </c>
      <c r="H20" s="35" t="n">
        <v>0</v>
      </c>
      <c r="I20" s="35" t="n">
        <v>0</v>
      </c>
      <c r="J20" s="35" t="n">
        <v>0</v>
      </c>
      <c r="K20" s="35" t="n">
        <v>0</v>
      </c>
      <c r="L20" s="35" t="n">
        <v>330.62</v>
      </c>
      <c r="M20" s="35" t="n">
        <v>0</v>
      </c>
      <c r="N20" s="36">
        <f>SUM(B20:M20)</f>
        <v/>
      </c>
      <c r="O20" s="37">
        <f>SUMIF('YBHN WH TB'!$R:$R,'WH P&amp;L'!$A20,'YBHN WH TB'!C:C)</f>
        <v/>
      </c>
      <c r="P20" s="37">
        <f>SUMIF('YBHN WH TB'!$R:$R,'WH P&amp;L'!$A20,'YBHN WH TB'!D:D)</f>
        <v/>
      </c>
      <c r="Q20" s="37">
        <f>SUMIF('YBHN WH TB'!$R:$R,'WH P&amp;L'!$A20,'YBHN WH TB'!E:E)</f>
        <v/>
      </c>
      <c r="R20" s="37">
        <f>SUMIF('YBHN WH TB'!$R:$R,'WH P&amp;L'!$A20,'YBHN WH TB'!F:F)</f>
        <v/>
      </c>
      <c r="S20" s="37">
        <f>SUMIF('YBHN WH TB'!$R:$R,'WH P&amp;L'!$A20,'YBHN WH TB'!G:G)</f>
        <v/>
      </c>
      <c r="T20" s="37">
        <f>SUMIF('YBHN WH TB'!$R:$R,'WH P&amp;L'!$A20,'YBHN WH TB'!H:H)</f>
        <v/>
      </c>
      <c r="U20" s="37">
        <f>SUMIF('YBHN WH TB'!$R:$R,'WH P&amp;L'!$A20,'YBHN WH TB'!I:I)</f>
        <v/>
      </c>
      <c r="V20" s="38" t="n">
        <v>50</v>
      </c>
      <c r="W20" s="38" t="n">
        <v>50</v>
      </c>
      <c r="X20" s="38" t="n">
        <v>50</v>
      </c>
      <c r="Y20" s="38" t="n">
        <v>50</v>
      </c>
      <c r="Z20" s="38" t="n">
        <v>50</v>
      </c>
      <c r="AA20" s="36">
        <f>SUM(O20:U20)</f>
        <v/>
      </c>
      <c r="AB20" s="36">
        <f>SUM(O20:Z20)</f>
        <v/>
      </c>
      <c r="AC20" s="38" t="n">
        <v>50</v>
      </c>
      <c r="AD20" s="38" t="n">
        <v>50</v>
      </c>
      <c r="AE20" s="38" t="n">
        <v>50</v>
      </c>
      <c r="AF20" s="38" t="n">
        <v>50</v>
      </c>
      <c r="AG20" s="38" t="n">
        <v>50</v>
      </c>
      <c r="AH20" s="38" t="n">
        <v>50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156.89</v>
      </c>
      <c r="C21" s="35" t="n">
        <v>118.99</v>
      </c>
      <c r="D21" s="35" t="n">
        <v>0</v>
      </c>
      <c r="E21" s="35" t="n">
        <v>37.22</v>
      </c>
      <c r="F21" s="35" t="n">
        <v>40.65</v>
      </c>
      <c r="G21" s="35" t="n">
        <v>61.78</v>
      </c>
      <c r="H21" s="35" t="n">
        <v>45.84</v>
      </c>
      <c r="I21" s="35" t="n">
        <v>85.55</v>
      </c>
      <c r="J21" s="35" t="n">
        <v>36.86</v>
      </c>
      <c r="K21" s="35" t="n">
        <v>107.12</v>
      </c>
      <c r="L21" s="35" t="n">
        <v>53.8</v>
      </c>
      <c r="M21" s="35" t="n">
        <v>71.59999999999999</v>
      </c>
      <c r="N21" s="36">
        <f>SUM(B21:M21)</f>
        <v/>
      </c>
      <c r="O21" s="37">
        <f>SUMIF('YBHN WH TB'!$R:$R,'WH P&amp;L'!$A21,'YBHN WH TB'!C:C)</f>
        <v/>
      </c>
      <c r="P21" s="37">
        <f>SUMIF('YBHN WH TB'!$R:$R,'WH P&amp;L'!$A21,'YBHN WH TB'!D:D)</f>
        <v/>
      </c>
      <c r="Q21" s="37">
        <f>SUMIF('YBHN WH TB'!$R:$R,'WH P&amp;L'!$A21,'YBHN WH TB'!E:E)</f>
        <v/>
      </c>
      <c r="R21" s="37">
        <f>SUMIF('YBHN WH TB'!$R:$R,'WH P&amp;L'!$A21,'YBHN WH TB'!F:F)</f>
        <v/>
      </c>
      <c r="S21" s="37">
        <f>SUMIF('YBHN WH TB'!$R:$R,'WH P&amp;L'!$A21,'YBHN WH TB'!G:G)</f>
        <v/>
      </c>
      <c r="T21" s="37">
        <f>SUMIF('YBHN WH TB'!$R:$R,'WH P&amp;L'!$A21,'YBHN WH TB'!H:H)</f>
        <v/>
      </c>
      <c r="U21" s="37">
        <f>SUMIF('YBHN WH TB'!$R:$R,'WH P&amp;L'!$A21,'YBHN WH TB'!I:I)</f>
        <v/>
      </c>
      <c r="V21" s="38" t="n">
        <v>120</v>
      </c>
      <c r="W21" s="38" t="n">
        <v>120</v>
      </c>
      <c r="X21" s="38" t="n">
        <v>120</v>
      </c>
      <c r="Y21" s="38" t="n">
        <v>120</v>
      </c>
      <c r="Z21" s="38" t="n">
        <v>120</v>
      </c>
      <c r="AA21" s="36">
        <f>SUM(O21:U21)</f>
        <v/>
      </c>
      <c r="AB21" s="36">
        <f>SUM(O21:Z21)</f>
        <v/>
      </c>
      <c r="AC21" s="38" t="n">
        <v>120</v>
      </c>
      <c r="AD21" s="38" t="n">
        <v>120</v>
      </c>
      <c r="AE21" s="38" t="n">
        <v>120</v>
      </c>
      <c r="AF21" s="38" t="n">
        <v>120</v>
      </c>
      <c r="AG21" s="38" t="n">
        <v>120</v>
      </c>
      <c r="AH21" s="38" t="n">
        <v>120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SUMIF('YBHN WH TB'!$R:$R,'WH P&amp;L'!$A22,'YBHN WH TB'!C:C)</f>
        <v/>
      </c>
      <c r="P22" s="37">
        <f>SUMIF('YBHN WH TB'!$R:$R,'WH P&amp;L'!$A22,'YBHN WH TB'!D:D)</f>
        <v/>
      </c>
      <c r="Q22" s="37">
        <f>SUMIF('YBHN WH TB'!$R:$R,'WH P&amp;L'!$A22,'YBHN WH TB'!E:E)</f>
        <v/>
      </c>
      <c r="R22" s="37">
        <f>SUMIF('YBHN WH TB'!$R:$R,'WH P&amp;L'!$A22,'YBHN WH TB'!F:F)</f>
        <v/>
      </c>
      <c r="S22" s="37">
        <f>SUMIF('YBHN WH TB'!$R:$R,'WH P&amp;L'!$A22,'YBHN WH TB'!G:G)</f>
        <v/>
      </c>
      <c r="T22" s="37">
        <f>SUMIF('YBHN WH TB'!$R:$R,'WH P&amp;L'!$A22,'YBHN WH TB'!H:H)</f>
        <v/>
      </c>
      <c r="U22" s="37">
        <f>SUMIF('YBHN WH TB'!$R:$R,'WH P&amp;L'!$A22,'YBHN WH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>
        <f>SUMIF('YBHN WH TB'!$R:$R,'WH P&amp;L'!$A23,'YBHN WH TB'!C:C)</f>
        <v/>
      </c>
      <c r="P23" s="37">
        <f>SUMIF('YBHN WH TB'!$R:$R,'WH P&amp;L'!$A23,'YBHN WH TB'!D:D)</f>
        <v/>
      </c>
      <c r="Q23" s="37">
        <f>SUMIF('YBHN WH TB'!$R:$R,'WH P&amp;L'!$A23,'YBHN WH TB'!E:E)</f>
        <v/>
      </c>
      <c r="R23" s="37">
        <f>SUMIF('YBHN WH TB'!$R:$R,'WH P&amp;L'!$A23,'YBHN WH TB'!F:F)</f>
        <v/>
      </c>
      <c r="S23" s="37">
        <f>SUMIF('YBHN WH TB'!$R:$R,'WH P&amp;L'!$A23,'YBHN WH TB'!G:G)</f>
        <v/>
      </c>
      <c r="T23" s="37">
        <f>SUMIF('YBHN WH TB'!$R:$R,'WH P&amp;L'!$A23,'YBHN WH TB'!H:H)</f>
        <v/>
      </c>
      <c r="U23" s="37">
        <f>SUMIF('YBHN WH TB'!$R:$R,'WH P&amp;L'!$A23,'YBHN WH TB'!I:I)</f>
        <v/>
      </c>
      <c r="V23" s="38" t="n">
        <v>50</v>
      </c>
      <c r="W23" s="38" t="n">
        <v>50</v>
      </c>
      <c r="X23" s="38" t="n">
        <v>50</v>
      </c>
      <c r="Y23" s="38" t="n">
        <v>50</v>
      </c>
      <c r="Z23" s="38" t="n">
        <v>50</v>
      </c>
      <c r="AA23" s="36">
        <f>SUM(O23:U23)</f>
        <v/>
      </c>
      <c r="AB23" s="36">
        <f>SUM(O23:Z23)</f>
        <v/>
      </c>
      <c r="AC23" s="38" t="n">
        <v>50</v>
      </c>
      <c r="AD23" s="38" t="n">
        <v>50</v>
      </c>
      <c r="AE23" s="38" t="n">
        <v>50</v>
      </c>
      <c r="AF23" s="38" t="n">
        <v>50</v>
      </c>
      <c r="AG23" s="38" t="n">
        <v>50</v>
      </c>
      <c r="AH23" s="38" t="n">
        <v>50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SUMIF('YBHN WH TB'!$R:$R,'WH P&amp;L'!$A24,'YBHN WH TB'!C:C)</f>
        <v/>
      </c>
      <c r="P24" s="37">
        <f>SUMIF('YBHN WH TB'!$R:$R,'WH P&amp;L'!$A24,'YBHN WH TB'!D:D)</f>
        <v/>
      </c>
      <c r="Q24" s="37">
        <f>SUMIF('YBHN WH TB'!$R:$R,'WH P&amp;L'!$A24,'YBHN WH TB'!E:E)</f>
        <v/>
      </c>
      <c r="R24" s="37">
        <f>SUMIF('YBHN WH TB'!$R:$R,'WH P&amp;L'!$A24,'YBHN WH TB'!F:F)</f>
        <v/>
      </c>
      <c r="S24" s="37">
        <f>SUMIF('YBHN WH TB'!$R:$R,'WH P&amp;L'!$A24,'YBHN WH TB'!G:G)</f>
        <v/>
      </c>
      <c r="T24" s="37">
        <f>SUMIF('YBHN WH TB'!$R:$R,'WH P&amp;L'!$A24,'YBHN WH TB'!H:H)</f>
        <v/>
      </c>
      <c r="U24" s="37">
        <f>SUMIF('YBHN WH TB'!$R:$R,'WH P&amp;L'!$A24,'YBHN WH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23102.52</v>
      </c>
      <c r="C25" s="42" t="n">
        <v>21849.93</v>
      </c>
      <c r="D25" s="42" t="n">
        <v>22365.54</v>
      </c>
      <c r="E25" s="42" t="n">
        <v>21787.65</v>
      </c>
      <c r="F25" s="42" t="n">
        <v>24815.72</v>
      </c>
      <c r="G25" s="42" t="n">
        <v>24972.06</v>
      </c>
      <c r="H25" s="42" t="n">
        <v>27676.99000000001</v>
      </c>
      <c r="I25" s="42" t="n">
        <v>27554.22</v>
      </c>
      <c r="J25" s="42" t="n">
        <v>26814.42</v>
      </c>
      <c r="K25" s="42" t="n">
        <v>26347.24</v>
      </c>
      <c r="L25" s="42" t="n">
        <v>26768.65</v>
      </c>
      <c r="M25" s="42" t="n">
        <v>26249.55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1049.2</v>
      </c>
      <c r="C27" s="35" t="n">
        <v>1062.81</v>
      </c>
      <c r="D27" s="35" t="n">
        <v>1232.3</v>
      </c>
      <c r="E27" s="35" t="n">
        <v>574.0400000000001</v>
      </c>
      <c r="F27" s="35" t="n">
        <v>921.63</v>
      </c>
      <c r="G27" s="35" t="n">
        <v>838.97</v>
      </c>
      <c r="H27" s="35" t="n">
        <v>794.59</v>
      </c>
      <c r="I27" s="35" t="n">
        <v>714.28</v>
      </c>
      <c r="J27" s="35" t="n">
        <v>588.1</v>
      </c>
      <c r="K27" s="35" t="n">
        <v>808.9399999999999</v>
      </c>
      <c r="L27" s="35" t="n">
        <v>585.75</v>
      </c>
      <c r="M27" s="35" t="n">
        <v>647.7600000000001</v>
      </c>
      <c r="N27" s="36">
        <f>SUM(B27:M27)</f>
        <v/>
      </c>
      <c r="O27" s="37">
        <f>SUMIF('YBHN WH TB'!$R:$R,'WH P&amp;L'!$A27,'YBHN WH TB'!C:C)</f>
        <v/>
      </c>
      <c r="P27" s="37">
        <f>SUMIF('YBHN WH TB'!$R:$R,'WH P&amp;L'!$A27,'YBHN WH TB'!D:D)</f>
        <v/>
      </c>
      <c r="Q27" s="37">
        <f>SUMIF('YBHN WH TB'!$R:$R,'WH P&amp;L'!$A27,'YBHN WH TB'!E:E)</f>
        <v/>
      </c>
      <c r="R27" s="37">
        <f>SUMIF('YBHN WH TB'!$R:$R,'WH P&amp;L'!$A27,'YBHN WH TB'!F:F)</f>
        <v/>
      </c>
      <c r="S27" s="37">
        <f>SUMIF('YBHN WH TB'!$R:$R,'WH P&amp;L'!$A27,'YBHN WH TB'!G:G)</f>
        <v/>
      </c>
      <c r="T27" s="37">
        <f>SUMIF('YBHN WH TB'!$R:$R,'WH P&amp;L'!$A27,'YBHN WH TB'!H:H)</f>
        <v/>
      </c>
      <c r="U27" s="37">
        <f>SUMIF('YBHN WH TB'!$R:$R,'WH P&amp;L'!$A27,'YBHN WH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56.48</v>
      </c>
      <c r="C28" s="35" t="n">
        <v>2434.38</v>
      </c>
      <c r="D28" s="35" t="n">
        <v>198.96</v>
      </c>
      <c r="E28" s="35" t="n">
        <v>106.88</v>
      </c>
      <c r="F28" s="35" t="n">
        <v>171.09</v>
      </c>
      <c r="G28" s="35" t="n">
        <v>0</v>
      </c>
      <c r="H28" s="35" t="n">
        <v>0</v>
      </c>
      <c r="I28" s="35" t="n">
        <v>145.55</v>
      </c>
      <c r="J28" s="35" t="n">
        <v>0</v>
      </c>
      <c r="K28" s="35" t="n">
        <v>14.99</v>
      </c>
      <c r="L28" s="35" t="n">
        <v>30</v>
      </c>
      <c r="M28" s="35" t="n">
        <v>0</v>
      </c>
      <c r="N28" s="36">
        <f>SUM(B28:M28)</f>
        <v/>
      </c>
      <c r="O28" s="37">
        <f>SUMIF('YBHN WH TB'!$R:$R,'WH P&amp;L'!$A28,'YBHN WH TB'!C:C)</f>
        <v/>
      </c>
      <c r="P28" s="37">
        <f>SUMIF('YBHN WH TB'!$R:$R,'WH P&amp;L'!$A28,'YBHN WH TB'!D:D)</f>
        <v/>
      </c>
      <c r="Q28" s="37">
        <f>SUMIF('YBHN WH TB'!$R:$R,'WH P&amp;L'!$A28,'YBHN WH TB'!E:E)</f>
        <v/>
      </c>
      <c r="R28" s="37">
        <f>SUMIF('YBHN WH TB'!$R:$R,'WH P&amp;L'!$A28,'YBHN WH TB'!F:F)</f>
        <v/>
      </c>
      <c r="S28" s="37">
        <f>SUMIF('YBHN WH TB'!$R:$R,'WH P&amp;L'!$A28,'YBHN WH TB'!G:G)</f>
        <v/>
      </c>
      <c r="T28" s="37">
        <f>SUMIF('YBHN WH TB'!$R:$R,'WH P&amp;L'!$A28,'YBHN WH TB'!H:H)</f>
        <v/>
      </c>
      <c r="U28" s="37">
        <f>SUMIF('YBHN WH TB'!$R:$R,'WH P&amp;L'!$A28,'YBHN WH TB'!I:I)</f>
        <v/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187.9</v>
      </c>
      <c r="C29" s="35" t="n">
        <v>351.06</v>
      </c>
      <c r="D29" s="35" t="n">
        <v>170.57</v>
      </c>
      <c r="E29" s="35" t="n">
        <v>47.49</v>
      </c>
      <c r="F29" s="35" t="n">
        <v>128.06</v>
      </c>
      <c r="G29" s="35" t="n">
        <v>77.17999999999999</v>
      </c>
      <c r="H29" s="35" t="n">
        <v>48.36</v>
      </c>
      <c r="I29" s="35" t="n">
        <v>110.18</v>
      </c>
      <c r="J29" s="35" t="n">
        <v>80.65000000000001</v>
      </c>
      <c r="K29" s="35" t="n">
        <v>33.87</v>
      </c>
      <c r="L29" s="35" t="n">
        <v>144.55</v>
      </c>
      <c r="M29" s="35" t="n">
        <v>7.78</v>
      </c>
      <c r="N29" s="36">
        <f>SUM(B29:M29)</f>
        <v/>
      </c>
      <c r="O29" s="37">
        <f>SUMIF('YBHN WH TB'!$R:$R,'WH P&amp;L'!$A29,'YBHN WH TB'!C:C)</f>
        <v/>
      </c>
      <c r="P29" s="37">
        <f>SUMIF('YBHN WH TB'!$R:$R,'WH P&amp;L'!$A29,'YBHN WH TB'!D:D)</f>
        <v/>
      </c>
      <c r="Q29" s="37">
        <f>SUMIF('YBHN WH TB'!$R:$R,'WH P&amp;L'!$A29,'YBHN WH TB'!E:E)</f>
        <v/>
      </c>
      <c r="R29" s="37">
        <f>SUMIF('YBHN WH TB'!$R:$R,'WH P&amp;L'!$A29,'YBHN WH TB'!F:F)</f>
        <v/>
      </c>
      <c r="S29" s="37">
        <f>SUMIF('YBHN WH TB'!$R:$R,'WH P&amp;L'!$A29,'YBHN WH TB'!G:G)</f>
        <v/>
      </c>
      <c r="T29" s="37">
        <f>SUMIF('YBHN WH TB'!$R:$R,'WH P&amp;L'!$A29,'YBHN WH TB'!H:H)</f>
        <v/>
      </c>
      <c r="U29" s="37">
        <f>SUMIF('YBHN WH TB'!$R:$R,'WH P&amp;L'!$A29,'YBHN WH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0.00312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SUMIF('YBHN WH TB'!$R:$R,'WH P&amp;L'!$A30,'YBHN WH TB'!C:C)</f>
        <v/>
      </c>
      <c r="P30" s="37">
        <f>SUMIF('YBHN WH TB'!$R:$R,'WH P&amp;L'!$A30,'YBHN WH TB'!D:D)</f>
        <v/>
      </c>
      <c r="Q30" s="37">
        <f>SUMIF('YBHN WH TB'!$R:$R,'WH P&amp;L'!$A30,'YBHN WH TB'!E:E)</f>
        <v/>
      </c>
      <c r="R30" s="37">
        <f>SUMIF('YBHN WH TB'!$R:$R,'WH P&amp;L'!$A30,'YBHN WH TB'!F:F)</f>
        <v/>
      </c>
      <c r="S30" s="37">
        <f>SUMIF('YBHN WH TB'!$R:$R,'WH P&amp;L'!$A30,'YBHN WH TB'!G:G)</f>
        <v/>
      </c>
      <c r="T30" s="37">
        <f>SUMIF('YBHN WH TB'!$R:$R,'WH P&amp;L'!$A30,'YBHN WH TB'!H:H)</f>
        <v/>
      </c>
      <c r="U30" s="37">
        <f>SUMIF('YBHN WH TB'!$R:$R,'WH P&amp;L'!$A30,'YBHN WH TB'!I:I)</f>
        <v/>
      </c>
      <c r="V30" s="38" t="n">
        <v>0</v>
      </c>
      <c r="W30" s="38" t="n">
        <v>0</v>
      </c>
      <c r="X30" s="38" t="n">
        <v>0</v>
      </c>
      <c r="Y30" s="38" t="n">
        <v>0</v>
      </c>
      <c r="Z30" s="38" t="n">
        <v>0</v>
      </c>
      <c r="AA30" s="36">
        <f>SUM(O30:U30)</f>
        <v/>
      </c>
      <c r="AB30" s="36">
        <f>SUM(O30:Z30)</f>
        <v/>
      </c>
      <c r="AC30" s="38" t="n">
        <v>0</v>
      </c>
      <c r="AD30" s="38" t="n">
        <v>0</v>
      </c>
      <c r="AE30" s="38" t="n">
        <v>0</v>
      </c>
      <c r="AF30" s="38" t="n">
        <v>0</v>
      </c>
      <c r="AG30" s="38" t="n">
        <v>0</v>
      </c>
      <c r="AH30" s="38" t="n">
        <v>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80.35000000000001</v>
      </c>
      <c r="C31" s="35" t="n">
        <v>250.49</v>
      </c>
      <c r="D31" s="35" t="n">
        <v>70.2</v>
      </c>
      <c r="E31" s="35" t="n">
        <v>35.98</v>
      </c>
      <c r="F31" s="35" t="n">
        <v>0</v>
      </c>
      <c r="G31" s="35" t="n">
        <v>0</v>
      </c>
      <c r="H31" s="35" t="n">
        <v>88.72</v>
      </c>
      <c r="I31" s="35" t="n">
        <v>126.39</v>
      </c>
      <c r="J31" s="35" t="n">
        <v>514.62</v>
      </c>
      <c r="K31" s="35" t="n">
        <v>0</v>
      </c>
      <c r="L31" s="35" t="n">
        <v>46.66999999999999</v>
      </c>
      <c r="M31" s="35" t="n">
        <v>44.19</v>
      </c>
      <c r="N31" s="36">
        <f>SUM(B31:M31)</f>
        <v/>
      </c>
      <c r="O31" s="37">
        <f>SUMIF('YBHN WH TB'!$R:$R,'WH P&amp;L'!$A31,'YBHN WH TB'!C:C)</f>
        <v/>
      </c>
      <c r="P31" s="37">
        <f>SUMIF('YBHN WH TB'!$R:$R,'WH P&amp;L'!$A31,'YBHN WH TB'!D:D)</f>
        <v/>
      </c>
      <c r="Q31" s="37">
        <f>SUMIF('YBHN WH TB'!$R:$R,'WH P&amp;L'!$A31,'YBHN WH TB'!E:E)</f>
        <v/>
      </c>
      <c r="R31" s="37">
        <f>SUMIF('YBHN WH TB'!$R:$R,'WH P&amp;L'!$A31,'YBHN WH TB'!F:F)</f>
        <v/>
      </c>
      <c r="S31" s="37">
        <f>SUMIF('YBHN WH TB'!$R:$R,'WH P&amp;L'!$A31,'YBHN WH TB'!G:G)</f>
        <v/>
      </c>
      <c r="T31" s="37">
        <f>SUMIF('YBHN WH TB'!$R:$R,'WH P&amp;L'!$A31,'YBHN WH TB'!H:H)</f>
        <v/>
      </c>
      <c r="U31" s="37">
        <f>SUMIF('YBHN WH TB'!$R:$R,'WH P&amp;L'!$A31,'YBHN WH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124.1</v>
      </c>
      <c r="C32" s="35" t="n">
        <v>44.78</v>
      </c>
      <c r="D32" s="35" t="n">
        <v>0</v>
      </c>
      <c r="E32" s="35" t="n">
        <v>99.52</v>
      </c>
      <c r="F32" s="35" t="n">
        <v>139.21</v>
      </c>
      <c r="G32" s="35" t="n">
        <v>57.26</v>
      </c>
      <c r="H32" s="35" t="n">
        <v>193.75</v>
      </c>
      <c r="I32" s="35" t="n">
        <v>133.31</v>
      </c>
      <c r="J32" s="35" t="n">
        <v>99.92999999999999</v>
      </c>
      <c r="K32" s="35" t="n">
        <v>94.45</v>
      </c>
      <c r="L32" s="35" t="n">
        <v>185.97</v>
      </c>
      <c r="M32" s="35" t="n">
        <v>214.41</v>
      </c>
      <c r="N32" s="36">
        <f>SUM(B32:M32)</f>
        <v/>
      </c>
      <c r="O32" s="37">
        <f>SUMIF('YBHN WH TB'!$R:$R,'WH P&amp;L'!$A32,'YBHN WH TB'!C:C)</f>
        <v/>
      </c>
      <c r="P32" s="37">
        <f>SUMIF('YBHN WH TB'!$R:$R,'WH P&amp;L'!$A32,'YBHN WH TB'!D:D)</f>
        <v/>
      </c>
      <c r="Q32" s="37">
        <f>SUMIF('YBHN WH TB'!$R:$R,'WH P&amp;L'!$A32,'YBHN WH TB'!E:E)</f>
        <v/>
      </c>
      <c r="R32" s="37">
        <f>SUMIF('YBHN WH TB'!$R:$R,'WH P&amp;L'!$A32,'YBHN WH TB'!F:F)</f>
        <v/>
      </c>
      <c r="S32" s="37">
        <f>SUMIF('YBHN WH TB'!$R:$R,'WH P&amp;L'!$A32,'YBHN WH TB'!G:G)</f>
        <v/>
      </c>
      <c r="T32" s="37">
        <f>SUMIF('YBHN WH TB'!$R:$R,'WH P&amp;L'!$A32,'YBHN WH TB'!H:H)</f>
        <v/>
      </c>
      <c r="U32" s="37">
        <f>SUMIF('YBHN WH TB'!$R:$R,'WH P&amp;L'!$A32,'YBHN WH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0.004160000000000001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SUMIF('YBHN WH TB'!$R:$R,'WH P&amp;L'!$A33,'YBHN WH TB'!C:C)</f>
        <v/>
      </c>
      <c r="P33" s="37">
        <f>SUMIF('YBHN WH TB'!$R:$R,'WH P&amp;L'!$A33,'YBHN WH TB'!D:D)</f>
        <v/>
      </c>
      <c r="Q33" s="37">
        <f>SUMIF('YBHN WH TB'!$R:$R,'WH P&amp;L'!$A33,'YBHN WH TB'!E:E)</f>
        <v/>
      </c>
      <c r="R33" s="37">
        <f>SUMIF('YBHN WH TB'!$R:$R,'WH P&amp;L'!$A33,'YBHN WH TB'!F:F)</f>
        <v/>
      </c>
      <c r="S33" s="37">
        <f>SUMIF('YBHN WH TB'!$R:$R,'WH P&amp;L'!$A33,'YBHN WH TB'!G:G)</f>
        <v/>
      </c>
      <c r="T33" s="37">
        <f>SUMIF('YBHN WH TB'!$R:$R,'WH P&amp;L'!$A33,'YBHN WH TB'!H:H)</f>
        <v/>
      </c>
      <c r="U33" s="37">
        <f>SUMIF('YBHN WH TB'!$R:$R,'WH P&amp;L'!$A33,'YBHN WH TB'!I:I)</f>
        <v/>
      </c>
      <c r="V33" s="38" t="n">
        <v>0</v>
      </c>
      <c r="W33" s="38" t="n">
        <v>0</v>
      </c>
      <c r="X33" s="38" t="n">
        <v>0</v>
      </c>
      <c r="Y33" s="38" t="n">
        <v>0</v>
      </c>
      <c r="Z33" s="38" t="n">
        <v>0</v>
      </c>
      <c r="AA33" s="36">
        <f>SUM(O33:U33)</f>
        <v/>
      </c>
      <c r="AB33" s="36">
        <f>SUM(O33:Z33)</f>
        <v/>
      </c>
      <c r="AC33" s="38" t="n">
        <v>0</v>
      </c>
      <c r="AD33" s="38" t="n">
        <v>0</v>
      </c>
      <c r="AE33" s="38" t="n">
        <v>0</v>
      </c>
      <c r="AF33" s="38" t="n">
        <v>0</v>
      </c>
      <c r="AG33" s="38" t="n">
        <v>0</v>
      </c>
      <c r="AH33" s="38" t="n">
        <v>0</v>
      </c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1498.03</v>
      </c>
      <c r="C34" s="42" t="n">
        <v>4143.52</v>
      </c>
      <c r="D34" s="42" t="n">
        <v>1672.03</v>
      </c>
      <c r="E34" s="42" t="n">
        <v>863.9100000000001</v>
      </c>
      <c r="F34" s="42" t="n">
        <v>1359.99</v>
      </c>
      <c r="G34" s="42" t="n">
        <v>973.41</v>
      </c>
      <c r="H34" s="42" t="n">
        <v>1125.42</v>
      </c>
      <c r="I34" s="42" t="n">
        <v>1229.71</v>
      </c>
      <c r="J34" s="42" t="n">
        <v>1283.3</v>
      </c>
      <c r="K34" s="42" t="n">
        <v>952.25</v>
      </c>
      <c r="L34" s="42" t="n">
        <v>992.9399999999999</v>
      </c>
      <c r="M34" s="42" t="n">
        <v>914.14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458.33</v>
      </c>
      <c r="C36" s="35" t="n">
        <v>458.33</v>
      </c>
      <c r="D36" s="35" t="n">
        <v>458.33</v>
      </c>
      <c r="E36" s="35" t="n">
        <v>458.33</v>
      </c>
      <c r="F36" s="35" t="n">
        <v>458.33</v>
      </c>
      <c r="G36" s="35" t="n">
        <v>458.33</v>
      </c>
      <c r="H36" s="35" t="n">
        <v>458.34</v>
      </c>
      <c r="I36" s="35" t="n">
        <v>458.33</v>
      </c>
      <c r="J36" s="35" t="n">
        <v>458.33</v>
      </c>
      <c r="K36" s="35" t="n">
        <v>458.33</v>
      </c>
      <c r="L36" s="35" t="n">
        <v>458.33</v>
      </c>
      <c r="M36" s="35" t="n">
        <v>458.34</v>
      </c>
      <c r="N36" s="36">
        <f>SUM(B36:M36)</f>
        <v/>
      </c>
      <c r="O36" s="37">
        <f>SUMIF('YBHN WH TB'!$R:$R,'WH P&amp;L'!$A36,'YBHN WH TB'!C:C)</f>
        <v/>
      </c>
      <c r="P36" s="37">
        <f>SUMIF('YBHN WH TB'!$R:$R,'WH P&amp;L'!$A36,'YBHN WH TB'!D:D)</f>
        <v/>
      </c>
      <c r="Q36" s="37">
        <f>SUMIF('YBHN WH TB'!$R:$R,'WH P&amp;L'!$A36,'YBHN WH TB'!E:E)</f>
        <v/>
      </c>
      <c r="R36" s="37">
        <f>SUMIF('YBHN WH TB'!$R:$R,'WH P&amp;L'!$A36,'YBHN WH TB'!F:F)</f>
        <v/>
      </c>
      <c r="S36" s="37">
        <f>SUMIF('YBHN WH TB'!$R:$R,'WH P&amp;L'!$A36,'YBHN WH TB'!G:G)</f>
        <v/>
      </c>
      <c r="T36" s="37">
        <f>SUMIF('YBHN WH TB'!$R:$R,'WH P&amp;L'!$A36,'YBHN WH TB'!H:H)</f>
        <v/>
      </c>
      <c r="U36" s="37">
        <f>SUMIF('YBHN WH TB'!$R:$R,'WH P&amp;L'!$A36,'YBHN WH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1912.83</v>
      </c>
      <c r="C37" s="35" t="n">
        <v>1912.83</v>
      </c>
      <c r="D37" s="35" t="n">
        <v>1912.83</v>
      </c>
      <c r="E37" s="35" t="n">
        <v>1912.83</v>
      </c>
      <c r="F37" s="35" t="n">
        <v>1912.82</v>
      </c>
      <c r="G37" s="35" t="n">
        <v>1912.83</v>
      </c>
      <c r="H37" s="35" t="n">
        <v>1912.83</v>
      </c>
      <c r="I37" s="35" t="n">
        <v>1912.83</v>
      </c>
      <c r="J37" s="35" t="n">
        <v>1912.83</v>
      </c>
      <c r="K37" s="35" t="n">
        <v>1912.83</v>
      </c>
      <c r="L37" s="35" t="n">
        <v>1912.83</v>
      </c>
      <c r="M37" s="35" t="n">
        <v>1912.83</v>
      </c>
      <c r="N37" s="36">
        <f>SUM(B37:M37)</f>
        <v/>
      </c>
      <c r="O37" s="37">
        <f>SUMIF('YBHN WH TB'!$R:$R,'WH P&amp;L'!$A37,'YBHN WH TB'!C:C)</f>
        <v/>
      </c>
      <c r="P37" s="37">
        <f>SUMIF('YBHN WH TB'!$R:$R,'WH P&amp;L'!$A37,'YBHN WH TB'!D:D)</f>
        <v/>
      </c>
      <c r="Q37" s="37">
        <f>SUMIF('YBHN WH TB'!$R:$R,'WH P&amp;L'!$A37,'YBHN WH TB'!E:E)</f>
        <v/>
      </c>
      <c r="R37" s="37">
        <f>SUMIF('YBHN WH TB'!$R:$R,'WH P&amp;L'!$A37,'YBHN WH TB'!F:F)</f>
        <v/>
      </c>
      <c r="S37" s="37">
        <f>SUMIF('YBHN WH TB'!$R:$R,'WH P&amp;L'!$A37,'YBHN WH TB'!G:G)</f>
        <v/>
      </c>
      <c r="T37" s="37">
        <f>SUMIF('YBHN WH TB'!$R:$R,'WH P&amp;L'!$A37,'YBHN WH TB'!H:H)</f>
        <v/>
      </c>
      <c r="U37" s="37">
        <f>SUMIF('YBHN WH TB'!$R:$R,'WH P&amp;L'!$A37,'YBHN WH TB'!I:I)</f>
        <v/>
      </c>
      <c r="V37" s="38" t="n">
        <v>2199.758333333333</v>
      </c>
      <c r="W37" s="38" t="n">
        <v>2199.758333333333</v>
      </c>
      <c r="X37" s="38" t="n">
        <v>2199.758333333333</v>
      </c>
      <c r="Y37" s="38" t="n">
        <v>2199.758333333333</v>
      </c>
      <c r="Z37" s="38" t="n">
        <v>2199.758333333333</v>
      </c>
      <c r="AA37" s="36">
        <f>SUM(O37:U37)</f>
        <v/>
      </c>
      <c r="AB37" s="36">
        <f>SUM(O37:Z37)</f>
        <v/>
      </c>
      <c r="AC37" s="38" t="n">
        <v>2199.758333333333</v>
      </c>
      <c r="AD37" s="38" t="n">
        <v>2199.758333333333</v>
      </c>
      <c r="AE37" s="38" t="n">
        <v>2199.758333333333</v>
      </c>
      <c r="AF37" s="38" t="n">
        <v>2199.758333333333</v>
      </c>
      <c r="AG37" s="38" t="n">
        <v>2199.758333333333</v>
      </c>
      <c r="AH37" s="38" t="n">
        <v>2199.758333333333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2331.47</v>
      </c>
      <c r="C38" s="35" t="n">
        <v>1807.76</v>
      </c>
      <c r="D38" s="35" t="n">
        <v>1837.04</v>
      </c>
      <c r="E38" s="35" t="n">
        <v>5561.08</v>
      </c>
      <c r="F38" s="35" t="n">
        <v>2515.04</v>
      </c>
      <c r="G38" s="35" t="n">
        <v>809.6</v>
      </c>
      <c r="H38" s="35" t="n">
        <v>-627.6799999999998</v>
      </c>
      <c r="I38" s="35" t="n">
        <v>1420.78</v>
      </c>
      <c r="J38" s="35" t="n">
        <v>-916.72</v>
      </c>
      <c r="K38" s="35" t="n">
        <v>793.16</v>
      </c>
      <c r="L38" s="35" t="n">
        <v>1189.91</v>
      </c>
      <c r="M38" s="35" t="n">
        <v>1813.66</v>
      </c>
      <c r="N38" s="36">
        <f>SUM(B38:M38)</f>
        <v/>
      </c>
      <c r="O38" s="37">
        <f>SUMIF('YBHN WH TB'!$R:$R,'WH P&amp;L'!$A38,'YBHN WH TB'!C:C)</f>
        <v/>
      </c>
      <c r="P38" s="37">
        <f>SUMIF('YBHN WH TB'!$R:$R,'WH P&amp;L'!$A38,'YBHN WH TB'!D:D)</f>
        <v/>
      </c>
      <c r="Q38" s="37">
        <f>SUMIF('YBHN WH TB'!$R:$R,'WH P&amp;L'!$A38,'YBHN WH TB'!E:E)</f>
        <v/>
      </c>
      <c r="R38" s="37">
        <f>SUMIF('YBHN WH TB'!$R:$R,'WH P&amp;L'!$A38,'YBHN WH TB'!F:F)</f>
        <v/>
      </c>
      <c r="S38" s="37">
        <f>SUMIF('YBHN WH TB'!$R:$R,'WH P&amp;L'!$A38,'YBHN WH TB'!G:G)</f>
        <v/>
      </c>
      <c r="T38" s="37">
        <f>SUMIF('YBHN WH TB'!$R:$R,'WH P&amp;L'!$A38,'YBHN WH TB'!H:H)</f>
        <v/>
      </c>
      <c r="U38" s="37">
        <f>SUMIF('YBHN WH TB'!$R:$R,'WH P&amp;L'!$A38,'YBHN WH TB'!I:I)</f>
        <v/>
      </c>
      <c r="V38" s="38" t="n">
        <v>1655</v>
      </c>
      <c r="W38" s="38" t="n">
        <v>1655</v>
      </c>
      <c r="X38" s="38" t="n">
        <v>1655</v>
      </c>
      <c r="Y38" s="38" t="n">
        <v>1655</v>
      </c>
      <c r="Z38" s="38" t="n">
        <v>1655</v>
      </c>
      <c r="AA38" s="36">
        <f>SUM(O38:U38)</f>
        <v/>
      </c>
      <c r="AB38" s="36">
        <f>SUM(O38:Z38)</f>
        <v/>
      </c>
      <c r="AC38" s="38" t="n">
        <v>1655</v>
      </c>
      <c r="AD38" s="38" t="n">
        <v>1655</v>
      </c>
      <c r="AE38" s="38" t="n">
        <v>1655</v>
      </c>
      <c r="AF38" s="38" t="n">
        <v>1655</v>
      </c>
      <c r="AG38" s="38" t="n">
        <v>1655</v>
      </c>
      <c r="AH38" s="38" t="n">
        <v>1655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469.71</v>
      </c>
      <c r="C39" s="35" t="n">
        <v>670.26</v>
      </c>
      <c r="D39" s="35" t="n">
        <v>951.96</v>
      </c>
      <c r="E39" s="35" t="n">
        <v>162</v>
      </c>
      <c r="F39" s="35" t="n">
        <v>0</v>
      </c>
      <c r="G39" s="35" t="n">
        <v>0</v>
      </c>
      <c r="H39" s="35" t="n">
        <v>28.16</v>
      </c>
      <c r="I39" s="35" t="n">
        <v>0</v>
      </c>
      <c r="J39" s="35" t="n">
        <v>11.4</v>
      </c>
      <c r="K39" s="35" t="n">
        <v>0</v>
      </c>
      <c r="L39" s="35" t="n">
        <v>0</v>
      </c>
      <c r="M39" s="35" t="n">
        <v>125.66</v>
      </c>
      <c r="N39" s="36">
        <f>SUM(B39:M39)</f>
        <v/>
      </c>
      <c r="O39" s="37">
        <f>SUMIF('YBHN WH TB'!$R:$R,'WH P&amp;L'!$A39,'YBHN WH TB'!C:C)</f>
        <v/>
      </c>
      <c r="P39" s="37">
        <f>SUMIF('YBHN WH TB'!$R:$R,'WH P&amp;L'!$A39,'YBHN WH TB'!D:D)</f>
        <v/>
      </c>
      <c r="Q39" s="37">
        <f>SUMIF('YBHN WH TB'!$R:$R,'WH P&amp;L'!$A39,'YBHN WH TB'!E:E)</f>
        <v/>
      </c>
      <c r="R39" s="37">
        <f>SUMIF('YBHN WH TB'!$R:$R,'WH P&amp;L'!$A39,'YBHN WH TB'!F:F)</f>
        <v/>
      </c>
      <c r="S39" s="37">
        <f>SUMIF('YBHN WH TB'!$R:$R,'WH P&amp;L'!$A39,'YBHN WH TB'!G:G)</f>
        <v/>
      </c>
      <c r="T39" s="37">
        <f>SUMIF('YBHN WH TB'!$R:$R,'WH P&amp;L'!$A39,'YBHN WH TB'!H:H)</f>
        <v/>
      </c>
      <c r="U39" s="37">
        <f>SUMIF('YBHN WH TB'!$R:$R,'WH P&amp;L'!$A39,'YBHN WH TB'!I:I)</f>
        <v/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224.18</v>
      </c>
      <c r="C40" s="35" t="n">
        <v>146.78</v>
      </c>
      <c r="D40" s="35" t="n">
        <v>513.5799999999999</v>
      </c>
      <c r="E40" s="35" t="n">
        <v>443.7099999999999</v>
      </c>
      <c r="F40" s="35" t="n">
        <v>466.8200000000001</v>
      </c>
      <c r="G40" s="35" t="n">
        <v>228.26</v>
      </c>
      <c r="H40" s="35" t="n">
        <v>233.02</v>
      </c>
      <c r="I40" s="35" t="n">
        <v>200.11</v>
      </c>
      <c r="J40" s="35" t="n">
        <v>110.69</v>
      </c>
      <c r="K40" s="35" t="n">
        <v>311.4399999999999</v>
      </c>
      <c r="L40" s="35" t="n">
        <v>302.55</v>
      </c>
      <c r="M40" s="35" t="n">
        <v>77.78</v>
      </c>
      <c r="N40" s="36">
        <f>SUM(B40:M40)</f>
        <v/>
      </c>
      <c r="O40" s="37">
        <f>SUMIF('YBHN WH TB'!$R:$R,'WH P&amp;L'!$A40,'YBHN WH TB'!C:C)</f>
        <v/>
      </c>
      <c r="P40" s="37">
        <f>SUMIF('YBHN WH TB'!$R:$R,'WH P&amp;L'!$A40,'YBHN WH TB'!D:D)</f>
        <v/>
      </c>
      <c r="Q40" s="37">
        <f>SUMIF('YBHN WH TB'!$R:$R,'WH P&amp;L'!$A40,'YBHN WH TB'!E:E)</f>
        <v/>
      </c>
      <c r="R40" s="37">
        <f>SUMIF('YBHN WH TB'!$R:$R,'WH P&amp;L'!$A40,'YBHN WH TB'!F:F)</f>
        <v/>
      </c>
      <c r="S40" s="37">
        <f>SUMIF('YBHN WH TB'!$R:$R,'WH P&amp;L'!$A40,'YBHN WH TB'!G:G)</f>
        <v/>
      </c>
      <c r="T40" s="37">
        <f>SUMIF('YBHN WH TB'!$R:$R,'WH P&amp;L'!$A40,'YBHN WH TB'!H:H)</f>
        <v/>
      </c>
      <c r="U40" s="37">
        <f>SUMIF('YBHN WH TB'!$R:$R,'WH P&amp;L'!$A40,'YBHN WH TB'!I:I)</f>
        <v/>
      </c>
      <c r="V40" s="38" t="n">
        <v>287</v>
      </c>
      <c r="W40" s="38" t="n">
        <v>287</v>
      </c>
      <c r="X40" s="38" t="n">
        <v>287</v>
      </c>
      <c r="Y40" s="38" t="n">
        <v>287</v>
      </c>
      <c r="Z40" s="38" t="n">
        <v>287</v>
      </c>
      <c r="AA40" s="36">
        <f>SUM(O40:U40)</f>
        <v/>
      </c>
      <c r="AB40" s="36">
        <f>SUM(O40:Z40)</f>
        <v/>
      </c>
      <c r="AC40" s="38" t="n">
        <v>287</v>
      </c>
      <c r="AD40" s="38" t="n">
        <v>287</v>
      </c>
      <c r="AE40" s="38" t="n">
        <v>287</v>
      </c>
      <c r="AF40" s="38" t="n">
        <v>287</v>
      </c>
      <c r="AG40" s="38" t="n">
        <v>287</v>
      </c>
      <c r="AH40" s="38" t="n">
        <v>287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305.84</v>
      </c>
      <c r="C41" s="35" t="n">
        <v>267.48</v>
      </c>
      <c r="D41" s="35" t="n">
        <v>329.28</v>
      </c>
      <c r="E41" s="35" t="n">
        <v>272.3</v>
      </c>
      <c r="F41" s="35" t="n">
        <v>269.13</v>
      </c>
      <c r="G41" s="35" t="n">
        <v>322.55</v>
      </c>
      <c r="H41" s="35" t="n">
        <v>346.55</v>
      </c>
      <c r="I41" s="35" t="n">
        <v>440.11</v>
      </c>
      <c r="J41" s="35" t="n">
        <v>295.53</v>
      </c>
      <c r="K41" s="35" t="n">
        <v>269.13</v>
      </c>
      <c r="L41" s="35" t="n">
        <v>301.56</v>
      </c>
      <c r="M41" s="35" t="n">
        <v>342</v>
      </c>
      <c r="N41" s="36">
        <f>SUM(B41:M41)</f>
        <v/>
      </c>
      <c r="O41" s="37">
        <f>SUMIF('YBHN WH TB'!$R:$R,'WH P&amp;L'!$A41,'YBHN WH TB'!C:C)</f>
        <v/>
      </c>
      <c r="P41" s="37">
        <f>SUMIF('YBHN WH TB'!$R:$R,'WH P&amp;L'!$A41,'YBHN WH TB'!D:D)</f>
        <v/>
      </c>
      <c r="Q41" s="37">
        <f>SUMIF('YBHN WH TB'!$R:$R,'WH P&amp;L'!$A41,'YBHN WH TB'!E:E)</f>
        <v/>
      </c>
      <c r="R41" s="37">
        <f>SUMIF('YBHN WH TB'!$R:$R,'WH P&amp;L'!$A41,'YBHN WH TB'!F:F)</f>
        <v/>
      </c>
      <c r="S41" s="37">
        <f>SUMIF('YBHN WH TB'!$R:$R,'WH P&amp;L'!$A41,'YBHN WH TB'!G:G)</f>
        <v/>
      </c>
      <c r="T41" s="37">
        <f>SUMIF('YBHN WH TB'!$R:$R,'WH P&amp;L'!$A41,'YBHN WH TB'!H:H)</f>
        <v/>
      </c>
      <c r="U41" s="37">
        <f>SUMIF('YBHN WH TB'!$R:$R,'WH P&amp;L'!$A41,'YBHN WH TB'!I:I)</f>
        <v/>
      </c>
      <c r="V41" s="38" t="n">
        <v>313</v>
      </c>
      <c r="W41" s="38" t="n">
        <v>313</v>
      </c>
      <c r="X41" s="38" t="n">
        <v>313</v>
      </c>
      <c r="Y41" s="38" t="n">
        <v>313</v>
      </c>
      <c r="Z41" s="38" t="n">
        <v>313</v>
      </c>
      <c r="AA41" s="36">
        <f>SUM(O41:U41)</f>
        <v/>
      </c>
      <c r="AB41" s="36">
        <f>SUM(O41:Z41)</f>
        <v/>
      </c>
      <c r="AC41" s="38" t="n">
        <v>313</v>
      </c>
      <c r="AD41" s="38" t="n">
        <v>313</v>
      </c>
      <c r="AE41" s="38" t="n">
        <v>313</v>
      </c>
      <c r="AF41" s="38" t="n">
        <v>313</v>
      </c>
      <c r="AG41" s="38" t="n">
        <v>313</v>
      </c>
      <c r="AH41" s="38" t="n">
        <v>313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52.2</v>
      </c>
      <c r="C42" s="35" t="n">
        <v>53.91</v>
      </c>
      <c r="D42" s="35" t="n">
        <v>34.9</v>
      </c>
      <c r="E42" s="35" t="n">
        <v>57.92</v>
      </c>
      <c r="F42" s="35" t="n">
        <v>15.71</v>
      </c>
      <c r="G42" s="35" t="n">
        <v>40.2</v>
      </c>
      <c r="H42" s="35" t="n">
        <v>21.38</v>
      </c>
      <c r="I42" s="35" t="n">
        <v>95.39999999999999</v>
      </c>
      <c r="J42" s="35" t="n">
        <v>21.18</v>
      </c>
      <c r="K42" s="35" t="n">
        <v>65.27</v>
      </c>
      <c r="L42" s="35" t="n">
        <v>30.78</v>
      </c>
      <c r="M42" s="35" t="n">
        <v>23.14</v>
      </c>
      <c r="N42" s="36">
        <f>SUM(B42:M42)</f>
        <v/>
      </c>
      <c r="O42" s="37">
        <f>SUMIF('YBHN WH TB'!$R:$R,'WH P&amp;L'!$A42,'YBHN WH TB'!C:C)</f>
        <v/>
      </c>
      <c r="P42" s="37">
        <f>SUMIF('YBHN WH TB'!$R:$R,'WH P&amp;L'!$A42,'YBHN WH TB'!D:D)</f>
        <v/>
      </c>
      <c r="Q42" s="37">
        <f>SUMIF('YBHN WH TB'!$R:$R,'WH P&amp;L'!$A42,'YBHN WH TB'!E:E)</f>
        <v/>
      </c>
      <c r="R42" s="37">
        <f>SUMIF('YBHN WH TB'!$R:$R,'WH P&amp;L'!$A42,'YBHN WH TB'!F:F)</f>
        <v/>
      </c>
      <c r="S42" s="37">
        <f>SUMIF('YBHN WH TB'!$R:$R,'WH P&amp;L'!$A42,'YBHN WH TB'!G:G)</f>
        <v/>
      </c>
      <c r="T42" s="37">
        <f>SUMIF('YBHN WH TB'!$R:$R,'WH P&amp;L'!$A42,'YBHN WH TB'!H:H)</f>
        <v/>
      </c>
      <c r="U42" s="37">
        <f>SUMIF('YBHN WH TB'!$R:$R,'WH P&amp;L'!$A42,'YBHN WH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SUMIF('YBHN WH TB'!$R:$R,'WH P&amp;L'!$A43,'YBHN WH TB'!C:C)</f>
        <v/>
      </c>
      <c r="P43" s="37">
        <f>SUMIF('YBHN WH TB'!$R:$R,'WH P&amp;L'!$A43,'YBHN WH TB'!D:D)</f>
        <v/>
      </c>
      <c r="Q43" s="37">
        <f>SUMIF('YBHN WH TB'!$R:$R,'WH P&amp;L'!$A43,'YBHN WH TB'!E:E)</f>
        <v/>
      </c>
      <c r="R43" s="37">
        <f>SUMIF('YBHN WH TB'!$R:$R,'WH P&amp;L'!$A43,'YBHN WH TB'!F:F)</f>
        <v/>
      </c>
      <c r="S43" s="37">
        <f>SUMIF('YBHN WH TB'!$R:$R,'WH P&amp;L'!$A43,'YBHN WH TB'!G:G)</f>
        <v/>
      </c>
      <c r="T43" s="37">
        <f>SUMIF('YBHN WH TB'!$R:$R,'WH P&amp;L'!$A43,'YBHN WH TB'!H:H)</f>
        <v/>
      </c>
      <c r="U43" s="37">
        <f>SUMIF('YBHN WH TB'!$R:$R,'WH P&amp;L'!$A43,'YBHN WH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SUMIF('YBHN WH TB'!$R:$R,'WH P&amp;L'!$A44,'YBHN WH TB'!C:C)</f>
        <v/>
      </c>
      <c r="P44" s="37">
        <f>SUMIF('YBHN WH TB'!$R:$R,'WH P&amp;L'!$A44,'YBHN WH TB'!D:D)</f>
        <v/>
      </c>
      <c r="Q44" s="37">
        <f>SUMIF('YBHN WH TB'!$R:$R,'WH P&amp;L'!$A44,'YBHN WH TB'!E:E)</f>
        <v/>
      </c>
      <c r="R44" s="37">
        <f>SUMIF('YBHN WH TB'!$R:$R,'WH P&amp;L'!$A44,'YBHN WH TB'!F:F)</f>
        <v/>
      </c>
      <c r="S44" s="37">
        <f>SUMIF('YBHN WH TB'!$R:$R,'WH P&amp;L'!$A44,'YBHN WH TB'!G:G)</f>
        <v/>
      </c>
      <c r="T44" s="37">
        <f>SUMIF('YBHN WH TB'!$R:$R,'WH P&amp;L'!$A44,'YBHN WH TB'!H:H)</f>
        <v/>
      </c>
      <c r="U44" s="37">
        <f>SUMIF('YBHN WH TB'!$R:$R,'WH P&amp;L'!$A44,'YBHN WH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SUMIF('YBHN WH TB'!$R:$R,'WH P&amp;L'!$A45,'YBHN WH TB'!C:C)</f>
        <v/>
      </c>
      <c r="P45" s="37">
        <f>SUMIF('YBHN WH TB'!$R:$R,'WH P&amp;L'!$A45,'YBHN WH TB'!D:D)</f>
        <v/>
      </c>
      <c r="Q45" s="37">
        <f>SUMIF('YBHN WH TB'!$R:$R,'WH P&amp;L'!$A45,'YBHN WH TB'!E:E)</f>
        <v/>
      </c>
      <c r="R45" s="37">
        <f>SUMIF('YBHN WH TB'!$R:$R,'WH P&amp;L'!$A45,'YBHN WH TB'!F:F)</f>
        <v/>
      </c>
      <c r="S45" s="37">
        <f>SUMIF('YBHN WH TB'!$R:$R,'WH P&amp;L'!$A45,'YBHN WH TB'!G:G)</f>
        <v/>
      </c>
      <c r="T45" s="37">
        <f>SUMIF('YBHN WH TB'!$R:$R,'WH P&amp;L'!$A45,'YBHN WH TB'!H:H)</f>
        <v/>
      </c>
      <c r="U45" s="37">
        <f>SUMIF('YBHN WH TB'!$R:$R,'WH P&amp;L'!$A45,'YBHN WH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SUMIF('YBHN WH TB'!$R:$R,'WH P&amp;L'!$A46,'YBHN WH TB'!C:C)</f>
        <v/>
      </c>
      <c r="P46" s="37">
        <f>SUMIF('YBHN WH TB'!$R:$R,'WH P&amp;L'!$A46,'YBHN WH TB'!D:D)</f>
        <v/>
      </c>
      <c r="Q46" s="37">
        <f>SUMIF('YBHN WH TB'!$R:$R,'WH P&amp;L'!$A46,'YBHN WH TB'!E:E)</f>
        <v/>
      </c>
      <c r="R46" s="37">
        <f>SUMIF('YBHN WH TB'!$R:$R,'WH P&amp;L'!$A46,'YBHN WH TB'!F:F)</f>
        <v/>
      </c>
      <c r="S46" s="37">
        <f>SUMIF('YBHN WH TB'!$R:$R,'WH P&amp;L'!$A46,'YBHN WH TB'!G:G)</f>
        <v/>
      </c>
      <c r="T46" s="37">
        <f>SUMIF('YBHN WH TB'!$R:$R,'WH P&amp;L'!$A46,'YBHN WH TB'!H:H)</f>
        <v/>
      </c>
      <c r="U46" s="37">
        <f>SUMIF('YBHN WH TB'!$R:$R,'WH P&amp;L'!$A46,'YBHN WH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5754.559999999999</v>
      </c>
      <c r="C47" s="42" t="n">
        <v>5317.35</v>
      </c>
      <c r="D47" s="42" t="n">
        <v>6037.919999999999</v>
      </c>
      <c r="E47" s="42" t="n">
        <v>8868.169999999998</v>
      </c>
      <c r="F47" s="42" t="n">
        <v>5637.85</v>
      </c>
      <c r="G47" s="42" t="n">
        <v>3771.77</v>
      </c>
      <c r="H47" s="42" t="n">
        <v>2372.6</v>
      </c>
      <c r="I47" s="42" t="n">
        <v>4527.559999999999</v>
      </c>
      <c r="J47" s="42" t="n">
        <v>1893.24</v>
      </c>
      <c r="K47" s="42" t="n">
        <v>3810.16</v>
      </c>
      <c r="L47" s="42" t="n">
        <v>4195.96</v>
      </c>
      <c r="M47" s="42" t="n">
        <v>4753.41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30355.11</v>
      </c>
      <c r="C48" s="23" t="n">
        <v>31310.8</v>
      </c>
      <c r="D48" s="23" t="n">
        <v>30075.49</v>
      </c>
      <c r="E48" s="23" t="n">
        <v>31519.73</v>
      </c>
      <c r="F48" s="23" t="n">
        <v>31813.56</v>
      </c>
      <c r="G48" s="23" t="n">
        <v>29717.24</v>
      </c>
      <c r="H48" s="23" t="n">
        <v>31175.01</v>
      </c>
      <c r="I48" s="23" t="n">
        <v>33311.49</v>
      </c>
      <c r="J48" s="23" t="n">
        <v>29990.96</v>
      </c>
      <c r="K48" s="23" t="n">
        <v>31109.65</v>
      </c>
      <c r="L48" s="23" t="n">
        <v>31957.55</v>
      </c>
      <c r="M48" s="23" t="n">
        <v>31917.1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30133.06</v>
      </c>
      <c r="C50" s="55" t="n">
        <v>21758.91000000001</v>
      </c>
      <c r="D50" s="55" t="n">
        <v>28278.94</v>
      </c>
      <c r="E50" s="55" t="n">
        <v>27499.99</v>
      </c>
      <c r="F50" s="55" t="n">
        <v>20703.03</v>
      </c>
      <c r="G50" s="55" t="n">
        <v>15207.32999999999</v>
      </c>
      <c r="H50" s="55" t="n">
        <v>30154.07</v>
      </c>
      <c r="I50" s="55" t="n">
        <v>3448.239999999998</v>
      </c>
      <c r="J50" s="55" t="n">
        <v>6195.919999999995</v>
      </c>
      <c r="K50" s="55" t="n">
        <v>6296.490000000002</v>
      </c>
      <c r="L50" s="55" t="n">
        <v>3415.890000000003</v>
      </c>
      <c r="M50" s="55" t="n">
        <v>10865.79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SUMIF('YBHN WH TB'!$R:$R,'WH P&amp;L'!$A53,'YBHN WH TB'!C:C)</f>
        <v/>
      </c>
      <c r="P53" s="37">
        <f>SUMIF('YBHN WH TB'!$R:$R,'WH P&amp;L'!$A53,'YBHN WH TB'!D:D)</f>
        <v/>
      </c>
      <c r="Q53" s="37">
        <f>SUMIF('YBHN WH TB'!$R:$R,'WH P&amp;L'!$A53,'YBHN WH TB'!E:E)</f>
        <v/>
      </c>
      <c r="R53" s="37">
        <f>SUMIF('YBHN WH TB'!$R:$R,'WH P&amp;L'!$A53,'YBHN WH TB'!F:F)</f>
        <v/>
      </c>
      <c r="S53" s="37">
        <f>SUMIF('YBHN WH TB'!$R:$R,'WH P&amp;L'!$A53,'YBHN WH TB'!G:G)</f>
        <v/>
      </c>
      <c r="T53" s="37">
        <f>SUMIF('YBHN WH TB'!$R:$R,'WH P&amp;L'!$A53,'YBHN WH TB'!H:H)</f>
        <v/>
      </c>
      <c r="U53" s="37">
        <f>SUMIF('YBHN WH TB'!$R:$R,'WH P&amp;L'!$A53,'YBHN WH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SUMIF('YBHN WH TB'!$R:$R,'WH P&amp;L'!$A54,'YBHN WH TB'!C:C)</f>
        <v/>
      </c>
      <c r="P54" s="37">
        <f>SUMIF('YBHN WH TB'!$R:$R,'WH P&amp;L'!$A54,'YBHN WH TB'!D:D)</f>
        <v/>
      </c>
      <c r="Q54" s="37">
        <f>SUMIF('YBHN WH TB'!$R:$R,'WH P&amp;L'!$A54,'YBHN WH TB'!E:E)</f>
        <v/>
      </c>
      <c r="R54" s="37">
        <f>SUMIF('YBHN WH TB'!$R:$R,'WH P&amp;L'!$A54,'YBHN WH TB'!F:F)</f>
        <v/>
      </c>
      <c r="S54" s="37">
        <f>SUMIF('YBHN WH TB'!$R:$R,'WH P&amp;L'!$A54,'YBHN WH TB'!G:G)</f>
        <v/>
      </c>
      <c r="T54" s="37">
        <f>SUMIF('YBHN WH TB'!$R:$R,'WH P&amp;L'!$A54,'YBHN WH TB'!H:H)</f>
        <v/>
      </c>
      <c r="U54" s="37">
        <f>SUMIF('YBHN WH TB'!$R:$R,'WH P&amp;L'!$A54,'YBHN WH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SUMIF('YBHN WH TB'!$R:$R,'WH P&amp;L'!$A55,'YBHN WH TB'!C:C)</f>
        <v/>
      </c>
      <c r="P55" s="37">
        <f>SUMIF('YBHN WH TB'!$R:$R,'WH P&amp;L'!$A55,'YBHN WH TB'!D:D)</f>
        <v/>
      </c>
      <c r="Q55" s="37">
        <f>SUMIF('YBHN WH TB'!$R:$R,'WH P&amp;L'!$A55,'YBHN WH TB'!E:E)</f>
        <v/>
      </c>
      <c r="R55" s="37">
        <f>SUMIF('YBHN WH TB'!$R:$R,'WH P&amp;L'!$A55,'YBHN WH TB'!F:F)</f>
        <v/>
      </c>
      <c r="S55" s="37">
        <f>SUMIF('YBHN WH TB'!$R:$R,'WH P&amp;L'!$A55,'YBHN WH TB'!G:G)</f>
        <v/>
      </c>
      <c r="T55" s="37">
        <f>SUMIF('YBHN WH TB'!$R:$R,'WH P&amp;L'!$A55,'YBHN WH TB'!H:H)</f>
        <v/>
      </c>
      <c r="U55" s="37">
        <f>SUMIF('YBHN WH TB'!$R:$R,'WH P&amp;L'!$A55,'YBHN WH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SUMIF('YBHN WH TB'!$R:$R,'WH P&amp;L'!$A56,'YBHN WH TB'!C:C)</f>
        <v/>
      </c>
      <c r="P56" s="37">
        <f>SUMIF('YBHN WH TB'!$R:$R,'WH P&amp;L'!$A56,'YBHN WH TB'!D:D)</f>
        <v/>
      </c>
      <c r="Q56" s="37">
        <f>SUMIF('YBHN WH TB'!$R:$R,'WH P&amp;L'!$A56,'YBHN WH TB'!E:E)</f>
        <v/>
      </c>
      <c r="R56" s="37">
        <f>SUMIF('YBHN WH TB'!$R:$R,'WH P&amp;L'!$A56,'YBHN WH TB'!F:F)</f>
        <v/>
      </c>
      <c r="S56" s="37">
        <f>SUMIF('YBHN WH TB'!$R:$R,'WH P&amp;L'!$A56,'YBHN WH TB'!G:G)</f>
        <v/>
      </c>
      <c r="T56" s="37">
        <f>SUMIF('YBHN WH TB'!$R:$R,'WH P&amp;L'!$A56,'YBHN WH TB'!H:H)</f>
        <v/>
      </c>
      <c r="U56" s="37">
        <f>SUMIF('YBHN WH TB'!$R:$R,'WH P&amp;L'!$A56,'YBHN WH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200</v>
      </c>
      <c r="M57" s="35" t="n">
        <v>0</v>
      </c>
      <c r="N57" s="36">
        <f>SUM(B57:M57)</f>
        <v/>
      </c>
      <c r="O57" s="37">
        <f>SUMIF('YBHN WH TB'!$R:$R,'WH P&amp;L'!$A57,'YBHN WH TB'!C:C)</f>
        <v/>
      </c>
      <c r="P57" s="37">
        <f>SUMIF('YBHN WH TB'!$R:$R,'WH P&amp;L'!$A57,'YBHN WH TB'!D:D)</f>
        <v/>
      </c>
      <c r="Q57" s="37">
        <f>SUMIF('YBHN WH TB'!$R:$R,'WH P&amp;L'!$A57,'YBHN WH TB'!E:E)</f>
        <v/>
      </c>
      <c r="R57" s="37">
        <f>SUMIF('YBHN WH TB'!$R:$R,'WH P&amp;L'!$A57,'YBHN WH TB'!F:F)</f>
        <v/>
      </c>
      <c r="S57" s="37">
        <f>SUMIF('YBHN WH TB'!$R:$R,'WH P&amp;L'!$A57,'YBHN WH TB'!G:G)</f>
        <v/>
      </c>
      <c r="T57" s="37">
        <f>SUMIF('YBHN WH TB'!$R:$R,'WH P&amp;L'!$A57,'YBHN WH TB'!H:H)</f>
        <v/>
      </c>
      <c r="U57" s="37">
        <f>SUMIF('YBHN WH TB'!$R:$R,'WH P&amp;L'!$A57,'YBHN WH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SUMIF('YBHN WH TB'!$R:$R,'WH P&amp;L'!$A58,'YBHN WH TB'!C:C)</f>
        <v/>
      </c>
      <c r="P58" s="37">
        <f>SUMIF('YBHN WH TB'!$R:$R,'WH P&amp;L'!$A58,'YBHN WH TB'!D:D)</f>
        <v/>
      </c>
      <c r="Q58" s="37">
        <f>SUMIF('YBHN WH TB'!$R:$R,'WH P&amp;L'!$A58,'YBHN WH TB'!E:E)</f>
        <v/>
      </c>
      <c r="R58" s="37">
        <f>SUMIF('YBHN WH TB'!$R:$R,'WH P&amp;L'!$A58,'YBHN WH TB'!F:F)</f>
        <v/>
      </c>
      <c r="S58" s="37">
        <f>SUMIF('YBHN WH TB'!$R:$R,'WH P&amp;L'!$A58,'YBHN WH TB'!G:G)</f>
        <v/>
      </c>
      <c r="T58" s="37">
        <f>SUMIF('YBHN WH TB'!$R:$R,'WH P&amp;L'!$A58,'YBHN WH TB'!H:H)</f>
        <v/>
      </c>
      <c r="U58" s="37">
        <f>SUMIF('YBHN WH TB'!$R:$R,'WH P&amp;L'!$A58,'YBHN WH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201.37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SUMIF('YBHN WH TB'!$R:$R,'WH P&amp;L'!$A59,'YBHN WH TB'!C:C)</f>
        <v/>
      </c>
      <c r="P59" s="37">
        <f>SUMIF('YBHN WH TB'!$R:$R,'WH P&amp;L'!$A59,'YBHN WH TB'!D:D)</f>
        <v/>
      </c>
      <c r="Q59" s="37">
        <f>SUMIF('YBHN WH TB'!$R:$R,'WH P&amp;L'!$A59,'YBHN WH TB'!E:E)</f>
        <v/>
      </c>
      <c r="R59" s="37">
        <f>SUMIF('YBHN WH TB'!$R:$R,'WH P&amp;L'!$A59,'YBHN WH TB'!F:F)</f>
        <v/>
      </c>
      <c r="S59" s="37">
        <f>SUMIF('YBHN WH TB'!$R:$R,'WH P&amp;L'!$A59,'YBHN WH TB'!G:G)</f>
        <v/>
      </c>
      <c r="T59" s="37">
        <f>SUMIF('YBHN WH TB'!$R:$R,'WH P&amp;L'!$A59,'YBHN WH TB'!H:H)</f>
        <v/>
      </c>
      <c r="U59" s="37">
        <f>SUMIF('YBHN WH TB'!$R:$R,'WH P&amp;L'!$A59,'YBHN WH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1.2</v>
      </c>
      <c r="C60" s="35" t="n">
        <v>3</v>
      </c>
      <c r="D60" s="35" t="n">
        <v>137.02</v>
      </c>
      <c r="E60" s="35" t="n">
        <v>294.06</v>
      </c>
      <c r="F60" s="35" t="n">
        <v>2.4</v>
      </c>
      <c r="G60" s="35" t="n">
        <v>266.8</v>
      </c>
      <c r="H60" s="35" t="n">
        <v>1.8</v>
      </c>
      <c r="I60" s="35" t="n">
        <v>13.05</v>
      </c>
      <c r="J60" s="35" t="n">
        <v>1.8</v>
      </c>
      <c r="K60" s="35" t="n">
        <v>68.19999999999999</v>
      </c>
      <c r="L60" s="35" t="n">
        <v>45.96</v>
      </c>
      <c r="M60" s="35" t="n">
        <v>1.2</v>
      </c>
      <c r="N60" s="36">
        <f>SUM(B60:M60)</f>
        <v/>
      </c>
      <c r="O60" s="37">
        <f>SUMIF('YBHN WH TB'!$R:$R,'WH P&amp;L'!$A60,'YBHN WH TB'!C:C)</f>
        <v/>
      </c>
      <c r="P60" s="37">
        <f>SUMIF('YBHN WH TB'!$R:$R,'WH P&amp;L'!$A60,'YBHN WH TB'!D:D)</f>
        <v/>
      </c>
      <c r="Q60" s="37">
        <f>SUMIF('YBHN WH TB'!$R:$R,'WH P&amp;L'!$A60,'YBHN WH TB'!E:E)</f>
        <v/>
      </c>
      <c r="R60" s="37">
        <f>SUMIF('YBHN WH TB'!$R:$R,'WH P&amp;L'!$A60,'YBHN WH TB'!F:F)</f>
        <v/>
      </c>
      <c r="S60" s="37">
        <f>SUMIF('YBHN WH TB'!$R:$R,'WH P&amp;L'!$A60,'YBHN WH TB'!G:G)</f>
        <v/>
      </c>
      <c r="T60" s="37">
        <f>SUMIF('YBHN WH TB'!$R:$R,'WH P&amp;L'!$A60,'YBHN WH TB'!H:H)</f>
        <v/>
      </c>
      <c r="U60" s="37">
        <f>SUMIF('YBHN WH TB'!$R:$R,'WH P&amp;L'!$A60,'YBHN WH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0</v>
      </c>
      <c r="G61" s="35" t="n">
        <v>119</v>
      </c>
      <c r="H61" s="35" t="n">
        <v>92.28</v>
      </c>
      <c r="I61" s="35" t="n">
        <v>0</v>
      </c>
      <c r="J61" s="35" t="n">
        <v>0</v>
      </c>
      <c r="K61" s="35" t="n">
        <v>13.99</v>
      </c>
      <c r="L61" s="35" t="n">
        <v>0</v>
      </c>
      <c r="M61" s="35" t="n">
        <v>0</v>
      </c>
      <c r="N61" s="36">
        <f>SUM(B61:M61)</f>
        <v/>
      </c>
      <c r="O61" s="37">
        <f>SUMIF('YBHN WH TB'!$R:$R,'WH P&amp;L'!$A61,'YBHN WH TB'!C:C)</f>
        <v/>
      </c>
      <c r="P61" s="37">
        <f>SUMIF('YBHN WH TB'!$R:$R,'WH P&amp;L'!$A61,'YBHN WH TB'!D:D)</f>
        <v/>
      </c>
      <c r="Q61" s="37">
        <f>SUMIF('YBHN WH TB'!$R:$R,'WH P&amp;L'!$A61,'YBHN WH TB'!E:E)</f>
        <v/>
      </c>
      <c r="R61" s="37">
        <f>SUMIF('YBHN WH TB'!$R:$R,'WH P&amp;L'!$A61,'YBHN WH TB'!F:F)</f>
        <v/>
      </c>
      <c r="S61" s="37">
        <f>SUMIF('YBHN WH TB'!$R:$R,'WH P&amp;L'!$A61,'YBHN WH TB'!G:G)</f>
        <v/>
      </c>
      <c r="T61" s="37">
        <f>SUMIF('YBHN WH TB'!$R:$R,'WH P&amp;L'!$A61,'YBHN WH TB'!H:H)</f>
        <v/>
      </c>
      <c r="U61" s="37">
        <f>SUMIF('YBHN WH TB'!$R:$R,'WH P&amp;L'!$A61,'YBHN WH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50</v>
      </c>
      <c r="C62" s="35" t="n">
        <v>581.26</v>
      </c>
      <c r="D62" s="35" t="n">
        <v>391.9</v>
      </c>
      <c r="E62" s="35" t="n">
        <v>90</v>
      </c>
      <c r="F62" s="35" t="n">
        <v>55</v>
      </c>
      <c r="G62" s="35" t="n">
        <v>55</v>
      </c>
      <c r="H62" s="35" t="n">
        <v>62</v>
      </c>
      <c r="I62" s="35" t="n">
        <v>0</v>
      </c>
      <c r="J62" s="35" t="n">
        <v>0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>
        <f>SUMIF('YBHN WH TB'!$R:$R,'WH P&amp;L'!$A62,'YBHN WH TB'!C:C)</f>
        <v/>
      </c>
      <c r="P62" s="37">
        <f>SUMIF('YBHN WH TB'!$R:$R,'WH P&amp;L'!$A62,'YBHN WH TB'!D:D)</f>
        <v/>
      </c>
      <c r="Q62" s="37">
        <f>SUMIF('YBHN WH TB'!$R:$R,'WH P&amp;L'!$A62,'YBHN WH TB'!E:E)</f>
        <v/>
      </c>
      <c r="R62" s="37">
        <f>SUMIF('YBHN WH TB'!$R:$R,'WH P&amp;L'!$A62,'YBHN WH TB'!F:F)</f>
        <v/>
      </c>
      <c r="S62" s="37">
        <f>SUMIF('YBHN WH TB'!$R:$R,'WH P&amp;L'!$A62,'YBHN WH TB'!G:G)</f>
        <v/>
      </c>
      <c r="T62" s="37">
        <f>SUMIF('YBHN WH TB'!$R:$R,'WH P&amp;L'!$A62,'YBHN WH TB'!H:H)</f>
        <v/>
      </c>
      <c r="U62" s="37">
        <f>SUMIF('YBHN WH TB'!$R:$R,'WH P&amp;L'!$A62,'YBHN WH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SUMIF('YBHN WH TB'!$R:$R,'WH P&amp;L'!$A63,'YBHN WH TB'!C:C)</f>
        <v/>
      </c>
      <c r="P63" s="37">
        <f>SUMIF('YBHN WH TB'!$R:$R,'WH P&amp;L'!$A63,'YBHN WH TB'!D:D)</f>
        <v/>
      </c>
      <c r="Q63" s="37">
        <f>SUMIF('YBHN WH TB'!$R:$R,'WH P&amp;L'!$A63,'YBHN WH TB'!E:E)</f>
        <v/>
      </c>
      <c r="R63" s="37">
        <f>SUMIF('YBHN WH TB'!$R:$R,'WH P&amp;L'!$A63,'YBHN WH TB'!F:F)</f>
        <v/>
      </c>
      <c r="S63" s="37">
        <f>SUMIF('YBHN WH TB'!$R:$R,'WH P&amp;L'!$A63,'YBHN WH TB'!G:G)</f>
        <v/>
      </c>
      <c r="T63" s="37">
        <f>SUMIF('YBHN WH TB'!$R:$R,'WH P&amp;L'!$A63,'YBHN WH TB'!H:H)</f>
        <v/>
      </c>
      <c r="U63" s="37">
        <f>SUMIF('YBHN WH TB'!$R:$R,'WH P&amp;L'!$A63,'YBHN WH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SUMIF('YBHN WH TB'!$R:$R,'WH P&amp;L'!$A64,'YBHN WH TB'!C:C)</f>
        <v/>
      </c>
      <c r="P64" s="37">
        <f>SUMIF('YBHN WH TB'!$R:$R,'WH P&amp;L'!$A64,'YBHN WH TB'!D:D)</f>
        <v/>
      </c>
      <c r="Q64" s="37">
        <f>SUMIF('YBHN WH TB'!$R:$R,'WH P&amp;L'!$A64,'YBHN WH TB'!E:E)</f>
        <v/>
      </c>
      <c r="R64" s="37">
        <f>SUMIF('YBHN WH TB'!$R:$R,'WH P&amp;L'!$A64,'YBHN WH TB'!F:F)</f>
        <v/>
      </c>
      <c r="S64" s="37">
        <f>SUMIF('YBHN WH TB'!$R:$R,'WH P&amp;L'!$A64,'YBHN WH TB'!G:G)</f>
        <v/>
      </c>
      <c r="T64" s="37">
        <f>SUMIF('YBHN WH TB'!$R:$R,'WH P&amp;L'!$A64,'YBHN WH TB'!H:H)</f>
        <v/>
      </c>
      <c r="U64" s="37">
        <f>SUMIF('YBHN WH TB'!$R:$R,'WH P&amp;L'!$A64,'YBHN WH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SUMIF('YBHN WH TB'!$R:$R,'WH P&amp;L'!$A65,'YBHN WH TB'!C:C)</f>
        <v/>
      </c>
      <c r="P65" s="37">
        <f>SUMIF('YBHN WH TB'!$R:$R,'WH P&amp;L'!$A65,'YBHN WH TB'!D:D)</f>
        <v/>
      </c>
      <c r="Q65" s="37">
        <f>SUMIF('YBHN WH TB'!$R:$R,'WH P&amp;L'!$A65,'YBHN WH TB'!E:E)</f>
        <v/>
      </c>
      <c r="R65" s="37">
        <f>SUMIF('YBHN WH TB'!$R:$R,'WH P&amp;L'!$A65,'YBHN WH TB'!F:F)</f>
        <v/>
      </c>
      <c r="S65" s="37">
        <f>SUMIF('YBHN WH TB'!$R:$R,'WH P&amp;L'!$A65,'YBHN WH TB'!G:G)</f>
        <v/>
      </c>
      <c r="T65" s="37">
        <f>SUMIF('YBHN WH TB'!$R:$R,'WH P&amp;L'!$A65,'YBHN WH TB'!H:H)</f>
        <v/>
      </c>
      <c r="U65" s="37">
        <f>SUMIF('YBHN WH TB'!$R:$R,'WH P&amp;L'!$A65,'YBHN WH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SUMIF('YBHN WH TB'!$R:$R,'WH P&amp;L'!$A66,'YBHN WH TB'!C:C)</f>
        <v/>
      </c>
      <c r="P66" s="37">
        <f>SUMIF('YBHN WH TB'!$R:$R,'WH P&amp;L'!$A66,'YBHN WH TB'!D:D)</f>
        <v/>
      </c>
      <c r="Q66" s="37">
        <f>SUMIF('YBHN WH TB'!$R:$R,'WH P&amp;L'!$A66,'YBHN WH TB'!E:E)</f>
        <v/>
      </c>
      <c r="R66" s="37">
        <f>SUMIF('YBHN WH TB'!$R:$R,'WH P&amp;L'!$A66,'YBHN WH TB'!F:F)</f>
        <v/>
      </c>
      <c r="S66" s="37">
        <f>SUMIF('YBHN WH TB'!$R:$R,'WH P&amp;L'!$A66,'YBHN WH TB'!G:G)</f>
        <v/>
      </c>
      <c r="T66" s="37">
        <f>SUMIF('YBHN WH TB'!$R:$R,'WH P&amp;L'!$A66,'YBHN WH TB'!H:H)</f>
        <v/>
      </c>
      <c r="U66" s="37">
        <f>SUMIF('YBHN WH TB'!$R:$R,'WH P&amp;L'!$A66,'YBHN WH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SUMIF('YBHN WH TB'!$R:$R,'WH P&amp;L'!$A67,'YBHN WH TB'!C:C)</f>
        <v/>
      </c>
      <c r="P67" s="37">
        <f>SUMIF('YBHN WH TB'!$R:$R,'WH P&amp;L'!$A67,'YBHN WH TB'!D:D)</f>
        <v/>
      </c>
      <c r="Q67" s="37">
        <f>SUMIF('YBHN WH TB'!$R:$R,'WH P&amp;L'!$A67,'YBHN WH TB'!E:E)</f>
        <v/>
      </c>
      <c r="R67" s="37">
        <f>SUMIF('YBHN WH TB'!$R:$R,'WH P&amp;L'!$A67,'YBHN WH TB'!F:F)</f>
        <v/>
      </c>
      <c r="S67" s="37">
        <f>SUMIF('YBHN WH TB'!$R:$R,'WH P&amp;L'!$A67,'YBHN WH TB'!G:G)</f>
        <v/>
      </c>
      <c r="T67" s="37">
        <f>SUMIF('YBHN WH TB'!$R:$R,'WH P&amp;L'!$A67,'YBHN WH TB'!H:H)</f>
        <v/>
      </c>
      <c r="U67" s="37">
        <f>SUMIF('YBHN WH TB'!$R:$R,'WH P&amp;L'!$A67,'YBHN WH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SUMIF('YBHN WH TB'!$R:$R,'WH P&amp;L'!$A68,'YBHN WH TB'!C:C)</f>
        <v/>
      </c>
      <c r="P68" s="37">
        <f>SUMIF('YBHN WH TB'!$R:$R,'WH P&amp;L'!$A68,'YBHN WH TB'!D:D)</f>
        <v/>
      </c>
      <c r="Q68" s="37">
        <f>SUMIF('YBHN WH TB'!$R:$R,'WH P&amp;L'!$A68,'YBHN WH TB'!E:E)</f>
        <v/>
      </c>
      <c r="R68" s="37">
        <f>SUMIF('YBHN WH TB'!$R:$R,'WH P&amp;L'!$A68,'YBHN WH TB'!F:F)</f>
        <v/>
      </c>
      <c r="S68" s="37">
        <f>SUMIF('YBHN WH TB'!$R:$R,'WH P&amp;L'!$A68,'YBHN WH TB'!G:G)</f>
        <v/>
      </c>
      <c r="T68" s="37">
        <f>SUMIF('YBHN WH TB'!$R:$R,'WH P&amp;L'!$A68,'YBHN WH TB'!H:H)</f>
        <v/>
      </c>
      <c r="U68" s="37">
        <f>SUMIF('YBHN WH TB'!$R:$R,'WH P&amp;L'!$A68,'YBHN WH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252.58</v>
      </c>
      <c r="C69" s="42" t="n">
        <v>785.64</v>
      </c>
      <c r="D69" s="42" t="n">
        <v>730.3</v>
      </c>
      <c r="E69" s="42" t="n">
        <v>585.4400000000001</v>
      </c>
      <c r="F69" s="42" t="n">
        <v>258.77</v>
      </c>
      <c r="G69" s="42" t="n">
        <v>642.1800000000001</v>
      </c>
      <c r="H69" s="42" t="n">
        <v>357.46</v>
      </c>
      <c r="I69" s="42" t="n">
        <v>214.43</v>
      </c>
      <c r="J69" s="42" t="n">
        <v>203.18</v>
      </c>
      <c r="K69" s="42" t="n">
        <v>296.99</v>
      </c>
      <c r="L69" s="42" t="n">
        <v>460.76</v>
      </c>
      <c r="M69" s="42" t="n">
        <v>216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29880.48</v>
      </c>
      <c r="C70" s="55" t="n">
        <v>20973.27000000001</v>
      </c>
      <c r="D70" s="55" t="n">
        <v>27548.64</v>
      </c>
      <c r="E70" s="55" t="n">
        <v>26914.55</v>
      </c>
      <c r="F70" s="55" t="n">
        <v>20444.26</v>
      </c>
      <c r="G70" s="55" t="n">
        <v>14565.14999999999</v>
      </c>
      <c r="H70" s="55" t="n">
        <v>29796.61</v>
      </c>
      <c r="I70" s="55" t="n">
        <v>3233.809999999998</v>
      </c>
      <c r="J70" s="55" t="n">
        <v>5992.739999999994</v>
      </c>
      <c r="K70" s="55" t="n">
        <v>5999.500000000002</v>
      </c>
      <c r="L70" s="55" t="n">
        <v>2955.130000000003</v>
      </c>
      <c r="M70" s="55" t="n">
        <v>10649.79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40" t="n"/>
      <c r="AK72" s="40" t="n"/>
      <c r="AL72" s="40" t="n"/>
      <c r="AM72" s="40" t="n"/>
      <c r="AN72" s="40" t="n"/>
      <c r="AO72" s="40" t="n"/>
      <c r="AP72" s="40" t="n"/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8" t="n"/>
      <c r="AJ73" s="59" t="inlineStr">
        <is>
          <t>Model assumptions 2027:</t>
        </is>
      </c>
      <c r="AK73" s="8" t="n"/>
      <c r="AL73" s="8" t="n"/>
      <c r="AM73" s="8" t="n"/>
      <c r="AN73" s="40" t="n"/>
      <c r="AO73" s="40" t="n"/>
      <c r="AP73" s="40" t="n"/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40" t="n"/>
      <c r="AO74" s="40" t="n"/>
      <c r="AP74" s="40" t="n"/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40" t="n"/>
      <c r="AO75" s="40" t="n"/>
      <c r="AP75" s="40" t="n"/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40" t="n"/>
      <c r="AO76" s="40" t="n"/>
      <c r="AP76" s="40" t="n"/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40" t="n"/>
      <c r="AO77" s="40" t="n"/>
      <c r="AP77" s="40" t="n"/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29880.48</v>
      </c>
      <c r="C79" s="57" t="n">
        <v>20973.27000000001</v>
      </c>
      <c r="D79" s="57" t="n">
        <v>27548.64</v>
      </c>
      <c r="E79" s="57" t="n">
        <v>26914.55</v>
      </c>
      <c r="F79" s="57" t="n">
        <v>20444.26</v>
      </c>
      <c r="G79" s="57" t="n">
        <v>14565.14999999999</v>
      </c>
      <c r="H79" s="57" t="n">
        <v>29796.61</v>
      </c>
      <c r="I79" s="57" t="n">
        <v>3233.809999999998</v>
      </c>
      <c r="J79" s="57" t="n">
        <v>5992.739999999994</v>
      </c>
      <c r="K79" s="57" t="n">
        <v>5999.500000000002</v>
      </c>
      <c r="L79" s="57" t="n">
        <v>2955.130000000003</v>
      </c>
      <c r="M79" s="57" t="n">
        <v>10649.79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5">
        <f>U70+SUM(U73:U78)</f>
        <v/>
      </c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8" t="n"/>
      <c r="AJ79" s="56" t="n"/>
      <c r="AK79" s="56" t="n"/>
      <c r="AL79" s="56" t="n"/>
      <c r="AM79" s="56" t="n"/>
      <c r="AN79" s="56" t="n"/>
      <c r="AO79" s="56" t="n"/>
      <c r="AP79" s="56" t="n"/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60488.17</v>
      </c>
      <c r="C87" s="60" t="n">
        <v>53069.71000000001</v>
      </c>
      <c r="D87" s="60" t="n">
        <v>58354.43</v>
      </c>
      <c r="E87" s="60" t="n">
        <v>59019.72</v>
      </c>
      <c r="F87" s="60" t="n">
        <v>52516.59</v>
      </c>
      <c r="G87" s="60" t="n">
        <v>44924.56999999999</v>
      </c>
      <c r="H87" s="60" t="n">
        <v>61329.08</v>
      </c>
      <c r="I87" s="60" t="n">
        <v>36759.73</v>
      </c>
      <c r="J87" s="60" t="n">
        <v>36186.88</v>
      </c>
      <c r="K87" s="60" t="n">
        <v>37406.14</v>
      </c>
      <c r="L87" s="60" t="n">
        <v>35373.44</v>
      </c>
      <c r="M87" s="8" t="n"/>
      <c r="N87" s="8" t="n"/>
      <c r="O87" s="60">
        <f>-SUMIF('YBHN WH TB'!$T:$T,'WH P&amp;L'!$A87,'YBHN WH TB'!C:C)</f>
        <v/>
      </c>
      <c r="P87" s="60">
        <f>-SUMIF('YBHN WH TB'!$T:$T,'WH P&amp;L'!$A87,'YBHN WH TB'!D:D)</f>
        <v/>
      </c>
      <c r="Q87" s="60">
        <f>-SUMIF('YBHN WH TB'!$T:$T,'WH P&amp;L'!$A87,'YBHN WH TB'!E:E)</f>
        <v/>
      </c>
      <c r="R87" s="60">
        <f>-SUMIF('YBHN WH TB'!$T:$T,'WH P&amp;L'!$A87,'YBHN WH TB'!F:F)</f>
        <v/>
      </c>
      <c r="S87" s="60">
        <f>-SUMIF('YBHN WH TB'!$T:$T,'WH P&amp;L'!$A87,'YBHN WH TB'!G:G)</f>
        <v/>
      </c>
      <c r="T87" s="60">
        <f>-SUMIF('YBHN WH TB'!$T:$T,'WH P&amp;L'!$A87,'YBHN WH TB'!H:H)</f>
        <v/>
      </c>
      <c r="U87" s="60">
        <f>-SUMIF('YBHN WH TB'!$T:$T,'WH P&amp;L'!$A87,'YBHN WH TB'!I:I)</f>
        <v/>
      </c>
      <c r="V87" s="60">
        <f>-SUMIF('YBHN WH TB'!$T:$T,'WH P&amp;L'!$A87,'YBHN WH TB'!J:J)</f>
        <v/>
      </c>
      <c r="W87" s="60">
        <f>-SUMIF('YBHN WH TB'!$T:$T,'WH P&amp;L'!$A87,'YBHN WH TB'!K:K)</f>
        <v/>
      </c>
      <c r="X87" s="60">
        <f>-SUMIF('YBHN WH TB'!$T:$T,'WH P&amp;L'!$A87,'YBHN WH TB'!L:L)</f>
        <v/>
      </c>
      <c r="Y87" s="60">
        <f>-SUMIF('YBHN WH TB'!$T:$T,'WH P&amp;L'!$A87,'YBHN WH TB'!M:M)</f>
        <v/>
      </c>
      <c r="Z87" s="60">
        <f>-SUMIF('YBHN WH TB'!$T:$T,'WH P&amp;L'!$A87,'YBHN WH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34" t="inlineStr">
        <is>
          <t>Direct - Staff Cost</t>
        </is>
      </c>
      <c r="B88" s="18" t="n">
        <v>-23102.52</v>
      </c>
      <c r="C88" s="18" t="n">
        <v>-21849.93</v>
      </c>
      <c r="D88" s="18" t="n">
        <v>-22365.54</v>
      </c>
      <c r="E88" s="18" t="n">
        <v>-21787.65</v>
      </c>
      <c r="F88" s="18" t="n">
        <v>-24815.72</v>
      </c>
      <c r="G88" s="18" t="n">
        <v>-24972.06</v>
      </c>
      <c r="H88" s="18" t="n">
        <v>-27676.99000000001</v>
      </c>
      <c r="I88" s="18" t="n">
        <v>-27554.22</v>
      </c>
      <c r="J88" s="18" t="n">
        <v>-26814.42</v>
      </c>
      <c r="K88" s="18" t="n">
        <v>-26347.24</v>
      </c>
      <c r="L88" s="18" t="n">
        <v>-26768.65</v>
      </c>
      <c r="M88" s="18" t="n"/>
      <c r="N88" s="8" t="n"/>
      <c r="O88" s="60">
        <f>-SUMIF('YBHN WH TB'!$T:$T,'WH P&amp;L'!$A88,'YBHN WH TB'!C:C)</f>
        <v/>
      </c>
      <c r="P88" s="60">
        <f>-SUMIF('YBHN WH TB'!$T:$T,'WH P&amp;L'!$A88,'YBHN WH TB'!D:D)</f>
        <v/>
      </c>
      <c r="Q88" s="60">
        <f>-SUMIF('YBHN WH TB'!$T:$T,'WH P&amp;L'!$A88,'YBHN WH TB'!E:E)</f>
        <v/>
      </c>
      <c r="R88" s="60">
        <f>-SUMIF('YBHN WH TB'!$T:$T,'WH P&amp;L'!$A88,'YBHN WH TB'!F:F)</f>
        <v/>
      </c>
      <c r="S88" s="60">
        <f>-SUMIF('YBHN WH TB'!$T:$T,'WH P&amp;L'!$A88,'YBHN WH TB'!G:G)</f>
        <v/>
      </c>
      <c r="T88" s="60">
        <f>-SUMIF('YBHN WH TB'!$T:$T,'WH P&amp;L'!$A88,'YBHN WH TB'!H:H)</f>
        <v/>
      </c>
      <c r="U88" s="60">
        <f>-SUMIF('YBHN WH TB'!$T:$T,'WH P&amp;L'!$A88,'YBHN WH TB'!I:I)</f>
        <v/>
      </c>
      <c r="V88" s="60">
        <f>-SUMIF('YBHN WH TB'!$T:$T,'WH P&amp;L'!$A88,'YBHN WH TB'!J:J)</f>
        <v/>
      </c>
      <c r="W88" s="60">
        <f>-SUMIF('YBHN WH TB'!$T:$T,'WH P&amp;L'!$A88,'YBHN WH TB'!K:K)</f>
        <v/>
      </c>
      <c r="X88" s="60">
        <f>-SUMIF('YBHN WH TB'!$T:$T,'WH P&amp;L'!$A88,'YBHN WH TB'!L:L)</f>
        <v/>
      </c>
      <c r="Y88" s="60">
        <f>-SUMIF('YBHN WH TB'!$T:$T,'WH P&amp;L'!$A88,'YBHN WH TB'!M:M)</f>
        <v/>
      </c>
      <c r="Z88" s="60">
        <f>-SUMIF('YBHN WH TB'!$T:$T,'WH P&amp;L'!$A88,'YBHN WH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60" t="inlineStr">
        <is>
          <t>Direct - Childcare Cost</t>
        </is>
      </c>
      <c r="B89" s="18" t="n">
        <v>-1498.03</v>
      </c>
      <c r="C89" s="18" t="n">
        <v>-4143.52</v>
      </c>
      <c r="D89" s="18" t="n">
        <v>-1672.03</v>
      </c>
      <c r="E89" s="18" t="n">
        <v>-863.9100000000001</v>
      </c>
      <c r="F89" s="18" t="n">
        <v>-1359.99</v>
      </c>
      <c r="G89" s="18" t="n">
        <v>-973.41</v>
      </c>
      <c r="H89" s="18" t="n">
        <v>-1125.42</v>
      </c>
      <c r="I89" s="18" t="n">
        <v>-1229.71</v>
      </c>
      <c r="J89" s="18" t="n">
        <v>-1283.3</v>
      </c>
      <c r="K89" s="18" t="n">
        <v>-952.25</v>
      </c>
      <c r="L89" s="18" t="n">
        <v>-992.9399999999999</v>
      </c>
      <c r="M89" s="18" t="n">
        <v>-914.14</v>
      </c>
      <c r="N89" s="8" t="n"/>
      <c r="O89" s="60">
        <f>-SUMIF('YBHN WH TB'!$T:$T,'WH P&amp;L'!$A89,'YBHN WH TB'!C:C)</f>
        <v/>
      </c>
      <c r="P89" s="60">
        <f>-SUMIF('YBHN WH TB'!$T:$T,'WH P&amp;L'!$A89,'YBHN WH TB'!D:D)</f>
        <v/>
      </c>
      <c r="Q89" s="60">
        <f>-SUMIF('YBHN WH TB'!$T:$T,'WH P&amp;L'!$A89,'YBHN WH TB'!E:E)</f>
        <v/>
      </c>
      <c r="R89" s="60">
        <f>-SUMIF('YBHN WH TB'!$T:$T,'WH P&amp;L'!$A89,'YBHN WH TB'!F:F)</f>
        <v/>
      </c>
      <c r="S89" s="60">
        <f>-SUMIF('YBHN WH TB'!$T:$T,'WH P&amp;L'!$A89,'YBHN WH TB'!G:G)</f>
        <v/>
      </c>
      <c r="T89" s="60">
        <f>-SUMIF('YBHN WH TB'!$T:$T,'WH P&amp;L'!$A89,'YBHN WH TB'!H:H)</f>
        <v/>
      </c>
      <c r="U89" s="60">
        <f>-SUMIF('YBHN WH TB'!$T:$T,'WH P&amp;L'!$A89,'YBHN WH TB'!I:I)</f>
        <v/>
      </c>
      <c r="V89" s="60">
        <f>-SUMIF('YBHN WH TB'!$T:$T,'WH P&amp;L'!$A89,'YBHN WH TB'!J:J)</f>
        <v/>
      </c>
      <c r="W89" s="60">
        <f>-SUMIF('YBHN WH TB'!$T:$T,'WH P&amp;L'!$A89,'YBHN WH TB'!K:K)</f>
        <v/>
      </c>
      <c r="X89" s="60">
        <f>-SUMIF('YBHN WH TB'!$T:$T,'WH P&amp;L'!$A89,'YBHN WH TB'!L:L)</f>
        <v/>
      </c>
      <c r="Y89" s="60">
        <f>-SUMIF('YBHN WH TB'!$T:$T,'WH P&amp;L'!$A89,'YBHN WH TB'!M:M)</f>
        <v/>
      </c>
      <c r="Z89" s="60">
        <f>-SUMIF('YBHN WH TB'!$T:$T,'WH P&amp;L'!$A89,'YBHN WH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60" t="inlineStr">
        <is>
          <t>Direct - Premises &amp; Admin</t>
        </is>
      </c>
      <c r="B90" s="18" t="n">
        <v>-5754.559999999999</v>
      </c>
      <c r="C90" s="18" t="n">
        <v>-5317.35</v>
      </c>
      <c r="D90" s="18" t="n">
        <v>-6037.919999999999</v>
      </c>
      <c r="E90" s="18" t="n">
        <v>-8868.169999999998</v>
      </c>
      <c r="F90" s="18" t="n">
        <v>-5637.85</v>
      </c>
      <c r="G90" s="18" t="n">
        <v>-3771.77</v>
      </c>
      <c r="H90" s="18" t="n">
        <v>-2372.6</v>
      </c>
      <c r="I90" s="18" t="n">
        <v>-4527.559999999999</v>
      </c>
      <c r="J90" s="18" t="n">
        <v>-1893.24</v>
      </c>
      <c r="K90" s="18" t="n">
        <v>-3810.16</v>
      </c>
      <c r="L90" s="18" t="n">
        <v>-4195.96</v>
      </c>
      <c r="M90" s="18" t="n">
        <v>-4753.41</v>
      </c>
      <c r="N90" s="8" t="n"/>
      <c r="O90" s="60">
        <f>-SUMIF('YBHN WH TB'!$T:$T,'WH P&amp;L'!$A90,'YBHN WH TB'!C:C)</f>
        <v/>
      </c>
      <c r="P90" s="60">
        <f>-SUMIF('YBHN WH TB'!$T:$T,'WH P&amp;L'!$A90,'YBHN WH TB'!D:D)</f>
        <v/>
      </c>
      <c r="Q90" s="60">
        <f>-SUMIF('YBHN WH TB'!$T:$T,'WH P&amp;L'!$A90,'YBHN WH TB'!E:E)</f>
        <v/>
      </c>
      <c r="R90" s="60">
        <f>-SUMIF('YBHN WH TB'!$T:$T,'WH P&amp;L'!$A90,'YBHN WH TB'!F:F)</f>
        <v/>
      </c>
      <c r="S90" s="60">
        <f>-SUMIF('YBHN WH TB'!$T:$T,'WH P&amp;L'!$A90,'YBHN WH TB'!G:G)</f>
        <v/>
      </c>
      <c r="T90" s="60">
        <f>-SUMIF('YBHN WH TB'!$T:$T,'WH P&amp;L'!$A90,'YBHN WH TB'!H:H)</f>
        <v/>
      </c>
      <c r="U90" s="60">
        <f>-SUMIF('YBHN WH TB'!$T:$T,'WH P&amp;L'!$A90,'YBHN WH TB'!I:I)</f>
        <v/>
      </c>
      <c r="V90" s="60">
        <f>-SUMIF('YBHN WH TB'!$T:$T,'WH P&amp;L'!$A90,'YBHN WH TB'!J:J)</f>
        <v/>
      </c>
      <c r="W90" s="60">
        <f>-SUMIF('YBHN WH TB'!$T:$T,'WH P&amp;L'!$A90,'YBHN WH TB'!K:K)</f>
        <v/>
      </c>
      <c r="X90" s="60">
        <f>-SUMIF('YBHN WH TB'!$T:$T,'WH P&amp;L'!$A90,'YBHN WH TB'!L:L)</f>
        <v/>
      </c>
      <c r="Y90" s="60">
        <f>-SUMIF('YBHN WH TB'!$T:$T,'WH P&amp;L'!$A90,'YBHN WH TB'!M:M)</f>
        <v/>
      </c>
      <c r="Z90" s="60">
        <f>-SUMIF('YBHN WH TB'!$T:$T,'WH P&amp;L'!$A90,'YBHN WH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-SUMIF('YBHN WH TB'!$T:$T,'WH P&amp;L'!$A91,'YBHN WH TB'!C:C)</f>
        <v/>
      </c>
      <c r="P91" s="60">
        <f>-SUMIF('YBHN WH TB'!$T:$T,'WH P&amp;L'!$A91,'YBHN WH TB'!D:D)</f>
        <v/>
      </c>
      <c r="Q91" s="60">
        <f>-SUMIF('YBHN WH TB'!$T:$T,'WH P&amp;L'!$A91,'YBHN WH TB'!E:E)</f>
        <v/>
      </c>
      <c r="R91" s="60">
        <f>-SUMIF('YBHN WH TB'!$T:$T,'WH P&amp;L'!$A91,'YBHN WH TB'!F:F)</f>
        <v/>
      </c>
      <c r="S91" s="60">
        <f>-SUMIF('YBHN WH TB'!$T:$T,'WH P&amp;L'!$A91,'YBHN WH TB'!G:G)</f>
        <v/>
      </c>
      <c r="T91" s="60">
        <f>-SUMIF('YBHN WH TB'!$T:$T,'WH P&amp;L'!$A91,'YBHN WH TB'!H:H)</f>
        <v/>
      </c>
      <c r="U91" s="60">
        <f>-SUMIF('YBHN WH TB'!$T:$T,'WH P&amp;L'!$A91,'YBHN WH TB'!I:I)</f>
        <v/>
      </c>
      <c r="V91" s="60">
        <f>-SUMIF('YBHN WH TB'!$T:$T,'WH P&amp;L'!$A91,'YBHN WH TB'!J:J)</f>
        <v/>
      </c>
      <c r="W91" s="60">
        <f>-SUMIF('YBHN WH TB'!$T:$T,'WH P&amp;L'!$A91,'YBHN WH TB'!K:K)</f>
        <v/>
      </c>
      <c r="X91" s="60">
        <f>-SUMIF('YBHN WH TB'!$T:$T,'WH P&amp;L'!$A91,'YBHN WH TB'!L:L)</f>
        <v/>
      </c>
      <c r="Y91" s="60">
        <f>-SUMIF('YBHN WH TB'!$T:$T,'WH P&amp;L'!$A91,'YBHN WH TB'!M:M)</f>
        <v/>
      </c>
      <c r="Z91" s="60">
        <f>-SUMIF('YBHN WH TB'!$T:$T,'WH P&amp;L'!$A91,'YBHN WH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60" t="inlineStr">
        <is>
          <t>In-Direct - Overheads</t>
        </is>
      </c>
      <c r="B92" s="18" t="n">
        <v>-252.58</v>
      </c>
      <c r="C92" s="18" t="n">
        <v>-785.64</v>
      </c>
      <c r="D92" s="18" t="n">
        <v>-730.3</v>
      </c>
      <c r="E92" s="18" t="n">
        <v>-585.4400000000001</v>
      </c>
      <c r="F92" s="18" t="n">
        <v>-258.77</v>
      </c>
      <c r="G92" s="18" t="n">
        <v>-642.1800000000001</v>
      </c>
      <c r="H92" s="18" t="n">
        <v>-357.46</v>
      </c>
      <c r="I92" s="18" t="n">
        <v>-214.43</v>
      </c>
      <c r="J92" s="18" t="n">
        <v>-203.18</v>
      </c>
      <c r="K92" s="18" t="n">
        <v>-296.99</v>
      </c>
      <c r="L92" s="18" t="n">
        <v>-460.76</v>
      </c>
      <c r="M92" s="18" t="n">
        <v>-216</v>
      </c>
      <c r="N92" s="8" t="n"/>
      <c r="O92" s="60">
        <f>-SUMIF('YBHN WH TB'!$T:$T,'WH P&amp;L'!$A92,'YBHN WH TB'!C:C)</f>
        <v/>
      </c>
      <c r="P92" s="60">
        <f>-SUMIF('YBHN WH TB'!$T:$T,'WH P&amp;L'!$A92,'YBHN WH TB'!D:D)</f>
        <v/>
      </c>
      <c r="Q92" s="60">
        <f>-SUMIF('YBHN WH TB'!$T:$T,'WH P&amp;L'!$A92,'YBHN WH TB'!E:E)</f>
        <v/>
      </c>
      <c r="R92" s="60">
        <f>-SUMIF('YBHN WH TB'!$T:$T,'WH P&amp;L'!$A92,'YBHN WH TB'!F:F)</f>
        <v/>
      </c>
      <c r="S92" s="60">
        <f>-SUMIF('YBHN WH TB'!$T:$T,'WH P&amp;L'!$A92,'YBHN WH TB'!G:G)</f>
        <v/>
      </c>
      <c r="T92" s="60">
        <f>-SUMIF('YBHN WH TB'!$T:$T,'WH P&amp;L'!$A92,'YBHN WH TB'!H:H)</f>
        <v/>
      </c>
      <c r="U92" s="60">
        <f>-SUMIF('YBHN WH TB'!$T:$T,'WH P&amp;L'!$A92,'YBHN WH TB'!I:I)</f>
        <v/>
      </c>
      <c r="V92" s="60">
        <f>-SUMIF('YBHN WH TB'!$T:$T,'WH P&amp;L'!$A92,'YBHN WH TB'!J:J)</f>
        <v/>
      </c>
      <c r="W92" s="60">
        <f>-SUMIF('YBHN WH TB'!$T:$T,'WH P&amp;L'!$A92,'YBHN WH TB'!K:K)</f>
        <v/>
      </c>
      <c r="X92" s="60">
        <f>-SUMIF('YBHN WH TB'!$T:$T,'WH P&amp;L'!$A92,'YBHN WH TB'!L:L)</f>
        <v/>
      </c>
      <c r="Y92" s="60">
        <f>-SUMIF('YBHN WH TB'!$T:$T,'WH P&amp;L'!$A92,'YBHN WH TB'!M:M)</f>
        <v/>
      </c>
      <c r="Z92" s="60">
        <f>-SUMIF('YBHN WH TB'!$T:$T,'WH P&amp;L'!$A92,'YBHN WH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 ht="15.75" customHeight="1">
      <c r="A93" s="8" t="n"/>
      <c r="B93" s="67" t="n">
        <v>29880.48</v>
      </c>
      <c r="C93" s="67" t="n">
        <v>20973.27000000001</v>
      </c>
      <c r="D93" s="67" t="n">
        <v>27548.64</v>
      </c>
      <c r="E93" s="67" t="n">
        <v>26914.55</v>
      </c>
      <c r="F93" s="67" t="n">
        <v>20444.26</v>
      </c>
      <c r="G93" s="67" t="n">
        <v>14565.14999999999</v>
      </c>
      <c r="H93" s="67" t="n">
        <v>29796.61</v>
      </c>
      <c r="I93" s="67" t="n">
        <v>3233.809999999999</v>
      </c>
      <c r="J93" s="67" t="n">
        <v>5992.739999999995</v>
      </c>
      <c r="K93" s="67" t="n">
        <v>5999.500000000002</v>
      </c>
      <c r="L93" s="67" t="n">
        <v>2955.130000000001</v>
      </c>
      <c r="M93" s="67" t="n">
        <v>-5883.55</v>
      </c>
      <c r="N93" s="8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8" t="n"/>
      <c r="AB93" s="8" t="n"/>
      <c r="AC93" s="64" t="n"/>
      <c r="AD93" s="64" t="n"/>
      <c r="AE93" s="64" t="n"/>
      <c r="AF93" s="64" t="n"/>
      <c r="AG93" s="64" t="n"/>
      <c r="AH93" s="64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 ht="15.75" customHeight="1">
      <c r="A94" s="8" t="n"/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0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0</v>
      </c>
      <c r="L94" s="18" t="n">
        <v>0</v>
      </c>
      <c r="M94" s="18" t="n">
        <v>16533.34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0</v>
      </c>
      <c r="G96" s="18" t="n">
        <v>0</v>
      </c>
      <c r="H96" s="18" t="n">
        <v>0</v>
      </c>
      <c r="I96" s="18" t="n">
        <v>0</v>
      </c>
      <c r="J96" s="18" t="n">
        <v>0</v>
      </c>
      <c r="K96" s="18" t="n">
        <v>0</v>
      </c>
      <c r="L96" s="18" t="n">
        <v>0</v>
      </c>
      <c r="M96" s="18" t="n">
        <v>-16533.34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>
        <v>-29880.47999999999</v>
      </c>
      <c r="C97" s="18" t="n">
        <v>-20973.27</v>
      </c>
      <c r="D97" s="18" t="n">
        <v>-27548.63999999999</v>
      </c>
      <c r="E97" s="18" t="n">
        <v>-26914.55000000001</v>
      </c>
      <c r="F97" s="18" t="n">
        <v>-20444.25999999999</v>
      </c>
      <c r="G97" s="18" t="n">
        <v>-14565.14999999999</v>
      </c>
      <c r="H97" s="18" t="n">
        <v>-29796.61000000001</v>
      </c>
      <c r="I97" s="18" t="n">
        <v>-3233.809999999997</v>
      </c>
      <c r="J97" s="18" t="n">
        <v>-5992.74</v>
      </c>
      <c r="K97" s="18" t="n">
        <v>-5999.499999999998</v>
      </c>
      <c r="L97" s="18" t="n">
        <v>-2955.130000000002</v>
      </c>
      <c r="M97" s="18" t="n">
        <v>-10649.79</v>
      </c>
      <c r="N97" s="8" t="n"/>
      <c r="O97" s="60">
        <f>SUM('YBHN WH TB'!C2:C44)</f>
        <v/>
      </c>
      <c r="P97" s="60">
        <f>SUM('YBHN WH TB'!D2:D44)</f>
        <v/>
      </c>
      <c r="Q97" s="60">
        <f>SUM('YBHN WH TB'!E2:E44)</f>
        <v/>
      </c>
      <c r="R97" s="60">
        <f>SUM('YBHN WH TB'!F2:F44)</f>
        <v/>
      </c>
      <c r="S97" s="60">
        <f>SUM('YBHN WH TB'!G2:G44)</f>
        <v/>
      </c>
      <c r="T97" s="60">
        <f>SUM('YBHN WH TB'!H2:H44)</f>
        <v/>
      </c>
      <c r="U97" s="60">
        <f>SUM('YBHN WH TB'!I2:I44)</f>
        <v/>
      </c>
      <c r="V97" s="60">
        <f>SUM('YBHN WH TB'!J2:J44)</f>
        <v/>
      </c>
      <c r="W97" s="60">
        <f>SUM('YBHN WH TB'!K2:K44)</f>
        <v/>
      </c>
      <c r="X97" s="60">
        <f>SUM('YBHN WH TB'!L2:L44)</f>
        <v/>
      </c>
      <c r="Y97" s="60">
        <f>SUM('YBHN WH TB'!M2:M44)</f>
        <v/>
      </c>
      <c r="Z97" s="60">
        <f>SUM('YBHN WH TB'!N2:N44)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9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Finchampstead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13547.64</v>
      </c>
      <c r="C8" s="35" t="n">
        <v>13678.94</v>
      </c>
      <c r="D8" s="35" t="n">
        <v>12493.24</v>
      </c>
      <c r="E8" s="35" t="n">
        <v>13668.68</v>
      </c>
      <c r="F8" s="35" t="n">
        <v>12240.43</v>
      </c>
      <c r="G8" s="35" t="n">
        <v>11294.85</v>
      </c>
      <c r="H8" s="35" t="n">
        <v>13915.66</v>
      </c>
      <c r="I8" s="35" t="n">
        <v>9820.360000000001</v>
      </c>
      <c r="J8" s="35" t="n">
        <v>6134.57</v>
      </c>
      <c r="K8" s="35" t="n">
        <v>6959.25</v>
      </c>
      <c r="L8" s="35" t="n">
        <v>4849.44</v>
      </c>
      <c r="M8" s="35" t="n">
        <v>5437.48</v>
      </c>
      <c r="N8" s="36">
        <f>SUM(B8:M8)</f>
        <v/>
      </c>
      <c r="O8" s="37">
        <f>-SUMIF('YBN FH TB'!$R:$R,'FH P&amp;L'!$A8,'YBN FH TB'!C:C)</f>
        <v/>
      </c>
      <c r="P8" s="37">
        <f>-SUMIF('YBN FH TB'!$R:$R,'FH P&amp;L'!$A8,'YBN FH TB'!D:D)</f>
        <v/>
      </c>
      <c r="Q8" s="37">
        <f>-SUMIF('YBN FH TB'!$R:$R,'FH P&amp;L'!$A8,'YBN FH TB'!E:E)</f>
        <v/>
      </c>
      <c r="R8" s="37">
        <f>-SUMIF('YBN FH TB'!$R:$R,'FH P&amp;L'!$A8,'YBN FH TB'!F:F)</f>
        <v/>
      </c>
      <c r="S8" s="37">
        <f>-SUMIF('YBN FH TB'!$R:$R,'FH P&amp;L'!$A8,'YBN FH TB'!G:G)</f>
        <v/>
      </c>
      <c r="T8" s="37" t="n">
        <v>5699</v>
      </c>
      <c r="U8" s="37" t="n">
        <v>8330</v>
      </c>
      <c r="V8" s="38" t="n">
        <v>5166</v>
      </c>
      <c r="W8" s="38" t="n">
        <v>3078</v>
      </c>
      <c r="X8" s="38" t="n">
        <v>6342</v>
      </c>
      <c r="Y8" s="38" t="n">
        <v>6001</v>
      </c>
      <c r="Z8" s="38" t="n">
        <v>6888</v>
      </c>
      <c r="AA8" s="36">
        <f>SUM(O8:U8)</f>
        <v/>
      </c>
      <c r="AB8" s="36">
        <f>SUM(O8:Z8)</f>
        <v/>
      </c>
      <c r="AC8" s="38" t="n">
        <v>18243.24</v>
      </c>
      <c r="AD8" s="38" t="n">
        <v>15179.01</v>
      </c>
      <c r="AE8" s="38" t="n">
        <v>21987.99</v>
      </c>
      <c r="AF8" s="38" t="n">
        <v>22298.56</v>
      </c>
      <c r="AG8" s="38" t="n">
        <v>14630.48</v>
      </c>
      <c r="AH8" s="38" t="n">
        <v>16601.21</v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6570.19</v>
      </c>
      <c r="C9" s="35" t="n">
        <v>6570.19</v>
      </c>
      <c r="D9" s="35" t="n">
        <v>14078.26</v>
      </c>
      <c r="E9" s="35" t="n">
        <v>6162.6</v>
      </c>
      <c r="F9" s="35" t="n">
        <v>6162.6</v>
      </c>
      <c r="G9" s="35" t="n">
        <v>6162.6</v>
      </c>
      <c r="H9" s="35" t="n">
        <v>10121.39</v>
      </c>
      <c r="I9" s="35" t="n">
        <v>0</v>
      </c>
      <c r="J9" s="35" t="n">
        <v>7065.1</v>
      </c>
      <c r="K9" s="35" t="n">
        <v>7065.1</v>
      </c>
      <c r="L9" s="35" t="n">
        <v>7823.9</v>
      </c>
      <c r="M9" s="35" t="n">
        <v>33221.15</v>
      </c>
      <c r="N9" s="36">
        <f>SUM(B9:M9)</f>
        <v/>
      </c>
      <c r="O9" s="37">
        <f>-SUMIF('YBN FH TB'!$R:$R,'FH P&amp;L'!$A9,'YBN FH TB'!C:C)</f>
        <v/>
      </c>
      <c r="P9" s="37">
        <f>-SUMIF('YBN FH TB'!$R:$R,'FH P&amp;L'!$A9,'YBN FH TB'!D:D)</f>
        <v/>
      </c>
      <c r="Q9" s="37">
        <f>-SUMIF('YBN FH TB'!$R:$R,'FH P&amp;L'!$A9,'YBN FH TB'!E:E)</f>
        <v/>
      </c>
      <c r="R9" s="37">
        <f>-SUMIF('YBN FH TB'!$R:$R,'FH P&amp;L'!$A9,'YBN FH TB'!F:F)</f>
        <v/>
      </c>
      <c r="S9" s="37">
        <f>-SUMIF('YBN FH TB'!$R:$R,'FH P&amp;L'!$A9,'YBN FH TB'!G:G)</f>
        <v/>
      </c>
      <c r="T9" s="37" t="n">
        <v>12012</v>
      </c>
      <c r="U9" s="37" t="n">
        <v>6983</v>
      </c>
      <c r="V9" s="38" t="n"/>
      <c r="W9" s="38" t="n">
        <v>10658</v>
      </c>
      <c r="X9" s="38" t="n">
        <v>10683</v>
      </c>
      <c r="Y9" s="38" t="n">
        <v>13438</v>
      </c>
      <c r="Z9" s="38" t="n">
        <v>8848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1110.33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-SUMIF('YBN FH TB'!$R:$R,'FH P&amp;L'!$A10,'YBN FH TB'!C:C)</f>
        <v/>
      </c>
      <c r="P10" s="37">
        <f>-SUMIF('YBN FH TB'!$R:$R,'FH P&amp;L'!$A10,'YBN FH TB'!D:D)</f>
        <v/>
      </c>
      <c r="Q10" s="37">
        <f>-SUMIF('YBN FH TB'!$R:$R,'FH P&amp;L'!$A10,'YBN FH TB'!E:E)</f>
        <v/>
      </c>
      <c r="R10" s="37">
        <f>-SUMIF('YBN FH TB'!$R:$R,'FH P&amp;L'!$A10,'YBN FH TB'!F:F)</f>
        <v/>
      </c>
      <c r="S10" s="37">
        <f>-SUMIF('YBN FH TB'!$R:$R,'FH P&amp;L'!$A10,'YBN FH TB'!G:G)</f>
        <v/>
      </c>
      <c r="T10" s="37">
        <f>-SUMIF('YBN FH TB'!$R:$R,'FH P&amp;L'!$A10,'YBN FH TB'!H:H)</f>
        <v/>
      </c>
      <c r="U10" s="37">
        <f>-SUMIF('YBN FH TB'!$R:$R,'FH P&amp;L'!$A10,'YBN FH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20117.83</v>
      </c>
      <c r="C11" s="42" t="n">
        <v>20249.13</v>
      </c>
      <c r="D11" s="42" t="n">
        <v>26571.5</v>
      </c>
      <c r="E11" s="42" t="n">
        <v>19831.28</v>
      </c>
      <c r="F11" s="42" t="n">
        <v>18403.03</v>
      </c>
      <c r="G11" s="42" t="n">
        <v>17457.45</v>
      </c>
      <c r="H11" s="42" t="n">
        <v>24037.05</v>
      </c>
      <c r="I11" s="42" t="n">
        <v>10930.69</v>
      </c>
      <c r="J11" s="42" t="n">
        <v>13199.67</v>
      </c>
      <c r="K11" s="42" t="n">
        <v>14024.35</v>
      </c>
      <c r="L11" s="42" t="n">
        <v>12673.34</v>
      </c>
      <c r="M11" s="42" t="n">
        <v>38658.63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13853.25</v>
      </c>
      <c r="C16" s="35" t="n">
        <v>13920.39</v>
      </c>
      <c r="D16" s="35" t="n">
        <v>10885.86</v>
      </c>
      <c r="E16" s="35" t="n">
        <v>11734.94</v>
      </c>
      <c r="F16" s="35" t="n">
        <v>11884.27</v>
      </c>
      <c r="G16" s="35" t="n">
        <v>11731.04</v>
      </c>
      <c r="H16" s="35" t="n">
        <v>15058.12</v>
      </c>
      <c r="I16" s="35" t="n">
        <v>12658.92</v>
      </c>
      <c r="J16" s="35" t="n">
        <v>12033.38</v>
      </c>
      <c r="K16" s="35" t="n">
        <v>14221.18</v>
      </c>
      <c r="L16" s="35" t="n">
        <v>14943.61</v>
      </c>
      <c r="M16" s="35" t="n">
        <v>12969.62</v>
      </c>
      <c r="N16" s="36">
        <f>SUM(B16:M16)</f>
        <v/>
      </c>
      <c r="O16" s="37">
        <f>SUMIF('YBN FH TB'!$R:$R,'FH P&amp;L'!$A16,'YBN FH TB'!C:C)</f>
        <v/>
      </c>
      <c r="P16" s="37">
        <f>SUMIF('YBN FH TB'!$R:$R,'FH P&amp;L'!$A16,'YBN FH TB'!D:D)</f>
        <v/>
      </c>
      <c r="Q16" s="37">
        <f>SUMIF('YBN FH TB'!$R:$R,'FH P&amp;L'!$A16,'YBN FH TB'!E:E)</f>
        <v/>
      </c>
      <c r="R16" s="37">
        <f>SUMIF('YBN FH TB'!$R:$R,'FH P&amp;L'!$A16,'YBN FH TB'!F:F)</f>
        <v/>
      </c>
      <c r="S16" s="37">
        <f>SUMIF('YBN FH TB'!$R:$R,'FH P&amp;L'!$A16,'YBN FH TB'!G:G)</f>
        <v/>
      </c>
      <c r="T16" s="37">
        <f>SUMIF('YBN FH TB'!$R:$R,'FH P&amp;L'!$A16,'YBN FH TB'!H:H)</f>
        <v/>
      </c>
      <c r="U16" s="37">
        <f>SUMIF('YBN FH TB'!$R:$R,'FH P&amp;L'!$A16,'YBN FH TB'!I:I)</f>
        <v/>
      </c>
      <c r="V16" s="38" t="n">
        <v>17344.06</v>
      </c>
      <c r="W16" s="38" t="n">
        <v>17344.06</v>
      </c>
      <c r="X16" s="38" t="n">
        <v>17344.06</v>
      </c>
      <c r="Y16" s="38" t="n">
        <v>17344.06</v>
      </c>
      <c r="Z16" s="38" t="n">
        <v>17344.06</v>
      </c>
      <c r="AA16" s="36">
        <f>SUM(O16:U16)</f>
        <v/>
      </c>
      <c r="AB16" s="36">
        <f>SUM(O16:Z16)</f>
        <v/>
      </c>
      <c r="AC16" s="38" t="n">
        <v>17344.06</v>
      </c>
      <c r="AD16" s="38" t="n">
        <v>17344.06</v>
      </c>
      <c r="AE16" s="38" t="n">
        <v>17344.06</v>
      </c>
      <c r="AF16" s="38" t="n">
        <v>17344.06</v>
      </c>
      <c r="AG16" s="38" t="n">
        <v>17344.06</v>
      </c>
      <c r="AH16" s="38" t="n">
        <v>17344.06</v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1069.51</v>
      </c>
      <c r="C17" s="35" t="n">
        <v>1065.83</v>
      </c>
      <c r="D17" s="35" t="n">
        <v>730.8099999999999</v>
      </c>
      <c r="E17" s="35" t="n">
        <v>1121.54</v>
      </c>
      <c r="F17" s="35" t="n">
        <v>1145.85</v>
      </c>
      <c r="G17" s="35" t="n">
        <v>1120.74</v>
      </c>
      <c r="H17" s="35" t="n">
        <v>1457.54</v>
      </c>
      <c r="I17" s="35" t="n">
        <v>1187.6</v>
      </c>
      <c r="J17" s="35" t="n">
        <v>1147.14</v>
      </c>
      <c r="K17" s="35" t="n">
        <v>1417.58</v>
      </c>
      <c r="L17" s="35" t="n">
        <v>1470.89</v>
      </c>
      <c r="M17" s="35" t="n">
        <v>1237.76</v>
      </c>
      <c r="N17" s="36">
        <f>SUM(B17:M17)</f>
        <v/>
      </c>
      <c r="O17" s="37">
        <f>SUMIF('YBN FH TB'!$R:$R,'FH P&amp;L'!$A17,'YBN FH TB'!C:C)</f>
        <v/>
      </c>
      <c r="P17" s="37">
        <f>SUMIF('YBN FH TB'!$R:$R,'FH P&amp;L'!$A17,'YBN FH TB'!D:D)</f>
        <v/>
      </c>
      <c r="Q17" s="37">
        <f>SUMIF('YBN FH TB'!$R:$R,'FH P&amp;L'!$A17,'YBN FH TB'!E:E)</f>
        <v/>
      </c>
      <c r="R17" s="37">
        <f>SUMIF('YBN FH TB'!$R:$R,'FH P&amp;L'!$A17,'YBN FH TB'!F:F)</f>
        <v/>
      </c>
      <c r="S17" s="37">
        <f>SUMIF('YBN FH TB'!$R:$R,'FH P&amp;L'!$A17,'YBN FH TB'!G:G)</f>
        <v/>
      </c>
      <c r="T17" s="37">
        <f>SUMIF('YBN FH TB'!$R:$R,'FH P&amp;L'!$A17,'YBN FH TB'!H:H)</f>
        <v/>
      </c>
      <c r="U17" s="37">
        <f>SUMIF('YBN FH TB'!$R:$R,'FH P&amp;L'!$A17,'YBN FH TB'!I:I)</f>
        <v/>
      </c>
      <c r="V17" s="38" t="n">
        <v>1940.36</v>
      </c>
      <c r="W17" s="38" t="n">
        <v>1940.36</v>
      </c>
      <c r="X17" s="38" t="n">
        <v>1940.36</v>
      </c>
      <c r="Y17" s="38" t="n">
        <v>1940.36</v>
      </c>
      <c r="Z17" s="38" t="n">
        <v>1940.36</v>
      </c>
      <c r="AA17" s="36">
        <f>SUM(O17:U17)</f>
        <v/>
      </c>
      <c r="AB17" s="36">
        <f>SUM(O17:Z17)</f>
        <v/>
      </c>
      <c r="AC17" s="38" t="n">
        <v>1940.36</v>
      </c>
      <c r="AD17" s="38" t="n">
        <v>1940.36</v>
      </c>
      <c r="AE17" s="38" t="n">
        <v>1940.36</v>
      </c>
      <c r="AF17" s="38" t="n">
        <v>1940.36</v>
      </c>
      <c r="AG17" s="38" t="n">
        <v>1940.36</v>
      </c>
      <c r="AH17" s="38" t="n">
        <v>1940.36</v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237.38</v>
      </c>
      <c r="C18" s="35" t="n">
        <v>236.58</v>
      </c>
      <c r="D18" s="35" t="n">
        <v>156.6</v>
      </c>
      <c r="E18" s="35" t="n">
        <v>179.38</v>
      </c>
      <c r="F18" s="35" t="n">
        <v>216.8</v>
      </c>
      <c r="G18" s="35" t="n">
        <v>211.77</v>
      </c>
      <c r="H18" s="35" t="n">
        <v>228</v>
      </c>
      <c r="I18" s="35" t="n">
        <v>221.31</v>
      </c>
      <c r="J18" s="35" t="n">
        <v>217.06</v>
      </c>
      <c r="K18" s="35" t="n">
        <v>234.2</v>
      </c>
      <c r="L18" s="35" t="n">
        <v>215.9</v>
      </c>
      <c r="M18" s="35" t="n">
        <v>203.98</v>
      </c>
      <c r="N18" s="36">
        <f>SUM(B18:M18)</f>
        <v/>
      </c>
      <c r="O18" s="37">
        <f>SUMIF('YBN FH TB'!$R:$R,'FH P&amp;L'!$A18,'YBN FH TB'!C:C)</f>
        <v/>
      </c>
      <c r="P18" s="37">
        <f>SUMIF('YBN FH TB'!$R:$R,'FH P&amp;L'!$A18,'YBN FH TB'!D:D)</f>
        <v/>
      </c>
      <c r="Q18" s="37">
        <f>SUMIF('YBN FH TB'!$R:$R,'FH P&amp;L'!$A18,'YBN FH TB'!E:E)</f>
        <v/>
      </c>
      <c r="R18" s="37">
        <f>SUMIF('YBN FH TB'!$R:$R,'FH P&amp;L'!$A18,'YBN FH TB'!F:F)</f>
        <v/>
      </c>
      <c r="S18" s="37">
        <f>SUMIF('YBN FH TB'!$R:$R,'FH P&amp;L'!$A18,'YBN FH TB'!G:G)</f>
        <v/>
      </c>
      <c r="T18" s="37">
        <f>SUMIF('YBN FH TB'!$R:$R,'FH P&amp;L'!$A18,'YBN FH TB'!H:H)</f>
        <v/>
      </c>
      <c r="U18" s="37">
        <f>SUMIF('YBN FH TB'!$R:$R,'FH P&amp;L'!$A18,'YBN FH TB'!I:I)</f>
        <v/>
      </c>
      <c r="V18" s="38" t="n">
        <v>282.56</v>
      </c>
      <c r="W18" s="38" t="n">
        <v>282.56</v>
      </c>
      <c r="X18" s="38" t="n">
        <v>282.56</v>
      </c>
      <c r="Y18" s="38" t="n">
        <v>282.56</v>
      </c>
      <c r="Z18" s="38" t="n">
        <v>282.56</v>
      </c>
      <c r="AA18" s="36">
        <f>SUM(O18:U18)</f>
        <v/>
      </c>
      <c r="AB18" s="36">
        <f>SUM(O18:Z18)</f>
        <v/>
      </c>
      <c r="AC18" s="38" t="n">
        <v>282.56</v>
      </c>
      <c r="AD18" s="38" t="n">
        <v>282.56</v>
      </c>
      <c r="AE18" s="38" t="n">
        <v>282.56</v>
      </c>
      <c r="AF18" s="38" t="n">
        <v>282.56</v>
      </c>
      <c r="AG18" s="38" t="n">
        <v>282.56</v>
      </c>
      <c r="AH18" s="38" t="n">
        <v>282.56</v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97.16</v>
      </c>
      <c r="D19" s="35" t="n">
        <v>74.22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132.9</v>
      </c>
      <c r="K19" s="35" t="n">
        <v>0</v>
      </c>
      <c r="L19" s="35" t="n">
        <v>158.34</v>
      </c>
      <c r="M19" s="35" t="n">
        <v>0</v>
      </c>
      <c r="N19" s="36">
        <f>SUM(B19:M19)</f>
        <v/>
      </c>
      <c r="O19" s="37">
        <f>SUMIF('YBN FH TB'!$R:$R,'FH P&amp;L'!$A19,'YBN FH TB'!C:C)</f>
        <v/>
      </c>
      <c r="P19" s="37">
        <f>SUMIF('YBN FH TB'!$R:$R,'FH P&amp;L'!$A19,'YBN FH TB'!D:D)</f>
        <v/>
      </c>
      <c r="Q19" s="37">
        <f>SUMIF('YBN FH TB'!$R:$R,'FH P&amp;L'!$A19,'YBN FH TB'!E:E)</f>
        <v/>
      </c>
      <c r="R19" s="37">
        <f>SUMIF('YBN FH TB'!$R:$R,'FH P&amp;L'!$A19,'YBN FH TB'!F:F)</f>
        <v/>
      </c>
      <c r="S19" s="37">
        <f>SUMIF('YBN FH TB'!$R:$R,'FH P&amp;L'!$A19,'YBN FH TB'!G:G)</f>
        <v/>
      </c>
      <c r="T19" s="37">
        <f>SUMIF('YBN FH TB'!$R:$R,'FH P&amp;L'!$A19,'YBN FH TB'!H:H)</f>
        <v/>
      </c>
      <c r="U19" s="37">
        <f>SUMIF('YBN FH TB'!$R:$R,'FH P&amp;L'!$A19,'YBN FH TB'!I:I)</f>
        <v/>
      </c>
      <c r="V19" s="38" t="n">
        <v>34</v>
      </c>
      <c r="W19" s="38" t="n">
        <v>34</v>
      </c>
      <c r="X19" s="38" t="n">
        <v>34</v>
      </c>
      <c r="Y19" s="38" t="n">
        <v>34</v>
      </c>
      <c r="Z19" s="38" t="n">
        <v>34</v>
      </c>
      <c r="AA19" s="36">
        <f>SUM(O19:U19)</f>
        <v/>
      </c>
      <c r="AB19" s="36">
        <f>SUM(O19:Z19)</f>
        <v/>
      </c>
      <c r="AC19" s="38" t="n">
        <v>34</v>
      </c>
      <c r="AD19" s="38" t="n">
        <v>34</v>
      </c>
      <c r="AE19" s="38" t="n">
        <v>34</v>
      </c>
      <c r="AF19" s="38" t="n">
        <v>34</v>
      </c>
      <c r="AG19" s="38" t="n">
        <v>34</v>
      </c>
      <c r="AH19" s="38" t="n">
        <v>34</v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24.98</v>
      </c>
      <c r="C20" s="35" t="n">
        <v>0</v>
      </c>
      <c r="D20" s="35" t="n">
        <v>0</v>
      </c>
      <c r="E20" s="35" t="n">
        <v>72</v>
      </c>
      <c r="F20" s="35" t="n">
        <v>31.2</v>
      </c>
      <c r="G20" s="35" t="n">
        <v>0</v>
      </c>
      <c r="H20" s="35" t="n">
        <v>61.2</v>
      </c>
      <c r="I20" s="35" t="n">
        <v>78</v>
      </c>
      <c r="J20" s="35" t="n">
        <v>37.2</v>
      </c>
      <c r="K20" s="35" t="n">
        <v>114</v>
      </c>
      <c r="L20" s="35" t="n">
        <v>496.9</v>
      </c>
      <c r="M20" s="35" t="n">
        <v>0</v>
      </c>
      <c r="N20" s="36">
        <f>SUM(B20:M20)</f>
        <v/>
      </c>
      <c r="O20" s="37">
        <f>SUMIF('YBN FH TB'!$R:$R,'FH P&amp;L'!$A20,'YBN FH TB'!C:C)</f>
        <v/>
      </c>
      <c r="P20" s="37">
        <f>SUMIF('YBN FH TB'!$R:$R,'FH P&amp;L'!$A20,'YBN FH TB'!D:D)</f>
        <v/>
      </c>
      <c r="Q20" s="37">
        <f>SUMIF('YBN FH TB'!$R:$R,'FH P&amp;L'!$A20,'YBN FH TB'!E:E)</f>
        <v/>
      </c>
      <c r="R20" s="37">
        <f>SUMIF('YBN FH TB'!$R:$R,'FH P&amp;L'!$A20,'YBN FH TB'!F:F)</f>
        <v/>
      </c>
      <c r="S20" s="37">
        <f>SUMIF('YBN FH TB'!$R:$R,'FH P&amp;L'!$A20,'YBN FH TB'!G:G)</f>
        <v/>
      </c>
      <c r="T20" s="37">
        <f>SUMIF('YBN FH TB'!$R:$R,'FH P&amp;L'!$A20,'YBN FH TB'!H:H)</f>
        <v/>
      </c>
      <c r="U20" s="37">
        <f>SUMIF('YBN FH TB'!$R:$R,'FH P&amp;L'!$A20,'YBN FH TB'!I:I)</f>
        <v/>
      </c>
      <c r="V20" s="38" t="n">
        <v>50</v>
      </c>
      <c r="W20" s="38" t="n">
        <v>50</v>
      </c>
      <c r="X20" s="38" t="n">
        <v>50</v>
      </c>
      <c r="Y20" s="38" t="n">
        <v>50</v>
      </c>
      <c r="Z20" s="38" t="n">
        <v>50</v>
      </c>
      <c r="AA20" s="36">
        <f>SUM(O20:U20)</f>
        <v/>
      </c>
      <c r="AB20" s="36">
        <f>SUM(O20:Z20)</f>
        <v/>
      </c>
      <c r="AC20" s="38" t="n">
        <v>50</v>
      </c>
      <c r="AD20" s="38" t="n">
        <v>50</v>
      </c>
      <c r="AE20" s="38" t="n">
        <v>50</v>
      </c>
      <c r="AF20" s="38" t="n">
        <v>50</v>
      </c>
      <c r="AG20" s="38" t="n">
        <v>50</v>
      </c>
      <c r="AH20" s="38" t="n">
        <v>50</v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52.64</v>
      </c>
      <c r="C21" s="35" t="n">
        <v>83.47</v>
      </c>
      <c r="D21" s="35" t="n">
        <v>184.8</v>
      </c>
      <c r="E21" s="35" t="n">
        <v>82.88</v>
      </c>
      <c r="F21" s="35" t="n">
        <v>111.1</v>
      </c>
      <c r="G21" s="35" t="n">
        <v>58.14</v>
      </c>
      <c r="H21" s="35" t="n">
        <v>174.11</v>
      </c>
      <c r="I21" s="35" t="n">
        <v>101.97</v>
      </c>
      <c r="J21" s="35" t="n">
        <v>76.61</v>
      </c>
      <c r="K21" s="35" t="n">
        <v>140.2</v>
      </c>
      <c r="L21" s="35" t="n">
        <v>107.45</v>
      </c>
      <c r="M21" s="35" t="n">
        <v>154.31</v>
      </c>
      <c r="N21" s="36">
        <f>SUM(B21:M21)</f>
        <v/>
      </c>
      <c r="O21" s="37">
        <f>SUMIF('YBN FH TB'!$R:$R,'FH P&amp;L'!$A21,'YBN FH TB'!C:C)</f>
        <v/>
      </c>
      <c r="P21" s="37">
        <f>SUMIF('YBN FH TB'!$R:$R,'FH P&amp;L'!$A21,'YBN FH TB'!D:D)</f>
        <v/>
      </c>
      <c r="Q21" s="37">
        <f>SUMIF('YBN FH TB'!$R:$R,'FH P&amp;L'!$A21,'YBN FH TB'!E:E)</f>
        <v/>
      </c>
      <c r="R21" s="37">
        <f>SUMIF('YBN FH TB'!$R:$R,'FH P&amp;L'!$A21,'YBN FH TB'!F:F)</f>
        <v/>
      </c>
      <c r="S21" s="37">
        <f>SUMIF('YBN FH TB'!$R:$R,'FH P&amp;L'!$A21,'YBN FH TB'!G:G)</f>
        <v/>
      </c>
      <c r="T21" s="37">
        <f>SUMIF('YBN FH TB'!$R:$R,'FH P&amp;L'!$A21,'YBN FH TB'!H:H)</f>
        <v/>
      </c>
      <c r="U21" s="37">
        <f>SUMIF('YBN FH TB'!$R:$R,'FH P&amp;L'!$A21,'YBN FH TB'!I:I)</f>
        <v/>
      </c>
      <c r="V21" s="38" t="n">
        <v>70</v>
      </c>
      <c r="W21" s="38" t="n">
        <v>70</v>
      </c>
      <c r="X21" s="38" t="n">
        <v>70</v>
      </c>
      <c r="Y21" s="38" t="n">
        <v>70</v>
      </c>
      <c r="Z21" s="38" t="n">
        <v>70</v>
      </c>
      <c r="AA21" s="36">
        <f>SUM(O21:U21)</f>
        <v/>
      </c>
      <c r="AB21" s="36">
        <f>SUM(O21:Z21)</f>
        <v/>
      </c>
      <c r="AC21" s="38" t="n">
        <v>70</v>
      </c>
      <c r="AD21" s="38" t="n">
        <v>70</v>
      </c>
      <c r="AE21" s="38" t="n">
        <v>70</v>
      </c>
      <c r="AF21" s="38" t="n">
        <v>70</v>
      </c>
      <c r="AG21" s="38" t="n">
        <v>70</v>
      </c>
      <c r="AH21" s="38" t="n">
        <v>70</v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SUMIF('YBN FH TB'!$R:$R,'FH P&amp;L'!$A22,'YBN FH TB'!C:C)</f>
        <v/>
      </c>
      <c r="P22" s="37">
        <f>SUMIF('YBN FH TB'!$R:$R,'FH P&amp;L'!$A22,'YBN FH TB'!D:D)</f>
        <v/>
      </c>
      <c r="Q22" s="37">
        <f>SUMIF('YBN FH TB'!$R:$R,'FH P&amp;L'!$A22,'YBN FH TB'!E:E)</f>
        <v/>
      </c>
      <c r="R22" s="37">
        <f>SUMIF('YBN FH TB'!$R:$R,'FH P&amp;L'!$A22,'YBN FH TB'!F:F)</f>
        <v/>
      </c>
      <c r="S22" s="37">
        <f>SUMIF('YBN FH TB'!$R:$R,'FH P&amp;L'!$A22,'YBN FH TB'!G:G)</f>
        <v/>
      </c>
      <c r="T22" s="37">
        <f>SUMIF('YBN FH TB'!$R:$R,'FH P&amp;L'!$A22,'YBN FH TB'!H:H)</f>
        <v/>
      </c>
      <c r="U22" s="37">
        <f>SUMIF('YBN FH TB'!$R:$R,'FH P&amp;L'!$A22,'YBN FH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15.98</v>
      </c>
      <c r="I23" s="35" t="n">
        <v>0</v>
      </c>
      <c r="J23" s="35" t="n">
        <v>0</v>
      </c>
      <c r="K23" s="35" t="n">
        <v>17.97</v>
      </c>
      <c r="L23" s="35" t="n">
        <v>0</v>
      </c>
      <c r="M23" s="35" t="n">
        <v>0</v>
      </c>
      <c r="N23" s="36">
        <f>SUM(B23:M23)</f>
        <v/>
      </c>
      <c r="O23" s="37">
        <f>SUMIF('YBN FH TB'!$R:$R,'FH P&amp;L'!$A23,'YBN FH TB'!C:C)</f>
        <v/>
      </c>
      <c r="P23" s="37">
        <f>SUMIF('YBN FH TB'!$R:$R,'FH P&amp;L'!$A23,'YBN FH TB'!D:D)</f>
        <v/>
      </c>
      <c r="Q23" s="37">
        <f>SUMIF('YBN FH TB'!$R:$R,'FH P&amp;L'!$A23,'YBN FH TB'!E:E)</f>
        <v/>
      </c>
      <c r="R23" s="37">
        <f>SUMIF('YBN FH TB'!$R:$R,'FH P&amp;L'!$A23,'YBN FH TB'!F:F)</f>
        <v/>
      </c>
      <c r="S23" s="37">
        <f>SUMIF('YBN FH TB'!$R:$R,'FH P&amp;L'!$A23,'YBN FH TB'!G:G)</f>
        <v/>
      </c>
      <c r="T23" s="37">
        <f>SUMIF('YBN FH TB'!$R:$R,'FH P&amp;L'!$A23,'YBN FH TB'!H:H)</f>
        <v/>
      </c>
      <c r="U23" s="37">
        <f>SUMIF('YBN FH TB'!$R:$R,'FH P&amp;L'!$A23,'YBN FH TB'!I:I)</f>
        <v/>
      </c>
      <c r="V23" s="38" t="n">
        <v>29</v>
      </c>
      <c r="W23" s="38" t="n">
        <v>29</v>
      </c>
      <c r="X23" s="38" t="n">
        <v>29</v>
      </c>
      <c r="Y23" s="38" t="n">
        <v>29</v>
      </c>
      <c r="Z23" s="38" t="n">
        <v>29</v>
      </c>
      <c r="AA23" s="36">
        <f>SUM(O23:U23)</f>
        <v/>
      </c>
      <c r="AB23" s="36">
        <f>SUM(O23:Z23)</f>
        <v/>
      </c>
      <c r="AC23" s="38" t="n">
        <v>29</v>
      </c>
      <c r="AD23" s="38" t="n">
        <v>29</v>
      </c>
      <c r="AE23" s="38" t="n">
        <v>29</v>
      </c>
      <c r="AF23" s="38" t="n">
        <v>29</v>
      </c>
      <c r="AG23" s="38" t="n">
        <v>29</v>
      </c>
      <c r="AH23" s="38" t="n">
        <v>29</v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SUMIF('YBN FH TB'!$R:$R,'FH P&amp;L'!$A24,'YBN FH TB'!C:C)</f>
        <v/>
      </c>
      <c r="P24" s="37">
        <f>SUMIF('YBN FH TB'!$R:$R,'FH P&amp;L'!$A24,'YBN FH TB'!D:D)</f>
        <v/>
      </c>
      <c r="Q24" s="37">
        <f>SUMIF('YBN FH TB'!$R:$R,'FH P&amp;L'!$A24,'YBN FH TB'!E:E)</f>
        <v/>
      </c>
      <c r="R24" s="37">
        <f>SUMIF('YBN FH TB'!$R:$R,'FH P&amp;L'!$A24,'YBN FH TB'!F:F)</f>
        <v/>
      </c>
      <c r="S24" s="37">
        <f>SUMIF('YBN FH TB'!$R:$R,'FH P&amp;L'!$A24,'YBN FH TB'!G:G)</f>
        <v/>
      </c>
      <c r="T24" s="37">
        <f>SUMIF('YBN FH TB'!$R:$R,'FH P&amp;L'!$A24,'YBN FH TB'!H:H)</f>
        <v/>
      </c>
      <c r="U24" s="37">
        <f>SUMIF('YBN FH TB'!$R:$R,'FH P&amp;L'!$A24,'YBN FH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15237.76</v>
      </c>
      <c r="C25" s="42" t="n">
        <v>15403.43</v>
      </c>
      <c r="D25" s="42" t="n">
        <v>12032.29</v>
      </c>
      <c r="E25" s="42" t="n">
        <v>13190.74</v>
      </c>
      <c r="F25" s="42" t="n">
        <v>13389.22</v>
      </c>
      <c r="G25" s="42" t="n">
        <v>13121.69</v>
      </c>
      <c r="H25" s="42" t="n">
        <v>16994.95</v>
      </c>
      <c r="I25" s="42" t="n">
        <v>14247.8</v>
      </c>
      <c r="J25" s="42" t="n">
        <v>13644.29</v>
      </c>
      <c r="K25" s="42" t="n">
        <v>16145.13</v>
      </c>
      <c r="L25" s="42" t="n">
        <v>17393.09</v>
      </c>
      <c r="M25" s="42" t="n">
        <v>14565.67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735.61</v>
      </c>
      <c r="C27" s="35" t="n">
        <v>683.37</v>
      </c>
      <c r="D27" s="35" t="n">
        <v>752.22</v>
      </c>
      <c r="E27" s="35" t="n">
        <v>536.96</v>
      </c>
      <c r="F27" s="35" t="n">
        <v>708.88</v>
      </c>
      <c r="G27" s="35" t="n">
        <v>538.97</v>
      </c>
      <c r="H27" s="35" t="n">
        <v>591.0500000000001</v>
      </c>
      <c r="I27" s="35" t="n">
        <v>562.48</v>
      </c>
      <c r="J27" s="35" t="n">
        <v>397.93</v>
      </c>
      <c r="K27" s="35" t="n">
        <v>604.29</v>
      </c>
      <c r="L27" s="35" t="n">
        <v>540.3200000000001</v>
      </c>
      <c r="M27" s="35" t="n">
        <v>400.26</v>
      </c>
      <c r="N27" s="36">
        <f>SUM(B27:M27)</f>
        <v/>
      </c>
      <c r="O27" s="37">
        <f>SUMIF('YBN FH TB'!$R:$R,'FH P&amp;L'!$A27,'YBN FH TB'!C:C)</f>
        <v/>
      </c>
      <c r="P27" s="37">
        <f>SUMIF('YBN FH TB'!$R:$R,'FH P&amp;L'!$A27,'YBN FH TB'!D:D)</f>
        <v/>
      </c>
      <c r="Q27" s="37">
        <f>SUMIF('YBN FH TB'!$R:$R,'FH P&amp;L'!$A27,'YBN FH TB'!E:E)</f>
        <v/>
      </c>
      <c r="R27" s="37">
        <f>SUMIF('YBN FH TB'!$R:$R,'FH P&amp;L'!$A27,'YBN FH TB'!F:F)</f>
        <v/>
      </c>
      <c r="S27" s="37">
        <f>SUMIF('YBN FH TB'!$R:$R,'FH P&amp;L'!$A27,'YBN FH TB'!G:G)</f>
        <v/>
      </c>
      <c r="T27" s="37">
        <f>SUMIF('YBN FH TB'!$R:$R,'FH P&amp;L'!$A27,'YBN FH TB'!H:H)</f>
        <v/>
      </c>
      <c r="U27" s="37">
        <f>SUMIF('YBN FH TB'!$R:$R,'FH P&amp;L'!$A27,'YBN FH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51" t="n">
        <v>0.0312</v>
      </c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111.07</v>
      </c>
      <c r="C28" s="35" t="n">
        <v>29.84</v>
      </c>
      <c r="D28" s="35" t="n">
        <v>112.62</v>
      </c>
      <c r="E28" s="35" t="n">
        <v>222.49</v>
      </c>
      <c r="F28" s="35" t="n">
        <v>143.88</v>
      </c>
      <c r="G28" s="35" t="n">
        <v>29.34</v>
      </c>
      <c r="H28" s="35" t="n">
        <v>10.94</v>
      </c>
      <c r="I28" s="35" t="n">
        <v>61.39000000000001</v>
      </c>
      <c r="J28" s="35" t="n">
        <v>0</v>
      </c>
      <c r="K28" s="35" t="n">
        <v>524.92</v>
      </c>
      <c r="L28" s="35" t="n">
        <v>5.57</v>
      </c>
      <c r="M28" s="35" t="n">
        <v>12</v>
      </c>
      <c r="N28" s="36">
        <f>SUM(B28:M28)</f>
        <v/>
      </c>
      <c r="O28" s="37">
        <f>SUMIF('YBN FH TB'!$R:$R,'FH P&amp;L'!$A28,'YBN FH TB'!C:C)</f>
        <v/>
      </c>
      <c r="P28" s="37">
        <f>SUMIF('YBN FH TB'!$R:$R,'FH P&amp;L'!$A28,'YBN FH TB'!D:D)</f>
        <v/>
      </c>
      <c r="Q28" s="37">
        <f>SUMIF('YBN FH TB'!$R:$R,'FH P&amp;L'!$A28,'YBN FH TB'!E:E)</f>
        <v/>
      </c>
      <c r="R28" s="37">
        <f>SUMIF('YBN FH TB'!$R:$R,'FH P&amp;L'!$A28,'YBN FH TB'!F:F)</f>
        <v/>
      </c>
      <c r="S28" s="37">
        <f>SUMIF('YBN FH TB'!$R:$R,'FH P&amp;L'!$A28,'YBN FH TB'!G:G)</f>
        <v/>
      </c>
      <c r="T28" s="37">
        <f>SUMIF('YBN FH TB'!$R:$R,'FH P&amp;L'!$A28,'YBN FH TB'!H:H)</f>
        <v/>
      </c>
      <c r="U28" s="37">
        <f>SUMIF('YBN FH TB'!$R:$R,'FH P&amp;L'!$A28,'YBN FH TB'!I:I)</f>
        <v/>
      </c>
      <c r="V28" s="38" t="n">
        <v>54</v>
      </c>
      <c r="W28" s="38" t="n">
        <v>55</v>
      </c>
      <c r="X28" s="38" t="n">
        <v>56</v>
      </c>
      <c r="Y28" s="38" t="n">
        <v>57</v>
      </c>
      <c r="Z28" s="38" t="n">
        <v>58</v>
      </c>
      <c r="AA28" s="36">
        <f>SUM(O28:U28)</f>
        <v/>
      </c>
      <c r="AB28" s="36">
        <f>SUM(O28:Z28)</f>
        <v/>
      </c>
      <c r="AC28" s="38" t="n">
        <v>58</v>
      </c>
      <c r="AD28" s="38" t="n">
        <v>58</v>
      </c>
      <c r="AE28" s="38" t="n">
        <v>58</v>
      </c>
      <c r="AF28" s="38" t="n">
        <v>58</v>
      </c>
      <c r="AG28" s="38" t="n">
        <v>58</v>
      </c>
      <c r="AH28" s="38" t="n">
        <v>58</v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37.5</v>
      </c>
      <c r="C29" s="35" t="n">
        <v>30.89</v>
      </c>
      <c r="D29" s="35" t="n">
        <v>8.99</v>
      </c>
      <c r="E29" s="35" t="n">
        <v>28.67</v>
      </c>
      <c r="F29" s="35" t="n">
        <v>10.09</v>
      </c>
      <c r="G29" s="35" t="n">
        <v>-40.98</v>
      </c>
      <c r="H29" s="35" t="n">
        <v>35.19</v>
      </c>
      <c r="I29" s="35" t="n">
        <v>25.68</v>
      </c>
      <c r="J29" s="35" t="n">
        <v>43.93</v>
      </c>
      <c r="K29" s="35" t="n">
        <v>24.48</v>
      </c>
      <c r="L29" s="35" t="n">
        <v>110.18</v>
      </c>
      <c r="M29" s="35" t="n">
        <v>15.39</v>
      </c>
      <c r="N29" s="36">
        <f>SUM(B29:M29)</f>
        <v/>
      </c>
      <c r="O29" s="37">
        <f>SUMIF('YBN FH TB'!$R:$R,'FH P&amp;L'!$A29,'YBN FH TB'!C:C)</f>
        <v/>
      </c>
      <c r="P29" s="37">
        <f>SUMIF('YBN FH TB'!$R:$R,'FH P&amp;L'!$A29,'YBN FH TB'!D:D)</f>
        <v/>
      </c>
      <c r="Q29" s="37">
        <f>SUMIF('YBN FH TB'!$R:$R,'FH P&amp;L'!$A29,'YBN FH TB'!E:E)</f>
        <v/>
      </c>
      <c r="R29" s="37">
        <f>SUMIF('YBN FH TB'!$R:$R,'FH P&amp;L'!$A29,'YBN FH TB'!F:F)</f>
        <v/>
      </c>
      <c r="S29" s="37">
        <f>SUMIF('YBN FH TB'!$R:$R,'FH P&amp;L'!$A29,'YBN FH TB'!G:G)</f>
        <v/>
      </c>
      <c r="T29" s="37">
        <f>SUMIF('YBN FH TB'!$R:$R,'FH P&amp;L'!$A29,'YBN FH TB'!H:H)</f>
        <v/>
      </c>
      <c r="U29" s="37">
        <f>SUMIF('YBN FH TB'!$R:$R,'FH P&amp;L'!$A29,'YBN FH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51" t="n">
        <v>0.00208</v>
      </c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26.31</v>
      </c>
      <c r="C30" s="35" t="n">
        <v>20.61</v>
      </c>
      <c r="D30" s="35" t="n">
        <v>3.69</v>
      </c>
      <c r="E30" s="35" t="n">
        <v>0</v>
      </c>
      <c r="F30" s="35" t="n">
        <v>16.59</v>
      </c>
      <c r="G30" s="35" t="n">
        <v>13.46</v>
      </c>
      <c r="H30" s="35" t="n">
        <v>25.94</v>
      </c>
      <c r="I30" s="35" t="n">
        <v>27.14</v>
      </c>
      <c r="J30" s="35" t="n">
        <v>20.75</v>
      </c>
      <c r="K30" s="35" t="n">
        <v>24.9</v>
      </c>
      <c r="L30" s="35" t="n">
        <v>0</v>
      </c>
      <c r="M30" s="35" t="n">
        <v>4.99</v>
      </c>
      <c r="N30" s="36">
        <f>SUM(B30:M30)</f>
        <v/>
      </c>
      <c r="O30" s="37">
        <f>SUMIF('YBN FH TB'!$R:$R,'FH P&amp;L'!$A30,'YBN FH TB'!C:C)</f>
        <v/>
      </c>
      <c r="P30" s="37">
        <f>SUMIF('YBN FH TB'!$R:$R,'FH P&amp;L'!$A30,'YBN FH TB'!D:D)</f>
        <v/>
      </c>
      <c r="Q30" s="37">
        <f>SUMIF('YBN FH TB'!$R:$R,'FH P&amp;L'!$A30,'YBN FH TB'!E:E)</f>
        <v/>
      </c>
      <c r="R30" s="37">
        <f>SUMIF('YBN FH TB'!$R:$R,'FH P&amp;L'!$A30,'YBN FH TB'!F:F)</f>
        <v/>
      </c>
      <c r="S30" s="37">
        <f>SUMIF('YBN FH TB'!$R:$R,'FH P&amp;L'!$A30,'YBN FH TB'!G:G)</f>
        <v/>
      </c>
      <c r="T30" s="37">
        <f>SUMIF('YBN FH TB'!$R:$R,'FH P&amp;L'!$A30,'YBN FH TB'!H:H)</f>
        <v/>
      </c>
      <c r="U30" s="37">
        <f>SUMIF('YBN FH TB'!$R:$R,'FH P&amp;L'!$A30,'YBN FH TB'!I:I)</f>
        <v/>
      </c>
      <c r="V30" s="38" t="n">
        <v>70</v>
      </c>
      <c r="W30" s="38" t="n">
        <v>70</v>
      </c>
      <c r="X30" s="38" t="n">
        <v>70</v>
      </c>
      <c r="Y30" s="38" t="n">
        <v>70</v>
      </c>
      <c r="Z30" s="38" t="n">
        <v>70</v>
      </c>
      <c r="AA30" s="36">
        <f>SUM(O30:U30)</f>
        <v/>
      </c>
      <c r="AB30" s="36">
        <f>SUM(O30:Z30)</f>
        <v/>
      </c>
      <c r="AC30" s="38" t="n">
        <v>70</v>
      </c>
      <c r="AD30" s="38" t="n">
        <v>70</v>
      </c>
      <c r="AE30" s="38" t="n">
        <v>70</v>
      </c>
      <c r="AF30" s="38" t="n">
        <v>70</v>
      </c>
      <c r="AG30" s="38" t="n">
        <v>70</v>
      </c>
      <c r="AH30" s="38" t="n">
        <v>70</v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0</v>
      </c>
      <c r="C31" s="35" t="n">
        <v>25.46</v>
      </c>
      <c r="D31" s="35" t="n">
        <v>30.22</v>
      </c>
      <c r="E31" s="35" t="n">
        <v>24.98</v>
      </c>
      <c r="F31" s="35" t="n">
        <v>0</v>
      </c>
      <c r="G31" s="35" t="n">
        <v>30.47</v>
      </c>
      <c r="H31" s="35" t="n">
        <v>34.33</v>
      </c>
      <c r="I31" s="35" t="n">
        <v>0</v>
      </c>
      <c r="J31" s="35" t="n">
        <v>273.99</v>
      </c>
      <c r="K31" s="35" t="n">
        <v>233.99</v>
      </c>
      <c r="L31" s="35" t="n">
        <v>0</v>
      </c>
      <c r="M31" s="35" t="n">
        <v>5.99</v>
      </c>
      <c r="N31" s="36">
        <f>SUM(B31:M31)</f>
        <v/>
      </c>
      <c r="O31" s="37">
        <f>SUMIF('YBN FH TB'!$R:$R,'FH P&amp;L'!$A31,'YBN FH TB'!C:C)</f>
        <v/>
      </c>
      <c r="P31" s="37">
        <f>SUMIF('YBN FH TB'!$R:$R,'FH P&amp;L'!$A31,'YBN FH TB'!D:D)</f>
        <v/>
      </c>
      <c r="Q31" s="37">
        <f>SUMIF('YBN FH TB'!$R:$R,'FH P&amp;L'!$A31,'YBN FH TB'!E:E)</f>
        <v/>
      </c>
      <c r="R31" s="37">
        <f>SUMIF('YBN FH TB'!$R:$R,'FH P&amp;L'!$A31,'YBN FH TB'!F:F)</f>
        <v/>
      </c>
      <c r="S31" s="37">
        <f>SUMIF('YBN FH TB'!$R:$R,'FH P&amp;L'!$A31,'YBN FH TB'!G:G)</f>
        <v/>
      </c>
      <c r="T31" s="37">
        <f>SUMIF('YBN FH TB'!$R:$R,'FH P&amp;L'!$A31,'YBN FH TB'!H:H)</f>
        <v/>
      </c>
      <c r="U31" s="37">
        <f>SUMIF('YBN FH TB'!$R:$R,'FH P&amp;L'!$A31,'YBN FH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98.23999999999999</v>
      </c>
      <c r="C32" s="35" t="n">
        <v>25.47</v>
      </c>
      <c r="D32" s="35" t="n">
        <v>66.56</v>
      </c>
      <c r="E32" s="35" t="n">
        <v>37.94</v>
      </c>
      <c r="F32" s="35" t="n">
        <v>20.18</v>
      </c>
      <c r="G32" s="35" t="n">
        <v>111.77</v>
      </c>
      <c r="H32" s="35" t="n">
        <v>81.71000000000001</v>
      </c>
      <c r="I32" s="35" t="n">
        <v>36.6</v>
      </c>
      <c r="J32" s="35" t="n">
        <v>31.81</v>
      </c>
      <c r="K32" s="35" t="n">
        <v>48.4</v>
      </c>
      <c r="L32" s="35" t="n">
        <v>30.59</v>
      </c>
      <c r="M32" s="35" t="n">
        <v>87.74000000000001</v>
      </c>
      <c r="N32" s="36">
        <f>SUM(B32:M32)</f>
        <v/>
      </c>
      <c r="O32" s="37">
        <f>SUMIF('YBN FH TB'!$R:$R,'FH P&amp;L'!$A32,'YBN FH TB'!C:C)</f>
        <v/>
      </c>
      <c r="P32" s="37">
        <f>SUMIF('YBN FH TB'!$R:$R,'FH P&amp;L'!$A32,'YBN FH TB'!D:D)</f>
        <v/>
      </c>
      <c r="Q32" s="37">
        <f>SUMIF('YBN FH TB'!$R:$R,'FH P&amp;L'!$A32,'YBN FH TB'!E:E)</f>
        <v/>
      </c>
      <c r="R32" s="37">
        <f>SUMIF('YBN FH TB'!$R:$R,'FH P&amp;L'!$A32,'YBN FH TB'!F:F)</f>
        <v/>
      </c>
      <c r="S32" s="37">
        <f>SUMIF('YBN FH TB'!$R:$R,'FH P&amp;L'!$A32,'YBN FH TB'!G:G)</f>
        <v/>
      </c>
      <c r="T32" s="37">
        <f>SUMIF('YBN FH TB'!$R:$R,'FH P&amp;L'!$A32,'YBN FH TB'!H:H)</f>
        <v/>
      </c>
      <c r="U32" s="37">
        <f>SUMIF('YBN FH TB'!$R:$R,'FH P&amp;L'!$A32,'YBN FH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51" t="n">
        <v>0.004160000000000001</v>
      </c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SUMIF('YBN FH TB'!$R:$R,'FH P&amp;L'!$A33,'YBN FH TB'!C:C)</f>
        <v/>
      </c>
      <c r="P33" s="37">
        <f>SUMIF('YBN FH TB'!$R:$R,'FH P&amp;L'!$A33,'YBN FH TB'!D:D)</f>
        <v/>
      </c>
      <c r="Q33" s="37">
        <f>SUMIF('YBN FH TB'!$R:$R,'FH P&amp;L'!$A33,'YBN FH TB'!E:E)</f>
        <v/>
      </c>
      <c r="R33" s="37">
        <f>SUMIF('YBN FH TB'!$R:$R,'FH P&amp;L'!$A33,'YBN FH TB'!F:F)</f>
        <v/>
      </c>
      <c r="S33" s="37">
        <f>SUMIF('YBN FH TB'!$R:$R,'FH P&amp;L'!$A33,'YBN FH TB'!G:G)</f>
        <v/>
      </c>
      <c r="T33" s="37">
        <f>SUMIF('YBN FH TB'!$R:$R,'FH P&amp;L'!$A33,'YBN FH TB'!H:H)</f>
        <v/>
      </c>
      <c r="U33" s="37">
        <f>SUMIF('YBN FH TB'!$R:$R,'FH P&amp;L'!$A33,'YBN FH TB'!I:I)</f>
        <v/>
      </c>
      <c r="V33" s="38" t="n">
        <v>4</v>
      </c>
      <c r="W33" s="38" t="n">
        <v>5</v>
      </c>
      <c r="X33" s="38" t="n">
        <v>6</v>
      </c>
      <c r="Y33" s="38" t="n">
        <v>7</v>
      </c>
      <c r="Z33" s="38" t="n">
        <v>8</v>
      </c>
      <c r="AA33" s="36">
        <f>SUM(O33:U33)</f>
        <v/>
      </c>
      <c r="AB33" s="36">
        <f>SUM(O33:Z33)</f>
        <v/>
      </c>
      <c r="AC33" s="38" t="n">
        <v>8</v>
      </c>
      <c r="AD33" s="38" t="n">
        <v>8</v>
      </c>
      <c r="AE33" s="38" t="n">
        <v>8</v>
      </c>
      <c r="AF33" s="38" t="n">
        <v>8</v>
      </c>
      <c r="AG33" s="38" t="n">
        <v>8</v>
      </c>
      <c r="AH33" s="38" t="n">
        <v>8</v>
      </c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1008.73</v>
      </c>
      <c r="C34" s="42" t="n">
        <v>815.6400000000001</v>
      </c>
      <c r="D34" s="42" t="n">
        <v>974.3000000000002</v>
      </c>
      <c r="E34" s="42" t="n">
        <v>851.04</v>
      </c>
      <c r="F34" s="42" t="n">
        <v>899.62</v>
      </c>
      <c r="G34" s="42" t="n">
        <v>683.0300000000001</v>
      </c>
      <c r="H34" s="42" t="n">
        <v>779.1600000000002</v>
      </c>
      <c r="I34" s="42" t="n">
        <v>713.29</v>
      </c>
      <c r="J34" s="42" t="n">
        <v>768.41</v>
      </c>
      <c r="K34" s="42" t="n">
        <v>1460.98</v>
      </c>
      <c r="L34" s="42" t="n">
        <v>686.6600000000001</v>
      </c>
      <c r="M34" s="42" t="n">
        <v>526.37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900</v>
      </c>
      <c r="C36" s="35" t="n">
        <v>900</v>
      </c>
      <c r="D36" s="35" t="n">
        <v>900</v>
      </c>
      <c r="E36" s="35" t="n">
        <v>900</v>
      </c>
      <c r="F36" s="35" t="n">
        <v>900</v>
      </c>
      <c r="G36" s="35" t="n">
        <v>900</v>
      </c>
      <c r="H36" s="35" t="n">
        <v>900</v>
      </c>
      <c r="I36" s="35" t="n">
        <v>900</v>
      </c>
      <c r="J36" s="35" t="n">
        <v>900</v>
      </c>
      <c r="K36" s="35" t="n">
        <v>900</v>
      </c>
      <c r="L36" s="35" t="n">
        <v>900</v>
      </c>
      <c r="M36" s="35" t="n">
        <v>900</v>
      </c>
      <c r="N36" s="36">
        <f>SUM(B36:M36)</f>
        <v/>
      </c>
      <c r="O36" s="37">
        <f>SUMIF('YBN FH TB'!$R:$R,'FH P&amp;L'!$A36,'YBN FH TB'!C:C)</f>
        <v/>
      </c>
      <c r="P36" s="37">
        <f>SUMIF('YBN FH TB'!$R:$R,'FH P&amp;L'!$A36,'YBN FH TB'!D:D)</f>
        <v/>
      </c>
      <c r="Q36" s="37">
        <f>SUMIF('YBN FH TB'!$R:$R,'FH P&amp;L'!$A36,'YBN FH TB'!E:E)</f>
        <v/>
      </c>
      <c r="R36" s="37">
        <f>SUMIF('YBN FH TB'!$R:$R,'FH P&amp;L'!$A36,'YBN FH TB'!F:F)</f>
        <v/>
      </c>
      <c r="S36" s="37">
        <f>SUMIF('YBN FH TB'!$R:$R,'FH P&amp;L'!$A36,'YBN FH TB'!G:G)</f>
        <v/>
      </c>
      <c r="T36" s="37">
        <f>SUMIF('YBN FH TB'!$R:$R,'FH P&amp;L'!$A36,'YBN FH TB'!H:H)</f>
        <v/>
      </c>
      <c r="U36" s="37">
        <f>SUMIF('YBN FH TB'!$R:$R,'FH P&amp;L'!$A36,'YBN FH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665.33</v>
      </c>
      <c r="C37" s="35" t="n">
        <v>665.33</v>
      </c>
      <c r="D37" s="35" t="n">
        <v>665.33</v>
      </c>
      <c r="E37" s="35" t="n">
        <v>665.33</v>
      </c>
      <c r="F37" s="35" t="n">
        <v>665.33</v>
      </c>
      <c r="G37" s="35" t="n">
        <v>665.33</v>
      </c>
      <c r="H37" s="35" t="n">
        <v>665.33</v>
      </c>
      <c r="I37" s="35" t="n">
        <v>665.33</v>
      </c>
      <c r="J37" s="35" t="n">
        <v>665.33</v>
      </c>
      <c r="K37" s="35" t="n">
        <v>665.33</v>
      </c>
      <c r="L37" s="35" t="n">
        <v>665.33</v>
      </c>
      <c r="M37" s="35" t="n">
        <v>665.33</v>
      </c>
      <c r="N37" s="36">
        <f>SUM(B37:M37)</f>
        <v/>
      </c>
      <c r="O37" s="37">
        <f>SUMIF('YBN FH TB'!$R:$R,'FH P&amp;L'!$A37,'YBN FH TB'!C:C)</f>
        <v/>
      </c>
      <c r="P37" s="37">
        <f>SUMIF('YBN FH TB'!$R:$R,'FH P&amp;L'!$A37,'YBN FH TB'!D:D)</f>
        <v/>
      </c>
      <c r="Q37" s="37">
        <f>SUMIF('YBN FH TB'!$R:$R,'FH P&amp;L'!$A37,'YBN FH TB'!E:E)</f>
        <v/>
      </c>
      <c r="R37" s="37">
        <f>SUMIF('YBN FH TB'!$R:$R,'FH P&amp;L'!$A37,'YBN FH TB'!F:F)</f>
        <v/>
      </c>
      <c r="S37" s="37">
        <f>SUMIF('YBN FH TB'!$R:$R,'FH P&amp;L'!$A37,'YBN FH TB'!G:G)</f>
        <v/>
      </c>
      <c r="T37" s="37">
        <f>SUMIF('YBN FH TB'!$R:$R,'FH P&amp;L'!$A37,'YBN FH TB'!H:H)</f>
        <v/>
      </c>
      <c r="U37" s="37">
        <f>SUMIF('YBN FH TB'!$R:$R,'FH P&amp;L'!$A37,'YBN FH TB'!I:I)</f>
        <v/>
      </c>
      <c r="V37" s="38" t="n">
        <v>765</v>
      </c>
      <c r="W37" s="38" t="n">
        <v>765</v>
      </c>
      <c r="X37" s="38" t="n">
        <v>765</v>
      </c>
      <c r="Y37" s="38" t="n">
        <v>765</v>
      </c>
      <c r="Z37" s="38" t="n">
        <v>765</v>
      </c>
      <c r="AA37" s="36">
        <f>SUM(O37:U37)</f>
        <v/>
      </c>
      <c r="AB37" s="36">
        <f>SUM(O37:Z37)</f>
        <v/>
      </c>
      <c r="AC37" s="38" t="n">
        <v>765</v>
      </c>
      <c r="AD37" s="38" t="n">
        <v>765</v>
      </c>
      <c r="AE37" s="38" t="n">
        <v>765</v>
      </c>
      <c r="AF37" s="38" t="n">
        <v>765</v>
      </c>
      <c r="AG37" s="38" t="n">
        <v>765</v>
      </c>
      <c r="AH37" s="38" t="n">
        <v>765</v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1473.89</v>
      </c>
      <c r="C38" s="35" t="n">
        <v>1366.4</v>
      </c>
      <c r="D38" s="35" t="n">
        <v>2603.3</v>
      </c>
      <c r="E38" s="35" t="n">
        <v>1870.5</v>
      </c>
      <c r="F38" s="35" t="n">
        <v>1063.68</v>
      </c>
      <c r="G38" s="35" t="n">
        <v>1396.75</v>
      </c>
      <c r="H38" s="35" t="n">
        <v>1107.36</v>
      </c>
      <c r="I38" s="35" t="n">
        <v>1181</v>
      </c>
      <c r="J38" s="35" t="n">
        <v>-275.1799999999999</v>
      </c>
      <c r="K38" s="35" t="n">
        <v>839.92</v>
      </c>
      <c r="L38" s="35" t="n">
        <v>1036.6</v>
      </c>
      <c r="M38" s="35" t="n">
        <v>2199.25</v>
      </c>
      <c r="N38" s="36">
        <f>SUM(B38:M38)</f>
        <v/>
      </c>
      <c r="O38" s="37">
        <f>SUMIF('YBN FH TB'!$R:$R,'FH P&amp;L'!$A38,'YBN FH TB'!C:C)</f>
        <v/>
      </c>
      <c r="P38" s="37">
        <f>SUMIF('YBN FH TB'!$R:$R,'FH P&amp;L'!$A38,'YBN FH TB'!D:D)</f>
        <v/>
      </c>
      <c r="Q38" s="37">
        <f>SUMIF('YBN FH TB'!$R:$R,'FH P&amp;L'!$A38,'YBN FH TB'!E:E)</f>
        <v/>
      </c>
      <c r="R38" s="37">
        <f>SUMIF('YBN FH TB'!$R:$R,'FH P&amp;L'!$A38,'YBN FH TB'!F:F)</f>
        <v/>
      </c>
      <c r="S38" s="37">
        <f>SUMIF('YBN FH TB'!$R:$R,'FH P&amp;L'!$A38,'YBN FH TB'!G:G)</f>
        <v/>
      </c>
      <c r="T38" s="37">
        <f>SUMIF('YBN FH TB'!$R:$R,'FH P&amp;L'!$A38,'YBN FH TB'!H:H)</f>
        <v/>
      </c>
      <c r="U38" s="37">
        <f>SUMIF('YBN FH TB'!$R:$R,'FH P&amp;L'!$A38,'YBN FH TB'!I:I)</f>
        <v/>
      </c>
      <c r="V38" s="38" t="n">
        <v>1340</v>
      </c>
      <c r="W38" s="38" t="n">
        <v>1340</v>
      </c>
      <c r="X38" s="38" t="n">
        <v>1340</v>
      </c>
      <c r="Y38" s="38" t="n">
        <v>1340</v>
      </c>
      <c r="Z38" s="38" t="n">
        <v>1340</v>
      </c>
      <c r="AA38" s="36">
        <f>SUM(O38:U38)</f>
        <v/>
      </c>
      <c r="AB38" s="36">
        <f>SUM(O38:Z38)</f>
        <v/>
      </c>
      <c r="AC38" s="38" t="n">
        <v>1340</v>
      </c>
      <c r="AD38" s="38" t="n">
        <v>1340</v>
      </c>
      <c r="AE38" s="38" t="n">
        <v>1340</v>
      </c>
      <c r="AF38" s="38" t="n">
        <v>1340</v>
      </c>
      <c r="AG38" s="38" t="n">
        <v>1340</v>
      </c>
      <c r="AH38" s="38" t="n">
        <v>1340</v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190.89</v>
      </c>
      <c r="C39" s="35" t="n">
        <v>334.56</v>
      </c>
      <c r="D39" s="35" t="n">
        <v>31.18</v>
      </c>
      <c r="E39" s="35" t="n">
        <v>140.03</v>
      </c>
      <c r="F39" s="35" t="n">
        <v>268.7</v>
      </c>
      <c r="G39" s="35" t="n">
        <v>6.98</v>
      </c>
      <c r="H39" s="35" t="n">
        <v>375.45</v>
      </c>
      <c r="I39" s="35" t="n">
        <v>68.62</v>
      </c>
      <c r="J39" s="35" t="n">
        <v>190.13</v>
      </c>
      <c r="K39" s="35" t="n">
        <v>37.19</v>
      </c>
      <c r="L39" s="35" t="n">
        <v>367.46</v>
      </c>
      <c r="M39" s="35" t="n">
        <v>121.98</v>
      </c>
      <c r="N39" s="36">
        <f>SUM(B39:M39)</f>
        <v/>
      </c>
      <c r="O39" s="37">
        <f>SUMIF('YBN FH TB'!$R:$R,'FH P&amp;L'!$A39,'YBN FH TB'!C:C)</f>
        <v/>
      </c>
      <c r="P39" s="37">
        <f>SUMIF('YBN FH TB'!$R:$R,'FH P&amp;L'!$A39,'YBN FH TB'!D:D)</f>
        <v/>
      </c>
      <c r="Q39" s="37">
        <f>SUMIF('YBN FH TB'!$R:$R,'FH P&amp;L'!$A39,'YBN FH TB'!E:E)</f>
        <v/>
      </c>
      <c r="R39" s="37">
        <f>SUMIF('YBN FH TB'!$R:$R,'FH P&amp;L'!$A39,'YBN FH TB'!F:F)</f>
        <v/>
      </c>
      <c r="S39" s="37">
        <f>SUMIF('YBN FH TB'!$R:$R,'FH P&amp;L'!$A39,'YBN FH TB'!G:G)</f>
        <v/>
      </c>
      <c r="T39" s="37">
        <f>SUMIF('YBN FH TB'!$R:$R,'FH P&amp;L'!$A39,'YBN FH TB'!H:H)</f>
        <v/>
      </c>
      <c r="U39" s="37">
        <f>SUMIF('YBN FH TB'!$R:$R,'FH P&amp;L'!$A39,'YBN FH TB'!I:I)</f>
        <v/>
      </c>
      <c r="V39" s="38" t="n">
        <v>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190.06</v>
      </c>
      <c r="C40" s="35" t="n">
        <v>202.06</v>
      </c>
      <c r="D40" s="35" t="n">
        <v>55.16999999999999</v>
      </c>
      <c r="E40" s="35" t="n">
        <v>160.01</v>
      </c>
      <c r="F40" s="35" t="n">
        <v>83.73999999999999</v>
      </c>
      <c r="G40" s="35" t="n">
        <v>65.2</v>
      </c>
      <c r="H40" s="35" t="n">
        <v>159.27</v>
      </c>
      <c r="I40" s="35" t="n">
        <v>99.89</v>
      </c>
      <c r="J40" s="35" t="n">
        <v>134.23</v>
      </c>
      <c r="K40" s="35" t="n">
        <v>129.5</v>
      </c>
      <c r="L40" s="35" t="n">
        <v>136.31</v>
      </c>
      <c r="M40" s="35" t="n">
        <v>5.71</v>
      </c>
      <c r="N40" s="36">
        <f>SUM(B40:M40)</f>
        <v/>
      </c>
      <c r="O40" s="37">
        <f>SUMIF('YBN FH TB'!$R:$R,'FH P&amp;L'!$A40,'YBN FH TB'!C:C)</f>
        <v/>
      </c>
      <c r="P40" s="37">
        <f>SUMIF('YBN FH TB'!$R:$R,'FH P&amp;L'!$A40,'YBN FH TB'!D:D)</f>
        <v/>
      </c>
      <c r="Q40" s="37">
        <f>SUMIF('YBN FH TB'!$R:$R,'FH P&amp;L'!$A40,'YBN FH TB'!E:E)</f>
        <v/>
      </c>
      <c r="R40" s="37">
        <f>SUMIF('YBN FH TB'!$R:$R,'FH P&amp;L'!$A40,'YBN FH TB'!F:F)</f>
        <v/>
      </c>
      <c r="S40" s="37">
        <f>SUMIF('YBN FH TB'!$R:$R,'FH P&amp;L'!$A40,'YBN FH TB'!G:G)</f>
        <v/>
      </c>
      <c r="T40" s="37">
        <f>SUMIF('YBN FH TB'!$R:$R,'FH P&amp;L'!$A40,'YBN FH TB'!H:H)</f>
        <v/>
      </c>
      <c r="U40" s="37">
        <f>SUMIF('YBN FH TB'!$R:$R,'FH P&amp;L'!$A40,'YBN FH TB'!I:I)</f>
        <v/>
      </c>
      <c r="V40" s="38" t="n">
        <v>128</v>
      </c>
      <c r="W40" s="38" t="n">
        <v>128</v>
      </c>
      <c r="X40" s="38" t="n">
        <v>128</v>
      </c>
      <c r="Y40" s="38" t="n">
        <v>128</v>
      </c>
      <c r="Z40" s="38" t="n">
        <v>128</v>
      </c>
      <c r="AA40" s="36">
        <f>SUM(O40:U40)</f>
        <v/>
      </c>
      <c r="AB40" s="36">
        <f>SUM(O40:Z40)</f>
        <v/>
      </c>
      <c r="AC40" s="38" t="n">
        <v>128</v>
      </c>
      <c r="AD40" s="38" t="n">
        <v>128</v>
      </c>
      <c r="AE40" s="38" t="n">
        <v>128</v>
      </c>
      <c r="AF40" s="38" t="n">
        <v>128</v>
      </c>
      <c r="AG40" s="38" t="n">
        <v>128</v>
      </c>
      <c r="AH40" s="38" t="n">
        <v>128</v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370.63</v>
      </c>
      <c r="C41" s="35" t="n">
        <v>434.89</v>
      </c>
      <c r="D41" s="35" t="n">
        <v>421.63</v>
      </c>
      <c r="E41" s="35" t="n">
        <v>380.28</v>
      </c>
      <c r="F41" s="35" t="n">
        <v>383.48</v>
      </c>
      <c r="G41" s="35" t="n">
        <v>436.89</v>
      </c>
      <c r="H41" s="35" t="n">
        <v>383.48</v>
      </c>
      <c r="I41" s="35" t="n">
        <v>491.1800000000001</v>
      </c>
      <c r="J41" s="35" t="n">
        <v>436.89</v>
      </c>
      <c r="K41" s="35" t="n">
        <v>392.44</v>
      </c>
      <c r="L41" s="35" t="n">
        <v>399.43</v>
      </c>
      <c r="M41" s="35" t="n">
        <v>470.88</v>
      </c>
      <c r="N41" s="36">
        <f>SUM(B41:M41)</f>
        <v/>
      </c>
      <c r="O41" s="37">
        <f>SUMIF('YBN FH TB'!$R:$R,'FH P&amp;L'!$A41,'YBN FH TB'!C:C)</f>
        <v/>
      </c>
      <c r="P41" s="37">
        <f>SUMIF('YBN FH TB'!$R:$R,'FH P&amp;L'!$A41,'YBN FH TB'!D:D)</f>
        <v/>
      </c>
      <c r="Q41" s="37">
        <f>SUMIF('YBN FH TB'!$R:$R,'FH P&amp;L'!$A41,'YBN FH TB'!E:E)</f>
        <v/>
      </c>
      <c r="R41" s="37">
        <f>SUMIF('YBN FH TB'!$R:$R,'FH P&amp;L'!$A41,'YBN FH TB'!F:F)</f>
        <v/>
      </c>
      <c r="S41" s="37">
        <f>SUMIF('YBN FH TB'!$R:$R,'FH P&amp;L'!$A41,'YBN FH TB'!G:G)</f>
        <v/>
      </c>
      <c r="T41" s="37">
        <f>SUMIF('YBN FH TB'!$R:$R,'FH P&amp;L'!$A41,'YBN FH TB'!H:H)</f>
        <v/>
      </c>
      <c r="U41" s="37">
        <f>SUMIF('YBN FH TB'!$R:$R,'FH P&amp;L'!$A41,'YBN FH TB'!I:I)</f>
        <v/>
      </c>
      <c r="V41" s="38" t="n">
        <v>414</v>
      </c>
      <c r="W41" s="38" t="n">
        <v>414</v>
      </c>
      <c r="X41" s="38" t="n">
        <v>414</v>
      </c>
      <c r="Y41" s="38" t="n">
        <v>414</v>
      </c>
      <c r="Z41" s="38" t="n">
        <v>414</v>
      </c>
      <c r="AA41" s="36">
        <f>SUM(O41:U41)</f>
        <v/>
      </c>
      <c r="AB41" s="36">
        <f>SUM(O41:Z41)</f>
        <v/>
      </c>
      <c r="AC41" s="38" t="n">
        <v>414</v>
      </c>
      <c r="AD41" s="38" t="n">
        <v>414</v>
      </c>
      <c r="AE41" s="38" t="n">
        <v>414</v>
      </c>
      <c r="AF41" s="38" t="n">
        <v>414</v>
      </c>
      <c r="AG41" s="38" t="n">
        <v>414</v>
      </c>
      <c r="AH41" s="38" t="n">
        <v>414</v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48.91</v>
      </c>
      <c r="C42" s="35" t="n">
        <v>26.65</v>
      </c>
      <c r="D42" s="35" t="n">
        <v>48.28</v>
      </c>
      <c r="E42" s="35" t="n">
        <v>37.56</v>
      </c>
      <c r="F42" s="35" t="n">
        <v>22.48</v>
      </c>
      <c r="G42" s="35" t="n">
        <v>32.72</v>
      </c>
      <c r="H42" s="35" t="n">
        <v>59.91</v>
      </c>
      <c r="I42" s="35" t="n">
        <v>27.53</v>
      </c>
      <c r="J42" s="35" t="n">
        <v>29.07</v>
      </c>
      <c r="K42" s="35" t="n">
        <v>54.09999999999999</v>
      </c>
      <c r="L42" s="35" t="n">
        <v>30.14</v>
      </c>
      <c r="M42" s="35" t="n">
        <v>11.04</v>
      </c>
      <c r="N42" s="36">
        <f>SUM(B42:M42)</f>
        <v/>
      </c>
      <c r="O42" s="37">
        <f>SUMIF('YBN FH TB'!$R:$R,'FH P&amp;L'!$A42,'YBN FH TB'!C:C)</f>
        <v/>
      </c>
      <c r="P42" s="37">
        <f>SUMIF('YBN FH TB'!$R:$R,'FH P&amp;L'!$A42,'YBN FH TB'!D:D)</f>
        <v/>
      </c>
      <c r="Q42" s="37">
        <f>SUMIF('YBN FH TB'!$R:$R,'FH P&amp;L'!$A42,'YBN FH TB'!E:E)</f>
        <v/>
      </c>
      <c r="R42" s="37">
        <f>SUMIF('YBN FH TB'!$R:$R,'FH P&amp;L'!$A42,'YBN FH TB'!F:F)</f>
        <v/>
      </c>
      <c r="S42" s="37">
        <f>SUMIF('YBN FH TB'!$R:$R,'FH P&amp;L'!$A42,'YBN FH TB'!G:G)</f>
        <v/>
      </c>
      <c r="T42" s="37">
        <f>SUMIF('YBN FH TB'!$R:$R,'FH P&amp;L'!$A42,'YBN FH TB'!H:H)</f>
        <v/>
      </c>
      <c r="U42" s="37">
        <f>SUMIF('YBN FH TB'!$R:$R,'FH P&amp;L'!$A42,'YBN FH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SUMIF('YBN FH TB'!$R:$R,'FH P&amp;L'!$A43,'YBN FH TB'!C:C)</f>
        <v/>
      </c>
      <c r="P43" s="37">
        <f>SUMIF('YBN FH TB'!$R:$R,'FH P&amp;L'!$A43,'YBN FH TB'!D:D)</f>
        <v/>
      </c>
      <c r="Q43" s="37">
        <f>SUMIF('YBN FH TB'!$R:$R,'FH P&amp;L'!$A43,'YBN FH TB'!E:E)</f>
        <v/>
      </c>
      <c r="R43" s="37">
        <f>SUMIF('YBN FH TB'!$R:$R,'FH P&amp;L'!$A43,'YBN FH TB'!F:F)</f>
        <v/>
      </c>
      <c r="S43" s="37">
        <f>SUMIF('YBN FH TB'!$R:$R,'FH P&amp;L'!$A43,'YBN FH TB'!G:G)</f>
        <v/>
      </c>
      <c r="T43" s="37">
        <f>SUMIF('YBN FH TB'!$R:$R,'FH P&amp;L'!$A43,'YBN FH TB'!H:H)</f>
        <v/>
      </c>
      <c r="U43" s="37">
        <f>SUMIF('YBN FH TB'!$R:$R,'FH P&amp;L'!$A43,'YBN FH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SUMIF('YBN FH TB'!$R:$R,'FH P&amp;L'!$A44,'YBN FH TB'!C:C)</f>
        <v/>
      </c>
      <c r="P44" s="37">
        <f>SUMIF('YBN FH TB'!$R:$R,'FH P&amp;L'!$A44,'YBN FH TB'!D:D)</f>
        <v/>
      </c>
      <c r="Q44" s="37">
        <f>SUMIF('YBN FH TB'!$R:$R,'FH P&amp;L'!$A44,'YBN FH TB'!E:E)</f>
        <v/>
      </c>
      <c r="R44" s="37">
        <f>SUMIF('YBN FH TB'!$R:$R,'FH P&amp;L'!$A44,'YBN FH TB'!F:F)</f>
        <v/>
      </c>
      <c r="S44" s="37">
        <f>SUMIF('YBN FH TB'!$R:$R,'FH P&amp;L'!$A44,'YBN FH TB'!G:G)</f>
        <v/>
      </c>
      <c r="T44" s="37">
        <f>SUMIF('YBN FH TB'!$R:$R,'FH P&amp;L'!$A44,'YBN FH TB'!H:H)</f>
        <v/>
      </c>
      <c r="U44" s="37">
        <f>SUMIF('YBN FH TB'!$R:$R,'FH P&amp;L'!$A44,'YBN FH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137.5</v>
      </c>
      <c r="L45" s="35" t="n">
        <v>137.5</v>
      </c>
      <c r="M45" s="35" t="n">
        <v>137.5</v>
      </c>
      <c r="N45" s="36">
        <f>SUM(B45:M45)</f>
        <v/>
      </c>
      <c r="O45" s="37">
        <f>SUMIF('YBN FH TB'!$R:$R,'FH P&amp;L'!$A45,'YBN FH TB'!C:C)</f>
        <v/>
      </c>
      <c r="P45" s="37">
        <f>SUMIF('YBN FH TB'!$R:$R,'FH P&amp;L'!$A45,'YBN FH TB'!D:D)</f>
        <v/>
      </c>
      <c r="Q45" s="37">
        <f>SUMIF('YBN FH TB'!$R:$R,'FH P&amp;L'!$A45,'YBN FH TB'!E:E)</f>
        <v/>
      </c>
      <c r="R45" s="37">
        <f>SUMIF('YBN FH TB'!$R:$R,'FH P&amp;L'!$A45,'YBN FH TB'!F:F)</f>
        <v/>
      </c>
      <c r="S45" s="37">
        <f>SUMIF('YBN FH TB'!$R:$R,'FH P&amp;L'!$A45,'YBN FH TB'!G:G)</f>
        <v/>
      </c>
      <c r="T45" s="37">
        <f>SUMIF('YBN FH TB'!$R:$R,'FH P&amp;L'!$A45,'YBN FH TB'!H:H)</f>
        <v/>
      </c>
      <c r="U45" s="37">
        <f>SUMIF('YBN FH TB'!$R:$R,'FH P&amp;L'!$A45,'YBN FH TB'!I:I)</f>
        <v/>
      </c>
      <c r="V45" s="38" t="n">
        <v>138</v>
      </c>
      <c r="W45" s="38" t="n">
        <v>138</v>
      </c>
      <c r="X45" s="38" t="n">
        <v>138</v>
      </c>
      <c r="Y45" s="38" t="n">
        <v>138</v>
      </c>
      <c r="Z45" s="38" t="n">
        <v>138</v>
      </c>
      <c r="AA45" s="36">
        <f>SUM(O45:U45)</f>
        <v/>
      </c>
      <c r="AB45" s="36">
        <f>SUM(O45:Z45)</f>
        <v/>
      </c>
      <c r="AC45" s="38" t="n">
        <v>138</v>
      </c>
      <c r="AD45" s="38" t="n">
        <v>138</v>
      </c>
      <c r="AE45" s="38" t="n">
        <v>138</v>
      </c>
      <c r="AF45" s="38" t="n">
        <v>138</v>
      </c>
      <c r="AG45" s="38" t="n">
        <v>138</v>
      </c>
      <c r="AH45" s="38" t="n">
        <v>138</v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SUMIF('YBN FH TB'!$R:$R,'FH P&amp;L'!$A46,'YBN FH TB'!C:C)</f>
        <v/>
      </c>
      <c r="P46" s="37">
        <f>SUMIF('YBN FH TB'!$R:$R,'FH P&amp;L'!$A46,'YBN FH TB'!D:D)</f>
        <v/>
      </c>
      <c r="Q46" s="37">
        <f>SUMIF('YBN FH TB'!$R:$R,'FH P&amp;L'!$A46,'YBN FH TB'!E:E)</f>
        <v/>
      </c>
      <c r="R46" s="37">
        <f>SUMIF('YBN FH TB'!$R:$R,'FH P&amp;L'!$A46,'YBN FH TB'!F:F)</f>
        <v/>
      </c>
      <c r="S46" s="37">
        <f>SUMIF('YBN FH TB'!$R:$R,'FH P&amp;L'!$A46,'YBN FH TB'!G:G)</f>
        <v/>
      </c>
      <c r="T46" s="37">
        <f>SUMIF('YBN FH TB'!$R:$R,'FH P&amp;L'!$A46,'YBN FH TB'!H:H)</f>
        <v/>
      </c>
      <c r="U46" s="37">
        <f>SUMIF('YBN FH TB'!$R:$R,'FH P&amp;L'!$A46,'YBN FH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3839.71</v>
      </c>
      <c r="C47" s="42" t="n">
        <v>3929.89</v>
      </c>
      <c r="D47" s="42" t="n">
        <v>4724.89</v>
      </c>
      <c r="E47" s="42" t="n">
        <v>4153.71</v>
      </c>
      <c r="F47" s="42" t="n">
        <v>3387.41</v>
      </c>
      <c r="G47" s="42" t="n">
        <v>3503.869999999999</v>
      </c>
      <c r="H47" s="42" t="n">
        <v>3650.799999999999</v>
      </c>
      <c r="I47" s="42" t="n">
        <v>3433.55</v>
      </c>
      <c r="J47" s="42" t="n">
        <v>2080.47</v>
      </c>
      <c r="K47" s="42" t="n">
        <v>3155.98</v>
      </c>
      <c r="L47" s="42" t="n">
        <v>3672.77</v>
      </c>
      <c r="M47" s="42" t="n">
        <v>4511.69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20086.2</v>
      </c>
      <c r="C48" s="23" t="n">
        <v>20148.96</v>
      </c>
      <c r="D48" s="23" t="n">
        <v>17731.48</v>
      </c>
      <c r="E48" s="23" t="n">
        <v>18195.49</v>
      </c>
      <c r="F48" s="23" t="n">
        <v>17676.25</v>
      </c>
      <c r="G48" s="23" t="n">
        <v>17308.59</v>
      </c>
      <c r="H48" s="23" t="n">
        <v>21424.91</v>
      </c>
      <c r="I48" s="23" t="n">
        <v>18394.64</v>
      </c>
      <c r="J48" s="23" t="n">
        <v>16493.17</v>
      </c>
      <c r="K48" s="23" t="n">
        <v>20762.09</v>
      </c>
      <c r="L48" s="23" t="n">
        <v>21752.52</v>
      </c>
      <c r="M48" s="23" t="n">
        <v>19603.73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31.63000000000102</v>
      </c>
      <c r="C50" s="55" t="n">
        <v>100.1700000000019</v>
      </c>
      <c r="D50" s="55" t="n">
        <v>8840.02</v>
      </c>
      <c r="E50" s="55" t="n">
        <v>1635.790000000001</v>
      </c>
      <c r="F50" s="55" t="n">
        <v>726.7799999999988</v>
      </c>
      <c r="G50" s="55" t="n">
        <v>148.8600000000006</v>
      </c>
      <c r="H50" s="55" t="n">
        <v>2612.139999999999</v>
      </c>
      <c r="I50" s="55" t="n">
        <v>-7463.949999999999</v>
      </c>
      <c r="J50" s="55" t="n">
        <v>-3293.499999999998</v>
      </c>
      <c r="K50" s="55" t="n">
        <v>-6737.74</v>
      </c>
      <c r="L50" s="55" t="n">
        <v>-9079.180000000004</v>
      </c>
      <c r="M50" s="55" t="n">
        <v>19054.90000000001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SUMIF('YBN FH TB'!$R:$R,'FH P&amp;L'!$A53,'YBN FH TB'!C:C)</f>
        <v/>
      </c>
      <c r="P53" s="37">
        <f>SUMIF('YBN FH TB'!$R:$R,'FH P&amp;L'!$A53,'YBN FH TB'!D:D)</f>
        <v/>
      </c>
      <c r="Q53" s="37">
        <f>SUMIF('YBN FH TB'!$R:$R,'FH P&amp;L'!$A53,'YBN FH TB'!E:E)</f>
        <v/>
      </c>
      <c r="R53" s="37">
        <f>SUMIF('YBN FH TB'!$R:$R,'FH P&amp;L'!$A53,'YBN FH TB'!F:F)</f>
        <v/>
      </c>
      <c r="S53" s="37">
        <f>SUMIF('YBN FH TB'!$R:$R,'FH P&amp;L'!$A53,'YBN FH TB'!G:G)</f>
        <v/>
      </c>
      <c r="T53" s="37">
        <f>SUMIF('YBN FH TB'!$R:$R,'FH P&amp;L'!$A53,'YBN FH TB'!H:H)</f>
        <v/>
      </c>
      <c r="U53" s="37">
        <f>SUMIF('YBN FH TB'!$R:$R,'FH P&amp;L'!$A53,'YBN FH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SUMIF('YBN FH TB'!$R:$R,'FH P&amp;L'!$A54,'YBN FH TB'!C:C)</f>
        <v/>
      </c>
      <c r="P54" s="37">
        <f>SUMIF('YBN FH TB'!$R:$R,'FH P&amp;L'!$A54,'YBN FH TB'!D:D)</f>
        <v/>
      </c>
      <c r="Q54" s="37">
        <f>SUMIF('YBN FH TB'!$R:$R,'FH P&amp;L'!$A54,'YBN FH TB'!E:E)</f>
        <v/>
      </c>
      <c r="R54" s="37">
        <f>SUMIF('YBN FH TB'!$R:$R,'FH P&amp;L'!$A54,'YBN FH TB'!F:F)</f>
        <v/>
      </c>
      <c r="S54" s="37">
        <f>SUMIF('YBN FH TB'!$R:$R,'FH P&amp;L'!$A54,'YBN FH TB'!G:G)</f>
        <v/>
      </c>
      <c r="T54" s="37">
        <f>SUMIF('YBN FH TB'!$R:$R,'FH P&amp;L'!$A54,'YBN FH TB'!H:H)</f>
        <v/>
      </c>
      <c r="U54" s="37">
        <f>SUMIF('YBN FH TB'!$R:$R,'FH P&amp;L'!$A54,'YBN FH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SUMIF('YBN FH TB'!$R:$R,'FH P&amp;L'!$A55,'YBN FH TB'!C:C)</f>
        <v/>
      </c>
      <c r="P55" s="37">
        <f>SUMIF('YBN FH TB'!$R:$R,'FH P&amp;L'!$A55,'YBN FH TB'!D:D)</f>
        <v/>
      </c>
      <c r="Q55" s="37">
        <f>SUMIF('YBN FH TB'!$R:$R,'FH P&amp;L'!$A55,'YBN FH TB'!E:E)</f>
        <v/>
      </c>
      <c r="R55" s="37">
        <f>SUMIF('YBN FH TB'!$R:$R,'FH P&amp;L'!$A55,'YBN FH TB'!F:F)</f>
        <v/>
      </c>
      <c r="S55" s="37">
        <f>SUMIF('YBN FH TB'!$R:$R,'FH P&amp;L'!$A55,'YBN FH TB'!G:G)</f>
        <v/>
      </c>
      <c r="T55" s="37">
        <f>SUMIF('YBN FH TB'!$R:$R,'FH P&amp;L'!$A55,'YBN FH TB'!H:H)</f>
        <v/>
      </c>
      <c r="U55" s="37">
        <f>SUMIF('YBN FH TB'!$R:$R,'FH P&amp;L'!$A55,'YBN FH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SUMIF('YBN FH TB'!$R:$R,'FH P&amp;L'!$A56,'YBN FH TB'!C:C)</f>
        <v/>
      </c>
      <c r="P56" s="37">
        <f>SUMIF('YBN FH TB'!$R:$R,'FH P&amp;L'!$A56,'YBN FH TB'!D:D)</f>
        <v/>
      </c>
      <c r="Q56" s="37">
        <f>SUMIF('YBN FH TB'!$R:$R,'FH P&amp;L'!$A56,'YBN FH TB'!E:E)</f>
        <v/>
      </c>
      <c r="R56" s="37">
        <f>SUMIF('YBN FH TB'!$R:$R,'FH P&amp;L'!$A56,'YBN FH TB'!F:F)</f>
        <v/>
      </c>
      <c r="S56" s="37">
        <f>SUMIF('YBN FH TB'!$R:$R,'FH P&amp;L'!$A56,'YBN FH TB'!G:G)</f>
        <v/>
      </c>
      <c r="T56" s="37">
        <f>SUMIF('YBN FH TB'!$R:$R,'FH P&amp;L'!$A56,'YBN FH TB'!H:H)</f>
        <v/>
      </c>
      <c r="U56" s="37">
        <f>SUMIF('YBN FH TB'!$R:$R,'FH P&amp;L'!$A56,'YBN FH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180</v>
      </c>
      <c r="M57" s="35" t="n">
        <v>0</v>
      </c>
      <c r="N57" s="36">
        <f>SUM(B57:M57)</f>
        <v/>
      </c>
      <c r="O57" s="37">
        <f>SUMIF('YBN FH TB'!$R:$R,'FH P&amp;L'!$A57,'YBN FH TB'!C:C)</f>
        <v/>
      </c>
      <c r="P57" s="37">
        <f>SUMIF('YBN FH TB'!$R:$R,'FH P&amp;L'!$A57,'YBN FH TB'!D:D)</f>
        <v/>
      </c>
      <c r="Q57" s="37">
        <f>SUMIF('YBN FH TB'!$R:$R,'FH P&amp;L'!$A57,'YBN FH TB'!E:E)</f>
        <v/>
      </c>
      <c r="R57" s="37">
        <f>SUMIF('YBN FH TB'!$R:$R,'FH P&amp;L'!$A57,'YBN FH TB'!F:F)</f>
        <v/>
      </c>
      <c r="S57" s="37">
        <f>SUMIF('YBN FH TB'!$R:$R,'FH P&amp;L'!$A57,'YBN FH TB'!G:G)</f>
        <v/>
      </c>
      <c r="T57" s="37">
        <f>SUMIF('YBN FH TB'!$R:$R,'FH P&amp;L'!$A57,'YBN FH TB'!H:H)</f>
        <v/>
      </c>
      <c r="U57" s="37">
        <f>SUMIF('YBN FH TB'!$R:$R,'FH P&amp;L'!$A57,'YBN FH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SUMIF('YBN FH TB'!$R:$R,'FH P&amp;L'!$A58,'YBN FH TB'!C:C)</f>
        <v/>
      </c>
      <c r="P58" s="37">
        <f>SUMIF('YBN FH TB'!$R:$R,'FH P&amp;L'!$A58,'YBN FH TB'!D:D)</f>
        <v/>
      </c>
      <c r="Q58" s="37">
        <f>SUMIF('YBN FH TB'!$R:$R,'FH P&amp;L'!$A58,'YBN FH TB'!E:E)</f>
        <v/>
      </c>
      <c r="R58" s="37">
        <f>SUMIF('YBN FH TB'!$R:$R,'FH P&amp;L'!$A58,'YBN FH TB'!F:F)</f>
        <v/>
      </c>
      <c r="S58" s="37">
        <f>SUMIF('YBN FH TB'!$R:$R,'FH P&amp;L'!$A58,'YBN FH TB'!G:G)</f>
        <v/>
      </c>
      <c r="T58" s="37">
        <f>SUMIF('YBN FH TB'!$R:$R,'FH P&amp;L'!$A58,'YBN FH TB'!H:H)</f>
        <v/>
      </c>
      <c r="U58" s="37">
        <f>SUMIF('YBN FH TB'!$R:$R,'FH P&amp;L'!$A58,'YBN FH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201.37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SUMIF('YBN FH TB'!$R:$R,'FH P&amp;L'!$A59,'YBN FH TB'!C:C)</f>
        <v/>
      </c>
      <c r="P59" s="37">
        <f>SUMIF('YBN FH TB'!$R:$R,'FH P&amp;L'!$A59,'YBN FH TB'!D:D)</f>
        <v/>
      </c>
      <c r="Q59" s="37">
        <f>SUMIF('YBN FH TB'!$R:$R,'FH P&amp;L'!$A59,'YBN FH TB'!E:E)</f>
        <v/>
      </c>
      <c r="R59" s="37">
        <f>SUMIF('YBN FH TB'!$R:$R,'FH P&amp;L'!$A59,'YBN FH TB'!F:F)</f>
        <v/>
      </c>
      <c r="S59" s="37">
        <f>SUMIF('YBN FH TB'!$R:$R,'FH P&amp;L'!$A59,'YBN FH TB'!G:G)</f>
        <v/>
      </c>
      <c r="T59" s="37">
        <f>SUMIF('YBN FH TB'!$R:$R,'FH P&amp;L'!$A59,'YBN FH TB'!H:H)</f>
        <v/>
      </c>
      <c r="U59" s="37">
        <f>SUMIF('YBN FH TB'!$R:$R,'FH P&amp;L'!$A59,'YBN FH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3</v>
      </c>
      <c r="C60" s="35" t="n">
        <v>2.4</v>
      </c>
      <c r="D60" s="35" t="n">
        <v>137.61</v>
      </c>
      <c r="E60" s="35" t="n">
        <v>1.8</v>
      </c>
      <c r="F60" s="35" t="n">
        <v>2.4</v>
      </c>
      <c r="G60" s="35" t="n">
        <v>47.40000000000001</v>
      </c>
      <c r="H60" s="35" t="n">
        <v>1.2</v>
      </c>
      <c r="I60" s="35" t="n">
        <v>1.8</v>
      </c>
      <c r="J60" s="35" t="n">
        <v>2.4</v>
      </c>
      <c r="K60" s="35" t="n">
        <v>68.8</v>
      </c>
      <c r="L60" s="35" t="n">
        <v>1.8</v>
      </c>
      <c r="M60" s="35" t="n">
        <v>3</v>
      </c>
      <c r="N60" s="36">
        <f>SUM(B60:M60)</f>
        <v/>
      </c>
      <c r="O60" s="37">
        <f>SUMIF('YBN FH TB'!$R:$R,'FH P&amp;L'!$A60,'YBN FH TB'!C:C)</f>
        <v/>
      </c>
      <c r="P60" s="37">
        <f>SUMIF('YBN FH TB'!$R:$R,'FH P&amp;L'!$A60,'YBN FH TB'!D:D)</f>
        <v/>
      </c>
      <c r="Q60" s="37">
        <f>SUMIF('YBN FH TB'!$R:$R,'FH P&amp;L'!$A60,'YBN FH TB'!E:E)</f>
        <v/>
      </c>
      <c r="R60" s="37">
        <f>SUMIF('YBN FH TB'!$R:$R,'FH P&amp;L'!$A60,'YBN FH TB'!F:F)</f>
        <v/>
      </c>
      <c r="S60" s="37">
        <f>SUMIF('YBN FH TB'!$R:$R,'FH P&amp;L'!$A60,'YBN FH TB'!G:G)</f>
        <v/>
      </c>
      <c r="T60" s="37">
        <f>SUMIF('YBN FH TB'!$R:$R,'FH P&amp;L'!$A60,'YBN FH TB'!H:H)</f>
        <v/>
      </c>
      <c r="U60" s="37">
        <f>SUMIF('YBN FH TB'!$R:$R,'FH P&amp;L'!$A60,'YBN FH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8.539999999999999</v>
      </c>
      <c r="D61" s="35" t="n">
        <v>0</v>
      </c>
      <c r="E61" s="35" t="n">
        <v>0</v>
      </c>
      <c r="F61" s="35" t="n">
        <v>34.24</v>
      </c>
      <c r="G61" s="35" t="n">
        <v>60.11</v>
      </c>
      <c r="H61" s="35" t="n">
        <v>33.5</v>
      </c>
      <c r="I61" s="35" t="n">
        <v>0</v>
      </c>
      <c r="J61" s="35" t="n">
        <v>0</v>
      </c>
      <c r="K61" s="35" t="n">
        <v>0</v>
      </c>
      <c r="L61" s="35" t="n">
        <v>0</v>
      </c>
      <c r="M61" s="35" t="n">
        <v>20.52</v>
      </c>
      <c r="N61" s="36">
        <f>SUM(B61:M61)</f>
        <v/>
      </c>
      <c r="O61" s="37">
        <f>SUMIF('YBN FH TB'!$R:$R,'FH P&amp;L'!$A61,'YBN FH TB'!C:C)</f>
        <v/>
      </c>
      <c r="P61" s="37">
        <f>SUMIF('YBN FH TB'!$R:$R,'FH P&amp;L'!$A61,'YBN FH TB'!D:D)</f>
        <v/>
      </c>
      <c r="Q61" s="37">
        <f>SUMIF('YBN FH TB'!$R:$R,'FH P&amp;L'!$A61,'YBN FH TB'!E:E)</f>
        <v/>
      </c>
      <c r="R61" s="37">
        <f>SUMIF('YBN FH TB'!$R:$R,'FH P&amp;L'!$A61,'YBN FH TB'!F:F)</f>
        <v/>
      </c>
      <c r="S61" s="37">
        <f>SUMIF('YBN FH TB'!$R:$R,'FH P&amp;L'!$A61,'YBN FH TB'!G:G)</f>
        <v/>
      </c>
      <c r="T61" s="37">
        <f>SUMIF('YBN FH TB'!$R:$R,'FH P&amp;L'!$A61,'YBN FH TB'!H:H)</f>
        <v/>
      </c>
      <c r="U61" s="37">
        <f>SUMIF('YBN FH TB'!$R:$R,'FH P&amp;L'!$A61,'YBN FH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164</v>
      </c>
      <c r="F62" s="35" t="n">
        <v>0</v>
      </c>
      <c r="G62" s="35" t="n">
        <v>0</v>
      </c>
      <c r="H62" s="35" t="n">
        <v>0</v>
      </c>
      <c r="I62" s="35" t="n">
        <v>260</v>
      </c>
      <c r="J62" s="35" t="n">
        <v>0</v>
      </c>
      <c r="K62" s="35" t="n">
        <v>0</v>
      </c>
      <c r="L62" s="35" t="n">
        <v>37</v>
      </c>
      <c r="M62" s="35" t="n">
        <v>231</v>
      </c>
      <c r="N62" s="36">
        <f>SUM(B62:M62)</f>
        <v/>
      </c>
      <c r="O62" s="37">
        <f>SUMIF('YBN FH TB'!$R:$R,'FH P&amp;L'!$A62,'YBN FH TB'!C:C)</f>
        <v/>
      </c>
      <c r="P62" s="37">
        <f>SUMIF('YBN FH TB'!$R:$R,'FH P&amp;L'!$A62,'YBN FH TB'!D:D)</f>
        <v/>
      </c>
      <c r="Q62" s="37">
        <f>SUMIF('YBN FH TB'!$R:$R,'FH P&amp;L'!$A62,'YBN FH TB'!E:E)</f>
        <v/>
      </c>
      <c r="R62" s="37">
        <f>SUMIF('YBN FH TB'!$R:$R,'FH P&amp;L'!$A62,'YBN FH TB'!F:F)</f>
        <v/>
      </c>
      <c r="S62" s="37">
        <f>SUMIF('YBN FH TB'!$R:$R,'FH P&amp;L'!$A62,'YBN FH TB'!G:G)</f>
        <v/>
      </c>
      <c r="T62" s="37">
        <f>SUMIF('YBN FH TB'!$R:$R,'FH P&amp;L'!$A62,'YBN FH TB'!H:H)</f>
        <v/>
      </c>
      <c r="U62" s="37">
        <f>SUMIF('YBN FH TB'!$R:$R,'FH P&amp;L'!$A62,'YBN FH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SUMIF('YBN FH TB'!$R:$R,'FH P&amp;L'!$A63,'YBN FH TB'!C:C)</f>
        <v/>
      </c>
      <c r="P63" s="37">
        <f>SUMIF('YBN FH TB'!$R:$R,'FH P&amp;L'!$A63,'YBN FH TB'!D:D)</f>
        <v/>
      </c>
      <c r="Q63" s="37">
        <f>SUMIF('YBN FH TB'!$R:$R,'FH P&amp;L'!$A63,'YBN FH TB'!E:E)</f>
        <v/>
      </c>
      <c r="R63" s="37">
        <f>SUMIF('YBN FH TB'!$R:$R,'FH P&amp;L'!$A63,'YBN FH TB'!F:F)</f>
        <v/>
      </c>
      <c r="S63" s="37">
        <f>SUMIF('YBN FH TB'!$R:$R,'FH P&amp;L'!$A63,'YBN FH TB'!G:G)</f>
        <v/>
      </c>
      <c r="T63" s="37">
        <f>SUMIF('YBN FH TB'!$R:$R,'FH P&amp;L'!$A63,'YBN FH TB'!H:H)</f>
        <v/>
      </c>
      <c r="U63" s="37">
        <f>SUMIF('YBN FH TB'!$R:$R,'FH P&amp;L'!$A63,'YBN FH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SUMIF('YBN FH TB'!$R:$R,'FH P&amp;L'!$A64,'YBN FH TB'!C:C)</f>
        <v/>
      </c>
      <c r="P64" s="37">
        <f>SUMIF('YBN FH TB'!$R:$R,'FH P&amp;L'!$A64,'YBN FH TB'!D:D)</f>
        <v/>
      </c>
      <c r="Q64" s="37">
        <f>SUMIF('YBN FH TB'!$R:$R,'FH P&amp;L'!$A64,'YBN FH TB'!E:E)</f>
        <v/>
      </c>
      <c r="R64" s="37">
        <f>SUMIF('YBN FH TB'!$R:$R,'FH P&amp;L'!$A64,'YBN FH TB'!F:F)</f>
        <v/>
      </c>
      <c r="S64" s="37">
        <f>SUMIF('YBN FH TB'!$R:$R,'FH P&amp;L'!$A64,'YBN FH TB'!G:G)</f>
        <v/>
      </c>
      <c r="T64" s="37">
        <f>SUMIF('YBN FH TB'!$R:$R,'FH P&amp;L'!$A64,'YBN FH TB'!H:H)</f>
        <v/>
      </c>
      <c r="U64" s="37">
        <f>SUMIF('YBN FH TB'!$R:$R,'FH P&amp;L'!$A64,'YBN FH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SUMIF('YBN FH TB'!$R:$R,'FH P&amp;L'!$A65,'YBN FH TB'!C:C)</f>
        <v/>
      </c>
      <c r="P65" s="37">
        <f>SUMIF('YBN FH TB'!$R:$R,'FH P&amp;L'!$A65,'YBN FH TB'!D:D)</f>
        <v/>
      </c>
      <c r="Q65" s="37">
        <f>SUMIF('YBN FH TB'!$R:$R,'FH P&amp;L'!$A65,'YBN FH TB'!E:E)</f>
        <v/>
      </c>
      <c r="R65" s="37">
        <f>SUMIF('YBN FH TB'!$R:$R,'FH P&amp;L'!$A65,'YBN FH TB'!F:F)</f>
        <v/>
      </c>
      <c r="S65" s="37">
        <f>SUMIF('YBN FH TB'!$R:$R,'FH P&amp;L'!$A65,'YBN FH TB'!G:G)</f>
        <v/>
      </c>
      <c r="T65" s="37">
        <f>SUMIF('YBN FH TB'!$R:$R,'FH P&amp;L'!$A65,'YBN FH TB'!H:H)</f>
        <v/>
      </c>
      <c r="U65" s="37">
        <f>SUMIF('YBN FH TB'!$R:$R,'FH P&amp;L'!$A65,'YBN FH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SUMIF('YBN FH TB'!$R:$R,'FH P&amp;L'!$A66,'YBN FH TB'!C:C)</f>
        <v/>
      </c>
      <c r="P66" s="37">
        <f>SUMIF('YBN FH TB'!$R:$R,'FH P&amp;L'!$A66,'YBN FH TB'!D:D)</f>
        <v/>
      </c>
      <c r="Q66" s="37">
        <f>SUMIF('YBN FH TB'!$R:$R,'FH P&amp;L'!$A66,'YBN FH TB'!E:E)</f>
        <v/>
      </c>
      <c r="R66" s="37">
        <f>SUMIF('YBN FH TB'!$R:$R,'FH P&amp;L'!$A66,'YBN FH TB'!F:F)</f>
        <v/>
      </c>
      <c r="S66" s="37">
        <f>SUMIF('YBN FH TB'!$R:$R,'FH P&amp;L'!$A66,'YBN FH TB'!G:G)</f>
        <v/>
      </c>
      <c r="T66" s="37">
        <f>SUMIF('YBN FH TB'!$R:$R,'FH P&amp;L'!$A66,'YBN FH TB'!H:H)</f>
        <v/>
      </c>
      <c r="U66" s="37">
        <f>SUMIF('YBN FH TB'!$R:$R,'FH P&amp;L'!$A66,'YBN FH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42.75</v>
      </c>
      <c r="I67" s="35" t="n">
        <v>262.75</v>
      </c>
      <c r="J67" s="35" t="n">
        <v>42.75</v>
      </c>
      <c r="K67" s="35" t="n">
        <v>42.75</v>
      </c>
      <c r="L67" s="35" t="n">
        <v>42.75</v>
      </c>
      <c r="M67" s="35" t="n">
        <v>42.75</v>
      </c>
      <c r="N67" s="36">
        <f>SUM(B67:M67)</f>
        <v/>
      </c>
      <c r="O67" s="37">
        <f>SUMIF('YBN FH TB'!$R:$R,'FH P&amp;L'!$A67,'YBN FH TB'!C:C)</f>
        <v/>
      </c>
      <c r="P67" s="37">
        <f>SUMIF('YBN FH TB'!$R:$R,'FH P&amp;L'!$A67,'YBN FH TB'!D:D)</f>
        <v/>
      </c>
      <c r="Q67" s="37">
        <f>SUMIF('YBN FH TB'!$R:$R,'FH P&amp;L'!$A67,'YBN FH TB'!E:E)</f>
        <v/>
      </c>
      <c r="R67" s="37">
        <f>SUMIF('YBN FH TB'!$R:$R,'FH P&amp;L'!$A67,'YBN FH TB'!F:F)</f>
        <v/>
      </c>
      <c r="S67" s="37">
        <f>SUMIF('YBN FH TB'!$R:$R,'FH P&amp;L'!$A67,'YBN FH TB'!G:G)</f>
        <v/>
      </c>
      <c r="T67" s="37">
        <f>SUMIF('YBN FH TB'!$R:$R,'FH P&amp;L'!$A67,'YBN FH TB'!H:H)</f>
        <v/>
      </c>
      <c r="U67" s="37">
        <f>SUMIF('YBN FH TB'!$R:$R,'FH P&amp;L'!$A67,'YBN FH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-78.61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SUMIF('YBN FH TB'!$R:$R,'FH P&amp;L'!$A68,'YBN FH TB'!C:C)</f>
        <v/>
      </c>
      <c r="P68" s="37">
        <f>SUMIF('YBN FH TB'!$R:$R,'FH P&amp;L'!$A68,'YBN FH TB'!D:D)</f>
        <v/>
      </c>
      <c r="Q68" s="37">
        <f>SUMIF('YBN FH TB'!$R:$R,'FH P&amp;L'!$A68,'YBN FH TB'!E:E)</f>
        <v/>
      </c>
      <c r="R68" s="37">
        <f>SUMIF('YBN FH TB'!$R:$R,'FH P&amp;L'!$A68,'YBN FH TB'!F:F)</f>
        <v/>
      </c>
      <c r="S68" s="37">
        <f>SUMIF('YBN FH TB'!$R:$R,'FH P&amp;L'!$A68,'YBN FH TB'!G:G)</f>
        <v/>
      </c>
      <c r="T68" s="37">
        <f>SUMIF('YBN FH TB'!$R:$R,'FH P&amp;L'!$A68,'YBN FH TB'!H:H)</f>
        <v/>
      </c>
      <c r="U68" s="37">
        <f>SUMIF('YBN FH TB'!$R:$R,'FH P&amp;L'!$A68,'YBN FH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204.38</v>
      </c>
      <c r="C69" s="42" t="n">
        <v>212.32</v>
      </c>
      <c r="D69" s="42" t="n">
        <v>338.99</v>
      </c>
      <c r="E69" s="42" t="n">
        <v>367.18</v>
      </c>
      <c r="F69" s="42" t="n">
        <v>238.01</v>
      </c>
      <c r="G69" s="42" t="n">
        <v>308.89</v>
      </c>
      <c r="H69" s="42" t="n">
        <v>278.83</v>
      </c>
      <c r="I69" s="42" t="n">
        <v>725.9300000000001</v>
      </c>
      <c r="J69" s="42" t="n">
        <v>167.92</v>
      </c>
      <c r="K69" s="42" t="n">
        <v>326.35</v>
      </c>
      <c r="L69" s="42" t="n">
        <v>476.35</v>
      </c>
      <c r="M69" s="42" t="n">
        <v>512.0700000000001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-172.749999999999</v>
      </c>
      <c r="C70" s="55" t="n">
        <v>-112.1499999999981</v>
      </c>
      <c r="D70" s="55" t="n">
        <v>8501.030000000001</v>
      </c>
      <c r="E70" s="55" t="n">
        <v>1268.610000000001</v>
      </c>
      <c r="F70" s="55" t="n">
        <v>488.7699999999988</v>
      </c>
      <c r="G70" s="55" t="n">
        <v>-160.0299999999994</v>
      </c>
      <c r="H70" s="55" t="n">
        <v>2333.309999999999</v>
      </c>
      <c r="I70" s="55" t="n">
        <v>-8189.879999999999</v>
      </c>
      <c r="J70" s="55" t="n">
        <v>-3461.419999999998</v>
      </c>
      <c r="K70" s="55" t="n">
        <v>-7064.09</v>
      </c>
      <c r="L70" s="55" t="n">
        <v>-9555.530000000004</v>
      </c>
      <c r="M70" s="55" t="n">
        <v>18542.83000000001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40" t="n"/>
      <c r="AK72" s="40" t="n"/>
      <c r="AL72" s="40" t="n"/>
      <c r="AM72" s="40" t="n"/>
      <c r="AN72" s="40" t="n"/>
      <c r="AO72" s="40" t="n"/>
      <c r="AP72" s="40" t="n"/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8" t="n"/>
      <c r="AJ73" s="59" t="inlineStr">
        <is>
          <t>Model assumptions 2027:</t>
        </is>
      </c>
      <c r="AK73" s="8" t="n"/>
      <c r="AL73" s="8" t="n"/>
      <c r="AM73" s="8" t="n"/>
      <c r="AN73" s="40" t="n"/>
      <c r="AO73" s="40" t="n"/>
      <c r="AP73" s="40" t="n"/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40" t="n"/>
      <c r="AO74" s="40" t="n"/>
      <c r="AP74" s="40" t="n"/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40" t="n"/>
      <c r="AO75" s="40" t="n"/>
      <c r="AP75" s="40" t="n"/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40" t="n"/>
      <c r="AO76" s="40" t="n"/>
      <c r="AP76" s="40" t="n"/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40" t="n"/>
      <c r="AO77" s="40" t="n"/>
      <c r="AP77" s="40" t="n"/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-172.749999999999</v>
      </c>
      <c r="C79" s="57" t="n">
        <v>-112.1499999999981</v>
      </c>
      <c r="D79" s="57" t="n">
        <v>8501.030000000001</v>
      </c>
      <c r="E79" s="57" t="n">
        <v>1268.610000000001</v>
      </c>
      <c r="F79" s="57" t="n">
        <v>488.7699999999988</v>
      </c>
      <c r="G79" s="57" t="n">
        <v>-160.0299999999994</v>
      </c>
      <c r="H79" s="57" t="n">
        <v>2333.309999999999</v>
      </c>
      <c r="I79" s="57" t="n">
        <v>-8189.879999999999</v>
      </c>
      <c r="J79" s="57" t="n">
        <v>-3461.419999999998</v>
      </c>
      <c r="K79" s="57" t="n">
        <v>-7064.09</v>
      </c>
      <c r="L79" s="57" t="n">
        <v>-9555.530000000004</v>
      </c>
      <c r="M79" s="57" t="n">
        <v>18542.83000000001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5">
        <f>U70+SUM(U73:U78)</f>
        <v/>
      </c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8" t="n"/>
      <c r="AJ79" s="56" t="n"/>
      <c r="AK79" s="56" t="n"/>
      <c r="AL79" s="56" t="n"/>
      <c r="AM79" s="56" t="n"/>
      <c r="AN79" s="56" t="n"/>
      <c r="AO79" s="56" t="n"/>
      <c r="AP79" s="56" t="n"/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20117.83</v>
      </c>
      <c r="C87" s="60" t="n">
        <v>20249.13</v>
      </c>
      <c r="D87" s="60" t="n">
        <v>26571.5</v>
      </c>
      <c r="E87" s="60" t="n">
        <v>19831.28</v>
      </c>
      <c r="F87" s="60" t="n">
        <v>18403.03</v>
      </c>
      <c r="G87" s="60" t="n">
        <v>17457.45</v>
      </c>
      <c r="H87" s="60" t="n">
        <v>24037.05</v>
      </c>
      <c r="I87" s="60" t="n">
        <v>10930.69</v>
      </c>
      <c r="J87" s="60" t="n">
        <v>13199.67</v>
      </c>
      <c r="K87" s="60" t="n">
        <v>14024.35</v>
      </c>
      <c r="L87" s="60" t="n">
        <v>12673.34</v>
      </c>
      <c r="M87" s="8" t="n"/>
      <c r="N87" s="8" t="n"/>
      <c r="O87" s="60">
        <f>-SUMIF('YBN FH TB'!$T:$T,'FH P&amp;L'!$A87,'YBN FH TB'!C:C)</f>
        <v/>
      </c>
      <c r="P87" s="60">
        <f>-SUMIF('YBN FH TB'!$T:$T,'FH P&amp;L'!$A87,'YBN FH TB'!D:D)</f>
        <v/>
      </c>
      <c r="Q87" s="60">
        <f>-SUMIF('YBN FH TB'!$T:$T,'FH P&amp;L'!$A87,'YBN FH TB'!E:E)</f>
        <v/>
      </c>
      <c r="R87" s="60">
        <f>-SUMIF('YBN FH TB'!$T:$T,'FH P&amp;L'!$A87,'YBN FH TB'!F:F)</f>
        <v/>
      </c>
      <c r="S87" s="60">
        <f>-SUMIF('YBN FH TB'!$T:$T,'FH P&amp;L'!$A87,'YBN FH TB'!G:G)</f>
        <v/>
      </c>
      <c r="T87" s="60">
        <f>-SUMIF('YBN FH TB'!$T:$T,'FH P&amp;L'!$A87,'YBN FH TB'!H:H)</f>
        <v/>
      </c>
      <c r="U87" s="60">
        <f>-SUMIF('YBN FH TB'!$T:$T,'FH P&amp;L'!$A87,'YBN FH TB'!I:I)</f>
        <v/>
      </c>
      <c r="V87" s="60">
        <f>-SUMIF('YBN FH TB'!$T:$T,'FH P&amp;L'!$A87,'YBN FH TB'!J:J)</f>
        <v/>
      </c>
      <c r="W87" s="60">
        <f>-SUMIF('YBN FH TB'!$T:$T,'FH P&amp;L'!$A87,'YBN FH TB'!K:K)</f>
        <v/>
      </c>
      <c r="X87" s="60">
        <f>-SUMIF('YBN FH TB'!$T:$T,'FH P&amp;L'!$A87,'YBN FH TB'!L:L)</f>
        <v/>
      </c>
      <c r="Y87" s="60">
        <f>-SUMIF('YBN FH TB'!$T:$T,'FH P&amp;L'!$A87,'YBN FH TB'!M:M)</f>
        <v/>
      </c>
      <c r="Z87" s="60">
        <f>-SUMIF('YBN FH TB'!$T:$T,'FH P&amp;L'!$A87,'YBN FH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34" t="inlineStr">
        <is>
          <t>Direct - Staff Cost</t>
        </is>
      </c>
      <c r="B88" s="18" t="n">
        <v>-15237.76</v>
      </c>
      <c r="C88" s="18" t="n">
        <v>-15403.43</v>
      </c>
      <c r="D88" s="18" t="n">
        <v>-12032.29</v>
      </c>
      <c r="E88" s="18" t="n">
        <v>-13190.74</v>
      </c>
      <c r="F88" s="18" t="n">
        <v>-13389.22</v>
      </c>
      <c r="G88" s="18" t="n">
        <v>-13121.69</v>
      </c>
      <c r="H88" s="18" t="n">
        <v>-16994.95</v>
      </c>
      <c r="I88" s="18" t="n">
        <v>-14247.8</v>
      </c>
      <c r="J88" s="18" t="n">
        <v>-13644.29</v>
      </c>
      <c r="K88" s="18" t="n">
        <v>-16145.13</v>
      </c>
      <c r="L88" s="18" t="n">
        <v>-17393.09</v>
      </c>
      <c r="M88" s="18" t="n"/>
      <c r="N88" s="8" t="n"/>
      <c r="O88" s="60">
        <f>-SUMIF('YBN FH TB'!$T:$T,'FH P&amp;L'!$A88,'YBN FH TB'!C:C)</f>
        <v/>
      </c>
      <c r="P88" s="60">
        <f>-SUMIF('YBN FH TB'!$T:$T,'FH P&amp;L'!$A88,'YBN FH TB'!D:D)</f>
        <v/>
      </c>
      <c r="Q88" s="60">
        <f>-SUMIF('YBN FH TB'!$T:$T,'FH P&amp;L'!$A88,'YBN FH TB'!E:E)</f>
        <v/>
      </c>
      <c r="R88" s="60">
        <f>-SUMIF('YBN FH TB'!$T:$T,'FH P&amp;L'!$A88,'YBN FH TB'!F:F)</f>
        <v/>
      </c>
      <c r="S88" s="60">
        <f>-SUMIF('YBN FH TB'!$T:$T,'FH P&amp;L'!$A88,'YBN FH TB'!G:G)</f>
        <v/>
      </c>
      <c r="T88" s="60">
        <f>-SUMIF('YBN FH TB'!$T:$T,'FH P&amp;L'!$A88,'YBN FH TB'!H:H)</f>
        <v/>
      </c>
      <c r="U88" s="60">
        <f>-SUMIF('YBN FH TB'!$T:$T,'FH P&amp;L'!$A88,'YBN FH TB'!I:I)</f>
        <v/>
      </c>
      <c r="V88" s="60">
        <f>-SUMIF('YBN FH TB'!$T:$T,'FH P&amp;L'!$A88,'YBN FH TB'!J:J)</f>
        <v/>
      </c>
      <c r="W88" s="60">
        <f>-SUMIF('YBN FH TB'!$T:$T,'FH P&amp;L'!$A88,'YBN FH TB'!K:K)</f>
        <v/>
      </c>
      <c r="X88" s="60">
        <f>-SUMIF('YBN FH TB'!$T:$T,'FH P&amp;L'!$A88,'YBN FH TB'!L:L)</f>
        <v/>
      </c>
      <c r="Y88" s="60">
        <f>-SUMIF('YBN FH TB'!$T:$T,'FH P&amp;L'!$A88,'YBN FH TB'!M:M)</f>
        <v/>
      </c>
      <c r="Z88" s="60">
        <f>-SUMIF('YBN FH TB'!$T:$T,'FH P&amp;L'!$A88,'YBN FH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60" t="inlineStr">
        <is>
          <t>Direct - Childcare Cost</t>
        </is>
      </c>
      <c r="B89" s="18" t="n">
        <v>-1008.73</v>
      </c>
      <c r="C89" s="18" t="n">
        <v>-815.6400000000001</v>
      </c>
      <c r="D89" s="18" t="n">
        <v>-974.3000000000002</v>
      </c>
      <c r="E89" s="18" t="n">
        <v>-851.04</v>
      </c>
      <c r="F89" s="18" t="n">
        <v>-899.62</v>
      </c>
      <c r="G89" s="18" t="n">
        <v>-683.0300000000001</v>
      </c>
      <c r="H89" s="18" t="n">
        <v>-779.1600000000002</v>
      </c>
      <c r="I89" s="18" t="n">
        <v>-713.29</v>
      </c>
      <c r="J89" s="18" t="n">
        <v>-768.41</v>
      </c>
      <c r="K89" s="18" t="n">
        <v>-1460.98</v>
      </c>
      <c r="L89" s="18" t="n">
        <v>-686.6600000000001</v>
      </c>
      <c r="M89" s="18" t="n">
        <v>-526.37</v>
      </c>
      <c r="N89" s="8" t="n"/>
      <c r="O89" s="60">
        <f>-SUMIF('YBN FH TB'!$T:$T,'FH P&amp;L'!$A89,'YBN FH TB'!C:C)</f>
        <v/>
      </c>
      <c r="P89" s="60">
        <f>-SUMIF('YBN FH TB'!$T:$T,'FH P&amp;L'!$A89,'YBN FH TB'!D:D)</f>
        <v/>
      </c>
      <c r="Q89" s="60">
        <f>-SUMIF('YBN FH TB'!$T:$T,'FH P&amp;L'!$A89,'YBN FH TB'!E:E)</f>
        <v/>
      </c>
      <c r="R89" s="60">
        <f>-SUMIF('YBN FH TB'!$T:$T,'FH P&amp;L'!$A89,'YBN FH TB'!F:F)</f>
        <v/>
      </c>
      <c r="S89" s="60">
        <f>-SUMIF('YBN FH TB'!$T:$T,'FH P&amp;L'!$A89,'YBN FH TB'!G:G)</f>
        <v/>
      </c>
      <c r="T89" s="60">
        <f>-SUMIF('YBN FH TB'!$T:$T,'FH P&amp;L'!$A89,'YBN FH TB'!H:H)</f>
        <v/>
      </c>
      <c r="U89" s="60">
        <f>-SUMIF('YBN FH TB'!$T:$T,'FH P&amp;L'!$A89,'YBN FH TB'!I:I)</f>
        <v/>
      </c>
      <c r="V89" s="60">
        <f>-SUMIF('YBN FH TB'!$T:$T,'FH P&amp;L'!$A89,'YBN FH TB'!J:J)</f>
        <v/>
      </c>
      <c r="W89" s="60">
        <f>-SUMIF('YBN FH TB'!$T:$T,'FH P&amp;L'!$A89,'YBN FH TB'!K:K)</f>
        <v/>
      </c>
      <c r="X89" s="60">
        <f>-SUMIF('YBN FH TB'!$T:$T,'FH P&amp;L'!$A89,'YBN FH TB'!L:L)</f>
        <v/>
      </c>
      <c r="Y89" s="60">
        <f>-SUMIF('YBN FH TB'!$T:$T,'FH P&amp;L'!$A89,'YBN FH TB'!M:M)</f>
        <v/>
      </c>
      <c r="Z89" s="60">
        <f>-SUMIF('YBN FH TB'!$T:$T,'FH P&amp;L'!$A89,'YBN FH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60" t="inlineStr">
        <is>
          <t>Direct - Premises &amp; Admin</t>
        </is>
      </c>
      <c r="B90" s="18" t="n">
        <v>-3839.71</v>
      </c>
      <c r="C90" s="18" t="n">
        <v>-3929.89</v>
      </c>
      <c r="D90" s="18" t="n">
        <v>-4724.89</v>
      </c>
      <c r="E90" s="18" t="n">
        <v>-4153.71</v>
      </c>
      <c r="F90" s="18" t="n">
        <v>-3387.41</v>
      </c>
      <c r="G90" s="18" t="n">
        <v>-3503.869999999999</v>
      </c>
      <c r="H90" s="18" t="n">
        <v>-3650.799999999999</v>
      </c>
      <c r="I90" s="18" t="n">
        <v>-3433.55</v>
      </c>
      <c r="J90" s="18" t="n">
        <v>-2080.47</v>
      </c>
      <c r="K90" s="18" t="n">
        <v>-3155.98</v>
      </c>
      <c r="L90" s="18" t="n">
        <v>-3672.77</v>
      </c>
      <c r="M90" s="18" t="n">
        <v>-4511.69</v>
      </c>
      <c r="N90" s="8" t="n"/>
      <c r="O90" s="60">
        <f>-SUMIF('YBN FH TB'!$T:$T,'FH P&amp;L'!$A90,'YBN FH TB'!C:C)</f>
        <v/>
      </c>
      <c r="P90" s="60">
        <f>-SUMIF('YBN FH TB'!$T:$T,'FH P&amp;L'!$A90,'YBN FH TB'!D:D)</f>
        <v/>
      </c>
      <c r="Q90" s="60">
        <f>-SUMIF('YBN FH TB'!$T:$T,'FH P&amp;L'!$A90,'YBN FH TB'!E:E)</f>
        <v/>
      </c>
      <c r="R90" s="60">
        <f>-SUMIF('YBN FH TB'!$T:$T,'FH P&amp;L'!$A90,'YBN FH TB'!F:F)</f>
        <v/>
      </c>
      <c r="S90" s="60">
        <f>-SUMIF('YBN FH TB'!$T:$T,'FH P&amp;L'!$A90,'YBN FH TB'!G:G)</f>
        <v/>
      </c>
      <c r="T90" s="60">
        <f>-SUMIF('YBN FH TB'!$T:$T,'FH P&amp;L'!$A90,'YBN FH TB'!H:H)</f>
        <v/>
      </c>
      <c r="U90" s="60">
        <f>-SUMIF('YBN FH TB'!$T:$T,'FH P&amp;L'!$A90,'YBN FH TB'!I:I)</f>
        <v/>
      </c>
      <c r="V90" s="60">
        <f>-SUMIF('YBN FH TB'!$T:$T,'FH P&amp;L'!$A90,'YBN FH TB'!J:J)</f>
        <v/>
      </c>
      <c r="W90" s="60">
        <f>-SUMIF('YBN FH TB'!$T:$T,'FH P&amp;L'!$A90,'YBN FH TB'!K:K)</f>
        <v/>
      </c>
      <c r="X90" s="60">
        <f>-SUMIF('YBN FH TB'!$T:$T,'FH P&amp;L'!$A90,'YBN FH TB'!L:L)</f>
        <v/>
      </c>
      <c r="Y90" s="60">
        <f>-SUMIF('YBN FH TB'!$T:$T,'FH P&amp;L'!$A90,'YBN FH TB'!M:M)</f>
        <v/>
      </c>
      <c r="Z90" s="60">
        <f>-SUMIF('YBN FH TB'!$T:$T,'FH P&amp;L'!$A90,'YBN FH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-SUMIF('YBN FH TB'!$T:$T,'FH P&amp;L'!$A91,'YBN FH TB'!C:C)</f>
        <v/>
      </c>
      <c r="P91" s="60">
        <f>-SUMIF('YBN FH TB'!$T:$T,'FH P&amp;L'!$A91,'YBN FH TB'!D:D)</f>
        <v/>
      </c>
      <c r="Q91" s="60">
        <f>-SUMIF('YBN FH TB'!$T:$T,'FH P&amp;L'!$A91,'YBN FH TB'!E:E)</f>
        <v/>
      </c>
      <c r="R91" s="60">
        <f>-SUMIF('YBN FH TB'!$T:$T,'FH P&amp;L'!$A91,'YBN FH TB'!F:F)</f>
        <v/>
      </c>
      <c r="S91" s="60">
        <f>-SUMIF('YBN FH TB'!$T:$T,'FH P&amp;L'!$A91,'YBN FH TB'!G:G)</f>
        <v/>
      </c>
      <c r="T91" s="60">
        <f>-SUMIF('YBN FH TB'!$T:$T,'FH P&amp;L'!$A91,'YBN FH TB'!H:H)</f>
        <v/>
      </c>
      <c r="U91" s="60">
        <f>-SUMIF('YBN FH TB'!$T:$T,'FH P&amp;L'!$A91,'YBN FH TB'!I:I)</f>
        <v/>
      </c>
      <c r="V91" s="60">
        <f>-SUMIF('YBN FH TB'!$T:$T,'FH P&amp;L'!$A91,'YBN FH TB'!J:J)</f>
        <v/>
      </c>
      <c r="W91" s="60">
        <f>-SUMIF('YBN FH TB'!$T:$T,'FH P&amp;L'!$A91,'YBN FH TB'!K:K)</f>
        <v/>
      </c>
      <c r="X91" s="60">
        <f>-SUMIF('YBN FH TB'!$T:$T,'FH P&amp;L'!$A91,'YBN FH TB'!L:L)</f>
        <v/>
      </c>
      <c r="Y91" s="60">
        <f>-SUMIF('YBN FH TB'!$T:$T,'FH P&amp;L'!$A91,'YBN FH TB'!M:M)</f>
        <v/>
      </c>
      <c r="Z91" s="60">
        <f>-SUMIF('YBN FH TB'!$T:$T,'FH P&amp;L'!$A91,'YBN FH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60" t="inlineStr">
        <is>
          <t>In-Direct - Overheads</t>
        </is>
      </c>
      <c r="B92" s="18" t="n">
        <v>-204.38</v>
      </c>
      <c r="C92" s="18" t="n">
        <v>-212.32</v>
      </c>
      <c r="D92" s="18" t="n">
        <v>-338.99</v>
      </c>
      <c r="E92" s="18" t="n">
        <v>-367.18</v>
      </c>
      <c r="F92" s="18" t="n">
        <v>-238.01</v>
      </c>
      <c r="G92" s="18" t="n">
        <v>-308.89</v>
      </c>
      <c r="H92" s="18" t="n">
        <v>-278.83</v>
      </c>
      <c r="I92" s="18" t="n">
        <v>-725.9300000000001</v>
      </c>
      <c r="J92" s="18" t="n">
        <v>-167.92</v>
      </c>
      <c r="K92" s="18" t="n">
        <v>-326.35</v>
      </c>
      <c r="L92" s="18" t="n">
        <v>-476.35</v>
      </c>
      <c r="M92" s="18" t="n">
        <v>-512.0700000000001</v>
      </c>
      <c r="N92" s="8" t="n"/>
      <c r="O92" s="60">
        <f>-SUMIF('YBN FH TB'!$T:$T,'FH P&amp;L'!$A92,'YBN FH TB'!C:C)</f>
        <v/>
      </c>
      <c r="P92" s="60">
        <f>-SUMIF('YBN FH TB'!$T:$T,'FH P&amp;L'!$A92,'YBN FH TB'!D:D)</f>
        <v/>
      </c>
      <c r="Q92" s="60">
        <f>-SUMIF('YBN FH TB'!$T:$T,'FH P&amp;L'!$A92,'YBN FH TB'!E:E)</f>
        <v/>
      </c>
      <c r="R92" s="60">
        <f>-SUMIF('YBN FH TB'!$T:$T,'FH P&amp;L'!$A92,'YBN FH TB'!F:F)</f>
        <v/>
      </c>
      <c r="S92" s="60">
        <f>-SUMIF('YBN FH TB'!$T:$T,'FH P&amp;L'!$A92,'YBN FH TB'!G:G)</f>
        <v/>
      </c>
      <c r="T92" s="60">
        <f>-SUMIF('YBN FH TB'!$T:$T,'FH P&amp;L'!$A92,'YBN FH TB'!H:H)</f>
        <v/>
      </c>
      <c r="U92" s="60">
        <f>-SUMIF('YBN FH TB'!$T:$T,'FH P&amp;L'!$A92,'YBN FH TB'!I:I)</f>
        <v/>
      </c>
      <c r="V92" s="60">
        <f>-SUMIF('YBN FH TB'!$T:$T,'FH P&amp;L'!$A92,'YBN FH TB'!J:J)</f>
        <v/>
      </c>
      <c r="W92" s="60">
        <f>-SUMIF('YBN FH TB'!$T:$T,'FH P&amp;L'!$A92,'YBN FH TB'!K:K)</f>
        <v/>
      </c>
      <c r="X92" s="60">
        <f>-SUMIF('YBN FH TB'!$T:$T,'FH P&amp;L'!$A92,'YBN FH TB'!L:L)</f>
        <v/>
      </c>
      <c r="Y92" s="60">
        <f>-SUMIF('YBN FH TB'!$T:$T,'FH P&amp;L'!$A92,'YBN FH TB'!M:M)</f>
        <v/>
      </c>
      <c r="Z92" s="60">
        <f>-SUMIF('YBN FH TB'!$T:$T,'FH P&amp;L'!$A92,'YBN FH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 ht="15.75" customHeight="1">
      <c r="A93" s="8" t="n"/>
      <c r="B93" s="67" t="n">
        <v>-172.7500000000003</v>
      </c>
      <c r="C93" s="67" t="n">
        <v>-112.1499999999976</v>
      </c>
      <c r="D93" s="67" t="n">
        <v>8501.030000000001</v>
      </c>
      <c r="E93" s="67" t="n">
        <v>1268.610000000001</v>
      </c>
      <c r="F93" s="67" t="n">
        <v>488.7699999999979</v>
      </c>
      <c r="G93" s="67" t="n">
        <v>-160.0299999999994</v>
      </c>
      <c r="H93" s="67" t="n">
        <v>2333.309999999999</v>
      </c>
      <c r="I93" s="67" t="n">
        <v>-8189.879999999999</v>
      </c>
      <c r="J93" s="67" t="n">
        <v>-3461.419999999999</v>
      </c>
      <c r="K93" s="67" t="n">
        <v>-7064.090000000002</v>
      </c>
      <c r="L93" s="67" t="n">
        <v>-9555.530000000004</v>
      </c>
      <c r="M93" s="67" t="n">
        <v>-5550.129999999999</v>
      </c>
      <c r="N93" s="8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8" t="n"/>
      <c r="AB93" s="8" t="n"/>
      <c r="AC93" s="64" t="n"/>
      <c r="AD93" s="64" t="n"/>
      <c r="AE93" s="64" t="n"/>
      <c r="AF93" s="64" t="n"/>
      <c r="AG93" s="64" t="n"/>
      <c r="AH93" s="64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 ht="15.75" customHeight="1">
      <c r="A94" s="8" t="n"/>
      <c r="B94" s="18" t="n">
        <v>1.364242052659392e-12</v>
      </c>
      <c r="C94" s="18" t="n">
        <v>-4.547473508864641e-13</v>
      </c>
      <c r="D94" s="18" t="n">
        <v>0</v>
      </c>
      <c r="E94" s="18" t="n">
        <v>0</v>
      </c>
      <c r="F94" s="18" t="n">
        <v>9.094947017729282e-13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0</v>
      </c>
      <c r="L94" s="18" t="n">
        <v>0</v>
      </c>
      <c r="M94" s="18" t="n">
        <v>24092.96000000001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1.335820343228988e-12</v>
      </c>
      <c r="C96" s="18" t="n">
        <v>9.379164112033322e-13</v>
      </c>
      <c r="D96" s="18" t="n">
        <v>0</v>
      </c>
      <c r="E96" s="18" t="n">
        <v>0</v>
      </c>
      <c r="F96" s="18" t="n">
        <v>1.13686837721616e-12</v>
      </c>
      <c r="G96" s="18" t="n">
        <v>1.477928890381008e-12</v>
      </c>
      <c r="H96" s="18" t="n">
        <v>0</v>
      </c>
      <c r="I96" s="18" t="n">
        <v>0</v>
      </c>
      <c r="J96" s="18" t="n">
        <v>78.61000000000058</v>
      </c>
      <c r="K96" s="18" t="n">
        <v>0</v>
      </c>
      <c r="L96" s="18" t="n">
        <v>0</v>
      </c>
      <c r="M96" s="18" t="n">
        <v>-24092.96000000001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>
        <v>172.7500000000017</v>
      </c>
      <c r="C97" s="18" t="n">
        <v>112.1499999999986</v>
      </c>
      <c r="D97" s="18" t="n">
        <v>-8501.030000000002</v>
      </c>
      <c r="E97" s="18" t="n">
        <v>-1268.609999999999</v>
      </c>
      <c r="F97" s="18" t="n">
        <v>-488.7699999999968</v>
      </c>
      <c r="G97" s="18" t="n">
        <v>160.0300000000009</v>
      </c>
      <c r="H97" s="18" t="n">
        <v>-2333.310000000001</v>
      </c>
      <c r="I97" s="18" t="n">
        <v>8189.879999999999</v>
      </c>
      <c r="J97" s="18" t="n">
        <v>3540.03</v>
      </c>
      <c r="K97" s="18" t="n">
        <v>7064.09</v>
      </c>
      <c r="L97" s="18" t="n">
        <v>9555.529999999997</v>
      </c>
      <c r="M97" s="18" t="n">
        <v>-18542.83000000001</v>
      </c>
      <c r="N97" s="8" t="n"/>
      <c r="O97" s="60">
        <f>SUM('YBN FH TB'!C2:C43)</f>
        <v/>
      </c>
      <c r="P97" s="60">
        <f>SUM('YBN FH TB'!D2:D43)</f>
        <v/>
      </c>
      <c r="Q97" s="60">
        <f>SUM('YBN FH TB'!E2:E43)</f>
        <v/>
      </c>
      <c r="R97" s="60">
        <f>SUM('YBN FH TB'!F2:F43)</f>
        <v/>
      </c>
      <c r="S97" s="60">
        <f>SUM('YBN FH TB'!G2:G43)</f>
        <v/>
      </c>
      <c r="T97" s="60">
        <f>SUM('YBN FH TB'!H2:H43)</f>
        <v/>
      </c>
      <c r="U97" s="60">
        <f>SUM('YBN FH TB'!I2:I43)</f>
        <v/>
      </c>
      <c r="V97" s="60">
        <f>SUM('YBN FH TB'!J2:J43)</f>
        <v/>
      </c>
      <c r="W97" s="60">
        <f>SUM('YBN FH TB'!K2:K43)</f>
        <v/>
      </c>
      <c r="X97" s="60">
        <f>SUM('YBN FH TB'!L2:L43)</f>
        <v/>
      </c>
      <c r="Y97" s="60">
        <f>SUM('YBN FH TB'!M2:M43)</f>
        <v/>
      </c>
      <c r="Z97" s="60">
        <f>SUM('YBN FH TB'!N2:N43)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pane xSplit="13" ySplit="36" topLeftCell="N3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5703125" customWidth="1" min="27" max="27"/>
    <col width="13.28515625" customWidth="1" min="29" max="29"/>
    <col width="11.7109375" customWidth="1" min="35" max="35"/>
    <col width="10.5703125" customWidth="1" min="36" max="36"/>
    <col width="5.7109375" customWidth="1" min="40" max="40"/>
    <col width="10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KNL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0</v>
      </c>
      <c r="C8" s="35" t="n">
        <v>0</v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 t="n">
        <v>0</v>
      </c>
      <c r="J8" s="35" t="n">
        <v>0</v>
      </c>
      <c r="K8" s="35" t="n">
        <v>0</v>
      </c>
      <c r="L8" s="35" t="n">
        <v>0</v>
      </c>
      <c r="M8" s="35" t="n">
        <v>0</v>
      </c>
      <c r="N8" s="36">
        <f>SUM(B8:M8)</f>
        <v/>
      </c>
      <c r="O8" s="37">
        <f>-(SUMIF('KNL Blank TB'!$R:$R,'KNL HO P&amp;L'!$A8,'KNL Blank TB'!C:C)+(SUMIF('KNL HO TB'!$R:$R,'KNL HO P&amp;L'!$A8,'KNL HO TB'!C:C)))</f>
        <v/>
      </c>
      <c r="P8" s="37">
        <f>-(SUMIF('KNL Blank TB'!$R:$R,'KNL HO P&amp;L'!$A8,'KNL Blank TB'!D:D)+(SUMIF('KNL HO TB'!$R:$R,'KNL HO P&amp;L'!$A8,'KNL HO TB'!D:D)))</f>
        <v/>
      </c>
      <c r="Q8" s="37">
        <f>-(SUMIF('KNL Blank TB'!$R:$R,'KNL HO P&amp;L'!$A8,'KNL Blank TB'!E:E)+(SUMIF('KNL HO TB'!$R:$R,'KNL HO P&amp;L'!$A8,'KNL HO TB'!E:E)))</f>
        <v/>
      </c>
      <c r="R8" s="37">
        <f>-(SUMIF('KNL Blank TB'!$R:$R,'KNL HO P&amp;L'!$A8,'KNL Blank TB'!F:F)+(SUMIF('KNL HO TB'!$R:$R,'KNL HO P&amp;L'!$A8,'KNL HO TB'!F:F)))</f>
        <v/>
      </c>
      <c r="S8" s="37">
        <f>-(SUMIF('KNL Blank TB'!$R:$R,'KNL HO P&amp;L'!$A8,'KNL Blank TB'!G:G)+(SUMIF('KNL HO TB'!$R:$R,'KNL HO P&amp;L'!$A8,'KNL HO TB'!G:G)))</f>
        <v/>
      </c>
      <c r="T8" s="37">
        <f>-(SUMIF('KNL Blank TB'!$R:$R,'KNL HO P&amp;L'!$A8,'KNL Blank TB'!H:H)+(SUMIF('KNL HO TB'!$R:$R,'KNL HO P&amp;L'!$A8,'KNL HO TB'!H:H)))</f>
        <v/>
      </c>
      <c r="U8" s="37">
        <f>-(SUMIF('KNL Blank TB'!$R:$R,'KNL HO P&amp;L'!$A8,'KNL Blank TB'!I:I)+(SUMIF('KNL HO TB'!$R:$R,'KNL HO P&amp;L'!$A8,'KNL HO TB'!I:I)))</f>
        <v/>
      </c>
      <c r="V8" s="38" t="n"/>
      <c r="W8" s="38" t="n"/>
      <c r="X8" s="38" t="n"/>
      <c r="Y8" s="38" t="n"/>
      <c r="Z8" s="38" t="n"/>
      <c r="AA8" s="36">
        <f>SUM(O8:U8)</f>
        <v/>
      </c>
      <c r="AB8" s="36">
        <f>SUM(O8:Z8)</f>
        <v/>
      </c>
      <c r="AC8" s="38" t="n"/>
      <c r="AD8" s="38" t="n"/>
      <c r="AE8" s="38" t="n"/>
      <c r="AF8" s="38" t="n"/>
      <c r="AG8" s="38" t="n"/>
      <c r="AH8" s="38" t="n"/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0</v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  <c r="H9" s="35" t="n">
        <v>0</v>
      </c>
      <c r="I9" s="35" t="n">
        <v>0</v>
      </c>
      <c r="J9" s="35" t="n">
        <v>0</v>
      </c>
      <c r="K9" s="35" t="n">
        <v>0</v>
      </c>
      <c r="L9" s="35" t="n">
        <v>0</v>
      </c>
      <c r="M9" s="35" t="n">
        <v>0</v>
      </c>
      <c r="N9" s="36">
        <f>SUM(B9:M9)</f>
        <v/>
      </c>
      <c r="O9" s="37">
        <f>-(SUMIF('KNL Blank TB'!$R:$R,'KNL HO P&amp;L'!$A9,'KNL Blank TB'!C:C)+(SUMIF('KNL HO TB'!$R:$R,'KNL HO P&amp;L'!$A9,'KNL HO TB'!C:C)))</f>
        <v/>
      </c>
      <c r="P9" s="37">
        <f>-(SUMIF('KNL Blank TB'!$R:$R,'KNL HO P&amp;L'!$A9,'KNL Blank TB'!D:D)+(SUMIF('KNL HO TB'!$R:$R,'KNL HO P&amp;L'!$A9,'KNL HO TB'!D:D)))</f>
        <v/>
      </c>
      <c r="Q9" s="37">
        <f>-(SUMIF('KNL Blank TB'!$R:$R,'KNL HO P&amp;L'!$A9,'KNL Blank TB'!E:E)+(SUMIF('KNL HO TB'!$R:$R,'KNL HO P&amp;L'!$A9,'KNL HO TB'!E:E)))</f>
        <v/>
      </c>
      <c r="R9" s="37">
        <f>-(SUMIF('KNL Blank TB'!$R:$R,'KNL HO P&amp;L'!$A9,'KNL Blank TB'!F:F)+(SUMIF('KNL HO TB'!$R:$R,'KNL HO P&amp;L'!$A9,'KNL HO TB'!F:F)))</f>
        <v/>
      </c>
      <c r="S9" s="37">
        <f>-(SUMIF('KNL Blank TB'!$R:$R,'KNL HO P&amp;L'!$A9,'KNL Blank TB'!G:G)+(SUMIF('KNL HO TB'!$R:$R,'KNL HO P&amp;L'!$A9,'KNL HO TB'!G:G)))</f>
        <v/>
      </c>
      <c r="T9" s="37">
        <f>-(SUMIF('KNL Blank TB'!$R:$R,'KNL HO P&amp;L'!$A9,'KNL Blank TB'!H:H)+(SUMIF('KNL HO TB'!$R:$R,'KNL HO P&amp;L'!$A9,'KNL HO TB'!H:H)))</f>
        <v/>
      </c>
      <c r="U9" s="37">
        <f>-(SUMIF('KNL Blank TB'!$R:$R,'KNL HO P&amp;L'!$A9,'KNL Blank TB'!I:I)+(SUMIF('KNL HO TB'!$R:$R,'KNL HO P&amp;L'!$A9,'KNL HO TB'!I:I)))</f>
        <v/>
      </c>
      <c r="V9" s="38" t="n"/>
      <c r="W9" s="38" t="n"/>
      <c r="X9" s="38" t="n"/>
      <c r="Y9" s="38" t="n"/>
      <c r="Z9" s="38" t="n"/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16.94</v>
      </c>
      <c r="H10" s="35" t="n">
        <v>0</v>
      </c>
      <c r="I10" s="35" t="n">
        <v>0</v>
      </c>
      <c r="J10" s="35" t="n">
        <v>850.5700000000001</v>
      </c>
      <c r="K10" s="35" t="n">
        <v>0</v>
      </c>
      <c r="L10" s="35" t="n">
        <v>730.24</v>
      </c>
      <c r="M10" s="35" t="n">
        <v>0</v>
      </c>
      <c r="N10" s="36">
        <f>SUM(B10:M10)</f>
        <v/>
      </c>
      <c r="O10" s="37">
        <f>-(SUMIF('KNL Blank TB'!$R:$R,'KNL HO P&amp;L'!$A10,'KNL Blank TB'!C:C)+(SUMIF('KNL HO TB'!$R:$R,'KNL HO P&amp;L'!$A10,'KNL HO TB'!C:C)))</f>
        <v/>
      </c>
      <c r="P10" s="37">
        <f>-(SUMIF('KNL Blank TB'!$R:$R,'KNL HO P&amp;L'!$A10,'KNL Blank TB'!D:D)+(SUMIF('KNL HO TB'!$R:$R,'KNL HO P&amp;L'!$A10,'KNL HO TB'!D:D)))</f>
        <v/>
      </c>
      <c r="Q10" s="37">
        <f>-(SUMIF('KNL Blank TB'!$R:$R,'KNL HO P&amp;L'!$A10,'KNL Blank TB'!E:E)+(SUMIF('KNL HO TB'!$R:$R,'KNL HO P&amp;L'!$A10,'KNL HO TB'!E:E)))</f>
        <v/>
      </c>
      <c r="R10" s="37">
        <f>-(SUMIF('KNL Blank TB'!$R:$R,'KNL HO P&amp;L'!$A10,'KNL Blank TB'!F:F)+(SUMIF('KNL HO TB'!$R:$R,'KNL HO P&amp;L'!$A10,'KNL HO TB'!F:F)))</f>
        <v/>
      </c>
      <c r="S10" s="37">
        <f>-(SUMIF('KNL Blank TB'!$R:$R,'KNL HO P&amp;L'!$A10,'KNL Blank TB'!G:G)+(SUMIF('KNL HO TB'!$R:$R,'KNL HO P&amp;L'!$A10,'KNL HO TB'!G:G)))</f>
        <v/>
      </c>
      <c r="T10" s="37">
        <f>-(SUMIF('KNL Blank TB'!$R:$R,'KNL HO P&amp;L'!$A10,'KNL Blank TB'!H:H)+(SUMIF('KNL HO TB'!$R:$R,'KNL HO P&amp;L'!$A10,'KNL HO TB'!H:H)))</f>
        <v/>
      </c>
      <c r="U10" s="37">
        <f>-(SUMIF('KNL Blank TB'!$R:$R,'KNL HO P&amp;L'!$A10,'KNL Blank TB'!I:I)+(SUMIF('KNL HO TB'!$R:$R,'KNL HO P&amp;L'!$A10,'KNL HO TB'!I:I)))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0</v>
      </c>
      <c r="C11" s="42" t="n">
        <v>0</v>
      </c>
      <c r="D11" s="42" t="n">
        <v>0</v>
      </c>
      <c r="E11" s="42" t="n">
        <v>0</v>
      </c>
      <c r="F11" s="42" t="n">
        <v>0</v>
      </c>
      <c r="G11" s="42" t="n">
        <v>16.94</v>
      </c>
      <c r="H11" s="42" t="n">
        <v>0</v>
      </c>
      <c r="I11" s="42" t="n">
        <v>0</v>
      </c>
      <c r="J11" s="42" t="n">
        <v>850.5700000000001</v>
      </c>
      <c r="K11" s="42" t="n">
        <v>0</v>
      </c>
      <c r="L11" s="42" t="n">
        <v>730.24</v>
      </c>
      <c r="M11" s="42" t="n">
        <v>0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 t="n"/>
      <c r="AD11" s="45" t="n"/>
      <c r="AE11" s="45" t="n"/>
      <c r="AF11" s="45" t="n"/>
      <c r="AG11" s="45" t="n"/>
      <c r="AH11" s="45" t="n"/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n"/>
      <c r="B13" s="47" t="n"/>
      <c r="C13" s="47" t="n"/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  <c r="AA13" s="47" t="n"/>
      <c r="AB13" s="47" t="n"/>
      <c r="AC13" s="47" t="n"/>
      <c r="AD13" s="47" t="n"/>
      <c r="AE13" s="47" t="n"/>
      <c r="AF13" s="47" t="n"/>
      <c r="AG13" s="47" t="n"/>
      <c r="AH13" s="47" t="n"/>
      <c r="AI13" s="81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0</v>
      </c>
      <c r="C16" s="35" t="n">
        <v>0</v>
      </c>
      <c r="D16" s="35" t="n">
        <v>0</v>
      </c>
      <c r="E16" s="35" t="n">
        <v>0</v>
      </c>
      <c r="F16" s="35" t="n">
        <v>0</v>
      </c>
      <c r="G16" s="35" t="n">
        <v>0</v>
      </c>
      <c r="H16" s="35" t="n">
        <v>0</v>
      </c>
      <c r="I16" s="35" t="n">
        <v>0</v>
      </c>
      <c r="J16" s="35" t="n">
        <v>0</v>
      </c>
      <c r="K16" s="35" t="n">
        <v>0</v>
      </c>
      <c r="L16" s="35" t="n">
        <v>0</v>
      </c>
      <c r="M16" s="35" t="n">
        <v>0</v>
      </c>
      <c r="N16" s="36">
        <f>SUM(B16:M16)</f>
        <v/>
      </c>
      <c r="O16" s="37">
        <f>(SUMIF('KNL Blank TB'!$R:$R,'KNL HO P&amp;L'!$A16,'KNL Blank TB'!C:C)+(SUMIF('KNL HO TB'!$R:$R,'KNL HO P&amp;L'!$A16,'KNL HO TB'!C:C)))</f>
        <v/>
      </c>
      <c r="P16" s="37">
        <f>(SUMIF('KNL Blank TB'!$R:$R,'KNL HO P&amp;L'!$A16,'KNL Blank TB'!D:D)+(SUMIF('KNL HO TB'!$R:$R,'KNL HO P&amp;L'!$A16,'KNL HO TB'!D:D)))</f>
        <v/>
      </c>
      <c r="Q16" s="37">
        <f>(SUMIF('KNL Blank TB'!$R:$R,'KNL HO P&amp;L'!$A16,'KNL Blank TB'!E:E)+(SUMIF('KNL HO TB'!$R:$R,'KNL HO P&amp;L'!$A16,'KNL HO TB'!E:E)))</f>
        <v/>
      </c>
      <c r="R16" s="37">
        <f>(SUMIF('KNL Blank TB'!$R:$R,'KNL HO P&amp;L'!$A16,'KNL Blank TB'!F:F)+(SUMIF('KNL HO TB'!$R:$R,'KNL HO P&amp;L'!$A16,'KNL HO TB'!F:F)))</f>
        <v/>
      </c>
      <c r="S16" s="37">
        <f>(SUMIF('KNL Blank TB'!$R:$R,'KNL HO P&amp;L'!$A16,'KNL Blank TB'!G:G)+(SUMIF('KNL HO TB'!$R:$R,'KNL HO P&amp;L'!$A16,'KNL HO TB'!G:G)))</f>
        <v/>
      </c>
      <c r="T16" s="37">
        <f>(SUMIF('KNL Blank TB'!$R:$R,'KNL HO P&amp;L'!$A16,'KNL Blank TB'!H:H)+(SUMIF('KNL HO TB'!$R:$R,'KNL HO P&amp;L'!$A16,'KNL HO TB'!H:H)))</f>
        <v/>
      </c>
      <c r="U16" s="37">
        <f>(SUMIF('KNL Blank TB'!$R:$R,'KNL HO P&amp;L'!$A16,'KNL Blank TB'!I:I)+(SUMIF('KNL HO TB'!$R:$R,'KNL HO P&amp;L'!$A16,'KNL HO TB'!I:I)))</f>
        <v/>
      </c>
      <c r="V16" s="38" t="n"/>
      <c r="W16" s="38" t="n"/>
      <c r="X16" s="38" t="n"/>
      <c r="Y16" s="38" t="n"/>
      <c r="Z16" s="38" t="n"/>
      <c r="AA16" s="36">
        <f>SUM(O16:U16)</f>
        <v/>
      </c>
      <c r="AB16" s="36">
        <f>SUM(O16:Z16)</f>
        <v/>
      </c>
      <c r="AC16" s="38" t="n"/>
      <c r="AD16" s="38" t="n"/>
      <c r="AE16" s="38" t="n"/>
      <c r="AF16" s="38" t="n"/>
      <c r="AG16" s="38" t="n"/>
      <c r="AH16" s="38" t="n"/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0</v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0</v>
      </c>
      <c r="K17" s="35" t="n">
        <v>0</v>
      </c>
      <c r="L17" s="35" t="n">
        <v>0</v>
      </c>
      <c r="M17" s="35" t="n">
        <v>0</v>
      </c>
      <c r="N17" s="36">
        <f>SUM(B17:M17)</f>
        <v/>
      </c>
      <c r="O17" s="37">
        <f>(SUMIF('KNL Blank TB'!$R:$R,'KNL HO P&amp;L'!$A17,'KNL Blank TB'!C:C)+(SUMIF('KNL HO TB'!$R:$R,'KNL HO P&amp;L'!$A17,'KNL HO TB'!C:C)))</f>
        <v/>
      </c>
      <c r="P17" s="37">
        <f>(SUMIF('KNL Blank TB'!$R:$R,'KNL HO P&amp;L'!$A17,'KNL Blank TB'!D:D)+(SUMIF('KNL HO TB'!$R:$R,'KNL HO P&amp;L'!$A17,'KNL HO TB'!D:D)))</f>
        <v/>
      </c>
      <c r="Q17" s="37">
        <f>(SUMIF('KNL Blank TB'!$R:$R,'KNL HO P&amp;L'!$A17,'KNL Blank TB'!E:E)+(SUMIF('KNL HO TB'!$R:$R,'KNL HO P&amp;L'!$A17,'KNL HO TB'!E:E)))</f>
        <v/>
      </c>
      <c r="R17" s="37">
        <f>(SUMIF('KNL Blank TB'!$R:$R,'KNL HO P&amp;L'!$A17,'KNL Blank TB'!F:F)+(SUMIF('KNL HO TB'!$R:$R,'KNL HO P&amp;L'!$A17,'KNL HO TB'!F:F)))</f>
        <v/>
      </c>
      <c r="S17" s="37">
        <f>(SUMIF('KNL Blank TB'!$R:$R,'KNL HO P&amp;L'!$A17,'KNL Blank TB'!G:G)+(SUMIF('KNL HO TB'!$R:$R,'KNL HO P&amp;L'!$A17,'KNL HO TB'!G:G)))</f>
        <v/>
      </c>
      <c r="T17" s="37">
        <f>(SUMIF('KNL Blank TB'!$R:$R,'KNL HO P&amp;L'!$A17,'KNL Blank TB'!H:H)+(SUMIF('KNL HO TB'!$R:$R,'KNL HO P&amp;L'!$A17,'KNL HO TB'!H:H)))</f>
        <v/>
      </c>
      <c r="U17" s="37">
        <f>(SUMIF('KNL Blank TB'!$R:$R,'KNL HO P&amp;L'!$A17,'KNL Blank TB'!I:I)+(SUMIF('KNL HO TB'!$R:$R,'KNL HO P&amp;L'!$A17,'KNL HO TB'!I:I)))</f>
        <v/>
      </c>
      <c r="V17" s="38" t="n"/>
      <c r="W17" s="38" t="n"/>
      <c r="X17" s="38" t="n"/>
      <c r="Y17" s="38" t="n"/>
      <c r="Z17" s="38" t="n"/>
      <c r="AA17" s="36">
        <f>SUM(O17:U17)</f>
        <v/>
      </c>
      <c r="AB17" s="36">
        <f>SUM(O17:Z17)</f>
        <v/>
      </c>
      <c r="AC17" s="38" t="n"/>
      <c r="AD17" s="38" t="n"/>
      <c r="AE17" s="38" t="n"/>
      <c r="AF17" s="38" t="n"/>
      <c r="AG17" s="38" t="n"/>
      <c r="AH17" s="38" t="n"/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0</v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  <c r="H18" s="35" t="n">
        <v>0</v>
      </c>
      <c r="I18" s="35" t="n">
        <v>0</v>
      </c>
      <c r="J18" s="35" t="n">
        <v>0</v>
      </c>
      <c r="K18" s="35" t="n">
        <v>0</v>
      </c>
      <c r="L18" s="35" t="n">
        <v>0</v>
      </c>
      <c r="M18" s="35" t="n">
        <v>0</v>
      </c>
      <c r="N18" s="36">
        <f>SUM(B18:M18)</f>
        <v/>
      </c>
      <c r="O18" s="37">
        <f>(SUMIF('KNL Blank TB'!$R:$R,'KNL HO P&amp;L'!$A18,'KNL Blank TB'!C:C)+(SUMIF('KNL HO TB'!$R:$R,'KNL HO P&amp;L'!$A18,'KNL HO TB'!C:C)))</f>
        <v/>
      </c>
      <c r="P18" s="37">
        <f>(SUMIF('KNL Blank TB'!$R:$R,'KNL HO P&amp;L'!$A18,'KNL Blank TB'!D:D)+(SUMIF('KNL HO TB'!$R:$R,'KNL HO P&amp;L'!$A18,'KNL HO TB'!D:D)))</f>
        <v/>
      </c>
      <c r="Q18" s="37">
        <f>(SUMIF('KNL Blank TB'!$R:$R,'KNL HO P&amp;L'!$A18,'KNL Blank TB'!E:E)+(SUMIF('KNL HO TB'!$R:$R,'KNL HO P&amp;L'!$A18,'KNL HO TB'!E:E)))</f>
        <v/>
      </c>
      <c r="R18" s="37">
        <f>(SUMIF('KNL Blank TB'!$R:$R,'KNL HO P&amp;L'!$A18,'KNL Blank TB'!F:F)+(SUMIF('KNL HO TB'!$R:$R,'KNL HO P&amp;L'!$A18,'KNL HO TB'!F:F)))</f>
        <v/>
      </c>
      <c r="S18" s="37">
        <f>(SUMIF('KNL Blank TB'!$R:$R,'KNL HO P&amp;L'!$A18,'KNL Blank TB'!G:G)+(SUMIF('KNL HO TB'!$R:$R,'KNL HO P&amp;L'!$A18,'KNL HO TB'!G:G)))</f>
        <v/>
      </c>
      <c r="T18" s="37">
        <f>(SUMIF('KNL Blank TB'!$R:$R,'KNL HO P&amp;L'!$A18,'KNL Blank TB'!H:H)+(SUMIF('KNL HO TB'!$R:$R,'KNL HO P&amp;L'!$A18,'KNL HO TB'!H:H)))</f>
        <v/>
      </c>
      <c r="U18" s="37">
        <f>(SUMIF('KNL Blank TB'!$R:$R,'KNL HO P&amp;L'!$A18,'KNL Blank TB'!I:I)+(SUMIF('KNL HO TB'!$R:$R,'KNL HO P&amp;L'!$A18,'KNL HO TB'!I:I)))</f>
        <v/>
      </c>
      <c r="V18" s="38" t="n"/>
      <c r="W18" s="38" t="n"/>
      <c r="X18" s="38" t="n"/>
      <c r="Y18" s="38" t="n"/>
      <c r="Z18" s="38" t="n"/>
      <c r="AA18" s="36">
        <f>SUM(O18:U18)</f>
        <v/>
      </c>
      <c r="AB18" s="36">
        <f>SUM(O18:Z18)</f>
        <v/>
      </c>
      <c r="AC18" s="38" t="n"/>
      <c r="AD18" s="38" t="n"/>
      <c r="AE18" s="38" t="n"/>
      <c r="AF18" s="38" t="n"/>
      <c r="AG18" s="38" t="n"/>
      <c r="AH18" s="38" t="n"/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251.32</v>
      </c>
      <c r="C19" s="35" t="n">
        <v>-1</v>
      </c>
      <c r="D19" s="35" t="n">
        <v>42.98</v>
      </c>
      <c r="E19" s="35" t="n">
        <v>0</v>
      </c>
      <c r="F19" s="35" t="n">
        <v>0</v>
      </c>
      <c r="G19" s="35" t="n">
        <v>20.28</v>
      </c>
      <c r="H19" s="35" t="n">
        <v>53</v>
      </c>
      <c r="I19" s="35" t="n">
        <v>0</v>
      </c>
      <c r="J19" s="35" t="n">
        <v>125.58</v>
      </c>
      <c r="K19" s="35" t="n">
        <v>0</v>
      </c>
      <c r="L19" s="35" t="n">
        <v>43.34</v>
      </c>
      <c r="M19" s="35" t="n">
        <v>30.98</v>
      </c>
      <c r="N19" s="36">
        <f>SUM(B19:M19)</f>
        <v/>
      </c>
      <c r="O19" s="37">
        <f>(SUMIF('KNL Blank TB'!$R:$R,'KNL HO P&amp;L'!$A19,'KNL Blank TB'!C:C)+(SUMIF('KNL HO TB'!$R:$R,'KNL HO P&amp;L'!$A19,'KNL HO TB'!C:C)))</f>
        <v/>
      </c>
      <c r="P19" s="37">
        <f>(SUMIF('KNL Blank TB'!$R:$R,'KNL HO P&amp;L'!$A19,'KNL Blank TB'!D:D)+(SUMIF('KNL HO TB'!$R:$R,'KNL HO P&amp;L'!$A19,'KNL HO TB'!D:D)))</f>
        <v/>
      </c>
      <c r="Q19" s="37">
        <f>(SUMIF('KNL Blank TB'!$R:$R,'KNL HO P&amp;L'!$A19,'KNL Blank TB'!E:E)+(SUMIF('KNL HO TB'!$R:$R,'KNL HO P&amp;L'!$A19,'KNL HO TB'!E:E)))</f>
        <v/>
      </c>
      <c r="R19" s="37">
        <f>(SUMIF('KNL Blank TB'!$R:$R,'KNL HO P&amp;L'!$A19,'KNL Blank TB'!F:F)+(SUMIF('KNL HO TB'!$R:$R,'KNL HO P&amp;L'!$A19,'KNL HO TB'!F:F)))</f>
        <v/>
      </c>
      <c r="S19" s="37">
        <f>(SUMIF('KNL Blank TB'!$R:$R,'KNL HO P&amp;L'!$A19,'KNL Blank TB'!G:G)+(SUMIF('KNL HO TB'!$R:$R,'KNL HO P&amp;L'!$A19,'KNL HO TB'!G:G)))</f>
        <v/>
      </c>
      <c r="T19" s="37">
        <f>(SUMIF('KNL Blank TB'!$R:$R,'KNL HO P&amp;L'!$A19,'KNL Blank TB'!H:H)+(SUMIF('KNL HO TB'!$R:$R,'KNL HO P&amp;L'!$A19,'KNL HO TB'!H:H)))</f>
        <v/>
      </c>
      <c r="U19" s="37">
        <f>(SUMIF('KNL Blank TB'!$R:$R,'KNL HO P&amp;L'!$A19,'KNL Blank TB'!I:I)+(SUMIF('KNL HO TB'!$R:$R,'KNL HO P&amp;L'!$A19,'KNL HO TB'!I:I)))</f>
        <v/>
      </c>
      <c r="V19" s="38" t="n"/>
      <c r="W19" s="38" t="n"/>
      <c r="X19" s="38" t="n"/>
      <c r="Y19" s="38" t="n"/>
      <c r="Z19" s="38" t="n"/>
      <c r="AA19" s="36">
        <f>SUM(O19:U19)</f>
        <v/>
      </c>
      <c r="AB19" s="36">
        <f>SUM(O19:Z19)</f>
        <v/>
      </c>
      <c r="AC19" s="38" t="n"/>
      <c r="AD19" s="38" t="n"/>
      <c r="AE19" s="38" t="n"/>
      <c r="AF19" s="38" t="n"/>
      <c r="AG19" s="38" t="n"/>
      <c r="AH19" s="38" t="n"/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2093.6</v>
      </c>
      <c r="C20" s="35" t="n">
        <v>7064.880000000001</v>
      </c>
      <c r="D20" s="35" t="n">
        <v>2725.99</v>
      </c>
      <c r="E20" s="35" t="n">
        <v>2100.8</v>
      </c>
      <c r="F20" s="35" t="n">
        <v>1948.2</v>
      </c>
      <c r="G20" s="35" t="n">
        <v>1535.64</v>
      </c>
      <c r="H20" s="35" t="n">
        <v>1763.2</v>
      </c>
      <c r="I20" s="35" t="n">
        <v>2601.5</v>
      </c>
      <c r="J20" s="35" t="n">
        <v>1643.2</v>
      </c>
      <c r="K20" s="35" t="n">
        <v>6098.6</v>
      </c>
      <c r="L20" s="35" t="n">
        <v>440</v>
      </c>
      <c r="M20" s="35" t="n">
        <v>95.7</v>
      </c>
      <c r="N20" s="36">
        <f>SUM(B20:M20)</f>
        <v/>
      </c>
      <c r="O20" s="37">
        <f>(SUMIF('KNL Blank TB'!$R:$R,'KNL HO P&amp;L'!$A20,'KNL Blank TB'!C:C)+(SUMIF('KNL HO TB'!$R:$R,'KNL HO P&amp;L'!$A20,'KNL HO TB'!C:C)))</f>
        <v/>
      </c>
      <c r="P20" s="37">
        <f>(SUMIF('KNL Blank TB'!$R:$R,'KNL HO P&amp;L'!$A20,'KNL Blank TB'!D:D)+(SUMIF('KNL HO TB'!$R:$R,'KNL HO P&amp;L'!$A20,'KNL HO TB'!D:D)))</f>
        <v/>
      </c>
      <c r="Q20" s="37">
        <f>(SUMIF('KNL Blank TB'!$R:$R,'KNL HO P&amp;L'!$A20,'KNL Blank TB'!E:E)+(SUMIF('KNL HO TB'!$R:$R,'KNL HO P&amp;L'!$A20,'KNL HO TB'!E:E)))</f>
        <v/>
      </c>
      <c r="R20" s="37">
        <f>(SUMIF('KNL Blank TB'!$R:$R,'KNL HO P&amp;L'!$A20,'KNL Blank TB'!F:F)+(SUMIF('KNL HO TB'!$R:$R,'KNL HO P&amp;L'!$A20,'KNL HO TB'!F:F)))</f>
        <v/>
      </c>
      <c r="S20" s="37">
        <f>(SUMIF('KNL Blank TB'!$R:$R,'KNL HO P&amp;L'!$A20,'KNL Blank TB'!G:G)+(SUMIF('KNL HO TB'!$R:$R,'KNL HO P&amp;L'!$A20,'KNL HO TB'!G:G)))</f>
        <v/>
      </c>
      <c r="T20" s="37">
        <f>(SUMIF('KNL Blank TB'!$R:$R,'KNL HO P&amp;L'!$A20,'KNL Blank TB'!H:H)+(SUMIF('KNL HO TB'!$R:$R,'KNL HO P&amp;L'!$A20,'KNL HO TB'!H:H)))</f>
        <v/>
      </c>
      <c r="U20" s="37">
        <f>(SUMIF('KNL Blank TB'!$R:$R,'KNL HO P&amp;L'!$A20,'KNL Blank TB'!I:I)+(SUMIF('KNL HO TB'!$R:$R,'KNL HO P&amp;L'!$A20,'KNL HO TB'!I:I)))</f>
        <v/>
      </c>
      <c r="V20" s="38" t="n"/>
      <c r="W20" s="38" t="n"/>
      <c r="X20" s="38" t="n"/>
      <c r="Y20" s="38" t="n"/>
      <c r="Z20" s="38" t="n"/>
      <c r="AA20" s="36">
        <f>SUM(O20:U20)</f>
        <v/>
      </c>
      <c r="AB20" s="36">
        <f>SUM(O20:Z20)</f>
        <v/>
      </c>
      <c r="AC20" s="38" t="n"/>
      <c r="AD20" s="38" t="n"/>
      <c r="AE20" s="38" t="n"/>
      <c r="AF20" s="38" t="n"/>
      <c r="AG20" s="38" t="n"/>
      <c r="AH20" s="38" t="n"/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3746.52</v>
      </c>
      <c r="C21" s="35" t="n">
        <v>1951.9</v>
      </c>
      <c r="D21" s="35" t="n">
        <v>1552.85</v>
      </c>
      <c r="E21" s="35" t="n">
        <v>2180.94</v>
      </c>
      <c r="F21" s="35" t="n">
        <v>2227.49</v>
      </c>
      <c r="G21" s="35" t="n">
        <v>824.1799999999999</v>
      </c>
      <c r="H21" s="35" t="n">
        <v>932.1799999999999</v>
      </c>
      <c r="I21" s="35" t="n">
        <v>379.18</v>
      </c>
      <c r="J21" s="35" t="n">
        <v>512.5699999999999</v>
      </c>
      <c r="K21" s="35" t="n">
        <v>787.26</v>
      </c>
      <c r="L21" s="35" t="n">
        <v>1075.18</v>
      </c>
      <c r="M21" s="35" t="n">
        <v>862.24</v>
      </c>
      <c r="N21" s="36">
        <f>SUM(B21:M21)</f>
        <v/>
      </c>
      <c r="O21" s="37">
        <f>(SUMIF('KNL Blank TB'!$R:$R,'KNL HO P&amp;L'!$A21,'KNL Blank TB'!C:C)+(SUMIF('KNL HO TB'!$R:$R,'KNL HO P&amp;L'!$A21,'KNL HO TB'!C:C)))</f>
        <v/>
      </c>
      <c r="P21" s="37">
        <f>(SUMIF('KNL Blank TB'!$R:$R,'KNL HO P&amp;L'!$A21,'KNL Blank TB'!D:D)+(SUMIF('KNL HO TB'!$R:$R,'KNL HO P&amp;L'!$A21,'KNL HO TB'!D:D)))</f>
        <v/>
      </c>
      <c r="Q21" s="37">
        <f>(SUMIF('KNL Blank TB'!$R:$R,'KNL HO P&amp;L'!$A21,'KNL Blank TB'!E:E)+(SUMIF('KNL HO TB'!$R:$R,'KNL HO P&amp;L'!$A21,'KNL HO TB'!E:E)))</f>
        <v/>
      </c>
      <c r="R21" s="37">
        <f>(SUMIF('KNL Blank TB'!$R:$R,'KNL HO P&amp;L'!$A21,'KNL Blank TB'!F:F)+(SUMIF('KNL HO TB'!$R:$R,'KNL HO P&amp;L'!$A21,'KNL HO TB'!F:F)))</f>
        <v/>
      </c>
      <c r="S21" s="37">
        <f>(SUMIF('KNL Blank TB'!$R:$R,'KNL HO P&amp;L'!$A21,'KNL Blank TB'!G:G)+(SUMIF('KNL HO TB'!$R:$R,'KNL HO P&amp;L'!$A21,'KNL HO TB'!G:G)))</f>
        <v/>
      </c>
      <c r="T21" s="37">
        <f>(SUMIF('KNL Blank TB'!$R:$R,'KNL HO P&amp;L'!$A21,'KNL Blank TB'!H:H)+(SUMIF('KNL HO TB'!$R:$R,'KNL HO P&amp;L'!$A21,'KNL HO TB'!H:H)))</f>
        <v/>
      </c>
      <c r="U21" s="37">
        <f>(SUMIF('KNL Blank TB'!$R:$R,'KNL HO P&amp;L'!$A21,'KNL Blank TB'!I:I)+(SUMIF('KNL HO TB'!$R:$R,'KNL HO P&amp;L'!$A21,'KNL HO TB'!I:I)))</f>
        <v/>
      </c>
      <c r="V21" s="38" t="n"/>
      <c r="W21" s="38" t="n"/>
      <c r="X21" s="38" t="n"/>
      <c r="Y21" s="38" t="n"/>
      <c r="Z21" s="38" t="n"/>
      <c r="AA21" s="36">
        <f>SUM(O21:U21)</f>
        <v/>
      </c>
      <c r="AB21" s="36">
        <f>SUM(O21:Z21)</f>
        <v/>
      </c>
      <c r="AC21" s="38" t="n"/>
      <c r="AD21" s="38" t="n"/>
      <c r="AE21" s="38" t="n"/>
      <c r="AF21" s="38" t="n"/>
      <c r="AG21" s="38" t="n"/>
      <c r="AH21" s="38" t="n"/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69.98999999999999</v>
      </c>
      <c r="E22" s="35" t="n">
        <v>0</v>
      </c>
      <c r="F22" s="35" t="n">
        <v>69.05</v>
      </c>
      <c r="G22" s="35" t="n">
        <v>4876.26</v>
      </c>
      <c r="H22" s="35" t="n">
        <v>528.17</v>
      </c>
      <c r="I22" s="35" t="n">
        <v>0</v>
      </c>
      <c r="J22" s="35" t="n">
        <v>600</v>
      </c>
      <c r="K22" s="35" t="n">
        <v>39.89</v>
      </c>
      <c r="L22" s="35" t="n">
        <v>0</v>
      </c>
      <c r="M22" s="35" t="n">
        <v>0</v>
      </c>
      <c r="N22" s="36">
        <f>SUM(B22:M22)</f>
        <v/>
      </c>
      <c r="O22" s="37">
        <f>(SUMIF('KNL Blank TB'!$R:$R,'KNL HO P&amp;L'!$A22,'KNL Blank TB'!C:C)+(SUMIF('KNL HO TB'!$R:$R,'KNL HO P&amp;L'!$A22,'KNL HO TB'!C:C)))</f>
        <v/>
      </c>
      <c r="P22" s="37">
        <f>(SUMIF('KNL Blank TB'!$R:$R,'KNL HO P&amp;L'!$A22,'KNL Blank TB'!D:D)+(SUMIF('KNL HO TB'!$R:$R,'KNL HO P&amp;L'!$A22,'KNL HO TB'!D:D)))</f>
        <v/>
      </c>
      <c r="Q22" s="37">
        <f>(SUMIF('KNL Blank TB'!$R:$R,'KNL HO P&amp;L'!$A22,'KNL Blank TB'!E:E)+(SUMIF('KNL HO TB'!$R:$R,'KNL HO P&amp;L'!$A22,'KNL HO TB'!E:E)))</f>
        <v/>
      </c>
      <c r="R22" s="37">
        <f>(SUMIF('KNL Blank TB'!$R:$R,'KNL HO P&amp;L'!$A22,'KNL Blank TB'!F:F)+(SUMIF('KNL HO TB'!$R:$R,'KNL HO P&amp;L'!$A22,'KNL HO TB'!F:F)))</f>
        <v/>
      </c>
      <c r="S22" s="37">
        <f>(SUMIF('KNL Blank TB'!$R:$R,'KNL HO P&amp;L'!$A22,'KNL Blank TB'!G:G)+(SUMIF('KNL HO TB'!$R:$R,'KNL HO P&amp;L'!$A22,'KNL HO TB'!G:G)))</f>
        <v/>
      </c>
      <c r="T22" s="37">
        <f>(SUMIF('KNL Blank TB'!$R:$R,'KNL HO P&amp;L'!$A22,'KNL Blank TB'!H:H)+(SUMIF('KNL HO TB'!$R:$R,'KNL HO P&amp;L'!$A22,'KNL HO TB'!H:H)))</f>
        <v/>
      </c>
      <c r="U22" s="37">
        <f>(SUMIF('KNL Blank TB'!$R:$R,'KNL HO P&amp;L'!$A22,'KNL Blank TB'!I:I)+(SUMIF('KNL HO TB'!$R:$R,'KNL HO P&amp;L'!$A22,'KNL HO TB'!I:I)))</f>
        <v/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1630</v>
      </c>
      <c r="H23" s="35" t="n">
        <v>1755</v>
      </c>
      <c r="I23" s="35" t="n">
        <v>1000</v>
      </c>
      <c r="J23" s="35" t="n">
        <v>2060</v>
      </c>
      <c r="K23" s="35" t="n">
        <v>988.3</v>
      </c>
      <c r="L23" s="35" t="n">
        <v>3534</v>
      </c>
      <c r="M23" s="35" t="n">
        <v>1700</v>
      </c>
      <c r="N23" s="36">
        <f>SUM(B23:M23)</f>
        <v/>
      </c>
      <c r="O23" s="37">
        <f>(SUMIF('KNL Blank TB'!$R:$R,'KNL HO P&amp;L'!$A23,'KNL Blank TB'!C:C)+(SUMIF('KNL HO TB'!$R:$R,'KNL HO P&amp;L'!$A23,'KNL HO TB'!C:C)))</f>
        <v/>
      </c>
      <c r="P23" s="37">
        <f>(SUMIF('KNL Blank TB'!$R:$R,'KNL HO P&amp;L'!$A23,'KNL Blank TB'!D:D)+(SUMIF('KNL HO TB'!$R:$R,'KNL HO P&amp;L'!$A23,'KNL HO TB'!D:D)))</f>
        <v/>
      </c>
      <c r="Q23" s="37">
        <f>(SUMIF('KNL Blank TB'!$R:$R,'KNL HO P&amp;L'!$A23,'KNL Blank TB'!E:E)+(SUMIF('KNL HO TB'!$R:$R,'KNL HO P&amp;L'!$A23,'KNL HO TB'!E:E)))</f>
        <v/>
      </c>
      <c r="R23" s="37">
        <f>(SUMIF('KNL Blank TB'!$R:$R,'KNL HO P&amp;L'!$A23,'KNL Blank TB'!F:F)+(SUMIF('KNL HO TB'!$R:$R,'KNL HO P&amp;L'!$A23,'KNL HO TB'!F:F)))</f>
        <v/>
      </c>
      <c r="S23" s="37">
        <f>(SUMIF('KNL Blank TB'!$R:$R,'KNL HO P&amp;L'!$A23,'KNL Blank TB'!G:G)+(SUMIF('KNL HO TB'!$R:$R,'KNL HO P&amp;L'!$A23,'KNL HO TB'!G:G)))</f>
        <v/>
      </c>
      <c r="T23" s="37">
        <f>(SUMIF('KNL Blank TB'!$R:$R,'KNL HO P&amp;L'!$A23,'KNL Blank TB'!H:H)+(SUMIF('KNL HO TB'!$R:$R,'KNL HO P&amp;L'!$A23,'KNL HO TB'!H:H)))</f>
        <v/>
      </c>
      <c r="U23" s="37">
        <f>(SUMIF('KNL Blank TB'!$R:$R,'KNL HO P&amp;L'!$A23,'KNL Blank TB'!I:I)+(SUMIF('KNL HO TB'!$R:$R,'KNL HO P&amp;L'!$A23,'KNL HO TB'!I:I)))</f>
        <v/>
      </c>
      <c r="V23" s="38" t="n"/>
      <c r="W23" s="38" t="n"/>
      <c r="X23" s="38" t="n"/>
      <c r="Y23" s="38" t="n"/>
      <c r="Z23" s="38" t="n"/>
      <c r="AA23" s="36">
        <f>SUM(O23:U23)</f>
        <v/>
      </c>
      <c r="AB23" s="36">
        <f>SUM(O23:Z23)</f>
        <v/>
      </c>
      <c r="AC23" s="38" t="n"/>
      <c r="AD23" s="38" t="n"/>
      <c r="AE23" s="38" t="n"/>
      <c r="AF23" s="38" t="n"/>
      <c r="AG23" s="38" t="n"/>
      <c r="AH23" s="38" t="n"/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(SUMIF('KNL Blank TB'!$R:$R,'KNL HO P&amp;L'!$A24,'KNL Blank TB'!C:C)+(SUMIF('KNL HO TB'!$R:$R,'KNL HO P&amp;L'!$A24,'KNL HO TB'!C:C)))</f>
        <v/>
      </c>
      <c r="P24" s="37">
        <f>(SUMIF('KNL Blank TB'!$R:$R,'KNL HO P&amp;L'!$A24,'KNL Blank TB'!D:D)+(SUMIF('KNL HO TB'!$R:$R,'KNL HO P&amp;L'!$A24,'KNL HO TB'!D:D)))</f>
        <v/>
      </c>
      <c r="Q24" s="37">
        <f>(SUMIF('KNL Blank TB'!$R:$R,'KNL HO P&amp;L'!$A24,'KNL Blank TB'!E:E)+(SUMIF('KNL HO TB'!$R:$R,'KNL HO P&amp;L'!$A24,'KNL HO TB'!E:E)))</f>
        <v/>
      </c>
      <c r="R24" s="37">
        <f>(SUMIF('KNL Blank TB'!$R:$R,'KNL HO P&amp;L'!$A24,'KNL Blank TB'!F:F)+(SUMIF('KNL HO TB'!$R:$R,'KNL HO P&amp;L'!$A24,'KNL HO TB'!F:F)))</f>
        <v/>
      </c>
      <c r="S24" s="37">
        <f>(SUMIF('KNL Blank TB'!$R:$R,'KNL HO P&amp;L'!$A24,'KNL Blank TB'!G:G)+(SUMIF('KNL HO TB'!$R:$R,'KNL HO P&amp;L'!$A24,'KNL HO TB'!G:G)))</f>
        <v/>
      </c>
      <c r="T24" s="37">
        <f>(SUMIF('KNL Blank TB'!$R:$R,'KNL HO P&amp;L'!$A24,'KNL Blank TB'!H:H)+(SUMIF('KNL HO TB'!$R:$R,'KNL HO P&amp;L'!$A24,'KNL HO TB'!H:H)))</f>
        <v/>
      </c>
      <c r="U24" s="37">
        <f>(SUMIF('KNL Blank TB'!$R:$R,'KNL HO P&amp;L'!$A24,'KNL Blank TB'!I:I)+(SUMIF('KNL HO TB'!$R:$R,'KNL HO P&amp;L'!$A24,'KNL HO TB'!I:I)))</f>
        <v/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6091.440000000001</v>
      </c>
      <c r="C25" s="42" t="n">
        <v>9015.780000000001</v>
      </c>
      <c r="D25" s="42" t="n">
        <v>4391.809999999999</v>
      </c>
      <c r="E25" s="42" t="n">
        <v>4281.74</v>
      </c>
      <c r="F25" s="42" t="n">
        <v>4244.740000000001</v>
      </c>
      <c r="G25" s="42" t="n">
        <v>8886.360000000001</v>
      </c>
      <c r="H25" s="42" t="n">
        <v>5031.55</v>
      </c>
      <c r="I25" s="42" t="n">
        <v>3980.68</v>
      </c>
      <c r="J25" s="42" t="n">
        <v>4941.35</v>
      </c>
      <c r="K25" s="42" t="n">
        <v>7914.050000000001</v>
      </c>
      <c r="L25" s="42" t="n">
        <v>5092.52</v>
      </c>
      <c r="M25" s="42" t="n">
        <v>2688.92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 t="n"/>
      <c r="AD25" s="45" t="n"/>
      <c r="AE25" s="45" t="n"/>
      <c r="AF25" s="45" t="n"/>
      <c r="AG25" s="45" t="n"/>
      <c r="AH25" s="45" t="n"/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0</v>
      </c>
      <c r="C27" s="35" t="n">
        <v>0</v>
      </c>
      <c r="D27" s="35" t="n">
        <v>280.37</v>
      </c>
      <c r="E27" s="35" t="n">
        <v>101.16</v>
      </c>
      <c r="F27" s="35" t="n">
        <v>0</v>
      </c>
      <c r="G27" s="35" t="n">
        <v>0</v>
      </c>
      <c r="H27" s="35" t="n">
        <v>0</v>
      </c>
      <c r="I27" s="35" t="n">
        <v>0</v>
      </c>
      <c r="J27" s="35" t="n">
        <v>0</v>
      </c>
      <c r="K27" s="35" t="n">
        <v>0</v>
      </c>
      <c r="L27" s="35" t="n">
        <v>3.15</v>
      </c>
      <c r="M27" s="35" t="n">
        <v>0</v>
      </c>
      <c r="N27" s="36">
        <f>SUM(B27:M27)</f>
        <v/>
      </c>
      <c r="O27" s="37">
        <f>(SUMIF('KNL Blank TB'!$R:$R,'KNL HO P&amp;L'!$A27,'KNL Blank TB'!C:C)+(SUMIF('KNL HO TB'!$R:$R,'KNL HO P&amp;L'!$A27,'KNL HO TB'!C:C)))</f>
        <v/>
      </c>
      <c r="P27" s="37">
        <f>(SUMIF('KNL Blank TB'!$R:$R,'KNL HO P&amp;L'!$A27,'KNL Blank TB'!D:D)+(SUMIF('KNL HO TB'!$R:$R,'KNL HO P&amp;L'!$A27,'KNL HO TB'!D:D)))</f>
        <v/>
      </c>
      <c r="Q27" s="37">
        <f>(SUMIF('KNL Blank TB'!$R:$R,'KNL HO P&amp;L'!$A27,'KNL Blank TB'!E:E)+(SUMIF('KNL HO TB'!$R:$R,'KNL HO P&amp;L'!$A27,'KNL HO TB'!E:E)))</f>
        <v/>
      </c>
      <c r="R27" s="37">
        <f>(SUMIF('KNL Blank TB'!$R:$R,'KNL HO P&amp;L'!$A27,'KNL Blank TB'!F:F)+(SUMIF('KNL HO TB'!$R:$R,'KNL HO P&amp;L'!$A27,'KNL HO TB'!F:F)))</f>
        <v/>
      </c>
      <c r="S27" s="37">
        <f>(SUMIF('KNL Blank TB'!$R:$R,'KNL HO P&amp;L'!$A27,'KNL Blank TB'!G:G)+(SUMIF('KNL HO TB'!$R:$R,'KNL HO P&amp;L'!$A27,'KNL HO TB'!G:G)))</f>
        <v/>
      </c>
      <c r="T27" s="37">
        <f>(SUMIF('KNL Blank TB'!$R:$R,'KNL HO P&amp;L'!$A27,'KNL Blank TB'!H:H)+(SUMIF('KNL HO TB'!$R:$R,'KNL HO P&amp;L'!$A27,'KNL HO TB'!H:H)))</f>
        <v/>
      </c>
      <c r="U27" s="37">
        <f>(SUMIF('KNL Blank TB'!$R:$R,'KNL HO P&amp;L'!$A27,'KNL Blank TB'!I:I)+(SUMIF('KNL HO TB'!$R:$R,'KNL HO P&amp;L'!$A27,'KNL HO TB'!I:I)))</f>
        <v/>
      </c>
      <c r="V27" s="38" t="n"/>
      <c r="W27" s="38" t="n"/>
      <c r="X27" s="38" t="n"/>
      <c r="Y27" s="38" t="n"/>
      <c r="Z27" s="38" t="n"/>
      <c r="AA27" s="36">
        <f>SUM(O27:U27)</f>
        <v/>
      </c>
      <c r="AB27" s="36">
        <f>SUM(O27:Z27)</f>
        <v/>
      </c>
      <c r="AC27" s="38" t="n"/>
      <c r="AD27" s="38" t="n"/>
      <c r="AE27" s="38" t="n"/>
      <c r="AF27" s="38" t="n"/>
      <c r="AG27" s="38" t="n"/>
      <c r="AH27" s="38" t="n"/>
      <c r="AI27" s="8" t="n"/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12.33</v>
      </c>
      <c r="H28" s="35" t="n">
        <v>0</v>
      </c>
      <c r="I28" s="35" t="n">
        <v>0</v>
      </c>
      <c r="J28" s="35" t="n">
        <v>0</v>
      </c>
      <c r="K28" s="35" t="n">
        <v>7.97</v>
      </c>
      <c r="L28" s="35" t="n">
        <v>0</v>
      </c>
      <c r="M28" s="35" t="n">
        <v>0</v>
      </c>
      <c r="N28" s="36">
        <f>SUM(B28:M28)</f>
        <v/>
      </c>
      <c r="O28" s="37">
        <f>(SUMIF('KNL Blank TB'!$R:$R,'KNL HO P&amp;L'!$A28,'KNL Blank TB'!C:C)+(SUMIF('KNL HO TB'!$R:$R,'KNL HO P&amp;L'!$A28,'KNL HO TB'!C:C)))</f>
        <v/>
      </c>
      <c r="P28" s="37">
        <f>(SUMIF('KNL Blank TB'!$R:$R,'KNL HO P&amp;L'!$A28,'KNL Blank TB'!D:D)+(SUMIF('KNL HO TB'!$R:$R,'KNL HO P&amp;L'!$A28,'KNL HO TB'!D:D)))</f>
        <v/>
      </c>
      <c r="Q28" s="37">
        <f>(SUMIF('KNL Blank TB'!$R:$R,'KNL HO P&amp;L'!$A28,'KNL Blank TB'!E:E)+(SUMIF('KNL HO TB'!$R:$R,'KNL HO P&amp;L'!$A28,'KNL HO TB'!E:E)))</f>
        <v/>
      </c>
      <c r="R28" s="37">
        <f>(SUMIF('KNL Blank TB'!$R:$R,'KNL HO P&amp;L'!$A28,'KNL Blank TB'!F:F)+(SUMIF('KNL HO TB'!$R:$R,'KNL HO P&amp;L'!$A28,'KNL HO TB'!F:F)))</f>
        <v/>
      </c>
      <c r="S28" s="37">
        <f>(SUMIF('KNL Blank TB'!$R:$R,'KNL HO P&amp;L'!$A28,'KNL Blank TB'!G:G)+(SUMIF('KNL HO TB'!$R:$R,'KNL HO P&amp;L'!$A28,'KNL HO TB'!G:G)))</f>
        <v/>
      </c>
      <c r="T28" s="37">
        <f>(SUMIF('KNL Blank TB'!$R:$R,'KNL HO P&amp;L'!$A28,'KNL Blank TB'!H:H)+(SUMIF('KNL HO TB'!$R:$R,'KNL HO P&amp;L'!$A28,'KNL HO TB'!H:H)))</f>
        <v/>
      </c>
      <c r="U28" s="37">
        <f>(SUMIF('KNL Blank TB'!$R:$R,'KNL HO P&amp;L'!$A28,'KNL Blank TB'!I:I)+(SUMIF('KNL HO TB'!$R:$R,'KNL HO P&amp;L'!$A28,'KNL HO TB'!I:I)))</f>
        <v/>
      </c>
      <c r="V28" s="38" t="n"/>
      <c r="W28" s="38" t="n"/>
      <c r="X28" s="38" t="n"/>
      <c r="Y28" s="38" t="n"/>
      <c r="Z28" s="38" t="n"/>
      <c r="AA28" s="36">
        <f>SUM(O28:U28)</f>
        <v/>
      </c>
      <c r="AB28" s="36">
        <f>SUM(O28:Z28)</f>
        <v/>
      </c>
      <c r="AC28" s="38" t="n"/>
      <c r="AD28" s="38" t="n"/>
      <c r="AE28" s="38" t="n"/>
      <c r="AF28" s="38" t="n"/>
      <c r="AG28" s="38" t="n"/>
      <c r="AH28" s="38" t="n"/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5" t="n">
        <v>0</v>
      </c>
      <c r="J29" s="35" t="n">
        <v>0</v>
      </c>
      <c r="K29" s="35" t="n">
        <v>5.98</v>
      </c>
      <c r="L29" s="35" t="n">
        <v>0</v>
      </c>
      <c r="M29" s="35" t="n">
        <v>0</v>
      </c>
      <c r="N29" s="36">
        <f>SUM(B29:M29)</f>
        <v/>
      </c>
      <c r="O29" s="37">
        <f>(SUMIF('KNL Blank TB'!$R:$R,'KNL HO P&amp;L'!$A29,'KNL Blank TB'!C:C)+(SUMIF('KNL HO TB'!$R:$R,'KNL HO P&amp;L'!$A29,'KNL HO TB'!C:C)))</f>
        <v/>
      </c>
      <c r="P29" s="37">
        <f>(SUMIF('KNL Blank TB'!$R:$R,'KNL HO P&amp;L'!$A29,'KNL Blank TB'!D:D)+(SUMIF('KNL HO TB'!$R:$R,'KNL HO P&amp;L'!$A29,'KNL HO TB'!D:D)))</f>
        <v/>
      </c>
      <c r="Q29" s="37">
        <f>(SUMIF('KNL Blank TB'!$R:$R,'KNL HO P&amp;L'!$A29,'KNL Blank TB'!E:E)+(SUMIF('KNL HO TB'!$R:$R,'KNL HO P&amp;L'!$A29,'KNL HO TB'!E:E)))</f>
        <v/>
      </c>
      <c r="R29" s="37">
        <f>(SUMIF('KNL Blank TB'!$R:$R,'KNL HO P&amp;L'!$A29,'KNL Blank TB'!F:F)+(SUMIF('KNL HO TB'!$R:$R,'KNL HO P&amp;L'!$A29,'KNL HO TB'!F:F)))</f>
        <v/>
      </c>
      <c r="S29" s="37">
        <f>(SUMIF('KNL Blank TB'!$R:$R,'KNL HO P&amp;L'!$A29,'KNL Blank TB'!G:G)+(SUMIF('KNL HO TB'!$R:$R,'KNL HO P&amp;L'!$A29,'KNL HO TB'!G:G)))</f>
        <v/>
      </c>
      <c r="T29" s="37">
        <f>(SUMIF('KNL Blank TB'!$R:$R,'KNL HO P&amp;L'!$A29,'KNL Blank TB'!H:H)+(SUMIF('KNL HO TB'!$R:$R,'KNL HO P&amp;L'!$A29,'KNL HO TB'!H:H)))</f>
        <v/>
      </c>
      <c r="U29" s="37">
        <f>(SUMIF('KNL Blank TB'!$R:$R,'KNL HO P&amp;L'!$A29,'KNL Blank TB'!I:I)+(SUMIF('KNL HO TB'!$R:$R,'KNL HO P&amp;L'!$A29,'KNL HO TB'!I:I)))</f>
        <v/>
      </c>
      <c r="V29" s="38" t="n"/>
      <c r="W29" s="38" t="n"/>
      <c r="X29" s="38" t="n"/>
      <c r="Y29" s="38" t="n"/>
      <c r="Z29" s="38" t="n"/>
      <c r="AA29" s="36">
        <f>SUM(O29:U29)</f>
        <v/>
      </c>
      <c r="AB29" s="36">
        <f>SUM(O29:Z29)</f>
        <v/>
      </c>
      <c r="AC29" s="38" t="n"/>
      <c r="AD29" s="38" t="n"/>
      <c r="AE29" s="38" t="n"/>
      <c r="AF29" s="38" t="n"/>
      <c r="AG29" s="38" t="n"/>
      <c r="AH29" s="38" t="n"/>
      <c r="AI29" s="8" t="n"/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174.71</v>
      </c>
      <c r="C30" s="35" t="n">
        <v>146.94</v>
      </c>
      <c r="D30" s="35" t="n">
        <v>35.89</v>
      </c>
      <c r="E30" s="35" t="n">
        <v>125.98</v>
      </c>
      <c r="F30" s="35" t="n">
        <v>44.48</v>
      </c>
      <c r="G30" s="35" t="n">
        <v>112.97</v>
      </c>
      <c r="H30" s="35" t="n">
        <v>461.6200000000001</v>
      </c>
      <c r="I30" s="35" t="n">
        <v>125.85</v>
      </c>
      <c r="J30" s="35" t="n">
        <v>73.06999999999999</v>
      </c>
      <c r="K30" s="35" t="n">
        <v>78.53999999999999</v>
      </c>
      <c r="L30" s="35" t="n">
        <v>113.5</v>
      </c>
      <c r="M30" s="35" t="n">
        <v>50.44</v>
      </c>
      <c r="N30" s="36">
        <f>SUM(B30:M30)</f>
        <v/>
      </c>
      <c r="O30" s="37">
        <f>(SUMIF('KNL Blank TB'!$R:$R,'KNL HO P&amp;L'!$A30,'KNL Blank TB'!C:C)+(SUMIF('KNL HO TB'!$R:$R,'KNL HO P&amp;L'!$A30,'KNL HO TB'!C:C)))</f>
        <v/>
      </c>
      <c r="P30" s="37">
        <f>(SUMIF('KNL Blank TB'!$R:$R,'KNL HO P&amp;L'!$A30,'KNL Blank TB'!D:D)+(SUMIF('KNL HO TB'!$R:$R,'KNL HO P&amp;L'!$A30,'KNL HO TB'!D:D)))</f>
        <v/>
      </c>
      <c r="Q30" s="37">
        <f>(SUMIF('KNL Blank TB'!$R:$R,'KNL HO P&amp;L'!$A30,'KNL Blank TB'!E:E)+(SUMIF('KNL HO TB'!$R:$R,'KNL HO P&amp;L'!$A30,'KNL HO TB'!E:E)))</f>
        <v/>
      </c>
      <c r="R30" s="37">
        <f>(SUMIF('KNL Blank TB'!$R:$R,'KNL HO P&amp;L'!$A30,'KNL Blank TB'!F:F)+(SUMIF('KNL HO TB'!$R:$R,'KNL HO P&amp;L'!$A30,'KNL HO TB'!F:F)))</f>
        <v/>
      </c>
      <c r="S30" s="37">
        <f>(SUMIF('KNL Blank TB'!$R:$R,'KNL HO P&amp;L'!$A30,'KNL Blank TB'!G:G)+(SUMIF('KNL HO TB'!$R:$R,'KNL HO P&amp;L'!$A30,'KNL HO TB'!G:G)))</f>
        <v/>
      </c>
      <c r="T30" s="37">
        <f>(SUMIF('KNL Blank TB'!$R:$R,'KNL HO P&amp;L'!$A30,'KNL Blank TB'!H:H)+(SUMIF('KNL HO TB'!$R:$R,'KNL HO P&amp;L'!$A30,'KNL HO TB'!H:H)))</f>
        <v/>
      </c>
      <c r="U30" s="37">
        <f>(SUMIF('KNL Blank TB'!$R:$R,'KNL HO P&amp;L'!$A30,'KNL Blank TB'!I:I)+(SUMIF('KNL HO TB'!$R:$R,'KNL HO P&amp;L'!$A30,'KNL HO TB'!I:I)))</f>
        <v/>
      </c>
      <c r="V30" s="38" t="n"/>
      <c r="W30" s="38" t="n"/>
      <c r="X30" s="38" t="n"/>
      <c r="Y30" s="38" t="n"/>
      <c r="Z30" s="38" t="n"/>
      <c r="AA30" s="36">
        <f>SUM(O30:U30)</f>
        <v/>
      </c>
      <c r="AB30" s="36">
        <f>SUM(O30:Z30)</f>
        <v/>
      </c>
      <c r="AC30" s="38" t="n"/>
      <c r="AD30" s="38" t="n"/>
      <c r="AE30" s="38" t="n"/>
      <c r="AF30" s="38" t="n"/>
      <c r="AG30" s="38" t="n"/>
      <c r="AH30" s="38" t="n"/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498</v>
      </c>
      <c r="C31" s="35" t="n">
        <v>0</v>
      </c>
      <c r="D31" s="35" t="n">
        <v>0</v>
      </c>
      <c r="E31" s="35" t="n">
        <v>0</v>
      </c>
      <c r="F31" s="35" t="n">
        <v>0</v>
      </c>
      <c r="G31" s="35" t="n">
        <v>0</v>
      </c>
      <c r="H31" s="35" t="n">
        <v>0</v>
      </c>
      <c r="I31" s="35" t="n">
        <v>0</v>
      </c>
      <c r="J31" s="35" t="n">
        <v>0</v>
      </c>
      <c r="K31" s="35" t="n">
        <v>0</v>
      </c>
      <c r="L31" s="35" t="n">
        <v>0</v>
      </c>
      <c r="M31" s="35" t="n">
        <v>0</v>
      </c>
      <c r="N31" s="36">
        <f>SUM(B31:M31)</f>
        <v/>
      </c>
      <c r="O31" s="37">
        <f>(SUMIF('KNL Blank TB'!$R:$R,'KNL HO P&amp;L'!$A31,'KNL Blank TB'!C:C)+(SUMIF('KNL HO TB'!$R:$R,'KNL HO P&amp;L'!$A31,'KNL HO TB'!C:C)))</f>
        <v/>
      </c>
      <c r="P31" s="37">
        <f>(SUMIF('KNL Blank TB'!$R:$R,'KNL HO P&amp;L'!$A31,'KNL Blank TB'!D:D)+(SUMIF('KNL HO TB'!$R:$R,'KNL HO P&amp;L'!$A31,'KNL HO TB'!D:D)))</f>
        <v/>
      </c>
      <c r="Q31" s="37">
        <f>(SUMIF('KNL Blank TB'!$R:$R,'KNL HO P&amp;L'!$A31,'KNL Blank TB'!E:E)+(SUMIF('KNL HO TB'!$R:$R,'KNL HO P&amp;L'!$A31,'KNL HO TB'!E:E)))</f>
        <v/>
      </c>
      <c r="R31" s="37">
        <f>(SUMIF('KNL Blank TB'!$R:$R,'KNL HO P&amp;L'!$A31,'KNL Blank TB'!F:F)+(SUMIF('KNL HO TB'!$R:$R,'KNL HO P&amp;L'!$A31,'KNL HO TB'!F:F)))</f>
        <v/>
      </c>
      <c r="S31" s="37">
        <f>(SUMIF('KNL Blank TB'!$R:$R,'KNL HO P&amp;L'!$A31,'KNL Blank TB'!G:G)+(SUMIF('KNL HO TB'!$R:$R,'KNL HO P&amp;L'!$A31,'KNL HO TB'!G:G)))</f>
        <v/>
      </c>
      <c r="T31" s="37">
        <f>(SUMIF('KNL Blank TB'!$R:$R,'KNL HO P&amp;L'!$A31,'KNL Blank TB'!H:H)+(SUMIF('KNL HO TB'!$R:$R,'KNL HO P&amp;L'!$A31,'KNL HO TB'!H:H)))</f>
        <v/>
      </c>
      <c r="U31" s="37">
        <f>(SUMIF('KNL Blank TB'!$R:$R,'KNL HO P&amp;L'!$A31,'KNL Blank TB'!I:I)+(SUMIF('KNL HO TB'!$R:$R,'KNL HO P&amp;L'!$A31,'KNL HO TB'!I:I)))</f>
        <v/>
      </c>
      <c r="V31" s="38" t="n"/>
      <c r="W31" s="38" t="n"/>
      <c r="X31" s="38" t="n"/>
      <c r="Y31" s="38" t="n"/>
      <c r="Z31" s="38" t="n"/>
      <c r="AA31" s="36">
        <f>SUM(O31:U31)</f>
        <v/>
      </c>
      <c r="AB31" s="36">
        <f>SUM(O31:Z31)</f>
        <v/>
      </c>
      <c r="AC31" s="38" t="n"/>
      <c r="AD31" s="38" t="n"/>
      <c r="AE31" s="38" t="n"/>
      <c r="AF31" s="38" t="n"/>
      <c r="AG31" s="38" t="n"/>
      <c r="AH31" s="38" t="n"/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30.44</v>
      </c>
      <c r="C32" s="35" t="n">
        <v>36.5</v>
      </c>
      <c r="D32" s="35" t="n">
        <v>0</v>
      </c>
      <c r="E32" s="35" t="n">
        <v>13.65</v>
      </c>
      <c r="F32" s="35" t="n">
        <v>0</v>
      </c>
      <c r="G32" s="35" t="n">
        <v>0</v>
      </c>
      <c r="H32" s="35" t="n">
        <v>0</v>
      </c>
      <c r="I32" s="35" t="n">
        <v>0</v>
      </c>
      <c r="J32" s="35" t="n">
        <v>0</v>
      </c>
      <c r="K32" s="35" t="n">
        <v>0</v>
      </c>
      <c r="L32" s="35" t="n">
        <v>0</v>
      </c>
      <c r="M32" s="35" t="n">
        <v>0</v>
      </c>
      <c r="N32" s="36">
        <f>SUM(B32:M32)</f>
        <v/>
      </c>
      <c r="O32" s="37">
        <f>(SUMIF('KNL Blank TB'!$R:$R,'KNL HO P&amp;L'!$A32,'KNL Blank TB'!C:C)+(SUMIF('KNL HO TB'!$R:$R,'KNL HO P&amp;L'!$A32,'KNL HO TB'!C:C)))</f>
        <v/>
      </c>
      <c r="P32" s="37">
        <f>(SUMIF('KNL Blank TB'!$R:$R,'KNL HO P&amp;L'!$A32,'KNL Blank TB'!D:D)+(SUMIF('KNL HO TB'!$R:$R,'KNL HO P&amp;L'!$A32,'KNL HO TB'!D:D)))</f>
        <v/>
      </c>
      <c r="Q32" s="37">
        <f>(SUMIF('KNL Blank TB'!$R:$R,'KNL HO P&amp;L'!$A32,'KNL Blank TB'!E:E)+(SUMIF('KNL HO TB'!$R:$R,'KNL HO P&amp;L'!$A32,'KNL HO TB'!E:E)))</f>
        <v/>
      </c>
      <c r="R32" s="37">
        <f>(SUMIF('KNL Blank TB'!$R:$R,'KNL HO P&amp;L'!$A32,'KNL Blank TB'!F:F)+(SUMIF('KNL HO TB'!$R:$R,'KNL HO P&amp;L'!$A32,'KNL HO TB'!F:F)))</f>
        <v/>
      </c>
      <c r="S32" s="37">
        <f>(SUMIF('KNL Blank TB'!$R:$R,'KNL HO P&amp;L'!$A32,'KNL Blank TB'!G:G)+(SUMIF('KNL HO TB'!$R:$R,'KNL HO P&amp;L'!$A32,'KNL HO TB'!G:G)))</f>
        <v/>
      </c>
      <c r="T32" s="37">
        <f>(SUMIF('KNL Blank TB'!$R:$R,'KNL HO P&amp;L'!$A32,'KNL Blank TB'!H:H)+(SUMIF('KNL HO TB'!$R:$R,'KNL HO P&amp;L'!$A32,'KNL HO TB'!H:H)))</f>
        <v/>
      </c>
      <c r="U32" s="37">
        <f>(SUMIF('KNL Blank TB'!$R:$R,'KNL HO P&amp;L'!$A32,'KNL Blank TB'!I:I)+(SUMIF('KNL HO TB'!$R:$R,'KNL HO P&amp;L'!$A32,'KNL HO TB'!I:I)))</f>
        <v/>
      </c>
      <c r="V32" s="38" t="n"/>
      <c r="W32" s="38" t="n"/>
      <c r="X32" s="38" t="n"/>
      <c r="Y32" s="38" t="n"/>
      <c r="Z32" s="38" t="n"/>
      <c r="AA32" s="36">
        <f>SUM(O32:U32)</f>
        <v/>
      </c>
      <c r="AB32" s="36">
        <f>SUM(O32:Z32)</f>
        <v/>
      </c>
      <c r="AC32" s="38" t="n"/>
      <c r="AD32" s="38" t="n"/>
      <c r="AE32" s="38" t="n"/>
      <c r="AF32" s="38" t="n"/>
      <c r="AG32" s="38" t="n"/>
      <c r="AH32" s="38" t="n"/>
      <c r="AI32" s="8" t="n"/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(SUMIF('KNL Blank TB'!$R:$R,'KNL HO P&amp;L'!$A33,'KNL Blank TB'!C:C)+(SUMIF('KNL HO TB'!$R:$R,'KNL HO P&amp;L'!$A33,'KNL HO TB'!C:C)))</f>
        <v/>
      </c>
      <c r="P33" s="37">
        <f>(SUMIF('KNL Blank TB'!$R:$R,'KNL HO P&amp;L'!$A33,'KNL Blank TB'!D:D)+(SUMIF('KNL HO TB'!$R:$R,'KNL HO P&amp;L'!$A33,'KNL HO TB'!D:D)))</f>
        <v/>
      </c>
      <c r="Q33" s="37">
        <f>(SUMIF('KNL Blank TB'!$R:$R,'KNL HO P&amp;L'!$A33,'KNL Blank TB'!E:E)+(SUMIF('KNL HO TB'!$R:$R,'KNL HO P&amp;L'!$A33,'KNL HO TB'!E:E)))</f>
        <v/>
      </c>
      <c r="R33" s="37">
        <f>(SUMIF('KNL Blank TB'!$R:$R,'KNL HO P&amp;L'!$A33,'KNL Blank TB'!F:F)+(SUMIF('KNL HO TB'!$R:$R,'KNL HO P&amp;L'!$A33,'KNL HO TB'!F:F)))</f>
        <v/>
      </c>
      <c r="S33" s="37">
        <f>(SUMIF('KNL Blank TB'!$R:$R,'KNL HO P&amp;L'!$A33,'KNL Blank TB'!G:G)+(SUMIF('KNL HO TB'!$R:$R,'KNL HO P&amp;L'!$A33,'KNL HO TB'!G:G)))</f>
        <v/>
      </c>
      <c r="T33" s="37">
        <f>(SUMIF('KNL Blank TB'!$R:$R,'KNL HO P&amp;L'!$A33,'KNL Blank TB'!H:H)+(SUMIF('KNL HO TB'!$R:$R,'KNL HO P&amp;L'!$A33,'KNL HO TB'!H:H)))</f>
        <v/>
      </c>
      <c r="U33" s="37">
        <f>(SUMIF('KNL Blank TB'!$R:$R,'KNL HO P&amp;L'!$A33,'KNL Blank TB'!I:I)+(SUMIF('KNL HO TB'!$R:$R,'KNL HO P&amp;L'!$A33,'KNL HO TB'!I:I)))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703.1500000000001</v>
      </c>
      <c r="C34" s="42" t="n">
        <v>183.44</v>
      </c>
      <c r="D34" s="42" t="n">
        <v>316.26</v>
      </c>
      <c r="E34" s="42" t="n">
        <v>240.79</v>
      </c>
      <c r="F34" s="42" t="n">
        <v>44.48</v>
      </c>
      <c r="G34" s="42" t="n">
        <v>125.3</v>
      </c>
      <c r="H34" s="42" t="n">
        <v>461.6200000000001</v>
      </c>
      <c r="I34" s="42" t="n">
        <v>125.85</v>
      </c>
      <c r="J34" s="42" t="n">
        <v>73.06999999999999</v>
      </c>
      <c r="K34" s="42" t="n">
        <v>92.48999999999999</v>
      </c>
      <c r="L34" s="42" t="n">
        <v>116.65</v>
      </c>
      <c r="M34" s="42" t="n">
        <v>50.44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 t="n"/>
      <c r="AD34" s="45" t="n"/>
      <c r="AE34" s="45" t="n"/>
      <c r="AF34" s="45" t="n"/>
      <c r="AG34" s="45" t="n"/>
      <c r="AH34" s="45" t="n"/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(SUMIF('KNL Blank TB'!$R:$R,'KNL HO P&amp;L'!$A36,'KNL Blank TB'!C:C)+(SUMIF('KNL HO TB'!$R:$R,'KNL HO P&amp;L'!$A36,'KNL HO TB'!C:C)))</f>
        <v/>
      </c>
      <c r="P36" s="37">
        <f>(SUMIF('KNL Blank TB'!$R:$R,'KNL HO P&amp;L'!$A36,'KNL Blank TB'!D:D)+(SUMIF('KNL HO TB'!$R:$R,'KNL HO P&amp;L'!$A36,'KNL HO TB'!D:D)))</f>
        <v/>
      </c>
      <c r="Q36" s="37">
        <f>(SUMIF('KNL Blank TB'!$R:$R,'KNL HO P&amp;L'!$A36,'KNL Blank TB'!E:E)+(SUMIF('KNL HO TB'!$R:$R,'KNL HO P&amp;L'!$A36,'KNL HO TB'!E:E)))</f>
        <v/>
      </c>
      <c r="R36" s="37">
        <f>(SUMIF('KNL Blank TB'!$R:$R,'KNL HO P&amp;L'!$A36,'KNL Blank TB'!F:F)+(SUMIF('KNL HO TB'!$R:$R,'KNL HO P&amp;L'!$A36,'KNL HO TB'!F:F)))</f>
        <v/>
      </c>
      <c r="S36" s="37">
        <f>(SUMIF('KNL Blank TB'!$R:$R,'KNL HO P&amp;L'!$A36,'KNL Blank TB'!G:G)+(SUMIF('KNL HO TB'!$R:$R,'KNL HO P&amp;L'!$A36,'KNL HO TB'!G:G)))</f>
        <v/>
      </c>
      <c r="T36" s="37">
        <f>(SUMIF('KNL Blank TB'!$R:$R,'KNL HO P&amp;L'!$A36,'KNL Blank TB'!H:H)+(SUMIF('KNL HO TB'!$R:$R,'KNL HO P&amp;L'!$A36,'KNL HO TB'!H:H)))</f>
        <v/>
      </c>
      <c r="U36" s="37">
        <f>(SUMIF('KNL Blank TB'!$R:$R,'KNL HO P&amp;L'!$A36,'KNL Blank TB'!I:I)+(SUMIF('KNL HO TB'!$R:$R,'KNL HO P&amp;L'!$A36,'KNL HO TB'!I:I)))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769.29</v>
      </c>
      <c r="C37" s="35" t="n">
        <v>769.29</v>
      </c>
      <c r="D37" s="35" t="n">
        <v>769.29</v>
      </c>
      <c r="E37" s="35" t="n">
        <v>769.29</v>
      </c>
      <c r="F37" s="35" t="n">
        <v>769.29</v>
      </c>
      <c r="G37" s="35" t="n">
        <v>769.29</v>
      </c>
      <c r="H37" s="35" t="n">
        <v>769.29</v>
      </c>
      <c r="I37" s="35" t="n">
        <v>769.29</v>
      </c>
      <c r="J37" s="35" t="n">
        <v>769.29</v>
      </c>
      <c r="K37" s="35" t="n">
        <v>769.29</v>
      </c>
      <c r="L37" s="35" t="n">
        <v>769.29</v>
      </c>
      <c r="M37" s="35" t="n">
        <v>769.29</v>
      </c>
      <c r="N37" s="36">
        <f>SUM(B37:M37)</f>
        <v/>
      </c>
      <c r="O37" s="37">
        <f>(SUMIF('KNL Blank TB'!$R:$R,'KNL HO P&amp;L'!$A37,'KNL Blank TB'!C:C)+(SUMIF('KNL HO TB'!$R:$R,'KNL HO P&amp;L'!$A37,'KNL HO TB'!C:C)))</f>
        <v/>
      </c>
      <c r="P37" s="37">
        <f>(SUMIF('KNL Blank TB'!$R:$R,'KNL HO P&amp;L'!$A37,'KNL Blank TB'!D:D)+(SUMIF('KNL HO TB'!$R:$R,'KNL HO P&amp;L'!$A37,'KNL HO TB'!D:D)))</f>
        <v/>
      </c>
      <c r="Q37" s="37">
        <f>(SUMIF('KNL Blank TB'!$R:$R,'KNL HO P&amp;L'!$A37,'KNL Blank TB'!E:E)+(SUMIF('KNL HO TB'!$R:$R,'KNL HO P&amp;L'!$A37,'KNL HO TB'!E:E)))</f>
        <v/>
      </c>
      <c r="R37" s="37">
        <f>(SUMIF('KNL Blank TB'!$R:$R,'KNL HO P&amp;L'!$A37,'KNL Blank TB'!F:F)+(SUMIF('KNL HO TB'!$R:$R,'KNL HO P&amp;L'!$A37,'KNL HO TB'!F:F)))</f>
        <v/>
      </c>
      <c r="S37" s="37">
        <f>(SUMIF('KNL Blank TB'!$R:$R,'KNL HO P&amp;L'!$A37,'KNL Blank TB'!G:G)+(SUMIF('KNL HO TB'!$R:$R,'KNL HO P&amp;L'!$A37,'KNL HO TB'!G:G)))</f>
        <v/>
      </c>
      <c r="T37" s="37">
        <f>(SUMIF('KNL Blank TB'!$R:$R,'KNL HO P&amp;L'!$A37,'KNL Blank TB'!H:H)+(SUMIF('KNL HO TB'!$R:$R,'KNL HO P&amp;L'!$A37,'KNL HO TB'!H:H)))</f>
        <v/>
      </c>
      <c r="U37" s="37">
        <f>(SUMIF('KNL Blank TB'!$R:$R,'KNL HO P&amp;L'!$A37,'KNL Blank TB'!I:I)+(SUMIF('KNL HO TB'!$R:$R,'KNL HO P&amp;L'!$A37,'KNL HO TB'!I:I)))</f>
        <v/>
      </c>
      <c r="V37" s="38" t="n">
        <v>736.67</v>
      </c>
      <c r="W37" s="38" t="n">
        <v>736.67</v>
      </c>
      <c r="X37" s="38" t="n">
        <v>736.67</v>
      </c>
      <c r="Y37" s="38" t="n">
        <v>736.67</v>
      </c>
      <c r="Z37" s="38" t="n">
        <v>736.67</v>
      </c>
      <c r="AA37" s="36">
        <f>SUM(O37:U37)</f>
        <v/>
      </c>
      <c r="AB37" s="36">
        <f>SUM(O37:Z37)</f>
        <v/>
      </c>
      <c r="AC37" s="38" t="n"/>
      <c r="AD37" s="38" t="n"/>
      <c r="AE37" s="38" t="n"/>
      <c r="AF37" s="38" t="n"/>
      <c r="AG37" s="38" t="n"/>
      <c r="AH37" s="38" t="n"/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628.96</v>
      </c>
      <c r="C38" s="35" t="n">
        <v>300.63</v>
      </c>
      <c r="D38" s="35" t="n">
        <v>271.59</v>
      </c>
      <c r="E38" s="35" t="n">
        <v>-778.0699999999999</v>
      </c>
      <c r="F38" s="35" t="n">
        <v>178.3700000000001</v>
      </c>
      <c r="G38" s="35" t="n">
        <v>243.71</v>
      </c>
      <c r="H38" s="35" t="n">
        <v>283.43</v>
      </c>
      <c r="I38" s="35" t="n">
        <v>288.92</v>
      </c>
      <c r="J38" s="35" t="n">
        <v>180.98</v>
      </c>
      <c r="K38" s="35" t="n">
        <v>399.15</v>
      </c>
      <c r="L38" s="35" t="n">
        <v>273.05</v>
      </c>
      <c r="M38" s="35" t="n">
        <v>-1949.84</v>
      </c>
      <c r="N38" s="36">
        <f>SUM(B38:M38)</f>
        <v/>
      </c>
      <c r="O38" s="37">
        <f>(SUMIF('KNL Blank TB'!$R:$R,'KNL HO P&amp;L'!$A38,'KNL Blank TB'!C:C)+(SUMIF('KNL HO TB'!$R:$R,'KNL HO P&amp;L'!$A38,'KNL HO TB'!C:C)))</f>
        <v/>
      </c>
      <c r="P38" s="37">
        <f>(SUMIF('KNL Blank TB'!$R:$R,'KNL HO P&amp;L'!$A38,'KNL Blank TB'!D:D)+(SUMIF('KNL HO TB'!$R:$R,'KNL HO P&amp;L'!$A38,'KNL HO TB'!D:D)))</f>
        <v/>
      </c>
      <c r="Q38" s="37">
        <f>(SUMIF('KNL Blank TB'!$R:$R,'KNL HO P&amp;L'!$A38,'KNL Blank TB'!E:E)+(SUMIF('KNL HO TB'!$R:$R,'KNL HO P&amp;L'!$A38,'KNL HO TB'!E:E)))</f>
        <v/>
      </c>
      <c r="R38" s="37">
        <f>(SUMIF('KNL Blank TB'!$R:$R,'KNL HO P&amp;L'!$A38,'KNL Blank TB'!F:F)+(SUMIF('KNL HO TB'!$R:$R,'KNL HO P&amp;L'!$A38,'KNL HO TB'!F:F)))</f>
        <v/>
      </c>
      <c r="S38" s="37">
        <f>(SUMIF('KNL Blank TB'!$R:$R,'KNL HO P&amp;L'!$A38,'KNL Blank TB'!G:G)+(SUMIF('KNL HO TB'!$R:$R,'KNL HO P&amp;L'!$A38,'KNL HO TB'!G:G)))</f>
        <v/>
      </c>
      <c r="T38" s="37">
        <f>(SUMIF('KNL Blank TB'!$R:$R,'KNL HO P&amp;L'!$A38,'KNL Blank TB'!H:H)+(SUMIF('KNL HO TB'!$R:$R,'KNL HO P&amp;L'!$A38,'KNL HO TB'!H:H)))</f>
        <v/>
      </c>
      <c r="U38" s="37">
        <f>(SUMIF('KNL Blank TB'!$R:$R,'KNL HO P&amp;L'!$A38,'KNL Blank TB'!I:I)+(SUMIF('KNL HO TB'!$R:$R,'KNL HO P&amp;L'!$A38,'KNL HO TB'!I:I)))</f>
        <v/>
      </c>
      <c r="V38" s="38" t="n">
        <v>200</v>
      </c>
      <c r="W38" s="38" t="n">
        <v>200</v>
      </c>
      <c r="X38" s="38" t="n">
        <v>200</v>
      </c>
      <c r="Y38" s="38" t="n">
        <v>200</v>
      </c>
      <c r="Z38" s="38" t="n">
        <v>200</v>
      </c>
      <c r="AA38" s="36">
        <f>SUM(O38:U38)</f>
        <v/>
      </c>
      <c r="AB38" s="36">
        <f>SUM(O38:Z38)</f>
        <v/>
      </c>
      <c r="AC38" s="38" t="n"/>
      <c r="AD38" s="38" t="n"/>
      <c r="AE38" s="38" t="n"/>
      <c r="AF38" s="38" t="n"/>
      <c r="AG38" s="38" t="n"/>
      <c r="AH38" s="38" t="n"/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1783.02</v>
      </c>
      <c r="C39" s="35" t="n">
        <v>1160.22</v>
      </c>
      <c r="D39" s="35" t="n">
        <v>1766.9</v>
      </c>
      <c r="E39" s="35" t="n">
        <v>854.3</v>
      </c>
      <c r="F39" s="35" t="n">
        <v>1437.47</v>
      </c>
      <c r="G39" s="35" t="n">
        <v>1109.24</v>
      </c>
      <c r="H39" s="35" t="n">
        <v>616.9200000000001</v>
      </c>
      <c r="I39" s="35" t="n">
        <v>297.62</v>
      </c>
      <c r="J39" s="35" t="n">
        <v>910.5200000000002</v>
      </c>
      <c r="K39" s="35" t="n">
        <v>1882.44</v>
      </c>
      <c r="L39" s="35" t="n">
        <v>133.83</v>
      </c>
      <c r="M39" s="35" t="n">
        <v>382.66</v>
      </c>
      <c r="N39" s="36">
        <f>SUM(B39:M39)</f>
        <v/>
      </c>
      <c r="O39" s="37">
        <f>(SUMIF('KNL Blank TB'!$R:$R,'KNL HO P&amp;L'!$A39,'KNL Blank TB'!C:C)+(SUMIF('KNL HO TB'!$R:$R,'KNL HO P&amp;L'!$A39,'KNL HO TB'!C:C)))</f>
        <v/>
      </c>
      <c r="P39" s="37">
        <f>(SUMIF('KNL Blank TB'!$R:$R,'KNL HO P&amp;L'!$A39,'KNL Blank TB'!D:D)+(SUMIF('KNL HO TB'!$R:$R,'KNL HO P&amp;L'!$A39,'KNL HO TB'!D:D)))</f>
        <v/>
      </c>
      <c r="Q39" s="37">
        <f>(SUMIF('KNL Blank TB'!$R:$R,'KNL HO P&amp;L'!$A39,'KNL Blank TB'!E:E)+(SUMIF('KNL HO TB'!$R:$R,'KNL HO P&amp;L'!$A39,'KNL HO TB'!E:E)))</f>
        <v/>
      </c>
      <c r="R39" s="37">
        <f>(SUMIF('KNL Blank TB'!$R:$R,'KNL HO P&amp;L'!$A39,'KNL Blank TB'!F:F)+(SUMIF('KNL HO TB'!$R:$R,'KNL HO P&amp;L'!$A39,'KNL HO TB'!F:F)))</f>
        <v/>
      </c>
      <c r="S39" s="37">
        <f>(SUMIF('KNL Blank TB'!$R:$R,'KNL HO P&amp;L'!$A39,'KNL Blank TB'!G:G)+(SUMIF('KNL HO TB'!$R:$R,'KNL HO P&amp;L'!$A39,'KNL HO TB'!G:G)))</f>
        <v/>
      </c>
      <c r="T39" s="37">
        <f>(SUMIF('KNL Blank TB'!$R:$R,'KNL HO P&amp;L'!$A39,'KNL Blank TB'!H:H)+(SUMIF('KNL HO TB'!$R:$R,'KNL HO P&amp;L'!$A39,'KNL HO TB'!H:H)))</f>
        <v/>
      </c>
      <c r="U39" s="37">
        <f>(SUMIF('KNL Blank TB'!$R:$R,'KNL HO P&amp;L'!$A39,'KNL Blank TB'!I:I)+(SUMIF('KNL HO TB'!$R:$R,'KNL HO P&amp;L'!$A39,'KNL HO TB'!I:I)))</f>
        <v/>
      </c>
      <c r="V39" s="38" t="n">
        <v>3500</v>
      </c>
      <c r="W39" s="38" t="n">
        <v>3500</v>
      </c>
      <c r="X39" s="38" t="n">
        <v>3500</v>
      </c>
      <c r="Y39" s="38" t="n">
        <v>3500</v>
      </c>
      <c r="Z39" s="38" t="n">
        <v>3500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76.42</v>
      </c>
      <c r="C40" s="35" t="n">
        <v>180</v>
      </c>
      <c r="D40" s="35" t="n">
        <v>1122.03</v>
      </c>
      <c r="E40" s="35" t="n">
        <v>144.95</v>
      </c>
      <c r="F40" s="35" t="n">
        <v>0</v>
      </c>
      <c r="G40" s="35" t="n">
        <v>1122.03</v>
      </c>
      <c r="H40" s="35" t="n">
        <v>1262.02</v>
      </c>
      <c r="I40" s="35" t="n">
        <v>0</v>
      </c>
      <c r="J40" s="35" t="n">
        <v>0</v>
      </c>
      <c r="K40" s="35" t="n">
        <v>0</v>
      </c>
      <c r="L40" s="35" t="n">
        <v>0</v>
      </c>
      <c r="M40" s="35" t="n">
        <v>0</v>
      </c>
      <c r="N40" s="36">
        <f>SUM(B40:M40)</f>
        <v/>
      </c>
      <c r="O40" s="37">
        <f>(SUMIF('KNL Blank TB'!$R:$R,'KNL HO P&amp;L'!$A40,'KNL Blank TB'!C:C)+(SUMIF('KNL HO TB'!$R:$R,'KNL HO P&amp;L'!$A40,'KNL HO TB'!C:C)))</f>
        <v/>
      </c>
      <c r="P40" s="37">
        <f>(SUMIF('KNL Blank TB'!$R:$R,'KNL HO P&amp;L'!$A40,'KNL Blank TB'!D:D)+(SUMIF('KNL HO TB'!$R:$R,'KNL HO P&amp;L'!$A40,'KNL HO TB'!D:D)))</f>
        <v/>
      </c>
      <c r="Q40" s="37">
        <f>(SUMIF('KNL Blank TB'!$R:$R,'KNL HO P&amp;L'!$A40,'KNL Blank TB'!E:E)+(SUMIF('KNL HO TB'!$R:$R,'KNL HO P&amp;L'!$A40,'KNL HO TB'!E:E)))</f>
        <v/>
      </c>
      <c r="R40" s="37">
        <f>(SUMIF('KNL Blank TB'!$R:$R,'KNL HO P&amp;L'!$A40,'KNL Blank TB'!F:F)+(SUMIF('KNL HO TB'!$R:$R,'KNL HO P&amp;L'!$A40,'KNL HO TB'!F:F)))</f>
        <v/>
      </c>
      <c r="S40" s="37">
        <f>(SUMIF('KNL Blank TB'!$R:$R,'KNL HO P&amp;L'!$A40,'KNL Blank TB'!G:G)+(SUMIF('KNL HO TB'!$R:$R,'KNL HO P&amp;L'!$A40,'KNL HO TB'!G:G)))</f>
        <v/>
      </c>
      <c r="T40" s="37">
        <f>(SUMIF('KNL Blank TB'!$R:$R,'KNL HO P&amp;L'!$A40,'KNL Blank TB'!H:H)+(SUMIF('KNL HO TB'!$R:$R,'KNL HO P&amp;L'!$A40,'KNL HO TB'!H:H)))</f>
        <v/>
      </c>
      <c r="U40" s="37">
        <f>(SUMIF('KNL Blank TB'!$R:$R,'KNL HO P&amp;L'!$A40,'KNL Blank TB'!I:I)+(SUMIF('KNL HO TB'!$R:$R,'KNL HO P&amp;L'!$A40,'KNL HO TB'!I:I)))</f>
        <v/>
      </c>
      <c r="V40" s="38" t="n">
        <v>0</v>
      </c>
      <c r="W40" s="38" t="n">
        <v>0</v>
      </c>
      <c r="X40" s="38" t="n">
        <v>0</v>
      </c>
      <c r="Y40" s="38" t="n">
        <v>0</v>
      </c>
      <c r="Z40" s="38" t="n">
        <v>0</v>
      </c>
      <c r="AA40" s="36">
        <f>SUM(O40:U40)</f>
        <v/>
      </c>
      <c r="AB40" s="36">
        <f>SUM(O40:Z40)</f>
        <v/>
      </c>
      <c r="AC40" s="38" t="n"/>
      <c r="AD40" s="38" t="n"/>
      <c r="AE40" s="38" t="n"/>
      <c r="AF40" s="38" t="n"/>
      <c r="AG40" s="38" t="n"/>
      <c r="AH40" s="38" t="n"/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112.74</v>
      </c>
      <c r="C41" s="35" t="n">
        <v>112.74</v>
      </c>
      <c r="D41" s="35" t="n">
        <v>113.22</v>
      </c>
      <c r="E41" s="35" t="n">
        <v>113.22</v>
      </c>
      <c r="F41" s="35" t="n">
        <v>590.5</v>
      </c>
      <c r="G41" s="35" t="n">
        <v>261.85</v>
      </c>
      <c r="H41" s="35" t="n">
        <v>229.12</v>
      </c>
      <c r="I41" s="35" t="n">
        <v>266.82</v>
      </c>
      <c r="J41" s="35" t="n">
        <v>118.37</v>
      </c>
      <c r="K41" s="35" t="n">
        <v>118.37</v>
      </c>
      <c r="L41" s="35" t="n">
        <v>-31.22999999999999</v>
      </c>
      <c r="M41" s="35" t="n">
        <v>222.77</v>
      </c>
      <c r="N41" s="36">
        <f>SUM(B41:M41)</f>
        <v/>
      </c>
      <c r="O41" s="37">
        <f>(SUMIF('KNL Blank TB'!$R:$R,'KNL HO P&amp;L'!$A41,'KNL Blank TB'!C:C)+(SUMIF('KNL HO TB'!$R:$R,'KNL HO P&amp;L'!$A41,'KNL HO TB'!C:C)))</f>
        <v/>
      </c>
      <c r="P41" s="37">
        <f>(SUMIF('KNL Blank TB'!$R:$R,'KNL HO P&amp;L'!$A41,'KNL Blank TB'!D:D)+(SUMIF('KNL HO TB'!$R:$R,'KNL HO P&amp;L'!$A41,'KNL HO TB'!D:D)))</f>
        <v/>
      </c>
      <c r="Q41" s="37">
        <f>(SUMIF('KNL Blank TB'!$R:$R,'KNL HO P&amp;L'!$A41,'KNL Blank TB'!E:E)+(SUMIF('KNL HO TB'!$R:$R,'KNL HO P&amp;L'!$A41,'KNL HO TB'!E:E)))</f>
        <v/>
      </c>
      <c r="R41" s="37">
        <f>(SUMIF('KNL Blank TB'!$R:$R,'KNL HO P&amp;L'!$A41,'KNL Blank TB'!F:F)+(SUMIF('KNL HO TB'!$R:$R,'KNL HO P&amp;L'!$A41,'KNL HO TB'!F:F)))</f>
        <v/>
      </c>
      <c r="S41" s="37">
        <f>(SUMIF('KNL Blank TB'!$R:$R,'KNL HO P&amp;L'!$A41,'KNL Blank TB'!G:G)+(SUMIF('KNL HO TB'!$R:$R,'KNL HO P&amp;L'!$A41,'KNL HO TB'!G:G)))</f>
        <v/>
      </c>
      <c r="T41" s="37">
        <f>(SUMIF('KNL Blank TB'!$R:$R,'KNL HO P&amp;L'!$A41,'KNL Blank TB'!H:H)+(SUMIF('KNL HO TB'!$R:$R,'KNL HO P&amp;L'!$A41,'KNL HO TB'!H:H)))</f>
        <v/>
      </c>
      <c r="U41" s="37">
        <f>(SUMIF('KNL Blank TB'!$R:$R,'KNL HO P&amp;L'!$A41,'KNL Blank TB'!I:I)+(SUMIF('KNL HO TB'!$R:$R,'KNL HO P&amp;L'!$A41,'KNL HO TB'!I:I)))</f>
        <v/>
      </c>
      <c r="V41" s="38" t="n">
        <v>240</v>
      </c>
      <c r="W41" s="38" t="n">
        <v>240</v>
      </c>
      <c r="X41" s="38" t="n">
        <v>240</v>
      </c>
      <c r="Y41" s="38" t="n">
        <v>240</v>
      </c>
      <c r="Z41" s="38" t="n">
        <v>240</v>
      </c>
      <c r="AA41" s="36">
        <f>SUM(O41:U41)</f>
        <v/>
      </c>
      <c r="AB41" s="36">
        <f>SUM(O41:Z41)</f>
        <v/>
      </c>
      <c r="AC41" s="38" t="n"/>
      <c r="AD41" s="38" t="n"/>
      <c r="AE41" s="38" t="n"/>
      <c r="AF41" s="38" t="n"/>
      <c r="AG41" s="38" t="n"/>
      <c r="AH41" s="38" t="n"/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1386.33</v>
      </c>
      <c r="C42" s="35" t="n">
        <v>548.5699999999999</v>
      </c>
      <c r="D42" s="35" t="n">
        <v>171.22</v>
      </c>
      <c r="E42" s="35" t="n">
        <v>79.02</v>
      </c>
      <c r="F42" s="35" t="n">
        <v>363.68</v>
      </c>
      <c r="G42" s="35" t="n">
        <v>87.47</v>
      </c>
      <c r="H42" s="35" t="n">
        <v>301.23</v>
      </c>
      <c r="I42" s="35" t="n">
        <v>218.49</v>
      </c>
      <c r="J42" s="35" t="n">
        <v>213.11</v>
      </c>
      <c r="K42" s="35" t="n">
        <v>30.72</v>
      </c>
      <c r="L42" s="35" t="n">
        <v>196.04</v>
      </c>
      <c r="M42" s="35" t="n">
        <v>730.47</v>
      </c>
      <c r="N42" s="36">
        <f>SUM(B42:M42)</f>
        <v/>
      </c>
      <c r="O42" s="37">
        <f>(SUMIF('KNL Blank TB'!$R:$R,'KNL HO P&amp;L'!$A42,'KNL Blank TB'!C:C)+(SUMIF('KNL HO TB'!$R:$R,'KNL HO P&amp;L'!$A42,'KNL HO TB'!C:C)))</f>
        <v/>
      </c>
      <c r="P42" s="37">
        <f>(SUMIF('KNL Blank TB'!$R:$R,'KNL HO P&amp;L'!$A42,'KNL Blank TB'!D:D)+(SUMIF('KNL HO TB'!$R:$R,'KNL HO P&amp;L'!$A42,'KNL HO TB'!D:D)))</f>
        <v/>
      </c>
      <c r="Q42" s="37">
        <f>(SUMIF('KNL Blank TB'!$R:$R,'KNL HO P&amp;L'!$A42,'KNL Blank TB'!E:E)+(SUMIF('KNL HO TB'!$R:$R,'KNL HO P&amp;L'!$A42,'KNL HO TB'!E:E)))</f>
        <v/>
      </c>
      <c r="R42" s="37">
        <f>(SUMIF('KNL Blank TB'!$R:$R,'KNL HO P&amp;L'!$A42,'KNL Blank TB'!F:F)+(SUMIF('KNL HO TB'!$R:$R,'KNL HO P&amp;L'!$A42,'KNL HO TB'!F:F)))</f>
        <v/>
      </c>
      <c r="S42" s="37">
        <f>(SUMIF('KNL Blank TB'!$R:$R,'KNL HO P&amp;L'!$A42,'KNL Blank TB'!G:G)+(SUMIF('KNL HO TB'!$R:$R,'KNL HO P&amp;L'!$A42,'KNL HO TB'!G:G)))</f>
        <v/>
      </c>
      <c r="T42" s="37">
        <f>(SUMIF('KNL Blank TB'!$R:$R,'KNL HO P&amp;L'!$A42,'KNL Blank TB'!H:H)+(SUMIF('KNL HO TB'!$R:$R,'KNL HO P&amp;L'!$A42,'KNL HO TB'!H:H)))</f>
        <v/>
      </c>
      <c r="U42" s="37">
        <f>(SUMIF('KNL Blank TB'!$R:$R,'KNL HO P&amp;L'!$A42,'KNL Blank TB'!I:I)+(SUMIF('KNL HO TB'!$R:$R,'KNL HO P&amp;L'!$A42,'KNL HO TB'!I:I)))</f>
        <v/>
      </c>
      <c r="V42" s="38" t="n">
        <v>200</v>
      </c>
      <c r="W42" s="38" t="n">
        <v>200</v>
      </c>
      <c r="X42" s="38" t="n">
        <v>200</v>
      </c>
      <c r="Y42" s="38" t="n">
        <v>200</v>
      </c>
      <c r="Z42" s="38" t="n">
        <v>200</v>
      </c>
      <c r="AA42" s="36">
        <f>SUM(O42:U42)</f>
        <v/>
      </c>
      <c r="AB42" s="36">
        <f>SUM(O42:Z42)</f>
        <v/>
      </c>
      <c r="AC42" s="38" t="n"/>
      <c r="AD42" s="38" t="n"/>
      <c r="AE42" s="38" t="n"/>
      <c r="AF42" s="38" t="n"/>
      <c r="AG42" s="38" t="n"/>
      <c r="AH42" s="38" t="n"/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3312.7</v>
      </c>
      <c r="C43" s="35" t="n">
        <v>3286.88</v>
      </c>
      <c r="D43" s="35" t="n">
        <v>3825.05</v>
      </c>
      <c r="E43" s="35" t="n">
        <v>3504.24</v>
      </c>
      <c r="F43" s="35" t="n">
        <v>3500.68</v>
      </c>
      <c r="G43" s="35" t="n">
        <v>3505.49</v>
      </c>
      <c r="H43" s="35" t="n">
        <v>3652.43</v>
      </c>
      <c r="I43" s="35" t="n">
        <v>3507.11</v>
      </c>
      <c r="J43" s="35" t="n">
        <v>3516.05</v>
      </c>
      <c r="K43" s="35" t="n">
        <v>3345.18</v>
      </c>
      <c r="L43" s="35" t="n">
        <v>3519.39</v>
      </c>
      <c r="M43" s="35" t="n">
        <v>3907.98</v>
      </c>
      <c r="N43" s="36">
        <f>SUM(B43:M43)</f>
        <v/>
      </c>
      <c r="O43" s="37">
        <f>(SUMIF('KNL Blank TB'!$R:$R,'KNL HO P&amp;L'!$A43,'KNL Blank TB'!C:C)+(SUMIF('KNL HO TB'!$R:$R,'KNL HO P&amp;L'!$A43,'KNL HO TB'!C:C)))</f>
        <v/>
      </c>
      <c r="P43" s="37">
        <f>(SUMIF('KNL Blank TB'!$R:$R,'KNL HO P&amp;L'!$A43,'KNL Blank TB'!D:D)+(SUMIF('KNL HO TB'!$R:$R,'KNL HO P&amp;L'!$A43,'KNL HO TB'!D:D)))</f>
        <v/>
      </c>
      <c r="Q43" s="37">
        <f>(SUMIF('KNL Blank TB'!$R:$R,'KNL HO P&amp;L'!$A43,'KNL Blank TB'!E:E)+(SUMIF('KNL HO TB'!$R:$R,'KNL HO P&amp;L'!$A43,'KNL HO TB'!E:E)))</f>
        <v/>
      </c>
      <c r="R43" s="37">
        <f>(SUMIF('KNL Blank TB'!$R:$R,'KNL HO P&amp;L'!$A43,'KNL Blank TB'!F:F)+(SUMIF('KNL HO TB'!$R:$R,'KNL HO P&amp;L'!$A43,'KNL HO TB'!F:F)))</f>
        <v/>
      </c>
      <c r="S43" s="37">
        <f>(SUMIF('KNL Blank TB'!$R:$R,'KNL HO P&amp;L'!$A43,'KNL Blank TB'!G:G)+(SUMIF('KNL HO TB'!$R:$R,'KNL HO P&amp;L'!$A43,'KNL HO TB'!G:G)))</f>
        <v/>
      </c>
      <c r="T43" s="37">
        <f>(SUMIF('KNL Blank TB'!$R:$R,'KNL HO P&amp;L'!$A43,'KNL Blank TB'!H:H)+(SUMIF('KNL HO TB'!$R:$R,'KNL HO P&amp;L'!$A43,'KNL HO TB'!H:H)))</f>
        <v/>
      </c>
      <c r="U43" s="37">
        <f>(SUMIF('KNL Blank TB'!$R:$R,'KNL HO P&amp;L'!$A43,'KNL Blank TB'!I:I)+(SUMIF('KNL HO TB'!$R:$R,'KNL HO P&amp;L'!$A43,'KNL HO TB'!I:I)))</f>
        <v/>
      </c>
      <c r="V43" s="38" t="n">
        <v>3500</v>
      </c>
      <c r="W43" s="38" t="n">
        <v>3500</v>
      </c>
      <c r="X43" s="38" t="n">
        <v>8500</v>
      </c>
      <c r="Y43" s="38" t="n">
        <v>3500</v>
      </c>
      <c r="Z43" s="38" t="n">
        <v>3500</v>
      </c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(SUMIF('KNL Blank TB'!$R:$R,'KNL HO P&amp;L'!$A44,'KNL Blank TB'!C:C)+(SUMIF('KNL HO TB'!$R:$R,'KNL HO P&amp;L'!$A44,'KNL HO TB'!C:C)))</f>
        <v/>
      </c>
      <c r="P44" s="37">
        <f>(SUMIF('KNL Blank TB'!$R:$R,'KNL HO P&amp;L'!$A44,'KNL Blank TB'!D:D)+(SUMIF('KNL HO TB'!$R:$R,'KNL HO P&amp;L'!$A44,'KNL HO TB'!D:D)))</f>
        <v/>
      </c>
      <c r="Q44" s="37">
        <f>(SUMIF('KNL Blank TB'!$R:$R,'KNL HO P&amp;L'!$A44,'KNL Blank TB'!E:E)+(SUMIF('KNL HO TB'!$R:$R,'KNL HO P&amp;L'!$A44,'KNL HO TB'!E:E)))</f>
        <v/>
      </c>
      <c r="R44" s="37">
        <f>(SUMIF('KNL Blank TB'!$R:$R,'KNL HO P&amp;L'!$A44,'KNL Blank TB'!F:F)+(SUMIF('KNL HO TB'!$R:$R,'KNL HO P&amp;L'!$A44,'KNL HO TB'!F:F)))</f>
        <v/>
      </c>
      <c r="S44" s="37">
        <f>(SUMIF('KNL Blank TB'!$R:$R,'KNL HO P&amp;L'!$A44,'KNL Blank TB'!G:G)+(SUMIF('KNL HO TB'!$R:$R,'KNL HO P&amp;L'!$A44,'KNL HO TB'!G:G)))</f>
        <v/>
      </c>
      <c r="T44" s="37">
        <f>(SUMIF('KNL Blank TB'!$R:$R,'KNL HO P&amp;L'!$A44,'KNL Blank TB'!H:H)+(SUMIF('KNL HO TB'!$R:$R,'KNL HO P&amp;L'!$A44,'KNL HO TB'!H:H)))</f>
        <v/>
      </c>
      <c r="U44" s="37">
        <f>(SUMIF('KNL Blank TB'!$R:$R,'KNL HO P&amp;L'!$A44,'KNL Blank TB'!I:I)+(SUMIF('KNL HO TB'!$R:$R,'KNL HO P&amp;L'!$A44,'KNL HO TB'!I:I)))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4653.46</v>
      </c>
      <c r="C45" s="35" t="n">
        <v>4592.05</v>
      </c>
      <c r="D45" s="35" t="n">
        <v>1826.47</v>
      </c>
      <c r="E45" s="35" t="n">
        <v>3771.9</v>
      </c>
      <c r="F45" s="35" t="n">
        <v>2115.33</v>
      </c>
      <c r="G45" s="35" t="n">
        <v>9287.91</v>
      </c>
      <c r="H45" s="35" t="n">
        <v>2622.49</v>
      </c>
      <c r="I45" s="35" t="n">
        <v>3476.43</v>
      </c>
      <c r="J45" s="35" t="n">
        <v>4380.61</v>
      </c>
      <c r="K45" s="35" t="n">
        <v>2639.55</v>
      </c>
      <c r="L45" s="35" t="n">
        <v>2333.38</v>
      </c>
      <c r="M45" s="35" t="n">
        <v>1559.54</v>
      </c>
      <c r="N45" s="36">
        <f>SUM(B45:M45)</f>
        <v/>
      </c>
      <c r="O45" s="37">
        <f>(SUMIF('KNL Blank TB'!$R:$R,'KNL HO P&amp;L'!$A45,'KNL Blank TB'!C:C)+(SUMIF('KNL HO TB'!$R:$R,'KNL HO P&amp;L'!$A45,'KNL HO TB'!C:C)))</f>
        <v/>
      </c>
      <c r="P45" s="37">
        <f>(SUMIF('KNL Blank TB'!$R:$R,'KNL HO P&amp;L'!$A45,'KNL Blank TB'!D:D)+(SUMIF('KNL HO TB'!$R:$R,'KNL HO P&amp;L'!$A45,'KNL HO TB'!D:D)))</f>
        <v/>
      </c>
      <c r="Q45" s="37">
        <f>(SUMIF('KNL Blank TB'!$R:$R,'KNL HO P&amp;L'!$A45,'KNL Blank TB'!E:E)+(SUMIF('KNL HO TB'!$R:$R,'KNL HO P&amp;L'!$A45,'KNL HO TB'!E:E)))</f>
        <v/>
      </c>
      <c r="R45" s="37">
        <f>(SUMIF('KNL Blank TB'!$R:$R,'KNL HO P&amp;L'!$A45,'KNL Blank TB'!F:F)+(SUMIF('KNL HO TB'!$R:$R,'KNL HO P&amp;L'!$A45,'KNL HO TB'!F:F)))</f>
        <v/>
      </c>
      <c r="S45" s="37">
        <f>(SUMIF('KNL Blank TB'!$R:$R,'KNL HO P&amp;L'!$A45,'KNL Blank TB'!G:G)+(SUMIF('KNL HO TB'!$R:$R,'KNL HO P&amp;L'!$A45,'KNL HO TB'!G:G)))</f>
        <v/>
      </c>
      <c r="T45" s="37">
        <f>(SUMIF('KNL Blank TB'!$R:$R,'KNL HO P&amp;L'!$A45,'KNL Blank TB'!H:H)+(SUMIF('KNL HO TB'!$R:$R,'KNL HO P&amp;L'!$A45,'KNL HO TB'!H:H)))</f>
        <v/>
      </c>
      <c r="U45" s="37">
        <f>(SUMIF('KNL Blank TB'!$R:$R,'KNL HO P&amp;L'!$A45,'KNL Blank TB'!I:I)+(SUMIF('KNL HO TB'!$R:$R,'KNL HO P&amp;L'!$A45,'KNL HO TB'!I:I)))</f>
        <v/>
      </c>
      <c r="V45" s="38" t="n">
        <v>2500</v>
      </c>
      <c r="W45" s="38" t="n">
        <v>2500</v>
      </c>
      <c r="X45" s="38" t="n">
        <v>2500</v>
      </c>
      <c r="Y45" s="38" t="n">
        <v>2500</v>
      </c>
      <c r="Z45" s="38" t="n">
        <v>2500</v>
      </c>
      <c r="AA45" s="36">
        <f>SUM(O45:U45)</f>
        <v/>
      </c>
      <c r="AB45" s="36">
        <f>SUM(O45:Z45)</f>
        <v/>
      </c>
      <c r="AC45" s="38" t="n"/>
      <c r="AD45" s="38" t="n"/>
      <c r="AE45" s="38" t="n"/>
      <c r="AF45" s="38" t="n"/>
      <c r="AG45" s="38" t="n"/>
      <c r="AH45" s="38" t="n"/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460.32</v>
      </c>
      <c r="I46" s="35" t="n">
        <v>475.15</v>
      </c>
      <c r="J46" s="35" t="n">
        <v>212.63</v>
      </c>
      <c r="K46" s="35" t="n">
        <v>102.57</v>
      </c>
      <c r="L46" s="35" t="n">
        <v>0</v>
      </c>
      <c r="M46" s="35" t="n">
        <v>55.85</v>
      </c>
      <c r="N46" s="36">
        <f>SUM(B46:M46)</f>
        <v/>
      </c>
      <c r="O46" s="37">
        <f>(SUMIF('KNL Blank TB'!$R:$R,'KNL HO P&amp;L'!$A46,'KNL Blank TB'!C:C)+(SUMIF('KNL HO TB'!$R:$R,'KNL HO P&amp;L'!$A46,'KNL HO TB'!C:C)))</f>
        <v/>
      </c>
      <c r="P46" s="37">
        <f>(SUMIF('KNL Blank TB'!$R:$R,'KNL HO P&amp;L'!$A46,'KNL Blank TB'!D:D)+(SUMIF('KNL HO TB'!$R:$R,'KNL HO P&amp;L'!$A46,'KNL HO TB'!D:D)))</f>
        <v/>
      </c>
      <c r="Q46" s="37">
        <f>(SUMIF('KNL Blank TB'!$R:$R,'KNL HO P&amp;L'!$A46,'KNL Blank TB'!E:E)+(SUMIF('KNL HO TB'!$R:$R,'KNL HO P&amp;L'!$A46,'KNL HO TB'!E:E)))</f>
        <v/>
      </c>
      <c r="R46" s="37">
        <f>(SUMIF('KNL Blank TB'!$R:$R,'KNL HO P&amp;L'!$A46,'KNL Blank TB'!F:F)+(SUMIF('KNL HO TB'!$R:$R,'KNL HO P&amp;L'!$A46,'KNL HO TB'!F:F)))</f>
        <v/>
      </c>
      <c r="S46" s="37">
        <f>(SUMIF('KNL Blank TB'!$R:$R,'KNL HO P&amp;L'!$A46,'KNL Blank TB'!G:G)+(SUMIF('KNL HO TB'!$R:$R,'KNL HO P&amp;L'!$A46,'KNL HO TB'!G:G)))</f>
        <v/>
      </c>
      <c r="T46" s="37">
        <f>(SUMIF('KNL Blank TB'!$R:$R,'KNL HO P&amp;L'!$A46,'KNL Blank TB'!H:H)+(SUMIF('KNL HO TB'!$R:$R,'KNL HO P&amp;L'!$A46,'KNL HO TB'!H:H)))</f>
        <v/>
      </c>
      <c r="U46" s="37">
        <f>(SUMIF('KNL Blank TB'!$R:$R,'KNL HO P&amp;L'!$A46,'KNL Blank TB'!I:I)+(SUMIF('KNL HO TB'!$R:$R,'KNL HO P&amp;L'!$A46,'KNL HO TB'!I:I)))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12722.92</v>
      </c>
      <c r="C47" s="42" t="n">
        <v>10950.38</v>
      </c>
      <c r="D47" s="42" t="n">
        <v>9865.769999999999</v>
      </c>
      <c r="E47" s="42" t="n">
        <v>8458.85</v>
      </c>
      <c r="F47" s="42" t="n">
        <v>8955.32</v>
      </c>
      <c r="G47" s="42" t="n">
        <v>16386.99</v>
      </c>
      <c r="H47" s="42" t="n">
        <v>10197.25</v>
      </c>
      <c r="I47" s="42" t="n">
        <v>9299.83</v>
      </c>
      <c r="J47" s="42" t="n">
        <v>10301.56</v>
      </c>
      <c r="K47" s="42" t="n">
        <v>9287.27</v>
      </c>
      <c r="L47" s="42" t="n">
        <v>7193.75</v>
      </c>
      <c r="M47" s="42" t="n">
        <v>5678.72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 t="n"/>
      <c r="AD47" s="45" t="n"/>
      <c r="AE47" s="45" t="n"/>
      <c r="AF47" s="45" t="n"/>
      <c r="AG47" s="45" t="n"/>
      <c r="AH47" s="45" t="n"/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19517.51</v>
      </c>
      <c r="C48" s="23" t="n">
        <v>20149.6</v>
      </c>
      <c r="D48" s="23" t="n">
        <v>14573.84</v>
      </c>
      <c r="E48" s="23" t="n">
        <v>12981.38</v>
      </c>
      <c r="F48" s="23" t="n">
        <v>13244.54</v>
      </c>
      <c r="G48" s="23" t="n">
        <v>25398.65</v>
      </c>
      <c r="H48" s="23" t="n">
        <v>15690.42</v>
      </c>
      <c r="I48" s="23" t="n">
        <v>13406.36</v>
      </c>
      <c r="J48" s="23" t="n">
        <v>15315.98</v>
      </c>
      <c r="K48" s="23" t="n">
        <v>17293.81</v>
      </c>
      <c r="L48" s="23" t="n">
        <v>12402.92</v>
      </c>
      <c r="M48" s="23" t="n">
        <v>8418.08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 t="n"/>
      <c r="AD48" s="26" t="n"/>
      <c r="AE48" s="26" t="n"/>
      <c r="AF48" s="26" t="n"/>
      <c r="AG48" s="26" t="n"/>
      <c r="AH48" s="26" t="n"/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-19517.51</v>
      </c>
      <c r="C50" s="55" t="n">
        <v>-20149.6</v>
      </c>
      <c r="D50" s="55" t="n">
        <v>-14573.84</v>
      </c>
      <c r="E50" s="55" t="n">
        <v>-12981.38</v>
      </c>
      <c r="F50" s="55" t="n">
        <v>-13244.54</v>
      </c>
      <c r="G50" s="55" t="n">
        <v>-25381.71</v>
      </c>
      <c r="H50" s="55" t="n">
        <v>-15690.42</v>
      </c>
      <c r="I50" s="55" t="n">
        <v>-13406.36</v>
      </c>
      <c r="J50" s="55" t="n">
        <v>-14465.41</v>
      </c>
      <c r="K50" s="55" t="n">
        <v>-17293.81</v>
      </c>
      <c r="L50" s="55" t="n">
        <v>-11672.68</v>
      </c>
      <c r="M50" s="55" t="n">
        <v>-8418.08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 t="n"/>
      <c r="AD50" s="55" t="n"/>
      <c r="AE50" s="55" t="n"/>
      <c r="AF50" s="55" t="n"/>
      <c r="AG50" s="55" t="n"/>
      <c r="AH50" s="55" t="n"/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82089.10000000001</v>
      </c>
      <c r="C53" s="35" t="n">
        <v>83145.28</v>
      </c>
      <c r="D53" s="35" t="n">
        <v>82791.22</v>
      </c>
      <c r="E53" s="35" t="n">
        <v>134235.96</v>
      </c>
      <c r="F53" s="35" t="n">
        <v>81426.45999999999</v>
      </c>
      <c r="G53" s="35" t="n">
        <v>97910.46000000001</v>
      </c>
      <c r="H53" s="35" t="n">
        <v>97978.69</v>
      </c>
      <c r="I53" s="35" t="n">
        <v>112374.73</v>
      </c>
      <c r="J53" s="35" t="n">
        <v>137394</v>
      </c>
      <c r="K53" s="35" t="n">
        <v>102166.94</v>
      </c>
      <c r="L53" s="35" t="n">
        <v>108279</v>
      </c>
      <c r="M53" s="35" t="n">
        <v>384692.96</v>
      </c>
      <c r="N53" s="36">
        <f>SUM(B53:M53)</f>
        <v/>
      </c>
      <c r="O53" s="37">
        <f>(SUMIF('KNL Blank TB'!$R:$R,'KNL HO P&amp;L'!$A53,'KNL Blank TB'!C:C)+(SUMIF('KNL HO TB'!$R:$R,'KNL HO P&amp;L'!$A53,'KNL HO TB'!C:C)))</f>
        <v/>
      </c>
      <c r="P53" s="37">
        <f>(SUMIF('KNL Blank TB'!$R:$R,'KNL HO P&amp;L'!$A53,'KNL Blank TB'!D:D)+(SUMIF('KNL HO TB'!$R:$R,'KNL HO P&amp;L'!$A53,'KNL HO TB'!D:D)))</f>
        <v/>
      </c>
      <c r="Q53" s="37">
        <f>(SUMIF('KNL Blank TB'!$R:$R,'KNL HO P&amp;L'!$A53,'KNL Blank TB'!E:E)+(SUMIF('KNL HO TB'!$R:$R,'KNL HO P&amp;L'!$A53,'KNL HO TB'!E:E)))</f>
        <v/>
      </c>
      <c r="R53" s="37">
        <f>(SUMIF('KNL Blank TB'!$R:$R,'KNL HO P&amp;L'!$A53,'KNL Blank TB'!F:F)+(SUMIF('KNL HO TB'!$R:$R,'KNL HO P&amp;L'!$A53,'KNL HO TB'!F:F)))</f>
        <v/>
      </c>
      <c r="S53" s="37">
        <f>(SUMIF('KNL Blank TB'!$R:$R,'KNL HO P&amp;L'!$A53,'KNL Blank TB'!G:G)+(SUMIF('KNL HO TB'!$R:$R,'KNL HO P&amp;L'!$A53,'KNL HO TB'!G:G)))</f>
        <v/>
      </c>
      <c r="T53" s="37">
        <f>(SUMIF('KNL Blank TB'!$R:$R,'KNL HO P&amp;L'!$A53,'KNL Blank TB'!H:H)+(SUMIF('KNL HO TB'!$R:$R,'KNL HO P&amp;L'!$A53,'KNL HO TB'!H:H)))</f>
        <v/>
      </c>
      <c r="U53" s="37">
        <f>(SUMIF('KNL Blank TB'!$R:$R,'KNL HO P&amp;L'!$A53,'KNL Blank TB'!I:I)+(SUMIF('KNL HO TB'!$R:$R,'KNL HO P&amp;L'!$A53,'KNL HO TB'!I:I)))</f>
        <v/>
      </c>
      <c r="V53" s="38" t="n">
        <v>117439</v>
      </c>
      <c r="W53" s="38" t="n">
        <v>117439</v>
      </c>
      <c r="X53" s="38" t="n">
        <v>117439</v>
      </c>
      <c r="Y53" s="38" t="n">
        <v>117439</v>
      </c>
      <c r="Z53" s="38">
        <f>117439+281000</f>
        <v/>
      </c>
      <c r="AA53" s="36">
        <f>SUM(O53:U53)</f>
        <v/>
      </c>
      <c r="AB53" s="36">
        <f>SUM(O53:Z53)</f>
        <v/>
      </c>
      <c r="AC53" s="38" t="n">
        <v>117439</v>
      </c>
      <c r="AD53" s="38" t="n">
        <v>117439</v>
      </c>
      <c r="AE53" s="38" t="n">
        <v>117439</v>
      </c>
      <c r="AF53" s="38" t="n">
        <v>117439</v>
      </c>
      <c r="AG53" s="38" t="n">
        <v>117439</v>
      </c>
      <c r="AH53" s="38" t="n">
        <v>117439</v>
      </c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9992.110000000001</v>
      </c>
      <c r="C54" s="35" t="n">
        <v>11326.84</v>
      </c>
      <c r="D54" s="35" t="n">
        <v>11325.06</v>
      </c>
      <c r="E54" s="35" t="n">
        <v>20699.56</v>
      </c>
      <c r="F54" s="35" t="n">
        <v>12797.69</v>
      </c>
      <c r="G54" s="35" t="n">
        <v>15261.34</v>
      </c>
      <c r="H54" s="35" t="n">
        <v>15170.04</v>
      </c>
      <c r="I54" s="35" t="n">
        <v>17278.08</v>
      </c>
      <c r="J54" s="35" t="n">
        <v>15614.88</v>
      </c>
      <c r="K54" s="35" t="n">
        <v>14827.88</v>
      </c>
      <c r="L54" s="35" t="n">
        <v>15458.86</v>
      </c>
      <c r="M54" s="35" t="n">
        <v>57020.84</v>
      </c>
      <c r="N54" s="36">
        <f>SUM(B54:M54)</f>
        <v/>
      </c>
      <c r="O54" s="37">
        <f>(SUMIF('KNL Blank TB'!$R:$R,'KNL HO P&amp;L'!$A54,'KNL Blank TB'!C:C)+(SUMIF('KNL HO TB'!$R:$R,'KNL HO P&amp;L'!$A54,'KNL HO TB'!C:C)))</f>
        <v/>
      </c>
      <c r="P54" s="37">
        <f>(SUMIF('KNL Blank TB'!$R:$R,'KNL HO P&amp;L'!$A54,'KNL Blank TB'!D:D)+(SUMIF('KNL HO TB'!$R:$R,'KNL HO P&amp;L'!$A54,'KNL HO TB'!D:D)))</f>
        <v/>
      </c>
      <c r="Q54" s="37">
        <f>(SUMIF('KNL Blank TB'!$R:$R,'KNL HO P&amp;L'!$A54,'KNL Blank TB'!E:E)+(SUMIF('KNL HO TB'!$R:$R,'KNL HO P&amp;L'!$A54,'KNL HO TB'!E:E)))</f>
        <v/>
      </c>
      <c r="R54" s="37">
        <f>(SUMIF('KNL Blank TB'!$R:$R,'KNL HO P&amp;L'!$A54,'KNL Blank TB'!F:F)+(SUMIF('KNL HO TB'!$R:$R,'KNL HO P&amp;L'!$A54,'KNL HO TB'!F:F)))</f>
        <v/>
      </c>
      <c r="S54" s="37">
        <f>(SUMIF('KNL Blank TB'!$R:$R,'KNL HO P&amp;L'!$A54,'KNL Blank TB'!G:G)+(SUMIF('KNL HO TB'!$R:$R,'KNL HO P&amp;L'!$A54,'KNL HO TB'!G:G)))</f>
        <v/>
      </c>
      <c r="T54" s="37">
        <f>(SUMIF('KNL Blank TB'!$R:$R,'KNL HO P&amp;L'!$A54,'KNL Blank TB'!H:H)+(SUMIF('KNL HO TB'!$R:$R,'KNL HO P&amp;L'!$A54,'KNL HO TB'!H:H)))</f>
        <v/>
      </c>
      <c r="U54" s="37">
        <f>(SUMIF('KNL Blank TB'!$R:$R,'KNL HO P&amp;L'!$A54,'KNL Blank TB'!I:I)+(SUMIF('KNL HO TB'!$R:$R,'KNL HO P&amp;L'!$A54,'KNL HO TB'!I:I)))</f>
        <v/>
      </c>
      <c r="V54" s="38" t="n">
        <v>16773</v>
      </c>
      <c r="W54" s="38" t="n">
        <v>16773</v>
      </c>
      <c r="X54" s="38" t="n">
        <v>16773</v>
      </c>
      <c r="Y54" s="38" t="n">
        <v>16773</v>
      </c>
      <c r="Z54" s="38" t="n">
        <v>16773</v>
      </c>
      <c r="AA54" s="36">
        <f>SUM(O54:U54)</f>
        <v/>
      </c>
      <c r="AB54" s="36">
        <f>SUM(O54:Z54)</f>
        <v/>
      </c>
      <c r="AC54" s="38" t="n">
        <v>16773</v>
      </c>
      <c r="AD54" s="38" t="n">
        <v>16773</v>
      </c>
      <c r="AE54" s="38" t="n">
        <v>16773</v>
      </c>
      <c r="AF54" s="38" t="n">
        <v>16773</v>
      </c>
      <c r="AG54" s="38" t="n">
        <v>16773</v>
      </c>
      <c r="AH54" s="38" t="n">
        <v>16773</v>
      </c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697.8300000000002</v>
      </c>
      <c r="C55" s="35" t="n">
        <v>754.1500000000001</v>
      </c>
      <c r="D55" s="35" t="n">
        <v>754.1500000000001</v>
      </c>
      <c r="E55" s="35" t="n">
        <v>754.1500000000001</v>
      </c>
      <c r="F55" s="35" t="n">
        <v>754.1500000000001</v>
      </c>
      <c r="G55" s="35" t="n">
        <v>645.13</v>
      </c>
      <c r="H55" s="35" t="n">
        <v>711.13</v>
      </c>
      <c r="I55" s="35" t="n">
        <v>711.13</v>
      </c>
      <c r="J55" s="35" t="n">
        <v>711.13</v>
      </c>
      <c r="K55" s="35" t="n">
        <v>343.6</v>
      </c>
      <c r="L55" s="35" t="n">
        <v>397.55</v>
      </c>
      <c r="M55" s="35" t="n">
        <v>397.55</v>
      </c>
      <c r="N55" s="36">
        <f>SUM(B55:M55)</f>
        <v/>
      </c>
      <c r="O55" s="37">
        <f>(SUMIF('KNL Blank TB'!$R:$R,'KNL HO P&amp;L'!$A55,'KNL Blank TB'!C:C)+(SUMIF('KNL HO TB'!$R:$R,'KNL HO P&amp;L'!$A55,'KNL HO TB'!C:C)))</f>
        <v/>
      </c>
      <c r="P55" s="37">
        <f>(SUMIF('KNL Blank TB'!$R:$R,'KNL HO P&amp;L'!$A55,'KNL Blank TB'!D:D)+(SUMIF('KNL HO TB'!$R:$R,'KNL HO P&amp;L'!$A55,'KNL HO TB'!D:D)))</f>
        <v/>
      </c>
      <c r="Q55" s="37">
        <f>(SUMIF('KNL Blank TB'!$R:$R,'KNL HO P&amp;L'!$A55,'KNL Blank TB'!E:E)+(SUMIF('KNL HO TB'!$R:$R,'KNL HO P&amp;L'!$A55,'KNL HO TB'!E:E)))</f>
        <v/>
      </c>
      <c r="R55" s="37">
        <f>(SUMIF('KNL Blank TB'!$R:$R,'KNL HO P&amp;L'!$A55,'KNL Blank TB'!F:F)+(SUMIF('KNL HO TB'!$R:$R,'KNL HO P&amp;L'!$A55,'KNL HO TB'!F:F)))</f>
        <v/>
      </c>
      <c r="S55" s="37">
        <f>(SUMIF('KNL Blank TB'!$R:$R,'KNL HO P&amp;L'!$A55,'KNL Blank TB'!G:G)+(SUMIF('KNL HO TB'!$R:$R,'KNL HO P&amp;L'!$A55,'KNL HO TB'!G:G)))</f>
        <v/>
      </c>
      <c r="T55" s="37">
        <f>(SUMIF('KNL Blank TB'!$R:$R,'KNL HO P&amp;L'!$A55,'KNL Blank TB'!H:H)+(SUMIF('KNL HO TB'!$R:$R,'KNL HO P&amp;L'!$A55,'KNL HO TB'!H:H)))</f>
        <v/>
      </c>
      <c r="U55" s="37">
        <f>(SUMIF('KNL Blank TB'!$R:$R,'KNL HO P&amp;L'!$A55,'KNL Blank TB'!I:I)+(SUMIF('KNL HO TB'!$R:$R,'KNL HO P&amp;L'!$A55,'KNL HO TB'!I:I)))</f>
        <v/>
      </c>
      <c r="V55" s="38" t="n">
        <v>695</v>
      </c>
      <c r="W55" s="38" t="n">
        <v>695</v>
      </c>
      <c r="X55" s="38" t="n">
        <v>695</v>
      </c>
      <c r="Y55" s="38" t="n">
        <v>695</v>
      </c>
      <c r="Z55" s="38" t="n">
        <v>695</v>
      </c>
      <c r="AA55" s="36">
        <f>SUM(O55:U55)</f>
        <v/>
      </c>
      <c r="AB55" s="36">
        <f>SUM(O55:Z55)</f>
        <v/>
      </c>
      <c r="AC55" s="38" t="n">
        <v>695</v>
      </c>
      <c r="AD55" s="38" t="n">
        <v>695</v>
      </c>
      <c r="AE55" s="38" t="n">
        <v>695</v>
      </c>
      <c r="AF55" s="38" t="n">
        <v>695</v>
      </c>
      <c r="AG55" s="38" t="n">
        <v>695</v>
      </c>
      <c r="AH55" s="38" t="n">
        <v>695</v>
      </c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832.4000000000001</v>
      </c>
      <c r="C56" s="35" t="n">
        <v>886.37</v>
      </c>
      <c r="D56" s="35" t="n">
        <v>987.53</v>
      </c>
      <c r="E56" s="35" t="n">
        <v>1010.72</v>
      </c>
      <c r="F56" s="35" t="n">
        <v>917.11</v>
      </c>
      <c r="G56" s="35" t="n">
        <v>900.63</v>
      </c>
      <c r="H56" s="35" t="n">
        <v>1072.08</v>
      </c>
      <c r="I56" s="35" t="n">
        <v>989.58</v>
      </c>
      <c r="J56" s="35" t="n">
        <v>823.79</v>
      </c>
      <c r="K56" s="35" t="n">
        <v>958.6500000000001</v>
      </c>
      <c r="L56" s="35" t="n">
        <v>1038.97</v>
      </c>
      <c r="M56" s="35" t="n">
        <v>980.35</v>
      </c>
      <c r="N56" s="36">
        <f>SUM(B56:M56)</f>
        <v/>
      </c>
      <c r="O56" s="37">
        <f>(SUMIF('KNL Blank TB'!$R:$R,'KNL HO P&amp;L'!$A56,'KNL Blank TB'!C:C)+(SUMIF('KNL HO TB'!$R:$R,'KNL HO P&amp;L'!$A56,'KNL HO TB'!C:C)))</f>
        <v/>
      </c>
      <c r="P56" s="37">
        <f>(SUMIF('KNL Blank TB'!$R:$R,'KNL HO P&amp;L'!$A56,'KNL Blank TB'!D:D)+(SUMIF('KNL HO TB'!$R:$R,'KNL HO P&amp;L'!$A56,'KNL HO TB'!D:D)))</f>
        <v/>
      </c>
      <c r="Q56" s="37">
        <f>(SUMIF('KNL Blank TB'!$R:$R,'KNL HO P&amp;L'!$A56,'KNL Blank TB'!E:E)+(SUMIF('KNL HO TB'!$R:$R,'KNL HO P&amp;L'!$A56,'KNL HO TB'!E:E)))</f>
        <v/>
      </c>
      <c r="R56" s="37">
        <f>(SUMIF('KNL Blank TB'!$R:$R,'KNL HO P&amp;L'!$A56,'KNL Blank TB'!F:F)+(SUMIF('KNL HO TB'!$R:$R,'KNL HO P&amp;L'!$A56,'KNL HO TB'!F:F)))</f>
        <v/>
      </c>
      <c r="S56" s="37">
        <f>(SUMIF('KNL Blank TB'!$R:$R,'KNL HO P&amp;L'!$A56,'KNL Blank TB'!G:G)+(SUMIF('KNL HO TB'!$R:$R,'KNL HO P&amp;L'!$A56,'KNL HO TB'!G:G)))</f>
        <v/>
      </c>
      <c r="T56" s="37">
        <f>(SUMIF('KNL Blank TB'!$R:$R,'KNL HO P&amp;L'!$A56,'KNL Blank TB'!H:H)+(SUMIF('KNL HO TB'!$R:$R,'KNL HO P&amp;L'!$A56,'KNL HO TB'!H:H)))</f>
        <v/>
      </c>
      <c r="U56" s="37">
        <f>(SUMIF('KNL Blank TB'!$R:$R,'KNL HO P&amp;L'!$A56,'KNL Blank TB'!I:I)+(SUMIF('KNL HO TB'!$R:$R,'KNL HO P&amp;L'!$A56,'KNL HO TB'!I:I)))</f>
        <v/>
      </c>
      <c r="V56" s="38" t="n">
        <v>1897.62</v>
      </c>
      <c r="W56" s="38" t="n">
        <v>1897.62</v>
      </c>
      <c r="X56" s="38" t="n">
        <v>1897.62</v>
      </c>
      <c r="Y56" s="38" t="n">
        <v>1897.62</v>
      </c>
      <c r="Z56" s="38" t="n">
        <v>1897.62</v>
      </c>
      <c r="AA56" s="36">
        <f>SUM(O56:U56)</f>
        <v/>
      </c>
      <c r="AB56" s="36">
        <f>SUM(O56:Z56)</f>
        <v/>
      </c>
      <c r="AC56" s="38" t="n">
        <v>1897.62</v>
      </c>
      <c r="AD56" s="38" t="n">
        <v>1897.62</v>
      </c>
      <c r="AE56" s="38" t="n">
        <v>1897.62</v>
      </c>
      <c r="AF56" s="38" t="n">
        <v>1897.62</v>
      </c>
      <c r="AG56" s="38" t="n">
        <v>1897.62</v>
      </c>
      <c r="AH56" s="38" t="n">
        <v>1897.62</v>
      </c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300.41</v>
      </c>
      <c r="J57" s="35" t="n">
        <v>16814</v>
      </c>
      <c r="K57" s="35" t="n">
        <v>0</v>
      </c>
      <c r="L57" s="35" t="n">
        <v>0</v>
      </c>
      <c r="M57" s="35" t="n">
        <v>1160.7</v>
      </c>
      <c r="N57" s="36">
        <f>SUM(B57:M57)</f>
        <v/>
      </c>
      <c r="O57" s="37">
        <f>(SUMIF('KNL Blank TB'!$R:$R,'KNL HO P&amp;L'!$A57,'KNL Blank TB'!C:C)+(SUMIF('KNL HO TB'!$R:$R,'KNL HO P&amp;L'!$A57,'KNL HO TB'!C:C)))</f>
        <v/>
      </c>
      <c r="P57" s="37">
        <f>(SUMIF('KNL Blank TB'!$R:$R,'KNL HO P&amp;L'!$A57,'KNL Blank TB'!D:D)+(SUMIF('KNL HO TB'!$R:$R,'KNL HO P&amp;L'!$A57,'KNL HO TB'!D:D)))</f>
        <v/>
      </c>
      <c r="Q57" s="37">
        <f>(SUMIF('KNL Blank TB'!$R:$R,'KNL HO P&amp;L'!$A57,'KNL Blank TB'!E:E)+(SUMIF('KNL HO TB'!$R:$R,'KNL HO P&amp;L'!$A57,'KNL HO TB'!E:E)))</f>
        <v/>
      </c>
      <c r="R57" s="37">
        <f>(SUMIF('KNL Blank TB'!$R:$R,'KNL HO P&amp;L'!$A57,'KNL Blank TB'!F:F)+(SUMIF('KNL HO TB'!$R:$R,'KNL HO P&amp;L'!$A57,'KNL HO TB'!F:F)))</f>
        <v/>
      </c>
      <c r="S57" s="37">
        <f>(SUMIF('KNL Blank TB'!$R:$R,'KNL HO P&amp;L'!$A57,'KNL Blank TB'!G:G)+(SUMIF('KNL HO TB'!$R:$R,'KNL HO P&amp;L'!$A57,'KNL HO TB'!G:G)))</f>
        <v/>
      </c>
      <c r="T57" s="37">
        <f>(SUMIF('KNL Blank TB'!$R:$R,'KNL HO P&amp;L'!$A57,'KNL Blank TB'!H:H)+(SUMIF('KNL HO TB'!$R:$R,'KNL HO P&amp;L'!$A57,'KNL HO TB'!H:H)))</f>
        <v/>
      </c>
      <c r="U57" s="37">
        <f>(SUMIF('KNL Blank TB'!$R:$R,'KNL HO P&amp;L'!$A57,'KNL Blank TB'!I:I)+(SUMIF('KNL HO TB'!$R:$R,'KNL HO P&amp;L'!$A57,'KNL HO TB'!I:I)))</f>
        <v/>
      </c>
      <c r="V57" s="38" t="n"/>
      <c r="W57" s="38" t="n"/>
      <c r="X57" s="38" t="n"/>
      <c r="Y57" s="38" t="n"/>
      <c r="Z57" s="38">
        <f>21*30</f>
        <v/>
      </c>
      <c r="AA57" s="36">
        <f>SUM(O57:U57)</f>
        <v/>
      </c>
      <c r="AB57" s="36">
        <f>SUM(O57:Z57)</f>
        <v/>
      </c>
      <c r="AC57" s="38" t="n"/>
      <c r="AD57" s="38" t="n"/>
      <c r="AE57" s="38" t="n"/>
      <c r="AF57" s="38" t="n"/>
      <c r="AG57" s="38" t="n"/>
      <c r="AH57" s="38" t="n"/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465.62</v>
      </c>
      <c r="C58" s="35" t="n">
        <v>465.62</v>
      </c>
      <c r="D58" s="35" t="n">
        <v>465.62</v>
      </c>
      <c r="E58" s="35" t="n">
        <v>465.62</v>
      </c>
      <c r="F58" s="35" t="n">
        <v>465.62</v>
      </c>
      <c r="G58" s="35" t="n">
        <v>341.4</v>
      </c>
      <c r="H58" s="35" t="n">
        <v>341.4</v>
      </c>
      <c r="I58" s="35" t="n">
        <v>341.4</v>
      </c>
      <c r="J58" s="35" t="n">
        <v>341.4</v>
      </c>
      <c r="K58" s="35" t="n">
        <v>341.4</v>
      </c>
      <c r="L58" s="35" t="n">
        <v>341.4</v>
      </c>
      <c r="M58" s="35" t="n">
        <v>0</v>
      </c>
      <c r="N58" s="36">
        <f>SUM(B58:M58)</f>
        <v/>
      </c>
      <c r="O58" s="37">
        <f>(SUMIF('KNL Blank TB'!$R:$R,'KNL HO P&amp;L'!$A58,'KNL Blank TB'!C:C)+(SUMIF('KNL HO TB'!$R:$R,'KNL HO P&amp;L'!$A58,'KNL HO TB'!C:C)))</f>
        <v/>
      </c>
      <c r="P58" s="37">
        <f>(SUMIF('KNL Blank TB'!$R:$R,'KNL HO P&amp;L'!$A58,'KNL Blank TB'!D:D)+(SUMIF('KNL HO TB'!$R:$R,'KNL HO P&amp;L'!$A58,'KNL HO TB'!D:D)))</f>
        <v/>
      </c>
      <c r="Q58" s="37">
        <f>(SUMIF('KNL Blank TB'!$R:$R,'KNL HO P&amp;L'!$A58,'KNL Blank TB'!E:E)+(SUMIF('KNL HO TB'!$R:$R,'KNL HO P&amp;L'!$A58,'KNL HO TB'!E:E)))</f>
        <v/>
      </c>
      <c r="R58" s="37">
        <f>(SUMIF('KNL Blank TB'!$R:$R,'KNL HO P&amp;L'!$A58,'KNL Blank TB'!F:F)+(SUMIF('KNL HO TB'!$R:$R,'KNL HO P&amp;L'!$A58,'KNL HO TB'!F:F)))</f>
        <v/>
      </c>
      <c r="S58" s="37">
        <f>(SUMIF('KNL Blank TB'!$R:$R,'KNL HO P&amp;L'!$A58,'KNL Blank TB'!G:G)+(SUMIF('KNL HO TB'!$R:$R,'KNL HO P&amp;L'!$A58,'KNL HO TB'!G:G)))</f>
        <v/>
      </c>
      <c r="T58" s="37">
        <f>(SUMIF('KNL Blank TB'!$R:$R,'KNL HO P&amp;L'!$A58,'KNL Blank TB'!H:H)+(SUMIF('KNL HO TB'!$R:$R,'KNL HO P&amp;L'!$A58,'KNL HO TB'!H:H)))</f>
        <v/>
      </c>
      <c r="U58" s="37">
        <f>(SUMIF('KNL Blank TB'!$R:$R,'KNL HO P&amp;L'!$A58,'KNL Blank TB'!I:I)+(SUMIF('KNL HO TB'!$R:$R,'KNL HO P&amp;L'!$A58,'KNL HO TB'!I:I)))</f>
        <v/>
      </c>
      <c r="V58" s="38" t="n">
        <v>0</v>
      </c>
      <c r="W58" s="38" t="n">
        <v>0</v>
      </c>
      <c r="X58" s="38" t="n">
        <v>0</v>
      </c>
      <c r="Y58" s="38" t="n">
        <v>0</v>
      </c>
      <c r="Z58" s="38" t="n">
        <v>0</v>
      </c>
      <c r="AA58" s="36">
        <f>SUM(O58:U58)</f>
        <v/>
      </c>
      <c r="AB58" s="36">
        <f>SUM(O58:Z58)</f>
        <v/>
      </c>
      <c r="AC58" s="38" t="n">
        <v>0</v>
      </c>
      <c r="AD58" s="38" t="n">
        <v>0</v>
      </c>
      <c r="AE58" s="38" t="n">
        <v>0</v>
      </c>
      <c r="AF58" s="38" t="n">
        <v>0</v>
      </c>
      <c r="AG58" s="38" t="n">
        <v>0</v>
      </c>
      <c r="AH58" s="38" t="n">
        <v>0</v>
      </c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2433.87</v>
      </c>
      <c r="C59" s="35" t="n">
        <v>3479.54</v>
      </c>
      <c r="D59" s="35" t="n">
        <v>2017.34</v>
      </c>
      <c r="E59" s="35" t="n">
        <v>2017.34</v>
      </c>
      <c r="F59" s="35" t="n">
        <v>1354.84</v>
      </c>
      <c r="G59" s="35" t="n">
        <v>2674.84</v>
      </c>
      <c r="H59" s="35" t="n">
        <v>2011.34</v>
      </c>
      <c r="I59" s="35" t="n">
        <v>3673.34</v>
      </c>
      <c r="J59" s="35" t="n">
        <v>8823.34</v>
      </c>
      <c r="K59" s="35" t="n">
        <v>1983.34</v>
      </c>
      <c r="L59" s="35" t="n">
        <v>2678.34</v>
      </c>
      <c r="M59" s="35" t="n">
        <v>2876.74</v>
      </c>
      <c r="N59" s="36">
        <f>SUM(B59:M59)</f>
        <v/>
      </c>
      <c r="O59" s="37">
        <f>(SUMIF('KNL Blank TB'!$R:$R,'KNL HO P&amp;L'!$A59,'KNL Blank TB'!C:C)+(SUMIF('KNL HO TB'!$R:$R,'KNL HO P&amp;L'!$A59,'KNL HO TB'!C:C)))</f>
        <v/>
      </c>
      <c r="P59" s="37">
        <f>(SUMIF('KNL Blank TB'!$R:$R,'KNL HO P&amp;L'!$A59,'KNL Blank TB'!D:D)+(SUMIF('KNL HO TB'!$R:$R,'KNL HO P&amp;L'!$A59,'KNL HO TB'!D:D)))</f>
        <v/>
      </c>
      <c r="Q59" s="37">
        <f>(SUMIF('KNL Blank TB'!$R:$R,'KNL HO P&amp;L'!$A59,'KNL Blank TB'!E:E)+(SUMIF('KNL HO TB'!$R:$R,'KNL HO P&amp;L'!$A59,'KNL HO TB'!E:E)))</f>
        <v/>
      </c>
      <c r="R59" s="37">
        <f>(SUMIF('KNL Blank TB'!$R:$R,'KNL HO P&amp;L'!$A59,'KNL Blank TB'!F:F)+(SUMIF('KNL HO TB'!$R:$R,'KNL HO P&amp;L'!$A59,'KNL HO TB'!F:F)))</f>
        <v/>
      </c>
      <c r="S59" s="37">
        <f>(SUMIF('KNL Blank TB'!$R:$R,'KNL HO P&amp;L'!$A59,'KNL Blank TB'!G:G)+(SUMIF('KNL HO TB'!$R:$R,'KNL HO P&amp;L'!$A59,'KNL HO TB'!G:G)))</f>
        <v/>
      </c>
      <c r="T59" s="37">
        <f>(SUMIF('KNL Blank TB'!$R:$R,'KNL HO P&amp;L'!$A59,'KNL Blank TB'!H:H)+(SUMIF('KNL HO TB'!$R:$R,'KNL HO P&amp;L'!$A59,'KNL HO TB'!H:H)))</f>
        <v/>
      </c>
      <c r="U59" s="37">
        <f>(SUMIF('KNL Blank TB'!$R:$R,'KNL HO P&amp;L'!$A59,'KNL Blank TB'!I:I)+(SUMIF('KNL HO TB'!$R:$R,'KNL HO P&amp;L'!$A59,'KNL HO TB'!I:I)))</f>
        <v/>
      </c>
      <c r="V59" s="38" t="n">
        <v>2856</v>
      </c>
      <c r="W59" s="38" t="n">
        <v>2856</v>
      </c>
      <c r="X59" s="38" t="n">
        <v>2856</v>
      </c>
      <c r="Y59" s="38" t="n">
        <v>2856</v>
      </c>
      <c r="Z59" s="38" t="n">
        <v>2856</v>
      </c>
      <c r="AA59" s="36">
        <f>SUM(O59:U59)</f>
        <v/>
      </c>
      <c r="AB59" s="36">
        <f>SUM(O59:Z59)</f>
        <v/>
      </c>
      <c r="AC59" s="38" t="n">
        <v>2856</v>
      </c>
      <c r="AD59" s="38" t="n">
        <v>2856</v>
      </c>
      <c r="AE59" s="38" t="n">
        <v>2856</v>
      </c>
      <c r="AF59" s="38" t="n">
        <v>2856</v>
      </c>
      <c r="AG59" s="38" t="n">
        <v>2856</v>
      </c>
      <c r="AH59" s="38" t="n">
        <v>2856</v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623.3</v>
      </c>
      <c r="C60" s="35" t="n">
        <v>548.3099999999999</v>
      </c>
      <c r="D60" s="35" t="n">
        <v>633.3</v>
      </c>
      <c r="E60" s="35" t="n">
        <v>431.47</v>
      </c>
      <c r="F60" s="35" t="n">
        <v>431.68</v>
      </c>
      <c r="G60" s="35" t="n">
        <v>1051.67</v>
      </c>
      <c r="H60" s="35" t="n">
        <v>431.68</v>
      </c>
      <c r="I60" s="35" t="n">
        <v>454.54</v>
      </c>
      <c r="J60" s="35" t="n">
        <v>454.54</v>
      </c>
      <c r="K60" s="35" t="n">
        <v>954.54</v>
      </c>
      <c r="L60" s="35" t="n">
        <v>1174.54</v>
      </c>
      <c r="M60" s="35" t="n">
        <v>2465.74</v>
      </c>
      <c r="N60" s="36">
        <f>SUM(B60:M60)</f>
        <v/>
      </c>
      <c r="O60" s="37">
        <f>(SUMIF('KNL Blank TB'!$R:$R,'KNL HO P&amp;L'!$A60,'KNL Blank TB'!C:C)+(SUMIF('KNL HO TB'!$R:$R,'KNL HO P&amp;L'!$A60,'KNL HO TB'!C:C)))</f>
        <v/>
      </c>
      <c r="P60" s="37">
        <f>(SUMIF('KNL Blank TB'!$R:$R,'KNL HO P&amp;L'!$A60,'KNL Blank TB'!D:D)+(SUMIF('KNL HO TB'!$R:$R,'KNL HO P&amp;L'!$A60,'KNL HO TB'!D:D)))</f>
        <v/>
      </c>
      <c r="Q60" s="37">
        <f>(SUMIF('KNL Blank TB'!$R:$R,'KNL HO P&amp;L'!$A60,'KNL Blank TB'!E:E)+(SUMIF('KNL HO TB'!$R:$R,'KNL HO P&amp;L'!$A60,'KNL HO TB'!E:E)))</f>
        <v/>
      </c>
      <c r="R60" s="37">
        <f>(SUMIF('KNL Blank TB'!$R:$R,'KNL HO P&amp;L'!$A60,'KNL Blank TB'!F:F)+(SUMIF('KNL HO TB'!$R:$R,'KNL HO P&amp;L'!$A60,'KNL HO TB'!F:F)))</f>
        <v/>
      </c>
      <c r="S60" s="37">
        <f>(SUMIF('KNL Blank TB'!$R:$R,'KNL HO P&amp;L'!$A60,'KNL Blank TB'!G:G)+(SUMIF('KNL HO TB'!$R:$R,'KNL HO P&amp;L'!$A60,'KNL HO TB'!G:G)))</f>
        <v/>
      </c>
      <c r="T60" s="37">
        <f>(SUMIF('KNL Blank TB'!$R:$R,'KNL HO P&amp;L'!$A60,'KNL Blank TB'!H:H)+(SUMIF('KNL HO TB'!$R:$R,'KNL HO P&amp;L'!$A60,'KNL HO TB'!H:H)))</f>
        <v/>
      </c>
      <c r="U60" s="37">
        <f>(SUMIF('KNL Blank TB'!$R:$R,'KNL HO P&amp;L'!$A60,'KNL Blank TB'!I:I)+(SUMIF('KNL HO TB'!$R:$R,'KNL HO P&amp;L'!$A60,'KNL HO TB'!I:I)))</f>
        <v/>
      </c>
      <c r="V60" s="38" t="n">
        <v>2466</v>
      </c>
      <c r="W60" s="38" t="n">
        <v>2466</v>
      </c>
      <c r="X60" s="38" t="n">
        <v>2466</v>
      </c>
      <c r="Y60" s="38" t="n">
        <v>2466</v>
      </c>
      <c r="Z60" s="38" t="n">
        <v>2466</v>
      </c>
      <c r="AA60" s="36">
        <f>SUM(O60:U60)</f>
        <v/>
      </c>
      <c r="AB60" s="36">
        <f>SUM(O60:Z60)</f>
        <v/>
      </c>
      <c r="AC60" s="38" t="n">
        <v>2466</v>
      </c>
      <c r="AD60" s="38" t="n">
        <v>2466</v>
      </c>
      <c r="AE60" s="38" t="n">
        <v>2466</v>
      </c>
      <c r="AF60" s="38" t="n">
        <v>2466</v>
      </c>
      <c r="AG60" s="38" t="n">
        <v>2466</v>
      </c>
      <c r="AH60" s="38" t="n">
        <v>2466</v>
      </c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12.99</v>
      </c>
      <c r="C61" s="35" t="n">
        <v>0</v>
      </c>
      <c r="D61" s="35" t="n">
        <v>9.990000000000009</v>
      </c>
      <c r="E61" s="35" t="n">
        <v>0</v>
      </c>
      <c r="F61" s="35" t="n">
        <v>-5.13</v>
      </c>
      <c r="G61" s="35" t="n">
        <v>289.96</v>
      </c>
      <c r="H61" s="35" t="n">
        <v>2.92</v>
      </c>
      <c r="I61" s="35" t="n">
        <v>5.19</v>
      </c>
      <c r="J61" s="35" t="n">
        <v>5.69</v>
      </c>
      <c r="K61" s="35" t="n">
        <v>0</v>
      </c>
      <c r="L61" s="35" t="n">
        <v>2507.38</v>
      </c>
      <c r="M61" s="35" t="n">
        <v>254.99</v>
      </c>
      <c r="N61" s="36">
        <f>SUM(B61:M61)</f>
        <v/>
      </c>
      <c r="O61" s="37">
        <f>(SUMIF('KNL Blank TB'!$R:$R,'KNL HO P&amp;L'!$A61,'KNL Blank TB'!C:C)+(SUMIF('KNL HO TB'!$R:$R,'KNL HO P&amp;L'!$A61,'KNL HO TB'!C:C)))</f>
        <v/>
      </c>
      <c r="P61" s="37">
        <f>(SUMIF('KNL Blank TB'!$R:$R,'KNL HO P&amp;L'!$A61,'KNL Blank TB'!D:D)+(SUMIF('KNL HO TB'!$R:$R,'KNL HO P&amp;L'!$A61,'KNL HO TB'!D:D)))</f>
        <v/>
      </c>
      <c r="Q61" s="37">
        <f>(SUMIF('KNL Blank TB'!$R:$R,'KNL HO P&amp;L'!$A61,'KNL Blank TB'!E:E)+(SUMIF('KNL HO TB'!$R:$R,'KNL HO P&amp;L'!$A61,'KNL HO TB'!E:E)))</f>
        <v/>
      </c>
      <c r="R61" s="37">
        <f>(SUMIF('KNL Blank TB'!$R:$R,'KNL HO P&amp;L'!$A61,'KNL Blank TB'!F:F)+(SUMIF('KNL HO TB'!$R:$R,'KNL HO P&amp;L'!$A61,'KNL HO TB'!F:F)))</f>
        <v/>
      </c>
      <c r="S61" s="37">
        <f>(SUMIF('KNL Blank TB'!$R:$R,'KNL HO P&amp;L'!$A61,'KNL Blank TB'!G:G)+(SUMIF('KNL HO TB'!$R:$R,'KNL HO P&amp;L'!$A61,'KNL HO TB'!G:G)))</f>
        <v/>
      </c>
      <c r="T61" s="37">
        <f>(SUMIF('KNL Blank TB'!$R:$R,'KNL HO P&amp;L'!$A61,'KNL Blank TB'!H:H)+(SUMIF('KNL HO TB'!$R:$R,'KNL HO P&amp;L'!$A61,'KNL HO TB'!H:H)))</f>
        <v/>
      </c>
      <c r="U61" s="37">
        <f>(SUMIF('KNL Blank TB'!$R:$R,'KNL HO P&amp;L'!$A61,'KNL Blank TB'!I:I)+(SUMIF('KNL HO TB'!$R:$R,'KNL HO P&amp;L'!$A61,'KNL HO TB'!I:I)))</f>
        <v/>
      </c>
      <c r="V61" s="38" t="n">
        <v>0</v>
      </c>
      <c r="W61" s="38" t="n">
        <v>0</v>
      </c>
      <c r="X61" s="38" t="n">
        <v>0</v>
      </c>
      <c r="Y61" s="38" t="n">
        <v>0</v>
      </c>
      <c r="Z61" s="38" t="n">
        <v>0</v>
      </c>
      <c r="AA61" s="36">
        <f>SUM(O61:U61)</f>
        <v/>
      </c>
      <c r="AB61" s="36">
        <f>SUM(O61:Z61)</f>
        <v/>
      </c>
      <c r="AC61" s="38" t="n">
        <v>0</v>
      </c>
      <c r="AD61" s="38" t="n">
        <v>0</v>
      </c>
      <c r="AE61" s="38" t="n">
        <v>0</v>
      </c>
      <c r="AF61" s="38" t="n">
        <v>0</v>
      </c>
      <c r="AG61" s="38" t="n">
        <v>0</v>
      </c>
      <c r="AH61" s="38" t="n">
        <v>0</v>
      </c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1194.76</v>
      </c>
      <c r="C62" s="35" t="n">
        <v>1981.34</v>
      </c>
      <c r="D62" s="35" t="n">
        <v>1997.94</v>
      </c>
      <c r="E62" s="35" t="n">
        <v>1411.23</v>
      </c>
      <c r="F62" s="35" t="n">
        <v>1075</v>
      </c>
      <c r="G62" s="35" t="n">
        <v>1494.6</v>
      </c>
      <c r="H62" s="35" t="n">
        <v>2705.84</v>
      </c>
      <c r="I62" s="35" t="n">
        <v>1179.39</v>
      </c>
      <c r="J62" s="35" t="n">
        <v>3300.01</v>
      </c>
      <c r="K62" s="35" t="n">
        <v>2471.48</v>
      </c>
      <c r="L62" s="35" t="n">
        <v>3585.76</v>
      </c>
      <c r="M62" s="35" t="n">
        <v>1496.43</v>
      </c>
      <c r="N62" s="36">
        <f>SUM(B62:M62)</f>
        <v/>
      </c>
      <c r="O62" s="37">
        <f>(SUMIF('KNL Blank TB'!$R:$R,'KNL HO P&amp;L'!$A62,'KNL Blank TB'!C:C)+(SUMIF('KNL HO TB'!$R:$R,'KNL HO P&amp;L'!$A62,'KNL HO TB'!C:C)))</f>
        <v/>
      </c>
      <c r="P62" s="37">
        <f>(SUMIF('KNL Blank TB'!$R:$R,'KNL HO P&amp;L'!$A62,'KNL Blank TB'!D:D)+(SUMIF('KNL HO TB'!$R:$R,'KNL HO P&amp;L'!$A62,'KNL HO TB'!D:D)))</f>
        <v/>
      </c>
      <c r="Q62" s="37">
        <f>(SUMIF('KNL Blank TB'!$R:$R,'KNL HO P&amp;L'!$A62,'KNL Blank TB'!E:E)+(SUMIF('KNL HO TB'!$R:$R,'KNL HO P&amp;L'!$A62,'KNL HO TB'!E:E)))</f>
        <v/>
      </c>
      <c r="R62" s="37">
        <f>(SUMIF('KNL Blank TB'!$R:$R,'KNL HO P&amp;L'!$A62,'KNL Blank TB'!F:F)+(SUMIF('KNL HO TB'!$R:$R,'KNL HO P&amp;L'!$A62,'KNL HO TB'!F:F)))</f>
        <v/>
      </c>
      <c r="S62" s="37">
        <f>(SUMIF('KNL Blank TB'!$R:$R,'KNL HO P&amp;L'!$A62,'KNL Blank TB'!G:G)+(SUMIF('KNL HO TB'!$R:$R,'KNL HO P&amp;L'!$A62,'KNL HO TB'!G:G)))</f>
        <v/>
      </c>
      <c r="T62" s="37">
        <f>(SUMIF('KNL Blank TB'!$R:$R,'KNL HO P&amp;L'!$A62,'KNL Blank TB'!H:H)+(SUMIF('KNL HO TB'!$R:$R,'KNL HO P&amp;L'!$A62,'KNL HO TB'!H:H)))</f>
        <v/>
      </c>
      <c r="U62" s="37">
        <f>(SUMIF('KNL Blank TB'!$R:$R,'KNL HO P&amp;L'!$A62,'KNL Blank TB'!I:I)+(SUMIF('KNL HO TB'!$R:$R,'KNL HO P&amp;L'!$A62,'KNL HO TB'!I:I)))</f>
        <v/>
      </c>
      <c r="V62" s="38" t="n">
        <v>1000</v>
      </c>
      <c r="W62" s="38" t="n">
        <v>1000</v>
      </c>
      <c r="X62" s="38" t="n">
        <v>1000</v>
      </c>
      <c r="Y62" s="38" t="n">
        <v>1000</v>
      </c>
      <c r="Z62" s="38" t="n">
        <v>1000</v>
      </c>
      <c r="AA62" s="36">
        <f>SUM(O62:U62)</f>
        <v/>
      </c>
      <c r="AB62" s="36">
        <f>SUM(O62:Z62)</f>
        <v/>
      </c>
      <c r="AC62" s="38" t="n">
        <v>1000</v>
      </c>
      <c r="AD62" s="38" t="n">
        <v>1000</v>
      </c>
      <c r="AE62" s="38" t="n">
        <v>1000</v>
      </c>
      <c r="AF62" s="38" t="n">
        <v>1000</v>
      </c>
      <c r="AG62" s="38" t="n">
        <v>1000</v>
      </c>
      <c r="AH62" s="38" t="n">
        <v>1000</v>
      </c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742.17</v>
      </c>
      <c r="C63" s="35" t="n">
        <v>1029.79</v>
      </c>
      <c r="D63" s="35" t="n">
        <v>1029.79</v>
      </c>
      <c r="E63" s="35" t="n">
        <v>1029.79</v>
      </c>
      <c r="F63" s="35" t="n">
        <v>1029.79</v>
      </c>
      <c r="G63" s="35" t="n">
        <v>1029.79</v>
      </c>
      <c r="H63" s="35" t="n">
        <v>1137.79</v>
      </c>
      <c r="I63" s="35" t="n">
        <v>1022.54</v>
      </c>
      <c r="J63" s="35" t="n">
        <v>1022.54</v>
      </c>
      <c r="K63" s="35" t="n">
        <v>1092.42</v>
      </c>
      <c r="L63" s="35" t="n">
        <v>1092.42</v>
      </c>
      <c r="M63" s="35" t="n">
        <v>1179.3</v>
      </c>
      <c r="N63" s="36">
        <f>SUM(B63:M63)</f>
        <v/>
      </c>
      <c r="O63" s="37">
        <f>(SUMIF('KNL Blank TB'!$R:$R,'KNL HO P&amp;L'!$A63,'KNL Blank TB'!C:C)+(SUMIF('KNL HO TB'!$R:$R,'KNL HO P&amp;L'!$A63,'KNL HO TB'!C:C)))</f>
        <v/>
      </c>
      <c r="P63" s="37">
        <f>(SUMIF('KNL Blank TB'!$R:$R,'KNL HO P&amp;L'!$A63,'KNL Blank TB'!D:D)+(SUMIF('KNL HO TB'!$R:$R,'KNL HO P&amp;L'!$A63,'KNL HO TB'!D:D)))</f>
        <v/>
      </c>
      <c r="Q63" s="37">
        <f>(SUMIF('KNL Blank TB'!$R:$R,'KNL HO P&amp;L'!$A63,'KNL Blank TB'!E:E)+(SUMIF('KNL HO TB'!$R:$R,'KNL HO P&amp;L'!$A63,'KNL HO TB'!E:E)))</f>
        <v/>
      </c>
      <c r="R63" s="37">
        <f>(SUMIF('KNL Blank TB'!$R:$R,'KNL HO P&amp;L'!$A63,'KNL Blank TB'!F:F)+(SUMIF('KNL HO TB'!$R:$R,'KNL HO P&amp;L'!$A63,'KNL HO TB'!F:F)))</f>
        <v/>
      </c>
      <c r="S63" s="37">
        <f>(SUMIF('KNL Blank TB'!$R:$R,'KNL HO P&amp;L'!$A63,'KNL Blank TB'!G:G)+(SUMIF('KNL HO TB'!$R:$R,'KNL HO P&amp;L'!$A63,'KNL HO TB'!G:G)))</f>
        <v/>
      </c>
      <c r="T63" s="37">
        <f>(SUMIF('KNL Blank TB'!$R:$R,'KNL HO P&amp;L'!$A63,'KNL Blank TB'!H:H)+(SUMIF('KNL HO TB'!$R:$R,'KNL HO P&amp;L'!$A63,'KNL HO TB'!H:H)))</f>
        <v/>
      </c>
      <c r="U63" s="37">
        <f>(SUMIF('KNL Blank TB'!$R:$R,'KNL HO P&amp;L'!$A63,'KNL Blank TB'!I:I)+(SUMIF('KNL HO TB'!$R:$R,'KNL HO P&amp;L'!$A63,'KNL HO TB'!I:I)))</f>
        <v/>
      </c>
      <c r="V63" s="38" t="n">
        <v>1041</v>
      </c>
      <c r="W63" s="38" t="n">
        <v>1041</v>
      </c>
      <c r="X63" s="38" t="n">
        <v>1041</v>
      </c>
      <c r="Y63" s="38" t="n">
        <v>1041</v>
      </c>
      <c r="Z63" s="38" t="n">
        <v>1041</v>
      </c>
      <c r="AA63" s="36">
        <f>SUM(O63:U63)</f>
        <v/>
      </c>
      <c r="AB63" s="36">
        <f>SUM(O63:Z63)</f>
        <v/>
      </c>
      <c r="AC63" s="38" t="n">
        <v>1041</v>
      </c>
      <c r="AD63" s="38" t="n">
        <v>1041</v>
      </c>
      <c r="AE63" s="38" t="n">
        <v>1041</v>
      </c>
      <c r="AF63" s="38" t="n">
        <v>1041</v>
      </c>
      <c r="AG63" s="38" t="n">
        <v>1041</v>
      </c>
      <c r="AH63" s="38" t="n">
        <v>1041</v>
      </c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(SUMIF('KNL Blank TB'!$R:$R,'KNL HO P&amp;L'!$A64,'KNL Blank TB'!C:C)+(SUMIF('KNL HO TB'!$R:$R,'KNL HO P&amp;L'!$A64,'KNL HO TB'!C:C)))</f>
        <v/>
      </c>
      <c r="P64" s="37">
        <f>(SUMIF('KNL Blank TB'!$R:$R,'KNL HO P&amp;L'!$A64,'KNL Blank TB'!D:D)+(SUMIF('KNL HO TB'!$R:$R,'KNL HO P&amp;L'!$A64,'KNL HO TB'!D:D)))</f>
        <v/>
      </c>
      <c r="Q64" s="37">
        <f>(SUMIF('KNL Blank TB'!$R:$R,'KNL HO P&amp;L'!$A64,'KNL Blank TB'!E:E)+(SUMIF('KNL HO TB'!$R:$R,'KNL HO P&amp;L'!$A64,'KNL HO TB'!E:E)))</f>
        <v/>
      </c>
      <c r="R64" s="37">
        <f>(SUMIF('KNL Blank TB'!$R:$R,'KNL HO P&amp;L'!$A64,'KNL Blank TB'!F:F)+(SUMIF('KNL HO TB'!$R:$R,'KNL HO P&amp;L'!$A64,'KNL HO TB'!F:F)))</f>
        <v/>
      </c>
      <c r="S64" s="37">
        <f>(SUMIF('KNL Blank TB'!$R:$R,'KNL HO P&amp;L'!$A64,'KNL Blank TB'!G:G)+(SUMIF('KNL HO TB'!$R:$R,'KNL HO P&amp;L'!$A64,'KNL HO TB'!G:G)))</f>
        <v/>
      </c>
      <c r="T64" s="37">
        <f>(SUMIF('KNL Blank TB'!$R:$R,'KNL HO P&amp;L'!$A64,'KNL Blank TB'!H:H)+(SUMIF('KNL HO TB'!$R:$R,'KNL HO P&amp;L'!$A64,'KNL HO TB'!H:H)))</f>
        <v/>
      </c>
      <c r="U64" s="37">
        <f>(SUMIF('KNL Blank TB'!$R:$R,'KNL HO P&amp;L'!$A64,'KNL Blank TB'!I:I)+(SUMIF('KNL HO TB'!$R:$R,'KNL HO P&amp;L'!$A64,'KNL HO TB'!I:I)))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10532.4</v>
      </c>
      <c r="C65" s="35" t="n">
        <v>30</v>
      </c>
      <c r="D65" s="35" t="n">
        <v>22779.6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3504</v>
      </c>
      <c r="N65" s="36">
        <f>SUM(B65:M65)</f>
        <v/>
      </c>
      <c r="O65" s="37">
        <f>(SUMIF('KNL Blank TB'!$R:$R,'KNL HO P&amp;L'!$A65,'KNL Blank TB'!C:C)+(SUMIF('KNL HO TB'!$R:$R,'KNL HO P&amp;L'!$A65,'KNL HO TB'!C:C)))</f>
        <v/>
      </c>
      <c r="P65" s="37">
        <f>(SUMIF('KNL Blank TB'!$R:$R,'KNL HO P&amp;L'!$A65,'KNL Blank TB'!D:D)+(SUMIF('KNL HO TB'!$R:$R,'KNL HO P&amp;L'!$A65,'KNL HO TB'!D:D)))</f>
        <v/>
      </c>
      <c r="Q65" s="37">
        <f>(SUMIF('KNL Blank TB'!$R:$R,'KNL HO P&amp;L'!$A65,'KNL Blank TB'!E:E)+(SUMIF('KNL HO TB'!$R:$R,'KNL HO P&amp;L'!$A65,'KNL HO TB'!E:E)))</f>
        <v/>
      </c>
      <c r="R65" s="37">
        <f>(SUMIF('KNL Blank TB'!$R:$R,'KNL HO P&amp;L'!$A65,'KNL Blank TB'!F:F)+(SUMIF('KNL HO TB'!$R:$R,'KNL HO P&amp;L'!$A65,'KNL HO TB'!F:F)))</f>
        <v/>
      </c>
      <c r="S65" s="37">
        <f>(SUMIF('KNL Blank TB'!$R:$R,'KNL HO P&amp;L'!$A65,'KNL Blank TB'!G:G)+(SUMIF('KNL HO TB'!$R:$R,'KNL HO P&amp;L'!$A65,'KNL HO TB'!G:G)))</f>
        <v/>
      </c>
      <c r="T65" s="37">
        <f>(SUMIF('KNL Blank TB'!$R:$R,'KNL HO P&amp;L'!$A65,'KNL Blank TB'!H:H)+(SUMIF('KNL HO TB'!$R:$R,'KNL HO P&amp;L'!$A65,'KNL HO TB'!H:H)))</f>
        <v/>
      </c>
      <c r="U65" s="37">
        <f>(SUMIF('KNL Blank TB'!$R:$R,'KNL HO P&amp;L'!$A65,'KNL Blank TB'!I:I)+(SUMIF('KNL HO TB'!$R:$R,'KNL HO P&amp;L'!$A65,'KNL HO TB'!I:I)))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(SUMIF('KNL Blank TB'!$R:$R,'KNL HO P&amp;L'!$A66,'KNL Blank TB'!C:C)+(SUMIF('KNL HO TB'!$R:$R,'KNL HO P&amp;L'!$A66,'KNL HO TB'!C:C)))</f>
        <v/>
      </c>
      <c r="P66" s="37">
        <f>(SUMIF('KNL Blank TB'!$R:$R,'KNL HO P&amp;L'!$A66,'KNL Blank TB'!D:D)+(SUMIF('KNL HO TB'!$R:$R,'KNL HO P&amp;L'!$A66,'KNL HO TB'!D:D)))</f>
        <v/>
      </c>
      <c r="Q66" s="37">
        <f>(SUMIF('KNL Blank TB'!$R:$R,'KNL HO P&amp;L'!$A66,'KNL Blank TB'!E:E)+(SUMIF('KNL HO TB'!$R:$R,'KNL HO P&amp;L'!$A66,'KNL HO TB'!E:E)))</f>
        <v/>
      </c>
      <c r="R66" s="37">
        <f>(SUMIF('KNL Blank TB'!$R:$R,'KNL HO P&amp;L'!$A66,'KNL Blank TB'!F:F)+(SUMIF('KNL HO TB'!$R:$R,'KNL HO P&amp;L'!$A66,'KNL HO TB'!F:F)))</f>
        <v/>
      </c>
      <c r="S66" s="37">
        <f>(SUMIF('KNL Blank TB'!$R:$R,'KNL HO P&amp;L'!$A66,'KNL Blank TB'!G:G)+(SUMIF('KNL HO TB'!$R:$R,'KNL HO P&amp;L'!$A66,'KNL HO TB'!G:G)))</f>
        <v/>
      </c>
      <c r="T66" s="37">
        <f>(SUMIF('KNL Blank TB'!$R:$R,'KNL HO P&amp;L'!$A66,'KNL Blank TB'!H:H)+(SUMIF('KNL HO TB'!$R:$R,'KNL HO P&amp;L'!$A66,'KNL HO TB'!H:H)))</f>
        <v/>
      </c>
      <c r="U66" s="37">
        <f>(SUMIF('KNL Blank TB'!$R:$R,'KNL HO P&amp;L'!$A66,'KNL Blank TB'!I:I)+(SUMIF('KNL HO TB'!$R:$R,'KNL HO P&amp;L'!$A66,'KNL HO TB'!I:I)))</f>
        <v/>
      </c>
      <c r="V66" s="38" t="n">
        <v>0</v>
      </c>
      <c r="W66" s="38" t="n">
        <v>0</v>
      </c>
      <c r="X66" s="38" t="n">
        <v>0</v>
      </c>
      <c r="Y66" s="38" t="n">
        <v>0</v>
      </c>
      <c r="Z66" s="38" t="n">
        <v>0</v>
      </c>
      <c r="AA66" s="36">
        <f>SUM(O66:U66)</f>
        <v/>
      </c>
      <c r="AB66" s="36">
        <f>SUM(O66:Z66)</f>
        <v/>
      </c>
      <c r="AC66" s="38" t="n">
        <v>0</v>
      </c>
      <c r="AD66" s="38" t="n">
        <v>0</v>
      </c>
      <c r="AE66" s="38" t="n">
        <v>0</v>
      </c>
      <c r="AF66" s="38" t="n">
        <v>0</v>
      </c>
      <c r="AG66" s="38" t="n">
        <v>0</v>
      </c>
      <c r="AH66" s="38" t="n">
        <v>0</v>
      </c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-4290.96</v>
      </c>
      <c r="C67" s="35" t="n">
        <v>23918.81</v>
      </c>
      <c r="D67" s="35" t="n">
        <v>6956.65</v>
      </c>
      <c r="E67" s="35" t="n">
        <v>17731.11</v>
      </c>
      <c r="F67" s="35" t="n">
        <v>12608.06</v>
      </c>
      <c r="G67" s="35" t="n">
        <v>5374.48</v>
      </c>
      <c r="H67" s="35" t="n">
        <v>5758.32</v>
      </c>
      <c r="I67" s="35" t="n">
        <v>5661.030000000001</v>
      </c>
      <c r="J67" s="35" t="n">
        <v>17475.36</v>
      </c>
      <c r="K67" s="35" t="n">
        <v>7906.360000000001</v>
      </c>
      <c r="L67" s="35" t="n">
        <v>6674.92</v>
      </c>
      <c r="M67" s="35" t="n">
        <v>5464.04</v>
      </c>
      <c r="N67" s="36">
        <f>SUM(B67:M67)</f>
        <v/>
      </c>
      <c r="O67" s="37">
        <f>(SUMIF('KNL Blank TB'!$R:$R,'KNL HO P&amp;L'!$A67,'KNL Blank TB'!C:C)+(SUMIF('KNL HO TB'!$R:$R,'KNL HO P&amp;L'!$A67,'KNL HO TB'!C:C)))</f>
        <v/>
      </c>
      <c r="P67" s="37">
        <f>(SUMIF('KNL Blank TB'!$R:$R,'KNL HO P&amp;L'!$A67,'KNL Blank TB'!D:D)+(SUMIF('KNL HO TB'!$R:$R,'KNL HO P&amp;L'!$A67,'KNL HO TB'!D:D)))</f>
        <v/>
      </c>
      <c r="Q67" s="37">
        <f>(SUMIF('KNL Blank TB'!$R:$R,'KNL HO P&amp;L'!$A67,'KNL Blank TB'!E:E)+(SUMIF('KNL HO TB'!$R:$R,'KNL HO P&amp;L'!$A67,'KNL HO TB'!E:E)))</f>
        <v/>
      </c>
      <c r="R67" s="37">
        <f>(SUMIF('KNL Blank TB'!$R:$R,'KNL HO P&amp;L'!$A67,'KNL Blank TB'!F:F)+(SUMIF('KNL HO TB'!$R:$R,'KNL HO P&amp;L'!$A67,'KNL HO TB'!F:F)))</f>
        <v/>
      </c>
      <c r="S67" s="37">
        <f>(SUMIF('KNL Blank TB'!$R:$R,'KNL HO P&amp;L'!$A67,'KNL Blank TB'!G:G)+(SUMIF('KNL HO TB'!$R:$R,'KNL HO P&amp;L'!$A67,'KNL HO TB'!G:G)))</f>
        <v/>
      </c>
      <c r="T67" s="37">
        <f>(SUMIF('KNL Blank TB'!$R:$R,'KNL HO P&amp;L'!$A67,'KNL Blank TB'!H:H)+(SUMIF('KNL HO TB'!$R:$R,'KNL HO P&amp;L'!$A67,'KNL HO TB'!H:H)))</f>
        <v/>
      </c>
      <c r="U67" s="37">
        <f>(SUMIF('KNL Blank TB'!$R:$R,'KNL HO P&amp;L'!$A67,'KNL Blank TB'!I:I)+(SUMIF('KNL HO TB'!$R:$R,'KNL HO P&amp;L'!$A67,'KNL HO TB'!I:I)))</f>
        <v/>
      </c>
      <c r="V67" s="38" t="n">
        <v>6000</v>
      </c>
      <c r="W67" s="38" t="n">
        <v>6000</v>
      </c>
      <c r="X67" s="38" t="n">
        <v>6000</v>
      </c>
      <c r="Y67" s="38" t="n">
        <v>6000</v>
      </c>
      <c r="Z67" s="38" t="n">
        <v>6000</v>
      </c>
      <c r="AA67" s="36">
        <f>SUM(O67:U67)</f>
        <v/>
      </c>
      <c r="AB67" s="36">
        <f>SUM(O67:Z67)</f>
        <v/>
      </c>
      <c r="AC67" s="38" t="n">
        <v>6000</v>
      </c>
      <c r="AD67" s="38" t="n">
        <v>6000</v>
      </c>
      <c r="AE67" s="38" t="n">
        <v>6000</v>
      </c>
      <c r="AF67" s="38" t="n">
        <v>6000</v>
      </c>
      <c r="AG67" s="38" t="n">
        <v>6000</v>
      </c>
      <c r="AH67" s="38" t="n">
        <v>6000</v>
      </c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147.7</v>
      </c>
      <c r="C68" s="35" t="n">
        <v>172.2</v>
      </c>
      <c r="D68" s="35" t="n">
        <v>142.8</v>
      </c>
      <c r="E68" s="35" t="n">
        <v>191.45</v>
      </c>
      <c r="F68" s="35" t="n">
        <v>176.1</v>
      </c>
      <c r="G68" s="35" t="n">
        <v>144.45</v>
      </c>
      <c r="H68" s="35" t="n">
        <v>180.25</v>
      </c>
      <c r="I68" s="35" t="n">
        <v>154.35</v>
      </c>
      <c r="J68" s="35" t="n">
        <v>130.55</v>
      </c>
      <c r="K68" s="35" t="n">
        <v>140.7</v>
      </c>
      <c r="L68" s="35" t="n">
        <v>105.7</v>
      </c>
      <c r="M68" s="35" t="n">
        <v>156.45</v>
      </c>
      <c r="N68" s="36">
        <f>SUM(B68:M68)</f>
        <v/>
      </c>
      <c r="O68" s="37">
        <f>(SUMIF('KNL Blank TB'!$R:$R,'KNL HO P&amp;L'!$A68,'KNL Blank TB'!C:C)+(SUMIF('KNL HO TB'!$R:$R,'KNL HO P&amp;L'!$A68,'KNL HO TB'!C:C)))</f>
        <v/>
      </c>
      <c r="P68" s="37">
        <f>(SUMIF('KNL Blank TB'!$R:$R,'KNL HO P&amp;L'!$A68,'KNL Blank TB'!D:D)+(SUMIF('KNL HO TB'!$R:$R,'KNL HO P&amp;L'!$A68,'KNL HO TB'!D:D)))</f>
        <v/>
      </c>
      <c r="Q68" s="37">
        <f>(SUMIF('KNL Blank TB'!$R:$R,'KNL HO P&amp;L'!$A68,'KNL Blank TB'!E:E)+(SUMIF('KNL HO TB'!$R:$R,'KNL HO P&amp;L'!$A68,'KNL HO TB'!E:E)))</f>
        <v/>
      </c>
      <c r="R68" s="37">
        <f>(SUMIF('KNL Blank TB'!$R:$R,'KNL HO P&amp;L'!$A68,'KNL Blank TB'!F:F)+(SUMIF('KNL HO TB'!$R:$R,'KNL HO P&amp;L'!$A68,'KNL HO TB'!F:F)))</f>
        <v/>
      </c>
      <c r="S68" s="37">
        <f>(SUMIF('KNL Blank TB'!$R:$R,'KNL HO P&amp;L'!$A68,'KNL Blank TB'!G:G)+(SUMIF('KNL HO TB'!$R:$R,'KNL HO P&amp;L'!$A68,'KNL HO TB'!G:G)))</f>
        <v/>
      </c>
      <c r="T68" s="37">
        <f>(SUMIF('KNL Blank TB'!$R:$R,'KNL HO P&amp;L'!$A68,'KNL Blank TB'!H:H)+(SUMIF('KNL HO TB'!$R:$R,'KNL HO P&amp;L'!$A68,'KNL HO TB'!H:H)))</f>
        <v/>
      </c>
      <c r="U68" s="37">
        <f>(SUMIF('KNL Blank TB'!$R:$R,'KNL HO P&amp;L'!$A68,'KNL Blank TB'!I:I)+(SUMIF('KNL HO TB'!$R:$R,'KNL HO P&amp;L'!$A68,'KNL HO TB'!I:I)))</f>
        <v/>
      </c>
      <c r="V68" s="38" t="n">
        <v>2600</v>
      </c>
      <c r="W68" s="38" t="n">
        <v>2600</v>
      </c>
      <c r="X68" s="38" t="n">
        <v>2600</v>
      </c>
      <c r="Y68" s="38" t="n">
        <v>2600</v>
      </c>
      <c r="Z68" s="38" t="n">
        <v>2600</v>
      </c>
      <c r="AA68" s="36">
        <f>SUM(O68:U68)</f>
        <v/>
      </c>
      <c r="AB68" s="36">
        <f>SUM(O68:Z68)</f>
        <v/>
      </c>
      <c r="AC68" s="38" t="n">
        <v>2600</v>
      </c>
      <c r="AD68" s="38" t="n">
        <v>2600</v>
      </c>
      <c r="AE68" s="38" t="n">
        <v>2600</v>
      </c>
      <c r="AF68" s="38" t="n">
        <v>2600</v>
      </c>
      <c r="AG68" s="38" t="n">
        <v>2600</v>
      </c>
      <c r="AH68" s="38" t="n">
        <v>2600</v>
      </c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105473.29</v>
      </c>
      <c r="C69" s="42" t="n">
        <v>127738.25</v>
      </c>
      <c r="D69" s="42" t="n">
        <v>131890.99</v>
      </c>
      <c r="E69" s="42" t="n">
        <v>179978.4</v>
      </c>
      <c r="F69" s="42" t="n">
        <v>113031.37</v>
      </c>
      <c r="G69" s="42" t="n">
        <v>127118.75</v>
      </c>
      <c r="H69" s="42" t="n">
        <v>127501.48</v>
      </c>
      <c r="I69" s="42" t="n">
        <v>144145.71</v>
      </c>
      <c r="J69" s="42" t="n">
        <v>202911.23</v>
      </c>
      <c r="K69" s="42" t="n">
        <v>133187.31</v>
      </c>
      <c r="L69" s="42" t="n">
        <v>143334.84</v>
      </c>
      <c r="M69" s="42" t="n">
        <v>461650.09</v>
      </c>
      <c r="N69" s="43">
        <f>SUM(B69:M69)</f>
        <v/>
      </c>
      <c r="O69" s="44">
        <f>SUM(O53:O68)</f>
        <v/>
      </c>
      <c r="P69" s="44">
        <f>SUM(P53:P68)</f>
        <v/>
      </c>
      <c r="Q69" s="44">
        <f>SUM(Q53:Q68)</f>
        <v/>
      </c>
      <c r="R69" s="44">
        <f>SUM(R53:R68)</f>
        <v/>
      </c>
      <c r="S69" s="44">
        <f>SUM(S53:S68)</f>
        <v/>
      </c>
      <c r="T69" s="44">
        <f>SUM(T53:T68)</f>
        <v/>
      </c>
      <c r="U69" s="44">
        <f>SUM(U53:U68)</f>
        <v/>
      </c>
      <c r="V69" s="45">
        <f>SUM(V53:V68)</f>
        <v/>
      </c>
      <c r="W69" s="45">
        <f>SUM(W53:W68)</f>
        <v/>
      </c>
      <c r="X69" s="45">
        <f>SUM(X53:X68)</f>
        <v/>
      </c>
      <c r="Y69" s="45">
        <f>SUM(Y53:Y68)</f>
        <v/>
      </c>
      <c r="Z69" s="45">
        <f>SUM(Z53:Z68)</f>
        <v/>
      </c>
      <c r="AA69" s="43">
        <f>SUM(AA53:AA68)</f>
        <v/>
      </c>
      <c r="AB69" s="43">
        <f>SUM(AB53:AB68)</f>
        <v/>
      </c>
      <c r="AC69" s="45" t="n"/>
      <c r="AD69" s="45" t="n"/>
      <c r="AE69" s="45" t="n"/>
      <c r="AF69" s="45" t="n"/>
      <c r="AG69" s="45" t="n"/>
      <c r="AH69" s="45" t="n"/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-124990.8</v>
      </c>
      <c r="C70" s="55" t="n">
        <v>-147887.8499999999</v>
      </c>
      <c r="D70" s="55" t="n">
        <v>-146464.83</v>
      </c>
      <c r="E70" s="55" t="n">
        <v>-192959.78</v>
      </c>
      <c r="F70" s="55" t="n">
        <v>-126275.91</v>
      </c>
      <c r="G70" s="55" t="n">
        <v>-152500.46</v>
      </c>
      <c r="H70" s="55" t="n">
        <v>-143191.9</v>
      </c>
      <c r="I70" s="55" t="n">
        <v>-157552.07</v>
      </c>
      <c r="J70" s="55" t="n">
        <v>-217376.64</v>
      </c>
      <c r="K70" s="55" t="n">
        <v>-150481.12</v>
      </c>
      <c r="L70" s="55" t="n">
        <v>-155007.52</v>
      </c>
      <c r="M70" s="55" t="n">
        <v>-470068.17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 t="n"/>
      <c r="AD70" s="55" t="n"/>
      <c r="AE70" s="55" t="n"/>
      <c r="AF70" s="55" t="n"/>
      <c r="AG70" s="55" t="n"/>
      <c r="AH70" s="55" t="n"/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8" t="n"/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63" t="inlineStr">
        <is>
          <t>Memo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8" t="n"/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60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34" t="inlineStr">
        <is>
          <t>Direct - Sales</t>
        </is>
      </c>
      <c r="B73" s="18" t="n">
        <v>0</v>
      </c>
      <c r="C73" s="18" t="n">
        <v>0</v>
      </c>
      <c r="D73" s="18" t="n">
        <v>0</v>
      </c>
      <c r="E73" s="18" t="n">
        <v>0</v>
      </c>
      <c r="F73" s="18" t="n">
        <v>0</v>
      </c>
      <c r="G73" s="18" t="n">
        <v>16.94</v>
      </c>
      <c r="H73" s="18" t="n">
        <v>0</v>
      </c>
      <c r="I73" s="18" t="n">
        <v>0</v>
      </c>
      <c r="J73" s="18" t="n">
        <v>850.5700000000001</v>
      </c>
      <c r="K73" s="18" t="n">
        <v>0</v>
      </c>
      <c r="L73" s="18" t="n">
        <v>730.24</v>
      </c>
      <c r="M73" s="18" t="n">
        <v>0</v>
      </c>
      <c r="N73" s="8" t="n"/>
      <c r="O73" s="60">
        <f>-SUMIF('KNL Blank TB'!$T:$T,'KNL HO P&amp;L'!$A73,'KNL Blank TB'!C:C)-SUMIF('KNL HO TB'!$T:$T,'KNL HO P&amp;L'!$A73,'KNL HO TB'!C:C)</f>
        <v/>
      </c>
      <c r="P73" s="60">
        <f>-SUMIF('KNL Blank TB'!$T:$T,'KNL HO P&amp;L'!$A73,'KNL Blank TB'!D:D)-SUMIF('KNL HO TB'!$T:$T,'KNL HO P&amp;L'!$A73,'KNL HO TB'!D:D)</f>
        <v/>
      </c>
      <c r="Q73" s="60">
        <f>-SUMIF('KNL Blank TB'!$T:$T,'KNL HO P&amp;L'!$A73,'KNL Blank TB'!E:E)-SUMIF('KNL HO TB'!$T:$T,'KNL HO P&amp;L'!$A73,'KNL HO TB'!E:E)</f>
        <v/>
      </c>
      <c r="R73" s="60">
        <f>-SUMIF('KNL Blank TB'!$T:$T,'KNL HO P&amp;L'!$A73,'KNL Blank TB'!F:F)-SUMIF('KNL HO TB'!$T:$T,'KNL HO P&amp;L'!$A73,'KNL HO TB'!F:F)</f>
        <v/>
      </c>
      <c r="S73" s="60">
        <f>-SUMIF('KNL Blank TB'!$T:$T,'KNL HO P&amp;L'!$A73,'KNL Blank TB'!G:G)-SUMIF('KNL HO TB'!$T:$T,'KNL HO P&amp;L'!$A73,'KNL HO TB'!G:G)</f>
        <v/>
      </c>
      <c r="T73" s="60">
        <f>-SUMIF('KNL Blank TB'!$T:$T,'KNL HO P&amp;L'!$A73,'KNL Blank TB'!H:H)-SUMIF('KNL HO TB'!$T:$T,'KNL HO P&amp;L'!$A73,'KNL HO TB'!H:H)</f>
        <v/>
      </c>
      <c r="U73" s="60">
        <f>-SUMIF('KNL Blank TB'!$T:$T,'KNL HO P&amp;L'!$A73,'KNL Blank TB'!I:I)-SUMIF('KNL HO TB'!$T:$T,'KNL HO P&amp;L'!$A73,'KNL HO TB'!I:I)</f>
        <v/>
      </c>
      <c r="V73" s="20" t="n"/>
      <c r="W73" s="20" t="n"/>
      <c r="X73" s="20" t="n"/>
      <c r="Y73" s="20" t="n"/>
      <c r="Z73" s="20" t="n"/>
      <c r="AA73" s="60">
        <f>SUM(O73:T73)</f>
        <v/>
      </c>
      <c r="AB73" s="56" t="n"/>
      <c r="AC73" s="20" t="n"/>
      <c r="AD73" s="20" t="n"/>
      <c r="AE73" s="20" t="n"/>
      <c r="AF73" s="20" t="n"/>
      <c r="AG73" s="20" t="n"/>
      <c r="AH73" s="20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34" t="inlineStr">
        <is>
          <t>Direct - Staff Cost</t>
        </is>
      </c>
      <c r="B74" s="18" t="n">
        <v>-6091.440000000001</v>
      </c>
      <c r="C74" s="18" t="n">
        <v>-9015.780000000001</v>
      </c>
      <c r="D74" s="18" t="n">
        <v>-4391.81</v>
      </c>
      <c r="E74" s="18" t="n">
        <v>-4281.74</v>
      </c>
      <c r="F74" s="18" t="n">
        <v>-4244.740000000001</v>
      </c>
      <c r="G74" s="18" t="n">
        <v>-8886.360000000001</v>
      </c>
      <c r="H74" s="18" t="n">
        <v>-5031.55</v>
      </c>
      <c r="I74" s="18" t="n">
        <v>-3980.68</v>
      </c>
      <c r="J74" s="18" t="n">
        <v>-4941.349999999999</v>
      </c>
      <c r="K74" s="18" t="n">
        <v>-7914.05</v>
      </c>
      <c r="L74" s="18" t="n">
        <v>-5092.52</v>
      </c>
      <c r="M74" s="18" t="n">
        <v>-2688.92</v>
      </c>
      <c r="N74" s="8" t="n"/>
      <c r="O74" s="60">
        <f>-SUMIF('KNL Blank TB'!$T:$T,'KNL HO P&amp;L'!$A74,'KNL Blank TB'!C:C)-SUMIF('KNL HO TB'!$T:$T,'KNL HO P&amp;L'!$A74,'KNL HO TB'!C:C)</f>
        <v/>
      </c>
      <c r="P74" s="60">
        <f>-SUMIF('KNL Blank TB'!$T:$T,'KNL HO P&amp;L'!$A74,'KNL Blank TB'!D:D)-SUMIF('KNL HO TB'!$T:$T,'KNL HO P&amp;L'!$A74,'KNL HO TB'!D:D)</f>
        <v/>
      </c>
      <c r="Q74" s="60">
        <f>-SUMIF('KNL Blank TB'!$T:$T,'KNL HO P&amp;L'!$A74,'KNL Blank TB'!E:E)-SUMIF('KNL HO TB'!$T:$T,'KNL HO P&amp;L'!$A74,'KNL HO TB'!E:E)</f>
        <v/>
      </c>
      <c r="R74" s="60">
        <f>-SUMIF('KNL Blank TB'!$T:$T,'KNL HO P&amp;L'!$A74,'KNL Blank TB'!F:F)-SUMIF('KNL HO TB'!$T:$T,'KNL HO P&amp;L'!$A74,'KNL HO TB'!F:F)</f>
        <v/>
      </c>
      <c r="S74" s="60">
        <f>-SUMIF('KNL Blank TB'!$T:$T,'KNL HO P&amp;L'!$A74,'KNL Blank TB'!G:G)-SUMIF('KNL HO TB'!$T:$T,'KNL HO P&amp;L'!$A74,'KNL HO TB'!G:G)</f>
        <v/>
      </c>
      <c r="T74" s="60">
        <f>-SUMIF('KNL Blank TB'!$T:$T,'KNL HO P&amp;L'!$A74,'KNL Blank TB'!H:H)-SUMIF('KNL HO TB'!$T:$T,'KNL HO P&amp;L'!$A74,'KNL HO TB'!H:H)</f>
        <v/>
      </c>
      <c r="U74" s="60">
        <f>-SUMIF('KNL Blank TB'!$T:$T,'KNL HO P&amp;L'!$A74,'KNL Blank TB'!I:I)-SUMIF('KNL HO TB'!$T:$T,'KNL HO P&amp;L'!$A74,'KNL HO TB'!I:I)</f>
        <v/>
      </c>
      <c r="V74" s="20" t="n"/>
      <c r="W74" s="20" t="n"/>
      <c r="X74" s="20" t="n"/>
      <c r="Y74" s="20" t="n"/>
      <c r="Z74" s="20" t="n"/>
      <c r="AA74" s="60">
        <f>SUM(O74:T74)</f>
        <v/>
      </c>
      <c r="AB74" s="8" t="n"/>
      <c r="AC74" s="20" t="n"/>
      <c r="AD74" s="20" t="n"/>
      <c r="AE74" s="20" t="n"/>
      <c r="AF74" s="20" t="n"/>
      <c r="AG74" s="20" t="n"/>
      <c r="AH74" s="20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60" t="inlineStr">
        <is>
          <t>Direct - Childcare Cost</t>
        </is>
      </c>
      <c r="B75" s="18" t="n">
        <v>-703.15</v>
      </c>
      <c r="C75" s="18" t="n">
        <v>-183.44</v>
      </c>
      <c r="D75" s="18" t="n">
        <v>-316.26</v>
      </c>
      <c r="E75" s="18" t="n">
        <v>-240.79</v>
      </c>
      <c r="F75" s="18" t="n">
        <v>-44.48</v>
      </c>
      <c r="G75" s="18" t="n">
        <v>-125.3</v>
      </c>
      <c r="H75" s="18" t="n">
        <v>-461.6200000000001</v>
      </c>
      <c r="I75" s="18" t="n">
        <v>-125.85</v>
      </c>
      <c r="J75" s="18" t="n">
        <v>-73.06999999999999</v>
      </c>
      <c r="K75" s="18" t="n">
        <v>-92.48999999999999</v>
      </c>
      <c r="L75" s="18" t="n">
        <v>-116.65</v>
      </c>
      <c r="M75" s="18" t="n">
        <v>-50.44</v>
      </c>
      <c r="N75" s="8" t="n"/>
      <c r="O75" s="60">
        <f>-SUMIF('KNL Blank TB'!$T:$T,'KNL HO P&amp;L'!$A75,'KNL Blank TB'!C:C)-SUMIF('KNL HO TB'!$T:$T,'KNL HO P&amp;L'!$A75,'KNL HO TB'!C:C)</f>
        <v/>
      </c>
      <c r="P75" s="60">
        <f>-SUMIF('KNL Blank TB'!$T:$T,'KNL HO P&amp;L'!$A75,'KNL Blank TB'!D:D)-SUMIF('KNL HO TB'!$T:$T,'KNL HO P&amp;L'!$A75,'KNL HO TB'!D:D)</f>
        <v/>
      </c>
      <c r="Q75" s="60">
        <f>-SUMIF('KNL Blank TB'!$T:$T,'KNL HO P&amp;L'!$A75,'KNL Blank TB'!E:E)-SUMIF('KNL HO TB'!$T:$T,'KNL HO P&amp;L'!$A75,'KNL HO TB'!E:E)</f>
        <v/>
      </c>
      <c r="R75" s="60">
        <f>-SUMIF('KNL Blank TB'!$T:$T,'KNL HO P&amp;L'!$A75,'KNL Blank TB'!F:F)-SUMIF('KNL HO TB'!$T:$T,'KNL HO P&amp;L'!$A75,'KNL HO TB'!F:F)</f>
        <v/>
      </c>
      <c r="S75" s="60">
        <f>-SUMIF('KNL Blank TB'!$T:$T,'KNL HO P&amp;L'!$A75,'KNL Blank TB'!G:G)-SUMIF('KNL HO TB'!$T:$T,'KNL HO P&amp;L'!$A75,'KNL HO TB'!G:G)</f>
        <v/>
      </c>
      <c r="T75" s="60">
        <f>-SUMIF('KNL Blank TB'!$T:$T,'KNL HO P&amp;L'!$A75,'KNL Blank TB'!H:H)-SUMIF('KNL HO TB'!$T:$T,'KNL HO P&amp;L'!$A75,'KNL HO TB'!H:H)</f>
        <v/>
      </c>
      <c r="U75" s="60">
        <f>-SUMIF('KNL Blank TB'!$T:$T,'KNL HO P&amp;L'!$A75,'KNL Blank TB'!I:I)-SUMIF('KNL HO TB'!$T:$T,'KNL HO P&amp;L'!$A75,'KNL HO TB'!I:I)</f>
        <v/>
      </c>
      <c r="V75" s="20" t="n"/>
      <c r="W75" s="20" t="n"/>
      <c r="X75" s="20" t="n"/>
      <c r="Y75" s="20" t="n"/>
      <c r="Z75" s="20" t="n"/>
      <c r="AA75" s="60">
        <f>SUM(O75:T75)</f>
        <v/>
      </c>
      <c r="AB75" s="8" t="n"/>
      <c r="AC75" s="20" t="n"/>
      <c r="AD75" s="20" t="n"/>
      <c r="AE75" s="20" t="n"/>
      <c r="AF75" s="20" t="n"/>
      <c r="AG75" s="20" t="n"/>
      <c r="AH75" s="20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60" t="inlineStr">
        <is>
          <t>Fee Uplift not yet in calcs - offer changing this is purely on FAMLY current data</t>
        </is>
      </c>
      <c r="AP75" s="8" t="n"/>
    </row>
    <row r="76">
      <c r="A76" s="60" t="inlineStr">
        <is>
          <t>Direct - Premises &amp; Admin</t>
        </is>
      </c>
      <c r="B76" s="18" t="n">
        <v>-12722.92</v>
      </c>
      <c r="C76" s="18" t="n">
        <v>-10950.38</v>
      </c>
      <c r="D76" s="18" t="n">
        <v>-9865.77</v>
      </c>
      <c r="E76" s="18" t="n">
        <v>-8458.85</v>
      </c>
      <c r="F76" s="18" t="n">
        <v>-8955.32</v>
      </c>
      <c r="G76" s="18" t="n">
        <v>-16386.99</v>
      </c>
      <c r="H76" s="18" t="n">
        <v>-10197.25</v>
      </c>
      <c r="I76" s="18" t="n">
        <v>-9299.83</v>
      </c>
      <c r="J76" s="18" t="n">
        <v>-10301.56</v>
      </c>
      <c r="K76" s="18" t="n">
        <v>-9287.27</v>
      </c>
      <c r="L76" s="18" t="n">
        <v>-7193.749999999999</v>
      </c>
      <c r="M76" s="18" t="n">
        <v>-5678.72</v>
      </c>
      <c r="N76" s="8" t="n"/>
      <c r="O76" s="60">
        <f>-SUMIF('KNL Blank TB'!$T:$T,'KNL HO P&amp;L'!$A76,'KNL Blank TB'!C:C)-SUMIF('KNL HO TB'!$T:$T,'KNL HO P&amp;L'!$A76,'KNL HO TB'!C:C)</f>
        <v/>
      </c>
      <c r="P76" s="60">
        <f>-SUMIF('KNL Blank TB'!$T:$T,'KNL HO P&amp;L'!$A76,'KNL Blank TB'!D:D)-SUMIF('KNL HO TB'!$T:$T,'KNL HO P&amp;L'!$A76,'KNL HO TB'!D:D)</f>
        <v/>
      </c>
      <c r="Q76" s="60">
        <f>-SUMIF('KNL Blank TB'!$T:$T,'KNL HO P&amp;L'!$A76,'KNL Blank TB'!E:E)-SUMIF('KNL HO TB'!$T:$T,'KNL HO P&amp;L'!$A76,'KNL HO TB'!E:E)</f>
        <v/>
      </c>
      <c r="R76" s="60">
        <f>-SUMIF('KNL Blank TB'!$T:$T,'KNL HO P&amp;L'!$A76,'KNL Blank TB'!F:F)-SUMIF('KNL HO TB'!$T:$T,'KNL HO P&amp;L'!$A76,'KNL HO TB'!F:F)</f>
        <v/>
      </c>
      <c r="S76" s="60">
        <f>-SUMIF('KNL Blank TB'!$T:$T,'KNL HO P&amp;L'!$A76,'KNL Blank TB'!G:G)-SUMIF('KNL HO TB'!$T:$T,'KNL HO P&amp;L'!$A76,'KNL HO TB'!G:G)</f>
        <v/>
      </c>
      <c r="T76" s="60">
        <f>-SUMIF('KNL Blank TB'!$T:$T,'KNL HO P&amp;L'!$A76,'KNL Blank TB'!H:H)-SUMIF('KNL HO TB'!$T:$T,'KNL HO P&amp;L'!$A76,'KNL HO TB'!H:H)</f>
        <v/>
      </c>
      <c r="U76" s="60">
        <f>-SUMIF('KNL Blank TB'!$T:$T,'KNL HO P&amp;L'!$A76,'KNL Blank TB'!I:I)-SUMIF('KNL HO TB'!$T:$T,'KNL HO P&amp;L'!$A76,'KNL HO TB'!I:I)</f>
        <v/>
      </c>
      <c r="V76" s="20" t="n"/>
      <c r="W76" s="20" t="n"/>
      <c r="X76" s="20" t="n"/>
      <c r="Y76" s="20" t="n"/>
      <c r="Z76" s="20" t="n"/>
      <c r="AA76" s="60">
        <f>SUM(O76:T76)</f>
        <v/>
      </c>
      <c r="AB76" s="8" t="n"/>
      <c r="AC76" s="20" t="n"/>
      <c r="AD76" s="20" t="n"/>
      <c r="AE76" s="20" t="n"/>
      <c r="AF76" s="20" t="n"/>
      <c r="AG76" s="20" t="n"/>
      <c r="AH76" s="20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>
      <c r="A77" s="60" t="inlineStr">
        <is>
          <t>In-Direct - Staff Cost</t>
        </is>
      </c>
      <c r="B77" s="18" t="n">
        <v>-93611.44</v>
      </c>
      <c r="C77" s="18" t="n">
        <v>-96112.64</v>
      </c>
      <c r="D77" s="18" t="n">
        <v>-95857.95999999999</v>
      </c>
      <c r="E77" s="18" t="n">
        <v>-156700.39</v>
      </c>
      <c r="F77" s="18" t="n">
        <v>-95895.40999999999</v>
      </c>
      <c r="G77" s="18" t="n">
        <v>-114717.56</v>
      </c>
      <c r="H77" s="18" t="n">
        <v>-114931.94</v>
      </c>
      <c r="I77" s="18" t="n">
        <v>-131353.52</v>
      </c>
      <c r="J77" s="18" t="n">
        <v>-154543.8</v>
      </c>
      <c r="K77" s="18" t="n">
        <v>-118297.07</v>
      </c>
      <c r="L77" s="18" t="n">
        <v>-125174.38</v>
      </c>
      <c r="M77" s="18" t="n">
        <v>-443091.7</v>
      </c>
      <c r="N77" s="8" t="n"/>
      <c r="O77" s="60">
        <f>-SUMIF('KNL Blank TB'!$T:$T,'KNL HO P&amp;L'!$A77,'KNL Blank TB'!C:C)-SUMIF('KNL HO TB'!$T:$T,'KNL HO P&amp;L'!$A77,'KNL HO TB'!C:C)</f>
        <v/>
      </c>
      <c r="P77" s="60">
        <f>-SUMIF('KNL Blank TB'!$T:$T,'KNL HO P&amp;L'!$A77,'KNL Blank TB'!D:D)-SUMIF('KNL HO TB'!$T:$T,'KNL HO P&amp;L'!$A77,'KNL HO TB'!D:D)</f>
        <v/>
      </c>
      <c r="Q77" s="60">
        <f>-SUMIF('KNL Blank TB'!$T:$T,'KNL HO P&amp;L'!$A77,'KNL Blank TB'!E:E)-SUMIF('KNL HO TB'!$T:$T,'KNL HO P&amp;L'!$A77,'KNL HO TB'!E:E)</f>
        <v/>
      </c>
      <c r="R77" s="60">
        <f>-SUMIF('KNL Blank TB'!$T:$T,'KNL HO P&amp;L'!$A77,'KNL Blank TB'!F:F)-SUMIF('KNL HO TB'!$T:$T,'KNL HO P&amp;L'!$A77,'KNL HO TB'!F:F)</f>
        <v/>
      </c>
      <c r="S77" s="60">
        <f>-SUMIF('KNL Blank TB'!$T:$T,'KNL HO P&amp;L'!$A77,'KNL Blank TB'!G:G)-SUMIF('KNL HO TB'!$T:$T,'KNL HO P&amp;L'!$A77,'KNL HO TB'!G:G)</f>
        <v/>
      </c>
      <c r="T77" s="60">
        <f>-SUMIF('KNL Blank TB'!$T:$T,'KNL HO P&amp;L'!$A77,'KNL Blank TB'!H:H)-SUMIF('KNL HO TB'!$T:$T,'KNL HO P&amp;L'!$A77,'KNL HO TB'!H:H)</f>
        <v/>
      </c>
      <c r="U77" s="60">
        <f>-SUMIF('KNL Blank TB'!$T:$T,'KNL HO P&amp;L'!$A77,'KNL Blank TB'!I:I)-SUMIF('KNL HO TB'!$T:$T,'KNL HO P&amp;L'!$A77,'KNL HO TB'!I:I)</f>
        <v/>
      </c>
      <c r="V77" s="20" t="n"/>
      <c r="W77" s="20" t="n"/>
      <c r="X77" s="20" t="n"/>
      <c r="Y77" s="20" t="n"/>
      <c r="Z77" s="20" t="n"/>
      <c r="AA77" s="60">
        <f>SUM(O77:T77)</f>
        <v/>
      </c>
      <c r="AB77" s="8" t="n"/>
      <c r="AC77" s="20" t="n"/>
      <c r="AD77" s="20" t="n"/>
      <c r="AE77" s="20" t="n"/>
      <c r="AF77" s="20" t="n"/>
      <c r="AG77" s="20" t="n"/>
      <c r="AH77" s="20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>
      <c r="A78" s="60" t="inlineStr">
        <is>
          <t>In-Direct - Overheads</t>
        </is>
      </c>
      <c r="B78" s="18" t="n">
        <v>-11861.85</v>
      </c>
      <c r="C78" s="18" t="n">
        <v>-31625.61</v>
      </c>
      <c r="D78" s="18" t="n">
        <v>-36033.03</v>
      </c>
      <c r="E78" s="18" t="n">
        <v>-23278.01</v>
      </c>
      <c r="F78" s="18" t="n">
        <v>-17135.96</v>
      </c>
      <c r="G78" s="18" t="n">
        <v>-12401.19</v>
      </c>
      <c r="H78" s="18" t="n">
        <v>-12569.54</v>
      </c>
      <c r="I78" s="18" t="n">
        <v>-12792.19</v>
      </c>
      <c r="J78" s="18" t="n">
        <v>-48367.43</v>
      </c>
      <c r="K78" s="18" t="n">
        <v>-14890.24</v>
      </c>
      <c r="L78" s="18" t="n">
        <v>-18160.46</v>
      </c>
      <c r="M78" s="18" t="n">
        <v>-18558.39</v>
      </c>
      <c r="N78" s="8" t="n"/>
      <c r="O78" s="60">
        <f>-SUMIF('KNL Blank TB'!$T:$T,'KNL HO P&amp;L'!$A78,'KNL Blank TB'!C:C)-SUMIF('KNL HO TB'!$T:$T,'KNL HO P&amp;L'!$A78,'KNL HO TB'!C:C)</f>
        <v/>
      </c>
      <c r="P78" s="60">
        <f>-SUMIF('KNL Blank TB'!$T:$T,'KNL HO P&amp;L'!$A78,'KNL Blank TB'!D:D)-SUMIF('KNL HO TB'!$T:$T,'KNL HO P&amp;L'!$A78,'KNL HO TB'!D:D)</f>
        <v/>
      </c>
      <c r="Q78" s="60">
        <f>-SUMIF('KNL Blank TB'!$T:$T,'KNL HO P&amp;L'!$A78,'KNL Blank TB'!E:E)-SUMIF('KNL HO TB'!$T:$T,'KNL HO P&amp;L'!$A78,'KNL HO TB'!E:E)</f>
        <v/>
      </c>
      <c r="R78" s="60">
        <f>-SUMIF('KNL Blank TB'!$T:$T,'KNL HO P&amp;L'!$A78,'KNL Blank TB'!F:F)-SUMIF('KNL HO TB'!$T:$T,'KNL HO P&amp;L'!$A78,'KNL HO TB'!F:F)</f>
        <v/>
      </c>
      <c r="S78" s="60">
        <f>-SUMIF('KNL Blank TB'!$T:$T,'KNL HO P&amp;L'!$A78,'KNL Blank TB'!G:G)-SUMIF('KNL HO TB'!$T:$T,'KNL HO P&amp;L'!$A78,'KNL HO TB'!G:G)</f>
        <v/>
      </c>
      <c r="T78" s="60">
        <f>-SUMIF('KNL Blank TB'!$T:$T,'KNL HO P&amp;L'!$A78,'KNL Blank TB'!H:H)-SUMIF('KNL HO TB'!$T:$T,'KNL HO P&amp;L'!$A78,'KNL HO TB'!H:H)</f>
        <v/>
      </c>
      <c r="U78" s="60">
        <f>-SUMIF('KNL Blank TB'!$T:$T,'KNL HO P&amp;L'!$A78,'KNL Blank TB'!I:I)-SUMIF('KNL HO TB'!$T:$T,'KNL HO P&amp;L'!$A78,'KNL HO TB'!I:I)</f>
        <v/>
      </c>
      <c r="V78" s="20" t="n"/>
      <c r="W78" s="20" t="n"/>
      <c r="X78" s="20" t="n"/>
      <c r="Y78" s="20" t="n"/>
      <c r="Z78" s="20" t="n"/>
      <c r="AA78" s="60">
        <f>SUM(O78:T78)</f>
        <v/>
      </c>
      <c r="AB78" s="8" t="n"/>
      <c r="AC78" s="20" t="n"/>
      <c r="AD78" s="20" t="n"/>
      <c r="AE78" s="20" t="n"/>
      <c r="AF78" s="20" t="n"/>
      <c r="AG78" s="20" t="n"/>
      <c r="AH78" s="20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 ht="15.75" customHeight="1">
      <c r="A79" s="8" t="n"/>
      <c r="B79" s="67" t="n">
        <v>-124990.8</v>
      </c>
      <c r="C79" s="67" t="n">
        <v>-147887.85</v>
      </c>
      <c r="D79" s="67" t="n">
        <v>-146464.83</v>
      </c>
      <c r="E79" s="67" t="n">
        <v>-192959.78</v>
      </c>
      <c r="F79" s="67" t="n">
        <v>-126275.91</v>
      </c>
      <c r="G79" s="67" t="n">
        <v>-152500.46</v>
      </c>
      <c r="H79" s="67" t="n">
        <v>-143191.9</v>
      </c>
      <c r="I79" s="67" t="n">
        <v>-157552.07</v>
      </c>
      <c r="J79" s="67" t="n">
        <v>-217376.64</v>
      </c>
      <c r="K79" s="67" t="n">
        <v>-150481.12</v>
      </c>
      <c r="L79" s="67" t="n">
        <v>-155007.52</v>
      </c>
      <c r="M79" s="67" t="n">
        <v>-470068.17</v>
      </c>
      <c r="N79" s="8" t="n"/>
      <c r="O79" s="64">
        <f>SUM(O73:O78)</f>
        <v/>
      </c>
      <c r="P79" s="64">
        <f>SUM(P73:P78)</f>
        <v/>
      </c>
      <c r="Q79" s="64">
        <f>SUM(Q73:Q78)</f>
        <v/>
      </c>
      <c r="R79" s="64">
        <f>SUM(R73:R78)</f>
        <v/>
      </c>
      <c r="S79" s="64">
        <f>SUM(S73:S78)</f>
        <v/>
      </c>
      <c r="T79" s="64">
        <f>SUM(T73:T78)</f>
        <v/>
      </c>
      <c r="U79" s="64">
        <f>SUM(U73:U78)</f>
        <v/>
      </c>
      <c r="V79" s="68" t="n"/>
      <c r="W79" s="68" t="n"/>
      <c r="X79" s="68" t="n"/>
      <c r="Y79" s="68" t="n"/>
      <c r="Z79" s="68" t="n"/>
      <c r="AA79" s="60">
        <f>SUM(O79:T79)</f>
        <v/>
      </c>
      <c r="AB79" s="8" t="n"/>
      <c r="AC79" s="68" t="n"/>
      <c r="AD79" s="68" t="n"/>
      <c r="AE79" s="68" t="n"/>
      <c r="AF79" s="68" t="n"/>
      <c r="AG79" s="68" t="n"/>
      <c r="AH79" s="6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 ht="15.75" customHeight="1">
      <c r="A80" s="8" t="n"/>
      <c r="B80" s="18" t="n">
        <v>0</v>
      </c>
      <c r="C80" s="18" t="n">
        <v>0</v>
      </c>
      <c r="D80" s="18" t="n">
        <v>0</v>
      </c>
      <c r="E80" s="18" t="n">
        <v>0</v>
      </c>
      <c r="F80" s="18" t="n">
        <v>0</v>
      </c>
      <c r="G80" s="18" t="n">
        <v>0</v>
      </c>
      <c r="H80" s="18" t="n">
        <v>0</v>
      </c>
      <c r="I80" s="18" t="n">
        <v>0</v>
      </c>
      <c r="J80" s="18" t="n">
        <v>0</v>
      </c>
      <c r="K80" s="18" t="n">
        <v>0</v>
      </c>
      <c r="L80" s="18" t="n">
        <v>0</v>
      </c>
      <c r="M80" s="18" t="n">
        <v>0</v>
      </c>
      <c r="N80" s="8" t="n"/>
      <c r="O80" s="60">
        <f>+O70-O79</f>
        <v/>
      </c>
      <c r="P80" s="60">
        <f>+P70-P79</f>
        <v/>
      </c>
      <c r="Q80" s="60">
        <f>+Q70-Q79</f>
        <v/>
      </c>
      <c r="R80" s="60">
        <f>+R70-R79</f>
        <v/>
      </c>
      <c r="S80" s="60">
        <f>+S70-S79</f>
        <v/>
      </c>
      <c r="T80" s="60">
        <f>+T70-T79</f>
        <v/>
      </c>
      <c r="U80" s="60">
        <f>+U70-U79</f>
        <v/>
      </c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34" t="inlineStr">
        <is>
          <t>CHECK TO TB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0</v>
      </c>
      <c r="I82" s="18" t="n">
        <v>0</v>
      </c>
      <c r="J82" s="18" t="n">
        <v>0</v>
      </c>
      <c r="K82" s="18" t="n">
        <v>0</v>
      </c>
      <c r="L82" s="18" t="n">
        <v>0</v>
      </c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60" t="n">
        <v>124990.8</v>
      </c>
      <c r="C83" s="60" t="n">
        <v>147887.85</v>
      </c>
      <c r="D83" s="60" t="n">
        <v>146464.83</v>
      </c>
      <c r="E83" s="60" t="n">
        <v>192959.78</v>
      </c>
      <c r="F83" s="60" t="n">
        <v>126275.91</v>
      </c>
      <c r="G83" s="60" t="n">
        <v>152500.46</v>
      </c>
      <c r="H83" s="60" t="n">
        <v>143191.9</v>
      </c>
      <c r="I83" s="60" t="n">
        <v>157552.0699999999</v>
      </c>
      <c r="J83" s="60" t="n">
        <v>217376.6400000001</v>
      </c>
      <c r="K83" s="60" t="n">
        <v>150481.12</v>
      </c>
      <c r="L83" s="60" t="n">
        <v>155007.52</v>
      </c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59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61" t="n"/>
      <c r="AF87" s="62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61" t="n"/>
      <c r="AF88" s="62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61" t="n"/>
      <c r="AF89" s="62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61" t="n"/>
      <c r="AF90" s="62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61" t="n"/>
      <c r="AF91" s="62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42578125" customWidth="1" min="28" max="28"/>
    <col width="13.28515625" customWidth="1" min="29" max="29"/>
    <col width="11.710937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CCL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4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20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6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6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2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6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0</v>
      </c>
      <c r="C8" s="35" t="n">
        <v>0</v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 t="n">
        <v>0</v>
      </c>
      <c r="J8" s="35" t="n">
        <v>0</v>
      </c>
      <c r="K8" s="35" t="n">
        <v>0</v>
      </c>
      <c r="L8" s="35" t="n">
        <v>0</v>
      </c>
      <c r="M8" s="35" t="n">
        <v>0</v>
      </c>
      <c r="N8" s="36">
        <f>SUM(B8:M8)</f>
        <v/>
      </c>
      <c r="O8" s="37">
        <f>-(SUMIF('XCCL Blank TB'!$R:$R,'CCL HO P&amp;L'!$A8,'XCCL Blank TB'!C:C)+(SUMIF('XCCL HO TB'!$R:$R,'CCL HO P&amp;L'!$A8,'XCCL HO TB'!C:C)))</f>
        <v/>
      </c>
      <c r="P8" s="37">
        <f>-(SUMIF('XCCL Blank TB'!$R:$R,'CCL HO P&amp;L'!$A8,'XCCL Blank TB'!D:D)+(SUMIF('XCCL HO TB'!$R:$R,'CCL HO P&amp;L'!$A8,'XCCL HO TB'!D:D)))</f>
        <v/>
      </c>
      <c r="Q8" s="37">
        <f>-(SUMIF('XCCL Blank TB'!$R:$R,'CCL HO P&amp;L'!$A8,'XCCL Blank TB'!E:E)+(SUMIF('XCCL HO TB'!$R:$R,'CCL HO P&amp;L'!$A8,'XCCL HO TB'!E:E)))</f>
        <v/>
      </c>
      <c r="R8" s="37">
        <f>-(SUMIF('XCCL Blank TB'!$R:$R,'CCL HO P&amp;L'!$A8,'XCCL Blank TB'!F:F)+(SUMIF('XCCL HO TB'!$R:$R,'CCL HO P&amp;L'!$A8,'XCCL HO TB'!F:F)))</f>
        <v/>
      </c>
      <c r="S8" s="37">
        <f>-(SUMIF('XCCL Blank TB'!$R:$R,'CCL HO P&amp;L'!$A8,'XCCL Blank TB'!G:G)+(SUMIF('XCCL HO TB'!$R:$R,'CCL HO P&amp;L'!$A8,'XCCL HO TB'!G:G)))</f>
        <v/>
      </c>
      <c r="T8" s="37">
        <f>-(SUMIF('XCCL Blank TB'!$R:$R,'CCL HO P&amp;L'!$A8,'XCCL Blank TB'!H:H)+(SUMIF('XCCL HO TB'!$R:$R,'CCL HO P&amp;L'!$A8,'XCCL HO TB'!H:H)))</f>
        <v/>
      </c>
      <c r="U8" s="38" t="n"/>
      <c r="V8" s="38" t="n"/>
      <c r="W8" s="38" t="n"/>
      <c r="X8" s="38" t="n"/>
      <c r="Y8" s="38" t="n"/>
      <c r="Z8" s="38" t="n"/>
      <c r="AA8" s="36">
        <f>SUM(O8:U8)</f>
        <v/>
      </c>
      <c r="AB8" s="36">
        <f>SUM(O8:Z8)</f>
        <v/>
      </c>
      <c r="AC8" s="38" t="n"/>
      <c r="AD8" s="38" t="n"/>
      <c r="AE8" s="38" t="n"/>
      <c r="AF8" s="38" t="n"/>
      <c r="AG8" s="38" t="n"/>
      <c r="AH8" s="38" t="n"/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0</v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  <c r="H9" s="35" t="n">
        <v>0</v>
      </c>
      <c r="I9" s="35" t="n">
        <v>0</v>
      </c>
      <c r="J9" s="35" t="n">
        <v>0</v>
      </c>
      <c r="K9" s="35" t="n">
        <v>0</v>
      </c>
      <c r="L9" s="35" t="n">
        <v>0</v>
      </c>
      <c r="M9" s="35" t="n">
        <v>0</v>
      </c>
      <c r="N9" s="36">
        <f>SUM(B9:M9)</f>
        <v/>
      </c>
      <c r="O9" s="37">
        <f>-(SUMIF('XCCL Blank TB'!$R:$R,'CCL HO P&amp;L'!$A9,'XCCL Blank TB'!C:C)+(SUMIF('XCCL HO TB'!$R:$R,'CCL HO P&amp;L'!$A9,'XCCL HO TB'!C:C)))</f>
        <v/>
      </c>
      <c r="P9" s="37">
        <f>-(SUMIF('XCCL Blank TB'!$R:$R,'CCL HO P&amp;L'!$A9,'XCCL Blank TB'!D:D)+(SUMIF('XCCL HO TB'!$R:$R,'CCL HO P&amp;L'!$A9,'XCCL HO TB'!D:D)))</f>
        <v/>
      </c>
      <c r="Q9" s="37">
        <f>-(SUMIF('XCCL Blank TB'!$R:$R,'CCL HO P&amp;L'!$A9,'XCCL Blank TB'!E:E)+(SUMIF('XCCL HO TB'!$R:$R,'CCL HO P&amp;L'!$A9,'XCCL HO TB'!E:E)))</f>
        <v/>
      </c>
      <c r="R9" s="37">
        <f>-(SUMIF('XCCL Blank TB'!$R:$R,'CCL HO P&amp;L'!$A9,'XCCL Blank TB'!F:F)+(SUMIF('XCCL HO TB'!$R:$R,'CCL HO P&amp;L'!$A9,'XCCL HO TB'!F:F)))</f>
        <v/>
      </c>
      <c r="S9" s="37">
        <f>-(SUMIF('XCCL Blank TB'!$R:$R,'CCL HO P&amp;L'!$A9,'XCCL Blank TB'!G:G)+(SUMIF('XCCL HO TB'!$R:$R,'CCL HO P&amp;L'!$A9,'XCCL HO TB'!G:G)))</f>
        <v/>
      </c>
      <c r="T9" s="37">
        <f>-(SUMIF('XCCL Blank TB'!$R:$R,'CCL HO P&amp;L'!$A9,'XCCL Blank TB'!H:H)+(SUMIF('XCCL HO TB'!$R:$R,'CCL HO P&amp;L'!$A9,'XCCL HO TB'!H:H)))</f>
        <v/>
      </c>
      <c r="U9" s="38" t="n"/>
      <c r="V9" s="38" t="n"/>
      <c r="W9" s="38" t="n"/>
      <c r="X9" s="38" t="n"/>
      <c r="Y9" s="38" t="n"/>
      <c r="Z9" s="38" t="n"/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-(SUMIF('XCCL Blank TB'!$R:$R,'CCL HO P&amp;L'!$A10,'XCCL Blank TB'!C:C)+(SUMIF('XCCL HO TB'!$R:$R,'CCL HO P&amp;L'!$A10,'XCCL HO TB'!C:C)))</f>
        <v/>
      </c>
      <c r="P10" s="37">
        <f>-(SUMIF('XCCL Blank TB'!$R:$R,'CCL HO P&amp;L'!$A10,'XCCL Blank TB'!D:D)+(SUMIF('XCCL HO TB'!$R:$R,'CCL HO P&amp;L'!$A10,'XCCL HO TB'!D:D)))</f>
        <v/>
      </c>
      <c r="Q10" s="37">
        <f>-(SUMIF('XCCL Blank TB'!$R:$R,'CCL HO P&amp;L'!$A10,'XCCL Blank TB'!E:E)+(SUMIF('XCCL HO TB'!$R:$R,'CCL HO P&amp;L'!$A10,'XCCL HO TB'!E:E)))</f>
        <v/>
      </c>
      <c r="R10" s="37">
        <f>-(SUMIF('XCCL Blank TB'!$R:$R,'CCL HO P&amp;L'!$A10,'XCCL Blank TB'!F:F)+(SUMIF('XCCL HO TB'!$R:$R,'CCL HO P&amp;L'!$A10,'XCCL HO TB'!F:F)))</f>
        <v/>
      </c>
      <c r="S10" s="37">
        <f>-(SUMIF('XCCL Blank TB'!$R:$R,'CCL HO P&amp;L'!$A10,'XCCL Blank TB'!G:G)+(SUMIF('XCCL HO TB'!$R:$R,'CCL HO P&amp;L'!$A10,'XCCL HO TB'!G:G)))</f>
        <v/>
      </c>
      <c r="T10" s="37">
        <f>-(SUMIF('XCCL Blank TB'!$R:$R,'CCL HO P&amp;L'!$A10,'XCCL Blank TB'!H:H)+(SUMIF('XCCL HO TB'!$R:$R,'CCL HO P&amp;L'!$A10,'XCCL HO TB'!H:H)))</f>
        <v/>
      </c>
      <c r="U10" s="38" t="n"/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0</v>
      </c>
      <c r="C11" s="42" t="n">
        <v>0</v>
      </c>
      <c r="D11" s="42" t="n">
        <v>0</v>
      </c>
      <c r="E11" s="42" t="n">
        <v>0</v>
      </c>
      <c r="F11" s="42" t="n">
        <v>0</v>
      </c>
      <c r="G11" s="42" t="n">
        <v>0</v>
      </c>
      <c r="H11" s="42" t="n">
        <v>0</v>
      </c>
      <c r="I11" s="42" t="n">
        <v>0</v>
      </c>
      <c r="J11" s="42" t="n">
        <v>0</v>
      </c>
      <c r="K11" s="42" t="n">
        <v>0</v>
      </c>
      <c r="L11" s="42" t="n">
        <v>0</v>
      </c>
      <c r="M11" s="42" t="n">
        <v>0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5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 t="n"/>
      <c r="AD11" s="45" t="n"/>
      <c r="AE11" s="45" t="n"/>
      <c r="AF11" s="45" t="n"/>
      <c r="AG11" s="45" t="n"/>
      <c r="AH11" s="45" t="n"/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2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 t="n"/>
      <c r="AD13" s="47" t="n"/>
      <c r="AE13" s="47" t="n"/>
      <c r="AF13" s="47" t="n"/>
      <c r="AG13" s="47" t="n"/>
      <c r="AH13" s="47" t="n"/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2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6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0</v>
      </c>
      <c r="C16" s="35" t="n">
        <v>0</v>
      </c>
      <c r="D16" s="35" t="n">
        <v>0</v>
      </c>
      <c r="E16" s="35" t="n">
        <v>0</v>
      </c>
      <c r="F16" s="35" t="n">
        <v>0</v>
      </c>
      <c r="G16" s="35" t="n">
        <v>0</v>
      </c>
      <c r="H16" s="35" t="n">
        <v>0</v>
      </c>
      <c r="I16" s="35" t="n">
        <v>0</v>
      </c>
      <c r="J16" s="35" t="n">
        <v>0</v>
      </c>
      <c r="K16" s="35" t="n">
        <v>0</v>
      </c>
      <c r="L16" s="35" t="n">
        <v>0</v>
      </c>
      <c r="M16" s="35" t="n">
        <v>0</v>
      </c>
      <c r="N16" s="36">
        <f>SUM(B16:M16)</f>
        <v/>
      </c>
      <c r="O16" s="37">
        <f>SUMIF('XCCL Blank TB'!$R:$R,'CCL HO P&amp;L'!$A16,'XCCL Blank TB'!C:C)+(SUMIF('XCCL HO TB'!$R:$R,'CCL HO P&amp;L'!$A16,'XCCL HO TB'!C:C))</f>
        <v/>
      </c>
      <c r="P16" s="37">
        <f>SUMIF('XCCL Blank TB'!$R:$R,'CCL HO P&amp;L'!$A16,'XCCL Blank TB'!D:D)+(SUMIF('XCCL HO TB'!$R:$R,'CCL HO P&amp;L'!$A16,'XCCL HO TB'!D:D))</f>
        <v/>
      </c>
      <c r="Q16" s="37">
        <f>SUMIF('XCCL Blank TB'!$R:$R,'CCL HO P&amp;L'!$A16,'XCCL Blank TB'!E:E)+(SUMIF('XCCL HO TB'!$R:$R,'CCL HO P&amp;L'!$A16,'XCCL HO TB'!E:E))</f>
        <v/>
      </c>
      <c r="R16" s="37">
        <f>SUMIF('XCCL Blank TB'!$R:$R,'CCL HO P&amp;L'!$A16,'XCCL Blank TB'!F:F)+(SUMIF('XCCL HO TB'!$R:$R,'CCL HO P&amp;L'!$A16,'XCCL HO TB'!F:F))</f>
        <v/>
      </c>
      <c r="S16" s="37">
        <f>SUMIF('XCCL Blank TB'!$R:$R,'CCL HO P&amp;L'!$A16,'XCCL Blank TB'!G:G)+(SUMIF('XCCL HO TB'!$R:$R,'CCL HO P&amp;L'!$A16,'XCCL HO TB'!G:G))</f>
        <v/>
      </c>
      <c r="T16" s="37">
        <f>SUMIF('XCCL Blank TB'!$R:$R,'CCL HO P&amp;L'!$A16,'XCCL Blank TB'!H:H)+(SUMIF('XCCL HO TB'!$R:$R,'CCL HO P&amp;L'!$A16,'XCCL HO TB'!H:H))</f>
        <v/>
      </c>
      <c r="U16" s="38" t="n"/>
      <c r="V16" s="38" t="n"/>
      <c r="W16" s="38" t="n"/>
      <c r="X16" s="38" t="n"/>
      <c r="Y16" s="38" t="n"/>
      <c r="Z16" s="38" t="n"/>
      <c r="AA16" s="36">
        <f>SUM(O16:U16)</f>
        <v/>
      </c>
      <c r="AB16" s="36">
        <f>SUM(O16:Z16)</f>
        <v/>
      </c>
      <c r="AC16" s="38" t="n"/>
      <c r="AD16" s="38" t="n"/>
      <c r="AE16" s="38" t="n"/>
      <c r="AF16" s="38" t="n"/>
      <c r="AG16" s="38" t="n"/>
      <c r="AH16" s="38" t="n"/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0</v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0</v>
      </c>
      <c r="K17" s="35" t="n">
        <v>0</v>
      </c>
      <c r="L17" s="35" t="n">
        <v>0</v>
      </c>
      <c r="M17" s="35" t="n">
        <v>0</v>
      </c>
      <c r="N17" s="36">
        <f>SUM(B17:M17)</f>
        <v/>
      </c>
      <c r="O17" s="37">
        <f>SUMIF('XCCL Blank TB'!$R:$R,'CCL HO P&amp;L'!$A17,'XCCL Blank TB'!C:C)+(SUMIF('XCCL HO TB'!$R:$R,'CCL HO P&amp;L'!$A17,'XCCL HO TB'!C:C))</f>
        <v/>
      </c>
      <c r="P17" s="37">
        <f>SUMIF('XCCL Blank TB'!$R:$R,'CCL HO P&amp;L'!$A17,'XCCL Blank TB'!D:D)+(SUMIF('XCCL HO TB'!$R:$R,'CCL HO P&amp;L'!$A17,'XCCL HO TB'!D:D))</f>
        <v/>
      </c>
      <c r="Q17" s="37">
        <f>SUMIF('XCCL Blank TB'!$R:$R,'CCL HO P&amp;L'!$A17,'XCCL Blank TB'!E:E)+(SUMIF('XCCL HO TB'!$R:$R,'CCL HO P&amp;L'!$A17,'XCCL HO TB'!E:E))</f>
        <v/>
      </c>
      <c r="R17" s="37">
        <f>SUMIF('XCCL Blank TB'!$R:$R,'CCL HO P&amp;L'!$A17,'XCCL Blank TB'!F:F)+(SUMIF('XCCL HO TB'!$R:$R,'CCL HO P&amp;L'!$A17,'XCCL HO TB'!F:F))</f>
        <v/>
      </c>
      <c r="S17" s="37">
        <f>SUMIF('XCCL Blank TB'!$R:$R,'CCL HO P&amp;L'!$A17,'XCCL Blank TB'!G:G)+(SUMIF('XCCL HO TB'!$R:$R,'CCL HO P&amp;L'!$A17,'XCCL HO TB'!G:G))</f>
        <v/>
      </c>
      <c r="T17" s="37">
        <f>SUMIF('XCCL Blank TB'!$R:$R,'CCL HO P&amp;L'!$A17,'XCCL Blank TB'!H:H)+(SUMIF('XCCL HO TB'!$R:$R,'CCL HO P&amp;L'!$A17,'XCCL HO TB'!H:H))</f>
        <v/>
      </c>
      <c r="U17" s="38" t="n"/>
      <c r="V17" s="38" t="n"/>
      <c r="W17" s="38" t="n"/>
      <c r="X17" s="38" t="n"/>
      <c r="Y17" s="38" t="n"/>
      <c r="Z17" s="38" t="n"/>
      <c r="AA17" s="36">
        <f>SUM(O17:U17)</f>
        <v/>
      </c>
      <c r="AB17" s="36">
        <f>SUM(O17:Z17)</f>
        <v/>
      </c>
      <c r="AC17" s="38" t="n"/>
      <c r="AD17" s="38" t="n"/>
      <c r="AE17" s="38" t="n"/>
      <c r="AF17" s="38" t="n"/>
      <c r="AG17" s="38" t="n"/>
      <c r="AH17" s="38" t="n"/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0</v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  <c r="H18" s="35" t="n">
        <v>0</v>
      </c>
      <c r="I18" s="35" t="n">
        <v>0</v>
      </c>
      <c r="J18" s="35" t="n">
        <v>0</v>
      </c>
      <c r="K18" s="35" t="n">
        <v>0</v>
      </c>
      <c r="L18" s="35" t="n">
        <v>0</v>
      </c>
      <c r="M18" s="35" t="n">
        <v>0</v>
      </c>
      <c r="N18" s="36">
        <f>SUM(B18:M18)</f>
        <v/>
      </c>
      <c r="O18" s="37">
        <f>SUMIF('XCCL Blank TB'!$R:$R,'CCL HO P&amp;L'!$A18,'XCCL Blank TB'!C:C)+(SUMIF('XCCL HO TB'!$R:$R,'CCL HO P&amp;L'!$A18,'XCCL HO TB'!C:C))</f>
        <v/>
      </c>
      <c r="P18" s="37">
        <f>SUMIF('XCCL Blank TB'!$R:$R,'CCL HO P&amp;L'!$A18,'XCCL Blank TB'!D:D)+(SUMIF('XCCL HO TB'!$R:$R,'CCL HO P&amp;L'!$A18,'XCCL HO TB'!D:D))</f>
        <v/>
      </c>
      <c r="Q18" s="37">
        <f>SUMIF('XCCL Blank TB'!$R:$R,'CCL HO P&amp;L'!$A18,'XCCL Blank TB'!E:E)+(SUMIF('XCCL HO TB'!$R:$R,'CCL HO P&amp;L'!$A18,'XCCL HO TB'!E:E))</f>
        <v/>
      </c>
      <c r="R18" s="37">
        <f>SUMIF('XCCL Blank TB'!$R:$R,'CCL HO P&amp;L'!$A18,'XCCL Blank TB'!F:F)+(SUMIF('XCCL HO TB'!$R:$R,'CCL HO P&amp;L'!$A18,'XCCL HO TB'!F:F))</f>
        <v/>
      </c>
      <c r="S18" s="37">
        <f>SUMIF('XCCL Blank TB'!$R:$R,'CCL HO P&amp;L'!$A18,'XCCL Blank TB'!G:G)+(SUMIF('XCCL HO TB'!$R:$R,'CCL HO P&amp;L'!$A18,'XCCL HO TB'!G:G))</f>
        <v/>
      </c>
      <c r="T18" s="37">
        <f>SUMIF('XCCL Blank TB'!$R:$R,'CCL HO P&amp;L'!$A18,'XCCL Blank TB'!H:H)+(SUMIF('XCCL HO TB'!$R:$R,'CCL HO P&amp;L'!$A18,'XCCL HO TB'!H:H))</f>
        <v/>
      </c>
      <c r="U18" s="38" t="n"/>
      <c r="V18" s="38" t="n"/>
      <c r="W18" s="38" t="n"/>
      <c r="X18" s="38" t="n"/>
      <c r="Y18" s="38" t="n"/>
      <c r="Z18" s="38" t="n"/>
      <c r="AA18" s="36">
        <f>SUM(O18:U18)</f>
        <v/>
      </c>
      <c r="AB18" s="36">
        <f>SUM(O18:Z18)</f>
        <v/>
      </c>
      <c r="AC18" s="38" t="n"/>
      <c r="AD18" s="38" t="n"/>
      <c r="AE18" s="38" t="n"/>
      <c r="AF18" s="38" t="n"/>
      <c r="AG18" s="38" t="n"/>
      <c r="AH18" s="38" t="n"/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0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0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>
        <f>SUMIF('XCCL Blank TB'!$R:$R,'CCL HO P&amp;L'!$A19,'XCCL Blank TB'!C:C)+(SUMIF('XCCL HO TB'!$R:$R,'CCL HO P&amp;L'!$A19,'XCCL HO TB'!C:C))</f>
        <v/>
      </c>
      <c r="P19" s="37">
        <f>SUMIF('XCCL Blank TB'!$R:$R,'CCL HO P&amp;L'!$A19,'XCCL Blank TB'!D:D)+(SUMIF('XCCL HO TB'!$R:$R,'CCL HO P&amp;L'!$A19,'XCCL HO TB'!D:D))</f>
        <v/>
      </c>
      <c r="Q19" s="37">
        <f>SUMIF('XCCL Blank TB'!$R:$R,'CCL HO P&amp;L'!$A19,'XCCL Blank TB'!E:E)+(SUMIF('XCCL HO TB'!$R:$R,'CCL HO P&amp;L'!$A19,'XCCL HO TB'!E:E))</f>
        <v/>
      </c>
      <c r="R19" s="37">
        <f>SUMIF('XCCL Blank TB'!$R:$R,'CCL HO P&amp;L'!$A19,'XCCL Blank TB'!F:F)+(SUMIF('XCCL HO TB'!$R:$R,'CCL HO P&amp;L'!$A19,'XCCL HO TB'!F:F))</f>
        <v/>
      </c>
      <c r="S19" s="37">
        <f>SUMIF('XCCL Blank TB'!$R:$R,'CCL HO P&amp;L'!$A19,'XCCL Blank TB'!G:G)+(SUMIF('XCCL HO TB'!$R:$R,'CCL HO P&amp;L'!$A19,'XCCL HO TB'!G:G))</f>
        <v/>
      </c>
      <c r="T19" s="37">
        <f>SUMIF('XCCL Blank TB'!$R:$R,'CCL HO P&amp;L'!$A19,'XCCL Blank TB'!H:H)+(SUMIF('XCCL HO TB'!$R:$R,'CCL HO P&amp;L'!$A19,'XCCL HO TB'!H:H))</f>
        <v/>
      </c>
      <c r="U19" s="38" t="n"/>
      <c r="V19" s="38" t="n"/>
      <c r="W19" s="38" t="n"/>
      <c r="X19" s="38" t="n"/>
      <c r="Y19" s="38" t="n"/>
      <c r="Z19" s="38" t="n"/>
      <c r="AA19" s="36">
        <f>SUM(O19:U19)</f>
        <v/>
      </c>
      <c r="AB19" s="36">
        <f>SUM(O19:Z19)</f>
        <v/>
      </c>
      <c r="AC19" s="38" t="n"/>
      <c r="AD19" s="38" t="n"/>
      <c r="AE19" s="38" t="n"/>
      <c r="AF19" s="38" t="n"/>
      <c r="AG19" s="38" t="n"/>
      <c r="AH19" s="38" t="n"/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0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252</v>
      </c>
      <c r="H20" s="35" t="n">
        <v>0</v>
      </c>
      <c r="I20" s="35" t="n">
        <v>0</v>
      </c>
      <c r="J20" s="35" t="n">
        <v>0</v>
      </c>
      <c r="K20" s="35" t="n">
        <v>0</v>
      </c>
      <c r="L20" s="35" t="n">
        <v>0</v>
      </c>
      <c r="M20" s="35" t="n">
        <v>0</v>
      </c>
      <c r="N20" s="36">
        <f>SUM(B20:M20)</f>
        <v/>
      </c>
      <c r="O20" s="37">
        <f>SUMIF('XCCL Blank TB'!$R:$R,'CCL HO P&amp;L'!$A20,'XCCL Blank TB'!C:C)+(SUMIF('XCCL HO TB'!$R:$R,'CCL HO P&amp;L'!$A20,'XCCL HO TB'!C:C))</f>
        <v/>
      </c>
      <c r="P20" s="37">
        <f>SUMIF('XCCL Blank TB'!$R:$R,'CCL HO P&amp;L'!$A20,'XCCL Blank TB'!D:D)+(SUMIF('XCCL HO TB'!$R:$R,'CCL HO P&amp;L'!$A20,'XCCL HO TB'!D:D))</f>
        <v/>
      </c>
      <c r="Q20" s="37">
        <f>SUMIF('XCCL Blank TB'!$R:$R,'CCL HO P&amp;L'!$A20,'XCCL Blank TB'!E:E)+(SUMIF('XCCL HO TB'!$R:$R,'CCL HO P&amp;L'!$A20,'XCCL HO TB'!E:E))</f>
        <v/>
      </c>
      <c r="R20" s="37">
        <f>SUMIF('XCCL Blank TB'!$R:$R,'CCL HO P&amp;L'!$A20,'XCCL Blank TB'!F:F)+(SUMIF('XCCL HO TB'!$R:$R,'CCL HO P&amp;L'!$A20,'XCCL HO TB'!F:F))</f>
        <v/>
      </c>
      <c r="S20" s="37">
        <f>SUMIF('XCCL Blank TB'!$R:$R,'CCL HO P&amp;L'!$A20,'XCCL Blank TB'!G:G)+(SUMIF('XCCL HO TB'!$R:$R,'CCL HO P&amp;L'!$A20,'XCCL HO TB'!G:G))</f>
        <v/>
      </c>
      <c r="T20" s="37">
        <f>SUMIF('XCCL Blank TB'!$R:$R,'CCL HO P&amp;L'!$A20,'XCCL Blank TB'!H:H)+(SUMIF('XCCL HO TB'!$R:$R,'CCL HO P&amp;L'!$A20,'XCCL HO TB'!H:H))</f>
        <v/>
      </c>
      <c r="U20" s="38" t="n"/>
      <c r="V20" s="38" t="n"/>
      <c r="W20" s="38" t="n"/>
      <c r="X20" s="38" t="n"/>
      <c r="Y20" s="38" t="n"/>
      <c r="Z20" s="38" t="n"/>
      <c r="AA20" s="36">
        <f>SUM(O20:U20)</f>
        <v/>
      </c>
      <c r="AB20" s="36">
        <f>SUM(O20:Z20)</f>
        <v/>
      </c>
      <c r="AC20" s="38" t="n"/>
      <c r="AD20" s="38" t="n"/>
      <c r="AE20" s="38" t="n"/>
      <c r="AF20" s="38" t="n"/>
      <c r="AG20" s="38" t="n"/>
      <c r="AH20" s="38" t="n"/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0</v>
      </c>
      <c r="C21" s="35" t="n">
        <v>0</v>
      </c>
      <c r="D21" s="35" t="n">
        <v>0</v>
      </c>
      <c r="E21" s="35" t="n">
        <v>0</v>
      </c>
      <c r="F21" s="35" t="n">
        <v>0</v>
      </c>
      <c r="G21" s="35" t="n">
        <v>0</v>
      </c>
      <c r="H21" s="35" t="n">
        <v>0</v>
      </c>
      <c r="I21" s="35" t="n">
        <v>0</v>
      </c>
      <c r="J21" s="35" t="n">
        <v>0</v>
      </c>
      <c r="K21" s="35" t="n">
        <v>0</v>
      </c>
      <c r="L21" s="35" t="n">
        <v>0</v>
      </c>
      <c r="M21" s="35" t="n">
        <v>0</v>
      </c>
      <c r="N21" s="36">
        <f>SUM(B21:M21)</f>
        <v/>
      </c>
      <c r="O21" s="37">
        <f>SUMIF('XCCL Blank TB'!$R:$R,'CCL HO P&amp;L'!$A21,'XCCL Blank TB'!C:C)+(SUMIF('XCCL HO TB'!$R:$R,'CCL HO P&amp;L'!$A21,'XCCL HO TB'!C:C))</f>
        <v/>
      </c>
      <c r="P21" s="37">
        <f>SUMIF('XCCL Blank TB'!$R:$R,'CCL HO P&amp;L'!$A21,'XCCL Blank TB'!D:D)+(SUMIF('XCCL HO TB'!$R:$R,'CCL HO P&amp;L'!$A21,'XCCL HO TB'!D:D))</f>
        <v/>
      </c>
      <c r="Q21" s="37">
        <f>SUMIF('XCCL Blank TB'!$R:$R,'CCL HO P&amp;L'!$A21,'XCCL Blank TB'!E:E)+(SUMIF('XCCL HO TB'!$R:$R,'CCL HO P&amp;L'!$A21,'XCCL HO TB'!E:E))</f>
        <v/>
      </c>
      <c r="R21" s="37">
        <f>SUMIF('XCCL Blank TB'!$R:$R,'CCL HO P&amp;L'!$A21,'XCCL Blank TB'!F:F)+(SUMIF('XCCL HO TB'!$R:$R,'CCL HO P&amp;L'!$A21,'XCCL HO TB'!F:F))</f>
        <v/>
      </c>
      <c r="S21" s="37">
        <f>SUMIF('XCCL Blank TB'!$R:$R,'CCL HO P&amp;L'!$A21,'XCCL Blank TB'!G:G)+(SUMIF('XCCL HO TB'!$R:$R,'CCL HO P&amp;L'!$A21,'XCCL HO TB'!G:G))</f>
        <v/>
      </c>
      <c r="T21" s="37">
        <f>SUMIF('XCCL Blank TB'!$R:$R,'CCL HO P&amp;L'!$A21,'XCCL Blank TB'!H:H)+(SUMIF('XCCL HO TB'!$R:$R,'CCL HO P&amp;L'!$A21,'XCCL HO TB'!H:H))</f>
        <v/>
      </c>
      <c r="U21" s="38" t="n"/>
      <c r="V21" s="38" t="n"/>
      <c r="W21" s="38" t="n"/>
      <c r="X21" s="38" t="n"/>
      <c r="Y21" s="38" t="n"/>
      <c r="Z21" s="38" t="n"/>
      <c r="AA21" s="36">
        <f>SUM(O21:U21)</f>
        <v/>
      </c>
      <c r="AB21" s="36">
        <f>SUM(O21:Z21)</f>
        <v/>
      </c>
      <c r="AC21" s="38" t="n"/>
      <c r="AD21" s="38" t="n"/>
      <c r="AE21" s="38" t="n"/>
      <c r="AF21" s="38" t="n"/>
      <c r="AG21" s="38" t="n"/>
      <c r="AH21" s="38" t="n"/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1917.6</v>
      </c>
      <c r="G22" s="35" t="n">
        <v>380.58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SUMIF('XCCL Blank TB'!$R:$R,'CCL HO P&amp;L'!$A22,'XCCL Blank TB'!C:C)+(SUMIF('XCCL HO TB'!$R:$R,'CCL HO P&amp;L'!$A22,'XCCL HO TB'!C:C))</f>
        <v/>
      </c>
      <c r="P22" s="37">
        <f>SUMIF('XCCL Blank TB'!$R:$R,'CCL HO P&amp;L'!$A22,'XCCL Blank TB'!D:D)+(SUMIF('XCCL HO TB'!$R:$R,'CCL HO P&amp;L'!$A22,'XCCL HO TB'!D:D))</f>
        <v/>
      </c>
      <c r="Q22" s="37">
        <f>SUMIF('XCCL Blank TB'!$R:$R,'CCL HO P&amp;L'!$A22,'XCCL Blank TB'!E:E)+(SUMIF('XCCL HO TB'!$R:$R,'CCL HO P&amp;L'!$A22,'XCCL HO TB'!E:E))</f>
        <v/>
      </c>
      <c r="R22" s="37">
        <f>SUMIF('XCCL Blank TB'!$R:$R,'CCL HO P&amp;L'!$A22,'XCCL Blank TB'!F:F)+(SUMIF('XCCL HO TB'!$R:$R,'CCL HO P&amp;L'!$A22,'XCCL HO TB'!F:F))</f>
        <v/>
      </c>
      <c r="S22" s="37">
        <f>SUMIF('XCCL Blank TB'!$R:$R,'CCL HO P&amp;L'!$A22,'XCCL Blank TB'!G:G)+(SUMIF('XCCL HO TB'!$R:$R,'CCL HO P&amp;L'!$A22,'XCCL HO TB'!G:G))</f>
        <v/>
      </c>
      <c r="T22" s="37">
        <f>SUMIF('XCCL Blank TB'!$R:$R,'CCL HO P&amp;L'!$A22,'XCCL Blank TB'!H:H)+(SUMIF('XCCL HO TB'!$R:$R,'CCL HO P&amp;L'!$A22,'XCCL HO TB'!H:H))</f>
        <v/>
      </c>
      <c r="U22" s="38" t="n"/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>
        <f>SUMIF('XCCL Blank TB'!$R:$R,'CCL HO P&amp;L'!$A23,'XCCL Blank TB'!C:C)+(SUMIF('XCCL HO TB'!$R:$R,'CCL HO P&amp;L'!$A23,'XCCL HO TB'!C:C))</f>
        <v/>
      </c>
      <c r="P23" s="37">
        <f>SUMIF('XCCL Blank TB'!$R:$R,'CCL HO P&amp;L'!$A23,'XCCL Blank TB'!D:D)+(SUMIF('XCCL HO TB'!$R:$R,'CCL HO P&amp;L'!$A23,'XCCL HO TB'!D:D))</f>
        <v/>
      </c>
      <c r="Q23" s="37">
        <f>SUMIF('XCCL Blank TB'!$R:$R,'CCL HO P&amp;L'!$A23,'XCCL Blank TB'!E:E)+(SUMIF('XCCL HO TB'!$R:$R,'CCL HO P&amp;L'!$A23,'XCCL HO TB'!E:E))</f>
        <v/>
      </c>
      <c r="R23" s="37">
        <f>SUMIF('XCCL Blank TB'!$R:$R,'CCL HO P&amp;L'!$A23,'XCCL Blank TB'!F:F)+(SUMIF('XCCL HO TB'!$R:$R,'CCL HO P&amp;L'!$A23,'XCCL HO TB'!F:F))</f>
        <v/>
      </c>
      <c r="S23" s="37">
        <f>SUMIF('XCCL Blank TB'!$R:$R,'CCL HO P&amp;L'!$A23,'XCCL Blank TB'!G:G)+(SUMIF('XCCL HO TB'!$R:$R,'CCL HO P&amp;L'!$A23,'XCCL HO TB'!G:G))</f>
        <v/>
      </c>
      <c r="T23" s="37">
        <f>SUMIF('XCCL Blank TB'!$R:$R,'CCL HO P&amp;L'!$A23,'XCCL Blank TB'!H:H)+(SUMIF('XCCL HO TB'!$R:$R,'CCL HO P&amp;L'!$A23,'XCCL HO TB'!H:H))</f>
        <v/>
      </c>
      <c r="U23" s="38" t="n"/>
      <c r="V23" s="38" t="n"/>
      <c r="W23" s="38" t="n"/>
      <c r="X23" s="38" t="n"/>
      <c r="Y23" s="38" t="n"/>
      <c r="Z23" s="38" t="n"/>
      <c r="AA23" s="36">
        <f>SUM(O23:U23)</f>
        <v/>
      </c>
      <c r="AB23" s="36">
        <f>SUM(O23:Z23)</f>
        <v/>
      </c>
      <c r="AC23" s="38" t="n"/>
      <c r="AD23" s="38" t="n"/>
      <c r="AE23" s="38" t="n"/>
      <c r="AF23" s="38" t="n"/>
      <c r="AG23" s="38" t="n"/>
      <c r="AH23" s="38" t="n"/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SUMIF('XCCL Blank TB'!$R:$R,'CCL HO P&amp;L'!$A24,'XCCL Blank TB'!C:C)+(SUMIF('XCCL HO TB'!$R:$R,'CCL HO P&amp;L'!$A24,'XCCL HO TB'!C:C))</f>
        <v/>
      </c>
      <c r="P24" s="37">
        <f>SUMIF('XCCL Blank TB'!$R:$R,'CCL HO P&amp;L'!$A24,'XCCL Blank TB'!D:D)+(SUMIF('XCCL HO TB'!$R:$R,'CCL HO P&amp;L'!$A24,'XCCL HO TB'!D:D))</f>
        <v/>
      </c>
      <c r="Q24" s="37">
        <f>SUMIF('XCCL Blank TB'!$R:$R,'CCL HO P&amp;L'!$A24,'XCCL Blank TB'!E:E)+(SUMIF('XCCL HO TB'!$R:$R,'CCL HO P&amp;L'!$A24,'XCCL HO TB'!E:E))</f>
        <v/>
      </c>
      <c r="R24" s="37">
        <f>SUMIF('XCCL Blank TB'!$R:$R,'CCL HO P&amp;L'!$A24,'XCCL Blank TB'!F:F)+(SUMIF('XCCL HO TB'!$R:$R,'CCL HO P&amp;L'!$A24,'XCCL HO TB'!F:F))</f>
        <v/>
      </c>
      <c r="S24" s="37">
        <f>SUMIF('XCCL Blank TB'!$R:$R,'CCL HO P&amp;L'!$A24,'XCCL Blank TB'!G:G)+(SUMIF('XCCL HO TB'!$R:$R,'CCL HO P&amp;L'!$A24,'XCCL HO TB'!G:G))</f>
        <v/>
      </c>
      <c r="T24" s="37">
        <f>SUMIF('XCCL Blank TB'!$R:$R,'CCL HO P&amp;L'!$A24,'XCCL Blank TB'!H:H)+(SUMIF('XCCL HO TB'!$R:$R,'CCL HO P&amp;L'!$A24,'XCCL HO TB'!H:H))</f>
        <v/>
      </c>
      <c r="U24" s="38" t="n"/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0</v>
      </c>
      <c r="C25" s="42" t="n">
        <v>0</v>
      </c>
      <c r="D25" s="42" t="n">
        <v>0</v>
      </c>
      <c r="E25" s="42" t="n">
        <v>0</v>
      </c>
      <c r="F25" s="42" t="n">
        <v>1917.6</v>
      </c>
      <c r="G25" s="42" t="n">
        <v>632.5799999999999</v>
      </c>
      <c r="H25" s="42" t="n">
        <v>0</v>
      </c>
      <c r="I25" s="42" t="n">
        <v>0</v>
      </c>
      <c r="J25" s="42" t="n">
        <v>0</v>
      </c>
      <c r="K25" s="42" t="n">
        <v>0</v>
      </c>
      <c r="L25" s="42" t="n">
        <v>0</v>
      </c>
      <c r="M25" s="42" t="n">
        <v>0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5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 t="n"/>
      <c r="AD25" s="45" t="n"/>
      <c r="AE25" s="45" t="n"/>
      <c r="AF25" s="45" t="n"/>
      <c r="AG25" s="45" t="n"/>
      <c r="AH25" s="45" t="n"/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2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  <c r="H27" s="35" t="n">
        <v>20.97</v>
      </c>
      <c r="I27" s="35" t="n">
        <v>0</v>
      </c>
      <c r="J27" s="35" t="n">
        <v>0</v>
      </c>
      <c r="K27" s="35" t="n">
        <v>0</v>
      </c>
      <c r="L27" s="35" t="n">
        <v>0</v>
      </c>
      <c r="M27" s="35" t="n">
        <v>0</v>
      </c>
      <c r="N27" s="36">
        <f>SUM(B27:M27)</f>
        <v/>
      </c>
      <c r="O27" s="37">
        <f>SUMIF('XCCL Blank TB'!$R:$R,'CCL HO P&amp;L'!$A27,'XCCL Blank TB'!C:C)+(SUMIF('XCCL HO TB'!$R:$R,'CCL HO P&amp;L'!$A27,'XCCL HO TB'!C:C))</f>
        <v/>
      </c>
      <c r="P27" s="37">
        <f>SUMIF('XCCL Blank TB'!$R:$R,'CCL HO P&amp;L'!$A27,'XCCL Blank TB'!D:D)+(SUMIF('XCCL HO TB'!$R:$R,'CCL HO P&amp;L'!$A27,'XCCL HO TB'!D:D))</f>
        <v/>
      </c>
      <c r="Q27" s="37">
        <f>SUMIF('XCCL Blank TB'!$R:$R,'CCL HO P&amp;L'!$A27,'XCCL Blank TB'!E:E)+(SUMIF('XCCL HO TB'!$R:$R,'CCL HO P&amp;L'!$A27,'XCCL HO TB'!E:E))</f>
        <v/>
      </c>
      <c r="R27" s="37">
        <f>SUMIF('XCCL Blank TB'!$R:$R,'CCL HO P&amp;L'!$A27,'XCCL Blank TB'!F:F)+(SUMIF('XCCL HO TB'!$R:$R,'CCL HO P&amp;L'!$A27,'XCCL HO TB'!F:F))</f>
        <v/>
      </c>
      <c r="S27" s="37">
        <f>SUMIF('XCCL Blank TB'!$R:$R,'CCL HO P&amp;L'!$A27,'XCCL Blank TB'!G:G)+(SUMIF('XCCL HO TB'!$R:$R,'CCL HO P&amp;L'!$A27,'XCCL HO TB'!G:G))</f>
        <v/>
      </c>
      <c r="T27" s="37">
        <f>SUMIF('XCCL Blank TB'!$R:$R,'CCL HO P&amp;L'!$A27,'XCCL Blank TB'!H:H)+(SUMIF('XCCL HO TB'!$R:$R,'CCL HO P&amp;L'!$A27,'XCCL HO TB'!H:H))</f>
        <v/>
      </c>
      <c r="U27" s="38" t="n"/>
      <c r="V27" s="38" t="n"/>
      <c r="W27" s="38" t="n"/>
      <c r="X27" s="38" t="n"/>
      <c r="Y27" s="38" t="n"/>
      <c r="Z27" s="38" t="n"/>
      <c r="AA27" s="36">
        <f>SUM(O27:U27)</f>
        <v/>
      </c>
      <c r="AB27" s="36">
        <f>SUM(O27:Z27)</f>
        <v/>
      </c>
      <c r="AC27" s="38" t="n"/>
      <c r="AD27" s="38" t="n"/>
      <c r="AE27" s="38" t="n"/>
      <c r="AF27" s="38" t="n"/>
      <c r="AG27" s="38" t="n"/>
      <c r="AH27" s="38" t="n"/>
      <c r="AI27" s="8" t="n"/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62.78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5" t="n">
        <v>0</v>
      </c>
      <c r="I28" s="35" t="n">
        <v>0</v>
      </c>
      <c r="J28" s="35" t="n">
        <v>0</v>
      </c>
      <c r="K28" s="35" t="n">
        <v>0</v>
      </c>
      <c r="L28" s="35" t="n">
        <v>0</v>
      </c>
      <c r="M28" s="35" t="n">
        <v>0</v>
      </c>
      <c r="N28" s="36">
        <f>SUM(B28:M28)</f>
        <v/>
      </c>
      <c r="O28" s="37">
        <f>SUMIF('XCCL Blank TB'!$R:$R,'CCL HO P&amp;L'!$A28,'XCCL Blank TB'!C:C)+(SUMIF('XCCL HO TB'!$R:$R,'CCL HO P&amp;L'!$A28,'XCCL HO TB'!C:C))</f>
        <v/>
      </c>
      <c r="P28" s="37">
        <f>SUMIF('XCCL Blank TB'!$R:$R,'CCL HO P&amp;L'!$A28,'XCCL Blank TB'!D:D)+(SUMIF('XCCL HO TB'!$R:$R,'CCL HO P&amp;L'!$A28,'XCCL HO TB'!D:D))</f>
        <v/>
      </c>
      <c r="Q28" s="37">
        <f>SUMIF('XCCL Blank TB'!$R:$R,'CCL HO P&amp;L'!$A28,'XCCL Blank TB'!E:E)+(SUMIF('XCCL HO TB'!$R:$R,'CCL HO P&amp;L'!$A28,'XCCL HO TB'!E:E))</f>
        <v/>
      </c>
      <c r="R28" s="37">
        <f>SUMIF('XCCL Blank TB'!$R:$R,'CCL HO P&amp;L'!$A28,'XCCL Blank TB'!F:F)+(SUMIF('XCCL HO TB'!$R:$R,'CCL HO P&amp;L'!$A28,'XCCL HO TB'!F:F))</f>
        <v/>
      </c>
      <c r="S28" s="37">
        <f>SUMIF('XCCL Blank TB'!$R:$R,'CCL HO P&amp;L'!$A28,'XCCL Blank TB'!G:G)+(SUMIF('XCCL HO TB'!$R:$R,'CCL HO P&amp;L'!$A28,'XCCL HO TB'!G:G))</f>
        <v/>
      </c>
      <c r="T28" s="37">
        <f>SUMIF('XCCL Blank TB'!$R:$R,'CCL HO P&amp;L'!$A28,'XCCL Blank TB'!H:H)+(SUMIF('XCCL HO TB'!$R:$R,'CCL HO P&amp;L'!$A28,'XCCL HO TB'!H:H))</f>
        <v/>
      </c>
      <c r="U28" s="38" t="n"/>
      <c r="V28" s="38" t="n"/>
      <c r="W28" s="38" t="n"/>
      <c r="X28" s="38" t="n"/>
      <c r="Y28" s="38" t="n"/>
      <c r="Z28" s="38" t="n"/>
      <c r="AA28" s="36">
        <f>SUM(O28:U28)</f>
        <v/>
      </c>
      <c r="AB28" s="36">
        <f>SUM(O28:Z28)</f>
        <v/>
      </c>
      <c r="AC28" s="38" t="n"/>
      <c r="AD28" s="38" t="n"/>
      <c r="AE28" s="38" t="n"/>
      <c r="AF28" s="38" t="n"/>
      <c r="AG28" s="38" t="n"/>
      <c r="AH28" s="38" t="n"/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165.27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5" t="n">
        <v>0</v>
      </c>
      <c r="J29" s="35" t="n">
        <v>0</v>
      </c>
      <c r="K29" s="35" t="n">
        <v>0</v>
      </c>
      <c r="L29" s="35" t="n">
        <v>0</v>
      </c>
      <c r="M29" s="35" t="n">
        <v>0</v>
      </c>
      <c r="N29" s="36">
        <f>SUM(B29:M29)</f>
        <v/>
      </c>
      <c r="O29" s="37">
        <f>SUMIF('XCCL Blank TB'!$R:$R,'CCL HO P&amp;L'!$A29,'XCCL Blank TB'!C:C)+(SUMIF('XCCL HO TB'!$R:$R,'CCL HO P&amp;L'!$A29,'XCCL HO TB'!C:C))</f>
        <v/>
      </c>
      <c r="P29" s="37">
        <f>SUMIF('XCCL Blank TB'!$R:$R,'CCL HO P&amp;L'!$A29,'XCCL Blank TB'!D:D)+(SUMIF('XCCL HO TB'!$R:$R,'CCL HO P&amp;L'!$A29,'XCCL HO TB'!D:D))</f>
        <v/>
      </c>
      <c r="Q29" s="37">
        <f>SUMIF('XCCL Blank TB'!$R:$R,'CCL HO P&amp;L'!$A29,'XCCL Blank TB'!E:E)+(SUMIF('XCCL HO TB'!$R:$R,'CCL HO P&amp;L'!$A29,'XCCL HO TB'!E:E))</f>
        <v/>
      </c>
      <c r="R29" s="37">
        <f>SUMIF('XCCL Blank TB'!$R:$R,'CCL HO P&amp;L'!$A29,'XCCL Blank TB'!F:F)+(SUMIF('XCCL HO TB'!$R:$R,'CCL HO P&amp;L'!$A29,'XCCL HO TB'!F:F))</f>
        <v/>
      </c>
      <c r="S29" s="37">
        <f>SUMIF('XCCL Blank TB'!$R:$R,'CCL HO P&amp;L'!$A29,'XCCL Blank TB'!G:G)+(SUMIF('XCCL HO TB'!$R:$R,'CCL HO P&amp;L'!$A29,'XCCL HO TB'!G:G))</f>
        <v/>
      </c>
      <c r="T29" s="37">
        <f>SUMIF('XCCL Blank TB'!$R:$R,'CCL HO P&amp;L'!$A29,'XCCL Blank TB'!H:H)+(SUMIF('XCCL HO TB'!$R:$R,'CCL HO P&amp;L'!$A29,'XCCL HO TB'!H:H))</f>
        <v/>
      </c>
      <c r="U29" s="38" t="n"/>
      <c r="V29" s="38" t="n"/>
      <c r="W29" s="38" t="n"/>
      <c r="X29" s="38" t="n"/>
      <c r="Y29" s="38" t="n"/>
      <c r="Z29" s="38" t="n"/>
      <c r="AA29" s="36">
        <f>SUM(O29:U29)</f>
        <v/>
      </c>
      <c r="AB29" s="36">
        <f>SUM(O29:Z29)</f>
        <v/>
      </c>
      <c r="AC29" s="38" t="n"/>
      <c r="AD29" s="38" t="n"/>
      <c r="AE29" s="38" t="n"/>
      <c r="AF29" s="38" t="n"/>
      <c r="AG29" s="38" t="n"/>
      <c r="AH29" s="38" t="n"/>
      <c r="AI29" s="8" t="n"/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SUMIF('XCCL Blank TB'!$R:$R,'CCL HO P&amp;L'!$A30,'XCCL Blank TB'!C:C)+(SUMIF('XCCL HO TB'!$R:$R,'CCL HO P&amp;L'!$A30,'XCCL HO TB'!C:C))</f>
        <v/>
      </c>
      <c r="P30" s="37">
        <f>SUMIF('XCCL Blank TB'!$R:$R,'CCL HO P&amp;L'!$A30,'XCCL Blank TB'!D:D)+(SUMIF('XCCL HO TB'!$R:$R,'CCL HO P&amp;L'!$A30,'XCCL HO TB'!D:D))</f>
        <v/>
      </c>
      <c r="Q30" s="37">
        <f>SUMIF('XCCL Blank TB'!$R:$R,'CCL HO P&amp;L'!$A30,'XCCL Blank TB'!E:E)+(SUMIF('XCCL HO TB'!$R:$R,'CCL HO P&amp;L'!$A30,'XCCL HO TB'!E:E))</f>
        <v/>
      </c>
      <c r="R30" s="37">
        <f>SUMIF('XCCL Blank TB'!$R:$R,'CCL HO P&amp;L'!$A30,'XCCL Blank TB'!F:F)+(SUMIF('XCCL HO TB'!$R:$R,'CCL HO P&amp;L'!$A30,'XCCL HO TB'!F:F))</f>
        <v/>
      </c>
      <c r="S30" s="37">
        <f>SUMIF('XCCL Blank TB'!$R:$R,'CCL HO P&amp;L'!$A30,'XCCL Blank TB'!G:G)+(SUMIF('XCCL HO TB'!$R:$R,'CCL HO P&amp;L'!$A30,'XCCL HO TB'!G:G))</f>
        <v/>
      </c>
      <c r="T30" s="37">
        <f>SUMIF('XCCL Blank TB'!$R:$R,'CCL HO P&amp;L'!$A30,'XCCL Blank TB'!H:H)+(SUMIF('XCCL HO TB'!$R:$R,'CCL HO P&amp;L'!$A30,'XCCL HO TB'!H:H))</f>
        <v/>
      </c>
      <c r="U30" s="38" t="n"/>
      <c r="V30" s="38" t="n"/>
      <c r="W30" s="38" t="n"/>
      <c r="X30" s="38" t="n"/>
      <c r="Y30" s="38" t="n"/>
      <c r="Z30" s="38" t="n"/>
      <c r="AA30" s="36">
        <f>SUM(O30:U30)</f>
        <v/>
      </c>
      <c r="AB30" s="36">
        <f>SUM(O30:Z30)</f>
        <v/>
      </c>
      <c r="AC30" s="38" t="n"/>
      <c r="AD30" s="38" t="n"/>
      <c r="AE30" s="38" t="n"/>
      <c r="AF30" s="38" t="n"/>
      <c r="AG30" s="38" t="n"/>
      <c r="AH30" s="38" t="n"/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0</v>
      </c>
      <c r="C31" s="35" t="n">
        <v>0</v>
      </c>
      <c r="D31" s="35" t="n">
        <v>0</v>
      </c>
      <c r="E31" s="35" t="n">
        <v>0</v>
      </c>
      <c r="F31" s="35" t="n">
        <v>0</v>
      </c>
      <c r="G31" s="35" t="n">
        <v>0</v>
      </c>
      <c r="H31" s="35" t="n">
        <v>0</v>
      </c>
      <c r="I31" s="35" t="n">
        <v>0</v>
      </c>
      <c r="J31" s="35" t="n">
        <v>0</v>
      </c>
      <c r="K31" s="35" t="n">
        <v>47.98</v>
      </c>
      <c r="L31" s="35" t="n">
        <v>0</v>
      </c>
      <c r="M31" s="35" t="n">
        <v>0</v>
      </c>
      <c r="N31" s="36">
        <f>SUM(B31:M31)</f>
        <v/>
      </c>
      <c r="O31" s="37">
        <f>SUMIF('XCCL Blank TB'!$R:$R,'CCL HO P&amp;L'!$A31,'XCCL Blank TB'!C:C)+(SUMIF('XCCL HO TB'!$R:$R,'CCL HO P&amp;L'!$A31,'XCCL HO TB'!C:C))</f>
        <v/>
      </c>
      <c r="P31" s="37">
        <f>SUMIF('XCCL Blank TB'!$R:$R,'CCL HO P&amp;L'!$A31,'XCCL Blank TB'!D:D)+(SUMIF('XCCL HO TB'!$R:$R,'CCL HO P&amp;L'!$A31,'XCCL HO TB'!D:D))</f>
        <v/>
      </c>
      <c r="Q31" s="37">
        <f>SUMIF('XCCL Blank TB'!$R:$R,'CCL HO P&amp;L'!$A31,'XCCL Blank TB'!E:E)+(SUMIF('XCCL HO TB'!$R:$R,'CCL HO P&amp;L'!$A31,'XCCL HO TB'!E:E))</f>
        <v/>
      </c>
      <c r="R31" s="37">
        <f>SUMIF('XCCL Blank TB'!$R:$R,'CCL HO P&amp;L'!$A31,'XCCL Blank TB'!F:F)+(SUMIF('XCCL HO TB'!$R:$R,'CCL HO P&amp;L'!$A31,'XCCL HO TB'!F:F))</f>
        <v/>
      </c>
      <c r="S31" s="37">
        <f>SUMIF('XCCL Blank TB'!$R:$R,'CCL HO P&amp;L'!$A31,'XCCL Blank TB'!G:G)+(SUMIF('XCCL HO TB'!$R:$R,'CCL HO P&amp;L'!$A31,'XCCL HO TB'!G:G))</f>
        <v/>
      </c>
      <c r="T31" s="37">
        <f>SUMIF('XCCL Blank TB'!$R:$R,'CCL HO P&amp;L'!$A31,'XCCL Blank TB'!H:H)+(SUMIF('XCCL HO TB'!$R:$R,'CCL HO P&amp;L'!$A31,'XCCL HO TB'!H:H))</f>
        <v/>
      </c>
      <c r="U31" s="38" t="n"/>
      <c r="V31" s="38" t="n"/>
      <c r="W31" s="38" t="n"/>
      <c r="X31" s="38" t="n"/>
      <c r="Y31" s="38" t="n"/>
      <c r="Z31" s="38" t="n"/>
      <c r="AA31" s="36">
        <f>SUM(O31:U31)</f>
        <v/>
      </c>
      <c r="AB31" s="36">
        <f>SUM(O31:Z31)</f>
        <v/>
      </c>
      <c r="AC31" s="38" t="n"/>
      <c r="AD31" s="38" t="n"/>
      <c r="AE31" s="38" t="n"/>
      <c r="AF31" s="38" t="n"/>
      <c r="AG31" s="38" t="n"/>
      <c r="AH31" s="38" t="n"/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0</v>
      </c>
      <c r="C32" s="35" t="n">
        <v>0</v>
      </c>
      <c r="D32" s="35" t="n">
        <v>0</v>
      </c>
      <c r="E32" s="35" t="n">
        <v>0</v>
      </c>
      <c r="F32" s="35" t="n">
        <v>0</v>
      </c>
      <c r="G32" s="35" t="n">
        <v>0</v>
      </c>
      <c r="H32" s="35" t="n">
        <v>0</v>
      </c>
      <c r="I32" s="35" t="n">
        <v>0</v>
      </c>
      <c r="J32" s="35" t="n">
        <v>0</v>
      </c>
      <c r="K32" s="35" t="n">
        <v>0</v>
      </c>
      <c r="L32" s="35" t="n">
        <v>0</v>
      </c>
      <c r="M32" s="35" t="n">
        <v>0</v>
      </c>
      <c r="N32" s="36">
        <f>SUM(B32:M32)</f>
        <v/>
      </c>
      <c r="O32" s="37">
        <f>SUMIF('XCCL Blank TB'!$R:$R,'CCL HO P&amp;L'!$A32,'XCCL Blank TB'!C:C)+(SUMIF('XCCL HO TB'!$R:$R,'CCL HO P&amp;L'!$A32,'XCCL HO TB'!C:C))</f>
        <v/>
      </c>
      <c r="P32" s="37">
        <f>SUMIF('XCCL Blank TB'!$R:$R,'CCL HO P&amp;L'!$A32,'XCCL Blank TB'!D:D)+(SUMIF('XCCL HO TB'!$R:$R,'CCL HO P&amp;L'!$A32,'XCCL HO TB'!D:D))</f>
        <v/>
      </c>
      <c r="Q32" s="37">
        <f>SUMIF('XCCL Blank TB'!$R:$R,'CCL HO P&amp;L'!$A32,'XCCL Blank TB'!E:E)+(SUMIF('XCCL HO TB'!$R:$R,'CCL HO P&amp;L'!$A32,'XCCL HO TB'!E:E))</f>
        <v/>
      </c>
      <c r="R32" s="37">
        <f>SUMIF('XCCL Blank TB'!$R:$R,'CCL HO P&amp;L'!$A32,'XCCL Blank TB'!F:F)+(SUMIF('XCCL HO TB'!$R:$R,'CCL HO P&amp;L'!$A32,'XCCL HO TB'!F:F))</f>
        <v/>
      </c>
      <c r="S32" s="37">
        <f>SUMIF('XCCL Blank TB'!$R:$R,'CCL HO P&amp;L'!$A32,'XCCL Blank TB'!G:G)+(SUMIF('XCCL HO TB'!$R:$R,'CCL HO P&amp;L'!$A32,'XCCL HO TB'!G:G))</f>
        <v/>
      </c>
      <c r="T32" s="37">
        <f>SUMIF('XCCL Blank TB'!$R:$R,'CCL HO P&amp;L'!$A32,'XCCL Blank TB'!H:H)+(SUMIF('XCCL HO TB'!$R:$R,'CCL HO P&amp;L'!$A32,'XCCL HO TB'!H:H))</f>
        <v/>
      </c>
      <c r="U32" s="38" t="n"/>
      <c r="V32" s="38" t="n"/>
      <c r="W32" s="38" t="n"/>
      <c r="X32" s="38" t="n"/>
      <c r="Y32" s="38" t="n"/>
      <c r="Z32" s="38" t="n"/>
      <c r="AA32" s="36">
        <f>SUM(O32:U32)</f>
        <v/>
      </c>
      <c r="AB32" s="36">
        <f>SUM(O32:Z32)</f>
        <v/>
      </c>
      <c r="AC32" s="38" t="n"/>
      <c r="AD32" s="38" t="n"/>
      <c r="AE32" s="38" t="n"/>
      <c r="AF32" s="38" t="n"/>
      <c r="AG32" s="38" t="n"/>
      <c r="AH32" s="38" t="n"/>
      <c r="AI32" s="8" t="n"/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SUMIF('XCCL Blank TB'!$R:$R,'CCL HO P&amp;L'!$A33,'XCCL Blank TB'!C:C)+(SUMIF('XCCL HO TB'!$R:$R,'CCL HO P&amp;L'!$A33,'XCCL HO TB'!C:C))</f>
        <v/>
      </c>
      <c r="P33" s="37">
        <f>SUMIF('XCCL Blank TB'!$R:$R,'CCL HO P&amp;L'!$A33,'XCCL Blank TB'!D:D)+(SUMIF('XCCL HO TB'!$R:$R,'CCL HO P&amp;L'!$A33,'XCCL HO TB'!D:D))</f>
        <v/>
      </c>
      <c r="Q33" s="37">
        <f>SUMIF('XCCL Blank TB'!$R:$R,'CCL HO P&amp;L'!$A33,'XCCL Blank TB'!E:E)+(SUMIF('XCCL HO TB'!$R:$R,'CCL HO P&amp;L'!$A33,'XCCL HO TB'!E:E))</f>
        <v/>
      </c>
      <c r="R33" s="37">
        <f>SUMIF('XCCL Blank TB'!$R:$R,'CCL HO P&amp;L'!$A33,'XCCL Blank TB'!F:F)+(SUMIF('XCCL HO TB'!$R:$R,'CCL HO P&amp;L'!$A33,'XCCL HO TB'!F:F))</f>
        <v/>
      </c>
      <c r="S33" s="37">
        <f>SUMIF('XCCL Blank TB'!$R:$R,'CCL HO P&amp;L'!$A33,'XCCL Blank TB'!G:G)+(SUMIF('XCCL HO TB'!$R:$R,'CCL HO P&amp;L'!$A33,'XCCL HO TB'!G:G))</f>
        <v/>
      </c>
      <c r="T33" s="37">
        <f>SUMIF('XCCL Blank TB'!$R:$R,'CCL HO P&amp;L'!$A33,'XCCL Blank TB'!H:H)+(SUMIF('XCCL HO TB'!$R:$R,'CCL HO P&amp;L'!$A33,'XCCL HO TB'!H:H))</f>
        <v/>
      </c>
      <c r="U33" s="38" t="n"/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228.05</v>
      </c>
      <c r="C34" s="42" t="n">
        <v>0</v>
      </c>
      <c r="D34" s="42" t="n">
        <v>0</v>
      </c>
      <c r="E34" s="42" t="n">
        <v>0</v>
      </c>
      <c r="F34" s="42" t="n">
        <v>0</v>
      </c>
      <c r="G34" s="42" t="n">
        <v>0</v>
      </c>
      <c r="H34" s="42" t="n">
        <v>20.97</v>
      </c>
      <c r="I34" s="42" t="n">
        <v>0</v>
      </c>
      <c r="J34" s="42" t="n">
        <v>0</v>
      </c>
      <c r="K34" s="42" t="n">
        <v>47.98</v>
      </c>
      <c r="L34" s="42" t="n">
        <v>0</v>
      </c>
      <c r="M34" s="42" t="n">
        <v>0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5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 t="n"/>
      <c r="AD34" s="45" t="n"/>
      <c r="AE34" s="45" t="n"/>
      <c r="AF34" s="45" t="n"/>
      <c r="AG34" s="45" t="n"/>
      <c r="AH34" s="45" t="n"/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2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SUMIF('XCCL Blank TB'!$R:$R,'CCL HO P&amp;L'!$A36,'XCCL Blank TB'!C:C)+(SUMIF('XCCL HO TB'!$R:$R,'CCL HO P&amp;L'!$A36,'XCCL HO TB'!C:C))</f>
        <v/>
      </c>
      <c r="P36" s="37">
        <f>SUMIF('XCCL Blank TB'!$R:$R,'CCL HO P&amp;L'!$A36,'XCCL Blank TB'!D:D)+(SUMIF('XCCL HO TB'!$R:$R,'CCL HO P&amp;L'!$A36,'XCCL HO TB'!D:D))</f>
        <v/>
      </c>
      <c r="Q36" s="37">
        <f>SUMIF('XCCL Blank TB'!$R:$R,'CCL HO P&amp;L'!$A36,'XCCL Blank TB'!E:E)+(SUMIF('XCCL HO TB'!$R:$R,'CCL HO P&amp;L'!$A36,'XCCL HO TB'!E:E))</f>
        <v/>
      </c>
      <c r="R36" s="37">
        <f>SUMIF('XCCL Blank TB'!$R:$R,'CCL HO P&amp;L'!$A36,'XCCL Blank TB'!F:F)+(SUMIF('XCCL HO TB'!$R:$R,'CCL HO P&amp;L'!$A36,'XCCL HO TB'!F:F))</f>
        <v/>
      </c>
      <c r="S36" s="37">
        <f>SUMIF('XCCL Blank TB'!$R:$R,'CCL HO P&amp;L'!$A36,'XCCL Blank TB'!G:G)+(SUMIF('XCCL HO TB'!$R:$R,'CCL HO P&amp;L'!$A36,'XCCL HO TB'!G:G))</f>
        <v/>
      </c>
      <c r="T36" s="37">
        <f>SUMIF('XCCL Blank TB'!$R:$R,'CCL HO P&amp;L'!$A36,'XCCL Blank TB'!H:H)+(SUMIF('XCCL HO TB'!$R:$R,'CCL HO P&amp;L'!$A36,'XCCL HO TB'!H:H))</f>
        <v/>
      </c>
      <c r="U36" s="38" t="n"/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0</v>
      </c>
      <c r="C37" s="35" t="n">
        <v>0</v>
      </c>
      <c r="D37" s="35" t="n">
        <v>0</v>
      </c>
      <c r="E37" s="35" t="n">
        <v>0</v>
      </c>
      <c r="F37" s="35" t="n">
        <v>0</v>
      </c>
      <c r="G37" s="35" t="n">
        <v>0</v>
      </c>
      <c r="H37" s="35" t="n">
        <v>0</v>
      </c>
      <c r="I37" s="35" t="n">
        <v>0</v>
      </c>
      <c r="J37" s="35" t="n">
        <v>0</v>
      </c>
      <c r="K37" s="35" t="n">
        <v>0</v>
      </c>
      <c r="L37" s="35" t="n">
        <v>0</v>
      </c>
      <c r="M37" s="35" t="n">
        <v>0</v>
      </c>
      <c r="N37" s="36">
        <f>SUM(B37:M37)</f>
        <v/>
      </c>
      <c r="O37" s="37">
        <f>SUMIF('XCCL Blank TB'!$R:$R,'CCL HO P&amp;L'!$A37,'XCCL Blank TB'!C:C)+(SUMIF('XCCL HO TB'!$R:$R,'CCL HO P&amp;L'!$A37,'XCCL HO TB'!C:C))</f>
        <v/>
      </c>
      <c r="P37" s="37">
        <f>SUMIF('XCCL Blank TB'!$R:$R,'CCL HO P&amp;L'!$A37,'XCCL Blank TB'!D:D)+(SUMIF('XCCL HO TB'!$R:$R,'CCL HO P&amp;L'!$A37,'XCCL HO TB'!D:D))</f>
        <v/>
      </c>
      <c r="Q37" s="37">
        <f>SUMIF('XCCL Blank TB'!$R:$R,'CCL HO P&amp;L'!$A37,'XCCL Blank TB'!E:E)+(SUMIF('XCCL HO TB'!$R:$R,'CCL HO P&amp;L'!$A37,'XCCL HO TB'!E:E))</f>
        <v/>
      </c>
      <c r="R37" s="37">
        <f>SUMIF('XCCL Blank TB'!$R:$R,'CCL HO P&amp;L'!$A37,'XCCL Blank TB'!F:F)+(SUMIF('XCCL HO TB'!$R:$R,'CCL HO P&amp;L'!$A37,'XCCL HO TB'!F:F))</f>
        <v/>
      </c>
      <c r="S37" s="37">
        <f>SUMIF('XCCL Blank TB'!$R:$R,'CCL HO P&amp;L'!$A37,'XCCL Blank TB'!G:G)+(SUMIF('XCCL HO TB'!$R:$R,'CCL HO P&amp;L'!$A37,'XCCL HO TB'!G:G))</f>
        <v/>
      </c>
      <c r="T37" s="37">
        <f>SUMIF('XCCL Blank TB'!$R:$R,'CCL HO P&amp;L'!$A37,'XCCL Blank TB'!H:H)+(SUMIF('XCCL HO TB'!$R:$R,'CCL HO P&amp;L'!$A37,'XCCL HO TB'!H:H))</f>
        <v/>
      </c>
      <c r="U37" s="38" t="n"/>
      <c r="V37" s="38" t="n"/>
      <c r="W37" s="38" t="n"/>
      <c r="X37" s="38" t="n"/>
      <c r="Y37" s="38" t="n"/>
      <c r="Z37" s="38" t="n"/>
      <c r="AA37" s="36">
        <f>SUM(O37:U37)</f>
        <v/>
      </c>
      <c r="AB37" s="36">
        <f>SUM(O37:Z37)</f>
        <v/>
      </c>
      <c r="AC37" s="38" t="n"/>
      <c r="AD37" s="38" t="n"/>
      <c r="AE37" s="38" t="n"/>
      <c r="AF37" s="38" t="n"/>
      <c r="AG37" s="38" t="n"/>
      <c r="AH37" s="38" t="n"/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0</v>
      </c>
      <c r="C38" s="35" t="n">
        <v>0</v>
      </c>
      <c r="D38" s="35" t="n">
        <v>0</v>
      </c>
      <c r="E38" s="35" t="n">
        <v>0</v>
      </c>
      <c r="F38" s="35" t="n">
        <v>3705.06</v>
      </c>
      <c r="G38" s="35" t="n">
        <v>0</v>
      </c>
      <c r="H38" s="35" t="n">
        <v>0</v>
      </c>
      <c r="I38" s="35" t="n">
        <v>1930.97</v>
      </c>
      <c r="J38" s="35" t="n">
        <v>0</v>
      </c>
      <c r="K38" s="35" t="n">
        <v>0</v>
      </c>
      <c r="L38" s="35" t="n">
        <v>0</v>
      </c>
      <c r="M38" s="35" t="n">
        <v>0</v>
      </c>
      <c r="N38" s="36">
        <f>SUM(B38:M38)</f>
        <v/>
      </c>
      <c r="O38" s="37">
        <f>SUMIF('XCCL Blank TB'!$R:$R,'CCL HO P&amp;L'!$A38,'XCCL Blank TB'!C:C)+(SUMIF('XCCL HO TB'!$R:$R,'CCL HO P&amp;L'!$A38,'XCCL HO TB'!C:C))</f>
        <v/>
      </c>
      <c r="P38" s="37">
        <f>SUMIF('XCCL Blank TB'!$R:$R,'CCL HO P&amp;L'!$A38,'XCCL Blank TB'!D:D)+(SUMIF('XCCL HO TB'!$R:$R,'CCL HO P&amp;L'!$A38,'XCCL HO TB'!D:D))</f>
        <v/>
      </c>
      <c r="Q38" s="37">
        <f>SUMIF('XCCL Blank TB'!$R:$R,'CCL HO P&amp;L'!$A38,'XCCL Blank TB'!E:E)+(SUMIF('XCCL HO TB'!$R:$R,'CCL HO P&amp;L'!$A38,'XCCL HO TB'!E:E))</f>
        <v/>
      </c>
      <c r="R38" s="37">
        <f>SUMIF('XCCL Blank TB'!$R:$R,'CCL HO P&amp;L'!$A38,'XCCL Blank TB'!F:F)+(SUMIF('XCCL HO TB'!$R:$R,'CCL HO P&amp;L'!$A38,'XCCL HO TB'!F:F))</f>
        <v/>
      </c>
      <c r="S38" s="37">
        <f>SUMIF('XCCL Blank TB'!$R:$R,'CCL HO P&amp;L'!$A38,'XCCL Blank TB'!G:G)+(SUMIF('XCCL HO TB'!$R:$R,'CCL HO P&amp;L'!$A38,'XCCL HO TB'!G:G))</f>
        <v/>
      </c>
      <c r="T38" s="37">
        <f>SUMIF('XCCL Blank TB'!$R:$R,'CCL HO P&amp;L'!$A38,'XCCL Blank TB'!H:H)+(SUMIF('XCCL HO TB'!$R:$R,'CCL HO P&amp;L'!$A38,'XCCL HO TB'!H:H))</f>
        <v/>
      </c>
      <c r="U38" s="38" t="n"/>
      <c r="V38" s="38" t="n"/>
      <c r="W38" s="38" t="n"/>
      <c r="X38" s="38" t="n"/>
      <c r="Y38" s="38" t="n"/>
      <c r="Z38" s="38" t="n"/>
      <c r="AA38" s="36">
        <f>SUM(O38:U38)</f>
        <v/>
      </c>
      <c r="AB38" s="36">
        <f>SUM(O38:Z38)</f>
        <v/>
      </c>
      <c r="AC38" s="38" t="n"/>
      <c r="AD38" s="38" t="n"/>
      <c r="AE38" s="38" t="n"/>
      <c r="AF38" s="38" t="n"/>
      <c r="AG38" s="38" t="n"/>
      <c r="AH38" s="38" t="n"/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0</v>
      </c>
      <c r="C39" s="35" t="n">
        <v>120</v>
      </c>
      <c r="D39" s="35" t="n">
        <v>42</v>
      </c>
      <c r="E39" s="35" t="n">
        <v>0</v>
      </c>
      <c r="F39" s="35" t="n">
        <v>0</v>
      </c>
      <c r="G39" s="35" t="n">
        <v>15</v>
      </c>
      <c r="H39" s="35" t="n">
        <v>0</v>
      </c>
      <c r="I39" s="35" t="n">
        <v>0</v>
      </c>
      <c r="J39" s="35" t="n">
        <v>68.48999999999999</v>
      </c>
      <c r="K39" s="35" t="n">
        <v>405</v>
      </c>
      <c r="L39" s="35" t="n">
        <v>0</v>
      </c>
      <c r="M39" s="35" t="n">
        <v>0</v>
      </c>
      <c r="N39" s="36">
        <f>SUM(B39:M39)</f>
        <v/>
      </c>
      <c r="O39" s="37">
        <f>SUMIF('XCCL Blank TB'!$R:$R,'CCL HO P&amp;L'!$A39,'XCCL Blank TB'!C:C)+(SUMIF('XCCL HO TB'!$R:$R,'CCL HO P&amp;L'!$A39,'XCCL HO TB'!C:C))</f>
        <v/>
      </c>
      <c r="P39" s="37">
        <f>SUMIF('XCCL Blank TB'!$R:$R,'CCL HO P&amp;L'!$A39,'XCCL Blank TB'!D:D)+(SUMIF('XCCL HO TB'!$R:$R,'CCL HO P&amp;L'!$A39,'XCCL HO TB'!D:D))</f>
        <v/>
      </c>
      <c r="Q39" s="37">
        <f>SUMIF('XCCL Blank TB'!$R:$R,'CCL HO P&amp;L'!$A39,'XCCL Blank TB'!E:E)+(SUMIF('XCCL HO TB'!$R:$R,'CCL HO P&amp;L'!$A39,'XCCL HO TB'!E:E))</f>
        <v/>
      </c>
      <c r="R39" s="37">
        <f>SUMIF('XCCL Blank TB'!$R:$R,'CCL HO P&amp;L'!$A39,'XCCL Blank TB'!F:F)+(SUMIF('XCCL HO TB'!$R:$R,'CCL HO P&amp;L'!$A39,'XCCL HO TB'!F:F))</f>
        <v/>
      </c>
      <c r="S39" s="37">
        <f>SUMIF('XCCL Blank TB'!$R:$R,'CCL HO P&amp;L'!$A39,'XCCL Blank TB'!G:G)+(SUMIF('XCCL HO TB'!$R:$R,'CCL HO P&amp;L'!$A39,'XCCL HO TB'!G:G))</f>
        <v/>
      </c>
      <c r="T39" s="37">
        <f>SUMIF('XCCL Blank TB'!$R:$R,'CCL HO P&amp;L'!$A39,'XCCL Blank TB'!H:H)+(SUMIF('XCCL HO TB'!$R:$R,'CCL HO P&amp;L'!$A39,'XCCL HO TB'!H:H))</f>
        <v/>
      </c>
      <c r="U39" s="38" t="n"/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0</v>
      </c>
      <c r="C40" s="35" t="n">
        <v>0</v>
      </c>
      <c r="D40" s="35" t="n">
        <v>0</v>
      </c>
      <c r="E40" s="35" t="n">
        <v>0</v>
      </c>
      <c r="F40" s="35" t="n">
        <v>0</v>
      </c>
      <c r="G40" s="35" t="n">
        <v>0</v>
      </c>
      <c r="H40" s="35" t="n">
        <v>0</v>
      </c>
      <c r="I40" s="35" t="n">
        <v>0</v>
      </c>
      <c r="J40" s="35" t="n">
        <v>0</v>
      </c>
      <c r="K40" s="35" t="n">
        <v>0</v>
      </c>
      <c r="L40" s="35" t="n">
        <v>0</v>
      </c>
      <c r="M40" s="35" t="n">
        <v>0</v>
      </c>
      <c r="N40" s="36">
        <f>SUM(B40:M40)</f>
        <v/>
      </c>
      <c r="O40" s="37">
        <f>SUMIF('XCCL Blank TB'!$R:$R,'CCL HO P&amp;L'!$A40,'XCCL Blank TB'!C:C)+(SUMIF('XCCL HO TB'!$R:$R,'CCL HO P&amp;L'!$A40,'XCCL HO TB'!C:C))</f>
        <v/>
      </c>
      <c r="P40" s="37">
        <f>SUMIF('XCCL Blank TB'!$R:$R,'CCL HO P&amp;L'!$A40,'XCCL Blank TB'!D:D)+(SUMIF('XCCL HO TB'!$R:$R,'CCL HO P&amp;L'!$A40,'XCCL HO TB'!D:D))</f>
        <v/>
      </c>
      <c r="Q40" s="37">
        <f>SUMIF('XCCL Blank TB'!$R:$R,'CCL HO P&amp;L'!$A40,'XCCL Blank TB'!E:E)+(SUMIF('XCCL HO TB'!$R:$R,'CCL HO P&amp;L'!$A40,'XCCL HO TB'!E:E))</f>
        <v/>
      </c>
      <c r="R40" s="37">
        <f>SUMIF('XCCL Blank TB'!$R:$R,'CCL HO P&amp;L'!$A40,'XCCL Blank TB'!F:F)+(SUMIF('XCCL HO TB'!$R:$R,'CCL HO P&amp;L'!$A40,'XCCL HO TB'!F:F))</f>
        <v/>
      </c>
      <c r="S40" s="37">
        <f>SUMIF('XCCL Blank TB'!$R:$R,'CCL HO P&amp;L'!$A40,'XCCL Blank TB'!G:G)+(SUMIF('XCCL HO TB'!$R:$R,'CCL HO P&amp;L'!$A40,'XCCL HO TB'!G:G))</f>
        <v/>
      </c>
      <c r="T40" s="37">
        <f>SUMIF('XCCL Blank TB'!$R:$R,'CCL HO P&amp;L'!$A40,'XCCL Blank TB'!H:H)+(SUMIF('XCCL HO TB'!$R:$R,'CCL HO P&amp;L'!$A40,'XCCL HO TB'!H:H))</f>
        <v/>
      </c>
      <c r="U40" s="38" t="n"/>
      <c r="V40" s="38" t="n"/>
      <c r="W40" s="38" t="n"/>
      <c r="X40" s="38" t="n"/>
      <c r="Y40" s="38" t="n"/>
      <c r="Z40" s="38" t="n"/>
      <c r="AA40" s="36">
        <f>SUM(O40:U40)</f>
        <v/>
      </c>
      <c r="AB40" s="36">
        <f>SUM(O40:Z40)</f>
        <v/>
      </c>
      <c r="AC40" s="38" t="n"/>
      <c r="AD40" s="38" t="n"/>
      <c r="AE40" s="38" t="n"/>
      <c r="AF40" s="38" t="n"/>
      <c r="AG40" s="38" t="n"/>
      <c r="AH40" s="38" t="n"/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0</v>
      </c>
      <c r="C41" s="35" t="n">
        <v>0</v>
      </c>
      <c r="D41" s="35" t="n">
        <v>0</v>
      </c>
      <c r="E41" s="35" t="n">
        <v>0</v>
      </c>
      <c r="F41" s="35" t="n">
        <v>0</v>
      </c>
      <c r="G41" s="35" t="n">
        <v>0</v>
      </c>
      <c r="H41" s="35" t="n">
        <v>0</v>
      </c>
      <c r="I41" s="35" t="n">
        <v>0</v>
      </c>
      <c r="J41" s="35" t="n">
        <v>0</v>
      </c>
      <c r="K41" s="35" t="n">
        <v>0</v>
      </c>
      <c r="L41" s="35" t="n">
        <v>0</v>
      </c>
      <c r="M41" s="35" t="n">
        <v>0</v>
      </c>
      <c r="N41" s="36">
        <f>SUM(B41:M41)</f>
        <v/>
      </c>
      <c r="O41" s="37">
        <f>SUMIF('XCCL Blank TB'!$R:$R,'CCL HO P&amp;L'!$A41,'XCCL Blank TB'!C:C)+(SUMIF('XCCL HO TB'!$R:$R,'CCL HO P&amp;L'!$A41,'XCCL HO TB'!C:C))</f>
        <v/>
      </c>
      <c r="P41" s="37">
        <f>SUMIF('XCCL Blank TB'!$R:$R,'CCL HO P&amp;L'!$A41,'XCCL Blank TB'!D:D)+(SUMIF('XCCL HO TB'!$R:$R,'CCL HO P&amp;L'!$A41,'XCCL HO TB'!D:D))</f>
        <v/>
      </c>
      <c r="Q41" s="37">
        <f>SUMIF('XCCL Blank TB'!$R:$R,'CCL HO P&amp;L'!$A41,'XCCL Blank TB'!E:E)+(SUMIF('XCCL HO TB'!$R:$R,'CCL HO P&amp;L'!$A41,'XCCL HO TB'!E:E))</f>
        <v/>
      </c>
      <c r="R41" s="37">
        <f>SUMIF('XCCL Blank TB'!$R:$R,'CCL HO P&amp;L'!$A41,'XCCL Blank TB'!F:F)+(SUMIF('XCCL HO TB'!$R:$R,'CCL HO P&amp;L'!$A41,'XCCL HO TB'!F:F))</f>
        <v/>
      </c>
      <c r="S41" s="37">
        <f>SUMIF('XCCL Blank TB'!$R:$R,'CCL HO P&amp;L'!$A41,'XCCL Blank TB'!G:G)+(SUMIF('XCCL HO TB'!$R:$R,'CCL HO P&amp;L'!$A41,'XCCL HO TB'!G:G))</f>
        <v/>
      </c>
      <c r="T41" s="37">
        <f>SUMIF('XCCL Blank TB'!$R:$R,'CCL HO P&amp;L'!$A41,'XCCL Blank TB'!H:H)+(SUMIF('XCCL HO TB'!$R:$R,'CCL HO P&amp;L'!$A41,'XCCL HO TB'!H:H))</f>
        <v/>
      </c>
      <c r="U41" s="38" t="n"/>
      <c r="V41" s="38" t="n"/>
      <c r="W41" s="38" t="n"/>
      <c r="X41" s="38" t="n"/>
      <c r="Y41" s="38" t="n"/>
      <c r="Z41" s="38" t="n"/>
      <c r="AA41" s="36">
        <f>SUM(O41:U41)</f>
        <v/>
      </c>
      <c r="AB41" s="36">
        <f>SUM(O41:Z41)</f>
        <v/>
      </c>
      <c r="AC41" s="38" t="n"/>
      <c r="AD41" s="38" t="n"/>
      <c r="AE41" s="38" t="n"/>
      <c r="AF41" s="38" t="n"/>
      <c r="AG41" s="38" t="n"/>
      <c r="AH41" s="38" t="n"/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420</v>
      </c>
      <c r="C42" s="35" t="n">
        <v>420</v>
      </c>
      <c r="D42" s="35" t="n">
        <v>420</v>
      </c>
      <c r="E42" s="35" t="n">
        <v>0</v>
      </c>
      <c r="F42" s="35" t="n">
        <v>0</v>
      </c>
      <c r="G42" s="35" t="n">
        <v>0</v>
      </c>
      <c r="H42" s="35" t="n">
        <v>1260</v>
      </c>
      <c r="I42" s="35" t="n">
        <v>0</v>
      </c>
      <c r="J42" s="35" t="n">
        <v>0</v>
      </c>
      <c r="K42" s="35" t="n">
        <v>35.97</v>
      </c>
      <c r="L42" s="35" t="n">
        <v>0</v>
      </c>
      <c r="M42" s="35" t="n">
        <v>0</v>
      </c>
      <c r="N42" s="36">
        <f>SUM(B42:M42)</f>
        <v/>
      </c>
      <c r="O42" s="37">
        <f>SUMIF('XCCL Blank TB'!$R:$R,'CCL HO P&amp;L'!$A42,'XCCL Blank TB'!C:C)+(SUMIF('XCCL HO TB'!$R:$R,'CCL HO P&amp;L'!$A42,'XCCL HO TB'!C:C))</f>
        <v/>
      </c>
      <c r="P42" s="37">
        <f>SUMIF('XCCL Blank TB'!$R:$R,'CCL HO P&amp;L'!$A42,'XCCL Blank TB'!D:D)+(SUMIF('XCCL HO TB'!$R:$R,'CCL HO P&amp;L'!$A42,'XCCL HO TB'!D:D))</f>
        <v/>
      </c>
      <c r="Q42" s="37">
        <f>SUMIF('XCCL Blank TB'!$R:$R,'CCL HO P&amp;L'!$A42,'XCCL Blank TB'!E:E)+(SUMIF('XCCL HO TB'!$R:$R,'CCL HO P&amp;L'!$A42,'XCCL HO TB'!E:E))</f>
        <v/>
      </c>
      <c r="R42" s="37">
        <f>SUMIF('XCCL Blank TB'!$R:$R,'CCL HO P&amp;L'!$A42,'XCCL Blank TB'!F:F)+(SUMIF('XCCL HO TB'!$R:$R,'CCL HO P&amp;L'!$A42,'XCCL HO TB'!F:F))</f>
        <v/>
      </c>
      <c r="S42" s="37">
        <f>SUMIF('XCCL Blank TB'!$R:$R,'CCL HO P&amp;L'!$A42,'XCCL Blank TB'!G:G)+(SUMIF('XCCL HO TB'!$R:$R,'CCL HO P&amp;L'!$A42,'XCCL HO TB'!G:G))</f>
        <v/>
      </c>
      <c r="T42" s="37">
        <f>SUMIF('XCCL Blank TB'!$R:$R,'CCL HO P&amp;L'!$A42,'XCCL Blank TB'!H:H)+(SUMIF('XCCL HO TB'!$R:$R,'CCL HO P&amp;L'!$A42,'XCCL HO TB'!H:H))</f>
        <v/>
      </c>
      <c r="U42" s="38" t="n"/>
      <c r="V42" s="38" t="n"/>
      <c r="W42" s="38" t="n"/>
      <c r="X42" s="38" t="n"/>
      <c r="Y42" s="38" t="n"/>
      <c r="Z42" s="38" t="n"/>
      <c r="AA42" s="36">
        <f>SUM(O42:U42)</f>
        <v/>
      </c>
      <c r="AB42" s="36">
        <f>SUM(O42:Z42)</f>
        <v/>
      </c>
      <c r="AC42" s="38" t="n"/>
      <c r="AD42" s="38" t="n"/>
      <c r="AE42" s="38" t="n"/>
      <c r="AF42" s="38" t="n"/>
      <c r="AG42" s="38" t="n"/>
      <c r="AH42" s="38" t="n"/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4691.72</v>
      </c>
      <c r="C43" s="35" t="n">
        <v>301.64</v>
      </c>
      <c r="D43" s="35" t="n">
        <v>379.31</v>
      </c>
      <c r="E43" s="35" t="n">
        <v>5181.32</v>
      </c>
      <c r="F43" s="35" t="n">
        <v>449.51</v>
      </c>
      <c r="G43" s="35" t="n">
        <v>423.26</v>
      </c>
      <c r="H43" s="35" t="n">
        <v>4906.49</v>
      </c>
      <c r="I43" s="35" t="n">
        <v>843.59</v>
      </c>
      <c r="J43" s="35" t="n">
        <v>1265.45</v>
      </c>
      <c r="K43" s="35" t="n">
        <v>2046.01</v>
      </c>
      <c r="L43" s="35" t="n">
        <v>1891.51</v>
      </c>
      <c r="M43" s="35" t="n">
        <v>1691.85</v>
      </c>
      <c r="N43" s="36">
        <f>SUM(B43:M43)</f>
        <v/>
      </c>
      <c r="O43" s="37">
        <f>SUMIF('XCCL Blank TB'!$R:$R,'CCL HO P&amp;L'!$A43,'XCCL Blank TB'!C:C)+(SUMIF('XCCL HO TB'!$R:$R,'CCL HO P&amp;L'!$A43,'XCCL HO TB'!C:C))</f>
        <v/>
      </c>
      <c r="P43" s="37">
        <f>SUMIF('XCCL Blank TB'!$R:$R,'CCL HO P&amp;L'!$A43,'XCCL Blank TB'!D:D)+(SUMIF('XCCL HO TB'!$R:$R,'CCL HO P&amp;L'!$A43,'XCCL HO TB'!D:D))</f>
        <v/>
      </c>
      <c r="Q43" s="37">
        <f>SUMIF('XCCL Blank TB'!$R:$R,'CCL HO P&amp;L'!$A43,'XCCL Blank TB'!E:E)+(SUMIF('XCCL HO TB'!$R:$R,'CCL HO P&amp;L'!$A43,'XCCL HO TB'!E:E))</f>
        <v/>
      </c>
      <c r="R43" s="37">
        <f>SUMIF('XCCL Blank TB'!$R:$R,'CCL HO P&amp;L'!$A43,'XCCL Blank TB'!F:F)+(SUMIF('XCCL HO TB'!$R:$R,'CCL HO P&amp;L'!$A43,'XCCL HO TB'!F:F))</f>
        <v/>
      </c>
      <c r="S43" s="37">
        <f>SUMIF('XCCL Blank TB'!$R:$R,'CCL HO P&amp;L'!$A43,'XCCL Blank TB'!G:G)+(SUMIF('XCCL HO TB'!$R:$R,'CCL HO P&amp;L'!$A43,'XCCL HO TB'!G:G))</f>
        <v/>
      </c>
      <c r="T43" s="37">
        <f>SUMIF('XCCL Blank TB'!$R:$R,'CCL HO P&amp;L'!$A43,'XCCL Blank TB'!H:H)+(SUMIF('XCCL HO TB'!$R:$R,'CCL HO P&amp;L'!$A43,'XCCL HO TB'!H:H))</f>
        <v/>
      </c>
      <c r="U43" s="38" t="n"/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SUMIF('XCCL Blank TB'!$R:$R,'CCL HO P&amp;L'!$A44,'XCCL Blank TB'!C:C)+(SUMIF('XCCL HO TB'!$R:$R,'CCL HO P&amp;L'!$A44,'XCCL HO TB'!C:C))</f>
        <v/>
      </c>
      <c r="P44" s="37">
        <f>SUMIF('XCCL Blank TB'!$R:$R,'CCL HO P&amp;L'!$A44,'XCCL Blank TB'!D:D)+(SUMIF('XCCL HO TB'!$R:$R,'CCL HO P&amp;L'!$A44,'XCCL HO TB'!D:D))</f>
        <v/>
      </c>
      <c r="Q44" s="37">
        <f>SUMIF('XCCL Blank TB'!$R:$R,'CCL HO P&amp;L'!$A44,'XCCL Blank TB'!E:E)+(SUMIF('XCCL HO TB'!$R:$R,'CCL HO P&amp;L'!$A44,'XCCL HO TB'!E:E))</f>
        <v/>
      </c>
      <c r="R44" s="37">
        <f>SUMIF('XCCL Blank TB'!$R:$R,'CCL HO P&amp;L'!$A44,'XCCL Blank TB'!F:F)+(SUMIF('XCCL HO TB'!$R:$R,'CCL HO P&amp;L'!$A44,'XCCL HO TB'!F:F))</f>
        <v/>
      </c>
      <c r="S44" s="37">
        <f>SUMIF('XCCL Blank TB'!$R:$R,'CCL HO P&amp;L'!$A44,'XCCL Blank TB'!G:G)+(SUMIF('XCCL HO TB'!$R:$R,'CCL HO P&amp;L'!$A44,'XCCL HO TB'!G:G))</f>
        <v/>
      </c>
      <c r="T44" s="37">
        <f>SUMIF('XCCL Blank TB'!$R:$R,'CCL HO P&amp;L'!$A44,'XCCL Blank TB'!H:H)+(SUMIF('XCCL HO TB'!$R:$R,'CCL HO P&amp;L'!$A44,'XCCL HO TB'!H:H))</f>
        <v/>
      </c>
      <c r="U44" s="38" t="n"/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SUMIF('XCCL Blank TB'!$R:$R,'CCL HO P&amp;L'!$A45,'XCCL Blank TB'!C:C)+(SUMIF('XCCL HO TB'!$R:$R,'CCL HO P&amp;L'!$A45,'XCCL HO TB'!C:C))</f>
        <v/>
      </c>
      <c r="P45" s="37">
        <f>SUMIF('XCCL Blank TB'!$R:$R,'CCL HO P&amp;L'!$A45,'XCCL Blank TB'!D:D)+(SUMIF('XCCL HO TB'!$R:$R,'CCL HO P&amp;L'!$A45,'XCCL HO TB'!D:D))</f>
        <v/>
      </c>
      <c r="Q45" s="37">
        <f>SUMIF('XCCL Blank TB'!$R:$R,'CCL HO P&amp;L'!$A45,'XCCL Blank TB'!E:E)+(SUMIF('XCCL HO TB'!$R:$R,'CCL HO P&amp;L'!$A45,'XCCL HO TB'!E:E))</f>
        <v/>
      </c>
      <c r="R45" s="37">
        <f>SUMIF('XCCL Blank TB'!$R:$R,'CCL HO P&amp;L'!$A45,'XCCL Blank TB'!F:F)+(SUMIF('XCCL HO TB'!$R:$R,'CCL HO P&amp;L'!$A45,'XCCL HO TB'!F:F))</f>
        <v/>
      </c>
      <c r="S45" s="37">
        <f>SUMIF('XCCL Blank TB'!$R:$R,'CCL HO P&amp;L'!$A45,'XCCL Blank TB'!G:G)+(SUMIF('XCCL HO TB'!$R:$R,'CCL HO P&amp;L'!$A45,'XCCL HO TB'!G:G))</f>
        <v/>
      </c>
      <c r="T45" s="37">
        <f>SUMIF('XCCL Blank TB'!$R:$R,'CCL HO P&amp;L'!$A45,'XCCL Blank TB'!H:H)+(SUMIF('XCCL HO TB'!$R:$R,'CCL HO P&amp;L'!$A45,'XCCL HO TB'!H:H))</f>
        <v/>
      </c>
      <c r="U45" s="38" t="n"/>
      <c r="V45" s="38" t="n"/>
      <c r="W45" s="38" t="n"/>
      <c r="X45" s="38" t="n"/>
      <c r="Y45" s="38" t="n"/>
      <c r="Z45" s="38" t="n"/>
      <c r="AA45" s="36">
        <f>SUM(O45:U45)</f>
        <v/>
      </c>
      <c r="AB45" s="36">
        <f>SUM(O45:Z45)</f>
        <v/>
      </c>
      <c r="AC45" s="38" t="n"/>
      <c r="AD45" s="38" t="n"/>
      <c r="AE45" s="38" t="n"/>
      <c r="AF45" s="38" t="n"/>
      <c r="AG45" s="38" t="n"/>
      <c r="AH45" s="38" t="n"/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SUMIF('XCCL Blank TB'!$R:$R,'CCL HO P&amp;L'!$A46,'XCCL Blank TB'!C:C)+(SUMIF('XCCL HO TB'!$R:$R,'CCL HO P&amp;L'!$A46,'XCCL HO TB'!C:C))</f>
        <v/>
      </c>
      <c r="P46" s="37">
        <f>SUMIF('XCCL Blank TB'!$R:$R,'CCL HO P&amp;L'!$A46,'XCCL Blank TB'!D:D)+(SUMIF('XCCL HO TB'!$R:$R,'CCL HO P&amp;L'!$A46,'XCCL HO TB'!D:D))</f>
        <v/>
      </c>
      <c r="Q46" s="37">
        <f>SUMIF('XCCL Blank TB'!$R:$R,'CCL HO P&amp;L'!$A46,'XCCL Blank TB'!E:E)+(SUMIF('XCCL HO TB'!$R:$R,'CCL HO P&amp;L'!$A46,'XCCL HO TB'!E:E))</f>
        <v/>
      </c>
      <c r="R46" s="37">
        <f>SUMIF('XCCL Blank TB'!$R:$R,'CCL HO P&amp;L'!$A46,'XCCL Blank TB'!F:F)+(SUMIF('XCCL HO TB'!$R:$R,'CCL HO P&amp;L'!$A46,'XCCL HO TB'!F:F))</f>
        <v/>
      </c>
      <c r="S46" s="37">
        <f>SUMIF('XCCL Blank TB'!$R:$R,'CCL HO P&amp;L'!$A46,'XCCL Blank TB'!G:G)+(SUMIF('XCCL HO TB'!$R:$R,'CCL HO P&amp;L'!$A46,'XCCL HO TB'!G:G))</f>
        <v/>
      </c>
      <c r="T46" s="37">
        <f>SUMIF('XCCL Blank TB'!$R:$R,'CCL HO P&amp;L'!$A46,'XCCL Blank TB'!H:H)+(SUMIF('XCCL HO TB'!$R:$R,'CCL HO P&amp;L'!$A46,'XCCL HO TB'!H:H))</f>
        <v/>
      </c>
      <c r="U46" s="38" t="n"/>
      <c r="V46" s="38" t="n"/>
      <c r="W46" s="38" t="n"/>
      <c r="X46" s="38" t="n"/>
      <c r="Y46" s="38" t="n"/>
      <c r="Z46" s="38" t="n"/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5111.72</v>
      </c>
      <c r="C47" s="42" t="n">
        <v>841.64</v>
      </c>
      <c r="D47" s="42" t="n">
        <v>841.3099999999999</v>
      </c>
      <c r="E47" s="42" t="n">
        <v>5181.32</v>
      </c>
      <c r="F47" s="42" t="n">
        <v>4154.57</v>
      </c>
      <c r="G47" s="42" t="n">
        <v>438.26</v>
      </c>
      <c r="H47" s="42" t="n">
        <v>6166.49</v>
      </c>
      <c r="I47" s="42" t="n">
        <v>2774.56</v>
      </c>
      <c r="J47" s="42" t="n">
        <v>1333.94</v>
      </c>
      <c r="K47" s="42" t="n">
        <v>2486.98</v>
      </c>
      <c r="L47" s="42" t="n">
        <v>1891.51</v>
      </c>
      <c r="M47" s="42" t="n">
        <v>1691.85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5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 t="n"/>
      <c r="AD47" s="45" t="n"/>
      <c r="AE47" s="45" t="n"/>
      <c r="AF47" s="45" t="n"/>
      <c r="AG47" s="45" t="n"/>
      <c r="AH47" s="45" t="n"/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5339.77</v>
      </c>
      <c r="C48" s="23" t="n">
        <v>841.64</v>
      </c>
      <c r="D48" s="23" t="n">
        <v>841.3099999999999</v>
      </c>
      <c r="E48" s="23" t="n">
        <v>5181.32</v>
      </c>
      <c r="F48" s="23" t="n">
        <v>6072.17</v>
      </c>
      <c r="G48" s="23" t="n">
        <v>1070.84</v>
      </c>
      <c r="H48" s="23" t="n">
        <v>6187.46</v>
      </c>
      <c r="I48" s="23" t="n">
        <v>2774.56</v>
      </c>
      <c r="J48" s="23" t="n">
        <v>1333.94</v>
      </c>
      <c r="K48" s="23" t="n">
        <v>2534.96</v>
      </c>
      <c r="L48" s="23" t="n">
        <v>1891.51</v>
      </c>
      <c r="M48" s="23" t="n">
        <v>1691.85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6">
        <f>U25+U34+U47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 t="n"/>
      <c r="AD48" s="26" t="n"/>
      <c r="AE48" s="26" t="n"/>
      <c r="AF48" s="26" t="n"/>
      <c r="AG48" s="26" t="n"/>
      <c r="AH48" s="26" t="n"/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20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-5339.77</v>
      </c>
      <c r="C50" s="55" t="n">
        <v>-841.64</v>
      </c>
      <c r="D50" s="55" t="n">
        <v>-841.3099999999999</v>
      </c>
      <c r="E50" s="55" t="n">
        <v>-5181.32</v>
      </c>
      <c r="F50" s="55" t="n">
        <v>-6072.17</v>
      </c>
      <c r="G50" s="55" t="n">
        <v>-1070.84</v>
      </c>
      <c r="H50" s="55" t="n">
        <v>-6187.46</v>
      </c>
      <c r="I50" s="55" t="n">
        <v>-2774.56</v>
      </c>
      <c r="J50" s="55" t="n">
        <v>-1333.94</v>
      </c>
      <c r="K50" s="55" t="n">
        <v>-2534.96</v>
      </c>
      <c r="L50" s="55" t="n">
        <v>-1891.51</v>
      </c>
      <c r="M50" s="55" t="n">
        <v>-1691.85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20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20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SUMIF('XCCL Blank TB'!$R:$R,'CCL HO P&amp;L'!$A53,'XCCL Blank TB'!C:C)+(SUMIF('XCCL HO TB'!$R:$R,'CCL HO P&amp;L'!$A53,'XCCL HO TB'!C:C))</f>
        <v/>
      </c>
      <c r="P53" s="37">
        <f>SUMIF('XCCL Blank TB'!$R:$R,'CCL HO P&amp;L'!$A53,'XCCL Blank TB'!D:D)+(SUMIF('XCCL HO TB'!$R:$R,'CCL HO P&amp;L'!$A53,'XCCL HO TB'!D:D))</f>
        <v/>
      </c>
      <c r="Q53" s="37">
        <f>SUMIF('XCCL Blank TB'!$R:$R,'CCL HO P&amp;L'!$A53,'XCCL Blank TB'!E:E)+(SUMIF('XCCL HO TB'!$R:$R,'CCL HO P&amp;L'!$A53,'XCCL HO TB'!E:E))</f>
        <v/>
      </c>
      <c r="R53" s="37">
        <f>SUMIF('XCCL Blank TB'!$R:$R,'CCL HO P&amp;L'!$A53,'XCCL Blank TB'!F:F)+(SUMIF('XCCL HO TB'!$R:$R,'CCL HO P&amp;L'!$A53,'XCCL HO TB'!F:F))</f>
        <v/>
      </c>
      <c r="S53" s="37">
        <f>SUMIF('XCCL Blank TB'!$R:$R,'CCL HO P&amp;L'!$A53,'XCCL Blank TB'!G:G)+(SUMIF('XCCL HO TB'!$R:$R,'CCL HO P&amp;L'!$A53,'XCCL HO TB'!G:G))</f>
        <v/>
      </c>
      <c r="T53" s="37">
        <f>SUMIF('XCCL Blank TB'!$R:$R,'CCL HO P&amp;L'!$A53,'XCCL Blank TB'!H:H)+(SUMIF('XCCL HO TB'!$R:$R,'CCL HO P&amp;L'!$A53,'XCCL HO TB'!H:H))</f>
        <v/>
      </c>
      <c r="U53" s="38" t="n"/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SUMIF('XCCL Blank TB'!$R:$R,'CCL HO P&amp;L'!$A54,'XCCL Blank TB'!C:C)+(SUMIF('XCCL HO TB'!$R:$R,'CCL HO P&amp;L'!$A54,'XCCL HO TB'!C:C))</f>
        <v/>
      </c>
      <c r="P54" s="37">
        <f>SUMIF('XCCL Blank TB'!$R:$R,'CCL HO P&amp;L'!$A54,'XCCL Blank TB'!D:D)+(SUMIF('XCCL HO TB'!$R:$R,'CCL HO P&amp;L'!$A54,'XCCL HO TB'!D:D))</f>
        <v/>
      </c>
      <c r="Q54" s="37">
        <f>SUMIF('XCCL Blank TB'!$R:$R,'CCL HO P&amp;L'!$A54,'XCCL Blank TB'!E:E)+(SUMIF('XCCL HO TB'!$R:$R,'CCL HO P&amp;L'!$A54,'XCCL HO TB'!E:E))</f>
        <v/>
      </c>
      <c r="R54" s="37">
        <f>SUMIF('XCCL Blank TB'!$R:$R,'CCL HO P&amp;L'!$A54,'XCCL Blank TB'!F:F)+(SUMIF('XCCL HO TB'!$R:$R,'CCL HO P&amp;L'!$A54,'XCCL HO TB'!F:F))</f>
        <v/>
      </c>
      <c r="S54" s="37">
        <f>SUMIF('XCCL Blank TB'!$R:$R,'CCL HO P&amp;L'!$A54,'XCCL Blank TB'!G:G)+(SUMIF('XCCL HO TB'!$R:$R,'CCL HO P&amp;L'!$A54,'XCCL HO TB'!G:G))</f>
        <v/>
      </c>
      <c r="T54" s="37">
        <f>SUMIF('XCCL Blank TB'!$R:$R,'CCL HO P&amp;L'!$A54,'XCCL Blank TB'!H:H)+(SUMIF('XCCL HO TB'!$R:$R,'CCL HO P&amp;L'!$A54,'XCCL HO TB'!H:H))</f>
        <v/>
      </c>
      <c r="U54" s="38" t="n"/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SUMIF('XCCL Blank TB'!$R:$R,'CCL HO P&amp;L'!$A55,'XCCL Blank TB'!C:C)+(SUMIF('XCCL HO TB'!$R:$R,'CCL HO P&amp;L'!$A55,'XCCL HO TB'!C:C))</f>
        <v/>
      </c>
      <c r="P55" s="37">
        <f>SUMIF('XCCL Blank TB'!$R:$R,'CCL HO P&amp;L'!$A55,'XCCL Blank TB'!D:D)+(SUMIF('XCCL HO TB'!$R:$R,'CCL HO P&amp;L'!$A55,'XCCL HO TB'!D:D))</f>
        <v/>
      </c>
      <c r="Q55" s="37">
        <f>SUMIF('XCCL Blank TB'!$R:$R,'CCL HO P&amp;L'!$A55,'XCCL Blank TB'!E:E)+(SUMIF('XCCL HO TB'!$R:$R,'CCL HO P&amp;L'!$A55,'XCCL HO TB'!E:E))</f>
        <v/>
      </c>
      <c r="R55" s="37">
        <f>SUMIF('XCCL Blank TB'!$R:$R,'CCL HO P&amp;L'!$A55,'XCCL Blank TB'!F:F)+(SUMIF('XCCL HO TB'!$R:$R,'CCL HO P&amp;L'!$A55,'XCCL HO TB'!F:F))</f>
        <v/>
      </c>
      <c r="S55" s="37">
        <f>SUMIF('XCCL Blank TB'!$R:$R,'CCL HO P&amp;L'!$A55,'XCCL Blank TB'!G:G)+(SUMIF('XCCL HO TB'!$R:$R,'CCL HO P&amp;L'!$A55,'XCCL HO TB'!G:G))</f>
        <v/>
      </c>
      <c r="T55" s="37">
        <f>SUMIF('XCCL Blank TB'!$R:$R,'CCL HO P&amp;L'!$A55,'XCCL Blank TB'!H:H)+(SUMIF('XCCL HO TB'!$R:$R,'CCL HO P&amp;L'!$A55,'XCCL HO TB'!H:H))</f>
        <v/>
      </c>
      <c r="U55" s="38" t="n"/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SUMIF('XCCL Blank TB'!$R:$R,'CCL HO P&amp;L'!$A56,'XCCL Blank TB'!C:C)+(SUMIF('XCCL HO TB'!$R:$R,'CCL HO P&amp;L'!$A56,'XCCL HO TB'!C:C))</f>
        <v/>
      </c>
      <c r="P56" s="37">
        <f>SUMIF('XCCL Blank TB'!$R:$R,'CCL HO P&amp;L'!$A56,'XCCL Blank TB'!D:D)+(SUMIF('XCCL HO TB'!$R:$R,'CCL HO P&amp;L'!$A56,'XCCL HO TB'!D:D))</f>
        <v/>
      </c>
      <c r="Q56" s="37">
        <f>SUMIF('XCCL Blank TB'!$R:$R,'CCL HO P&amp;L'!$A56,'XCCL Blank TB'!E:E)+(SUMIF('XCCL HO TB'!$R:$R,'CCL HO P&amp;L'!$A56,'XCCL HO TB'!E:E))</f>
        <v/>
      </c>
      <c r="R56" s="37">
        <f>SUMIF('XCCL Blank TB'!$R:$R,'CCL HO P&amp;L'!$A56,'XCCL Blank TB'!F:F)+(SUMIF('XCCL HO TB'!$R:$R,'CCL HO P&amp;L'!$A56,'XCCL HO TB'!F:F))</f>
        <v/>
      </c>
      <c r="S56" s="37">
        <f>SUMIF('XCCL Blank TB'!$R:$R,'CCL HO P&amp;L'!$A56,'XCCL Blank TB'!G:G)+(SUMIF('XCCL HO TB'!$R:$R,'CCL HO P&amp;L'!$A56,'XCCL HO TB'!G:G))</f>
        <v/>
      </c>
      <c r="T56" s="37">
        <f>SUMIF('XCCL Blank TB'!$R:$R,'CCL HO P&amp;L'!$A56,'XCCL Blank TB'!H:H)+(SUMIF('XCCL HO TB'!$R:$R,'CCL HO P&amp;L'!$A56,'XCCL HO TB'!H:H))</f>
        <v/>
      </c>
      <c r="U56" s="38" t="n"/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202.57</v>
      </c>
      <c r="N57" s="36">
        <f>SUM(B57:M57)</f>
        <v/>
      </c>
      <c r="O57" s="37">
        <f>SUMIF('XCCL Blank TB'!$R:$R,'CCL HO P&amp;L'!$A57,'XCCL Blank TB'!C:C)+(SUMIF('XCCL HO TB'!$R:$R,'CCL HO P&amp;L'!$A57,'XCCL HO TB'!C:C))</f>
        <v/>
      </c>
      <c r="P57" s="37">
        <f>SUMIF('XCCL Blank TB'!$R:$R,'CCL HO P&amp;L'!$A57,'XCCL Blank TB'!D:D)+(SUMIF('XCCL HO TB'!$R:$R,'CCL HO P&amp;L'!$A57,'XCCL HO TB'!D:D))</f>
        <v/>
      </c>
      <c r="Q57" s="37">
        <f>SUMIF('XCCL Blank TB'!$R:$R,'CCL HO P&amp;L'!$A57,'XCCL Blank TB'!E:E)+(SUMIF('XCCL HO TB'!$R:$R,'CCL HO P&amp;L'!$A57,'XCCL HO TB'!E:E))</f>
        <v/>
      </c>
      <c r="R57" s="37">
        <f>SUMIF('XCCL Blank TB'!$R:$R,'CCL HO P&amp;L'!$A57,'XCCL Blank TB'!F:F)+(SUMIF('XCCL HO TB'!$R:$R,'CCL HO P&amp;L'!$A57,'XCCL HO TB'!F:F))</f>
        <v/>
      </c>
      <c r="S57" s="37">
        <f>SUMIF('XCCL Blank TB'!$R:$R,'CCL HO P&amp;L'!$A57,'XCCL Blank TB'!G:G)+(SUMIF('XCCL HO TB'!$R:$R,'CCL HO P&amp;L'!$A57,'XCCL HO TB'!G:G))</f>
        <v/>
      </c>
      <c r="T57" s="37">
        <f>SUMIF('XCCL Blank TB'!$R:$R,'CCL HO P&amp;L'!$A57,'XCCL Blank TB'!H:H)+(SUMIF('XCCL HO TB'!$R:$R,'CCL HO P&amp;L'!$A57,'XCCL HO TB'!H:H))</f>
        <v/>
      </c>
      <c r="U57" s="38" t="n"/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 t="n"/>
      <c r="AD57" s="38" t="n"/>
      <c r="AE57" s="38" t="n"/>
      <c r="AF57" s="38" t="n"/>
      <c r="AG57" s="38" t="n"/>
      <c r="AH57" s="38" t="n"/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SUMIF('XCCL Blank TB'!$R:$R,'CCL HO P&amp;L'!$A58,'XCCL Blank TB'!C:C)+(SUMIF('XCCL HO TB'!$R:$R,'CCL HO P&amp;L'!$A58,'XCCL HO TB'!C:C))</f>
        <v/>
      </c>
      <c r="P58" s="37">
        <f>SUMIF('XCCL Blank TB'!$R:$R,'CCL HO P&amp;L'!$A58,'XCCL Blank TB'!D:D)+(SUMIF('XCCL HO TB'!$R:$R,'CCL HO P&amp;L'!$A58,'XCCL HO TB'!D:D))</f>
        <v/>
      </c>
      <c r="Q58" s="37">
        <f>SUMIF('XCCL Blank TB'!$R:$R,'CCL HO P&amp;L'!$A58,'XCCL Blank TB'!E:E)+(SUMIF('XCCL HO TB'!$R:$R,'CCL HO P&amp;L'!$A58,'XCCL HO TB'!E:E))</f>
        <v/>
      </c>
      <c r="R58" s="37">
        <f>SUMIF('XCCL Blank TB'!$R:$R,'CCL HO P&amp;L'!$A58,'XCCL Blank TB'!F:F)+(SUMIF('XCCL HO TB'!$R:$R,'CCL HO P&amp;L'!$A58,'XCCL HO TB'!F:F))</f>
        <v/>
      </c>
      <c r="S58" s="37">
        <f>SUMIF('XCCL Blank TB'!$R:$R,'CCL HO P&amp;L'!$A58,'XCCL Blank TB'!G:G)+(SUMIF('XCCL HO TB'!$R:$R,'CCL HO P&amp;L'!$A58,'XCCL HO TB'!G:G))</f>
        <v/>
      </c>
      <c r="T58" s="37">
        <f>SUMIF('XCCL Blank TB'!$R:$R,'CCL HO P&amp;L'!$A58,'XCCL Blank TB'!H:H)+(SUMIF('XCCL HO TB'!$R:$R,'CCL HO P&amp;L'!$A58,'XCCL HO TB'!H:H))</f>
        <v/>
      </c>
      <c r="U58" s="38" t="n"/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0</v>
      </c>
      <c r="C59" s="35" t="n">
        <v>0</v>
      </c>
      <c r="D59" s="35" t="n">
        <v>0</v>
      </c>
      <c r="E59" s="35" t="n">
        <v>0</v>
      </c>
      <c r="F59" s="35" t="n">
        <v>0</v>
      </c>
      <c r="G59" s="35" t="n">
        <v>0</v>
      </c>
      <c r="H59" s="35" t="n">
        <v>0</v>
      </c>
      <c r="I59" s="35" t="n">
        <v>0</v>
      </c>
      <c r="J59" s="35" t="n">
        <v>0</v>
      </c>
      <c r="K59" s="35" t="n">
        <v>0</v>
      </c>
      <c r="L59" s="35" t="n">
        <v>0</v>
      </c>
      <c r="M59" s="35" t="n">
        <v>0</v>
      </c>
      <c r="N59" s="36">
        <f>SUM(B59:M59)</f>
        <v/>
      </c>
      <c r="O59" s="37">
        <f>SUMIF('XCCL Blank TB'!$R:$R,'CCL HO P&amp;L'!$A59,'XCCL Blank TB'!C:C)+(SUMIF('XCCL HO TB'!$R:$R,'CCL HO P&amp;L'!$A59,'XCCL HO TB'!C:C))</f>
        <v/>
      </c>
      <c r="P59" s="37">
        <f>SUMIF('XCCL Blank TB'!$R:$R,'CCL HO P&amp;L'!$A59,'XCCL Blank TB'!D:D)+(SUMIF('XCCL HO TB'!$R:$R,'CCL HO P&amp;L'!$A59,'XCCL HO TB'!D:D))</f>
        <v/>
      </c>
      <c r="Q59" s="37">
        <f>SUMIF('XCCL Blank TB'!$R:$R,'CCL HO P&amp;L'!$A59,'XCCL Blank TB'!E:E)+(SUMIF('XCCL HO TB'!$R:$R,'CCL HO P&amp;L'!$A59,'XCCL HO TB'!E:E))</f>
        <v/>
      </c>
      <c r="R59" s="37">
        <f>SUMIF('XCCL Blank TB'!$R:$R,'CCL HO P&amp;L'!$A59,'XCCL Blank TB'!F:F)+(SUMIF('XCCL HO TB'!$R:$R,'CCL HO P&amp;L'!$A59,'XCCL HO TB'!F:F))</f>
        <v/>
      </c>
      <c r="S59" s="37">
        <f>SUMIF('XCCL Blank TB'!$R:$R,'CCL HO P&amp;L'!$A59,'XCCL Blank TB'!G:G)+(SUMIF('XCCL HO TB'!$R:$R,'CCL HO P&amp;L'!$A59,'XCCL HO TB'!G:G))</f>
        <v/>
      </c>
      <c r="T59" s="37">
        <f>SUMIF('XCCL Blank TB'!$R:$R,'CCL HO P&amp;L'!$A59,'XCCL Blank TB'!H:H)+(SUMIF('XCCL HO TB'!$R:$R,'CCL HO P&amp;L'!$A59,'XCCL HO TB'!H:H))</f>
        <v/>
      </c>
      <c r="U59" s="38" t="n"/>
      <c r="V59" s="38" t="n"/>
      <c r="W59" s="38" t="n"/>
      <c r="X59" s="38" t="n"/>
      <c r="Y59" s="38" t="n"/>
      <c r="Z59" s="38" t="n"/>
      <c r="AA59" s="36">
        <f>SUM(O59:U59)</f>
        <v/>
      </c>
      <c r="AB59" s="36">
        <f>SUM(O59:Z59)</f>
        <v/>
      </c>
      <c r="AC59" s="38" t="n"/>
      <c r="AD59" s="38" t="n"/>
      <c r="AE59" s="38" t="n"/>
      <c r="AF59" s="38" t="n"/>
      <c r="AG59" s="38" t="n"/>
      <c r="AH59" s="38" t="n"/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0</v>
      </c>
      <c r="C60" s="35" t="n">
        <v>100</v>
      </c>
      <c r="D60" s="35" t="n">
        <v>0</v>
      </c>
      <c r="E60" s="35" t="n">
        <v>0</v>
      </c>
      <c r="F60" s="35" t="n">
        <v>-41.73999999999999</v>
      </c>
      <c r="G60" s="35" t="n">
        <v>-13.43</v>
      </c>
      <c r="H60" s="35" t="n">
        <v>0</v>
      </c>
      <c r="I60" s="35" t="n">
        <v>0</v>
      </c>
      <c r="J60" s="35" t="n">
        <v>0</v>
      </c>
      <c r="K60" s="35" t="n">
        <v>7.5</v>
      </c>
      <c r="L60" s="35" t="n">
        <v>109.99</v>
      </c>
      <c r="M60" s="35" t="n">
        <v>269.95</v>
      </c>
      <c r="N60" s="36">
        <f>SUM(B60:M60)</f>
        <v/>
      </c>
      <c r="O60" s="37">
        <f>SUMIF('XCCL Blank TB'!$R:$R,'CCL HO P&amp;L'!$A60,'XCCL Blank TB'!C:C)+(SUMIF('XCCL HO TB'!$R:$R,'CCL HO P&amp;L'!$A60,'XCCL HO TB'!C:C))</f>
        <v/>
      </c>
      <c r="P60" s="37">
        <f>SUMIF('XCCL Blank TB'!$R:$R,'CCL HO P&amp;L'!$A60,'XCCL Blank TB'!D:D)+(SUMIF('XCCL HO TB'!$R:$R,'CCL HO P&amp;L'!$A60,'XCCL HO TB'!D:D))</f>
        <v/>
      </c>
      <c r="Q60" s="37">
        <f>SUMIF('XCCL Blank TB'!$R:$R,'CCL HO P&amp;L'!$A60,'XCCL Blank TB'!E:E)+(SUMIF('XCCL HO TB'!$R:$R,'CCL HO P&amp;L'!$A60,'XCCL HO TB'!E:E))</f>
        <v/>
      </c>
      <c r="R60" s="37">
        <f>SUMIF('XCCL Blank TB'!$R:$R,'CCL HO P&amp;L'!$A60,'XCCL Blank TB'!F:F)+(SUMIF('XCCL HO TB'!$R:$R,'CCL HO P&amp;L'!$A60,'XCCL HO TB'!F:F))</f>
        <v/>
      </c>
      <c r="S60" s="37">
        <f>SUMIF('XCCL Blank TB'!$R:$R,'CCL HO P&amp;L'!$A60,'XCCL Blank TB'!G:G)+(SUMIF('XCCL HO TB'!$R:$R,'CCL HO P&amp;L'!$A60,'XCCL HO TB'!G:G))</f>
        <v/>
      </c>
      <c r="T60" s="37">
        <f>SUMIF('XCCL Blank TB'!$R:$R,'CCL HO P&amp;L'!$A60,'XCCL Blank TB'!H:H)+(SUMIF('XCCL HO TB'!$R:$R,'CCL HO P&amp;L'!$A60,'XCCL HO TB'!H:H))</f>
        <v/>
      </c>
      <c r="U60" s="38" t="n"/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9.23</v>
      </c>
      <c r="C61" s="35" t="n">
        <v>140</v>
      </c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0</v>
      </c>
      <c r="I61" s="35" t="n">
        <v>0</v>
      </c>
      <c r="J61" s="35" t="n">
        <v>0</v>
      </c>
      <c r="K61" s="35" t="n">
        <v>0</v>
      </c>
      <c r="L61" s="35" t="n">
        <v>0</v>
      </c>
      <c r="M61" s="35" t="n">
        <v>0</v>
      </c>
      <c r="N61" s="36">
        <f>SUM(B61:M61)</f>
        <v/>
      </c>
      <c r="O61" s="37">
        <f>SUMIF('XCCL Blank TB'!$R:$R,'CCL HO P&amp;L'!$A61,'XCCL Blank TB'!C:C)+(SUMIF('XCCL HO TB'!$R:$R,'CCL HO P&amp;L'!$A61,'XCCL HO TB'!C:C))</f>
        <v/>
      </c>
      <c r="P61" s="37">
        <f>SUMIF('XCCL Blank TB'!$R:$R,'CCL HO P&amp;L'!$A61,'XCCL Blank TB'!D:D)+(SUMIF('XCCL HO TB'!$R:$R,'CCL HO P&amp;L'!$A61,'XCCL HO TB'!D:D))</f>
        <v/>
      </c>
      <c r="Q61" s="37">
        <f>SUMIF('XCCL Blank TB'!$R:$R,'CCL HO P&amp;L'!$A61,'XCCL Blank TB'!E:E)+(SUMIF('XCCL HO TB'!$R:$R,'CCL HO P&amp;L'!$A61,'XCCL HO TB'!E:E))</f>
        <v/>
      </c>
      <c r="R61" s="37">
        <f>SUMIF('XCCL Blank TB'!$R:$R,'CCL HO P&amp;L'!$A61,'XCCL Blank TB'!F:F)+(SUMIF('XCCL HO TB'!$R:$R,'CCL HO P&amp;L'!$A61,'XCCL HO TB'!F:F))</f>
        <v/>
      </c>
      <c r="S61" s="37">
        <f>SUMIF('XCCL Blank TB'!$R:$R,'CCL HO P&amp;L'!$A61,'XCCL Blank TB'!G:G)+(SUMIF('XCCL HO TB'!$R:$R,'CCL HO P&amp;L'!$A61,'XCCL HO TB'!G:G))</f>
        <v/>
      </c>
      <c r="T61" s="37">
        <f>SUMIF('XCCL Blank TB'!$R:$R,'CCL HO P&amp;L'!$A61,'XCCL Blank TB'!H:H)+(SUMIF('XCCL HO TB'!$R:$R,'CCL HO P&amp;L'!$A61,'XCCL HO TB'!H:H))</f>
        <v/>
      </c>
      <c r="U61" s="38" t="n"/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>
        <f>SUMIF('XCCL Blank TB'!$R:$R,'CCL HO P&amp;L'!$A62,'XCCL Blank TB'!C:C)+(SUMIF('XCCL HO TB'!$R:$R,'CCL HO P&amp;L'!$A62,'XCCL HO TB'!C:C))</f>
        <v/>
      </c>
      <c r="P62" s="37">
        <f>SUMIF('XCCL Blank TB'!$R:$R,'CCL HO P&amp;L'!$A62,'XCCL Blank TB'!D:D)+(SUMIF('XCCL HO TB'!$R:$R,'CCL HO P&amp;L'!$A62,'XCCL HO TB'!D:D))</f>
        <v/>
      </c>
      <c r="Q62" s="37">
        <f>SUMIF('XCCL Blank TB'!$R:$R,'CCL HO P&amp;L'!$A62,'XCCL Blank TB'!E:E)+(SUMIF('XCCL HO TB'!$R:$R,'CCL HO P&amp;L'!$A62,'XCCL HO TB'!E:E))</f>
        <v/>
      </c>
      <c r="R62" s="37">
        <f>SUMIF('XCCL Blank TB'!$R:$R,'CCL HO P&amp;L'!$A62,'XCCL Blank TB'!F:F)+(SUMIF('XCCL HO TB'!$R:$R,'CCL HO P&amp;L'!$A62,'XCCL HO TB'!F:F))</f>
        <v/>
      </c>
      <c r="S62" s="37">
        <f>SUMIF('XCCL Blank TB'!$R:$R,'CCL HO P&amp;L'!$A62,'XCCL Blank TB'!G:G)+(SUMIF('XCCL HO TB'!$R:$R,'CCL HO P&amp;L'!$A62,'XCCL HO TB'!G:G))</f>
        <v/>
      </c>
      <c r="T62" s="37">
        <f>SUMIF('XCCL Blank TB'!$R:$R,'CCL HO P&amp;L'!$A62,'XCCL Blank TB'!H:H)+(SUMIF('XCCL HO TB'!$R:$R,'CCL HO P&amp;L'!$A62,'XCCL HO TB'!H:H))</f>
        <v/>
      </c>
      <c r="U62" s="38" t="n"/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SUMIF('XCCL Blank TB'!$R:$R,'CCL HO P&amp;L'!$A63,'XCCL Blank TB'!C:C)+(SUMIF('XCCL HO TB'!$R:$R,'CCL HO P&amp;L'!$A63,'XCCL HO TB'!C:C))</f>
        <v/>
      </c>
      <c r="P63" s="37">
        <f>SUMIF('XCCL Blank TB'!$R:$R,'CCL HO P&amp;L'!$A63,'XCCL Blank TB'!D:D)+(SUMIF('XCCL HO TB'!$R:$R,'CCL HO P&amp;L'!$A63,'XCCL HO TB'!D:D))</f>
        <v/>
      </c>
      <c r="Q63" s="37">
        <f>SUMIF('XCCL Blank TB'!$R:$R,'CCL HO P&amp;L'!$A63,'XCCL Blank TB'!E:E)+(SUMIF('XCCL HO TB'!$R:$R,'CCL HO P&amp;L'!$A63,'XCCL HO TB'!E:E))</f>
        <v/>
      </c>
      <c r="R63" s="37">
        <f>SUMIF('XCCL Blank TB'!$R:$R,'CCL HO P&amp;L'!$A63,'XCCL Blank TB'!F:F)+(SUMIF('XCCL HO TB'!$R:$R,'CCL HO P&amp;L'!$A63,'XCCL HO TB'!F:F))</f>
        <v/>
      </c>
      <c r="S63" s="37">
        <f>SUMIF('XCCL Blank TB'!$R:$R,'CCL HO P&amp;L'!$A63,'XCCL Blank TB'!G:G)+(SUMIF('XCCL HO TB'!$R:$R,'CCL HO P&amp;L'!$A63,'XCCL HO TB'!G:G))</f>
        <v/>
      </c>
      <c r="T63" s="37">
        <f>SUMIF('XCCL Blank TB'!$R:$R,'CCL HO P&amp;L'!$A63,'XCCL Blank TB'!H:H)+(SUMIF('XCCL HO TB'!$R:$R,'CCL HO P&amp;L'!$A63,'XCCL HO TB'!H:H))</f>
        <v/>
      </c>
      <c r="U63" s="38" t="n"/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SUMIF('XCCL Blank TB'!$R:$R,'CCL HO P&amp;L'!$A64,'XCCL Blank TB'!C:C)+(SUMIF('XCCL HO TB'!$R:$R,'CCL HO P&amp;L'!$A64,'XCCL HO TB'!C:C))</f>
        <v/>
      </c>
      <c r="P64" s="37">
        <f>SUMIF('XCCL Blank TB'!$R:$R,'CCL HO P&amp;L'!$A64,'XCCL Blank TB'!D:D)+(SUMIF('XCCL HO TB'!$R:$R,'CCL HO P&amp;L'!$A64,'XCCL HO TB'!D:D))</f>
        <v/>
      </c>
      <c r="Q64" s="37">
        <f>SUMIF('XCCL Blank TB'!$R:$R,'CCL HO P&amp;L'!$A64,'XCCL Blank TB'!E:E)+(SUMIF('XCCL HO TB'!$R:$R,'CCL HO P&amp;L'!$A64,'XCCL HO TB'!E:E))</f>
        <v/>
      </c>
      <c r="R64" s="37">
        <f>SUMIF('XCCL Blank TB'!$R:$R,'CCL HO P&amp;L'!$A64,'XCCL Blank TB'!F:F)+(SUMIF('XCCL HO TB'!$R:$R,'CCL HO P&amp;L'!$A64,'XCCL HO TB'!F:F))</f>
        <v/>
      </c>
      <c r="S64" s="37">
        <f>SUMIF('XCCL Blank TB'!$R:$R,'CCL HO P&amp;L'!$A64,'XCCL Blank TB'!G:G)+(SUMIF('XCCL HO TB'!$R:$R,'CCL HO P&amp;L'!$A64,'XCCL HO TB'!G:G))</f>
        <v/>
      </c>
      <c r="T64" s="37">
        <f>SUMIF('XCCL Blank TB'!$R:$R,'CCL HO P&amp;L'!$A64,'XCCL Blank TB'!H:H)+(SUMIF('XCCL HO TB'!$R:$R,'CCL HO P&amp;L'!$A64,'XCCL HO TB'!H:H))</f>
        <v/>
      </c>
      <c r="U64" s="38" t="n"/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7485.6</v>
      </c>
      <c r="C65" s="35" t="n">
        <v>30</v>
      </c>
      <c r="D65" s="35" t="n">
        <v>11062.8</v>
      </c>
      <c r="E65" s="35" t="n">
        <v>3073.2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3112.8</v>
      </c>
      <c r="N65" s="36">
        <f>SUM(B65:M65)</f>
        <v/>
      </c>
      <c r="O65" s="37">
        <f>SUMIF('XCCL Blank TB'!$R:$R,'CCL HO P&amp;L'!$A65,'XCCL Blank TB'!C:C)+(SUMIF('XCCL HO TB'!$R:$R,'CCL HO P&amp;L'!$A65,'XCCL HO TB'!C:C))</f>
        <v/>
      </c>
      <c r="P65" s="37">
        <f>SUMIF('XCCL Blank TB'!$R:$R,'CCL HO P&amp;L'!$A65,'XCCL Blank TB'!D:D)+(SUMIF('XCCL HO TB'!$R:$R,'CCL HO P&amp;L'!$A65,'XCCL HO TB'!D:D))</f>
        <v/>
      </c>
      <c r="Q65" s="37">
        <f>SUMIF('XCCL Blank TB'!$R:$R,'CCL HO P&amp;L'!$A65,'XCCL Blank TB'!E:E)+(SUMIF('XCCL HO TB'!$R:$R,'CCL HO P&amp;L'!$A65,'XCCL HO TB'!E:E))</f>
        <v/>
      </c>
      <c r="R65" s="37">
        <f>SUMIF('XCCL Blank TB'!$R:$R,'CCL HO P&amp;L'!$A65,'XCCL Blank TB'!F:F)+(SUMIF('XCCL HO TB'!$R:$R,'CCL HO P&amp;L'!$A65,'XCCL HO TB'!F:F))</f>
        <v/>
      </c>
      <c r="S65" s="37">
        <f>SUMIF('XCCL Blank TB'!$R:$R,'CCL HO P&amp;L'!$A65,'XCCL Blank TB'!G:G)+(SUMIF('XCCL HO TB'!$R:$R,'CCL HO P&amp;L'!$A65,'XCCL HO TB'!G:G))</f>
        <v/>
      </c>
      <c r="T65" s="37">
        <f>SUMIF('XCCL Blank TB'!$R:$R,'CCL HO P&amp;L'!$A65,'XCCL Blank TB'!H:H)+(SUMIF('XCCL HO TB'!$R:$R,'CCL HO P&amp;L'!$A65,'XCCL HO TB'!H:H))</f>
        <v/>
      </c>
      <c r="U65" s="38" t="n"/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SUMIF('XCCL Blank TB'!$R:$R,'CCL HO P&amp;L'!$A66,'XCCL Blank TB'!C:C)+(SUMIF('XCCL HO TB'!$R:$R,'CCL HO P&amp;L'!$A66,'XCCL HO TB'!C:C))</f>
        <v/>
      </c>
      <c r="P66" s="37">
        <f>SUMIF('XCCL Blank TB'!$R:$R,'CCL HO P&amp;L'!$A66,'XCCL Blank TB'!D:D)+(SUMIF('XCCL HO TB'!$R:$R,'CCL HO P&amp;L'!$A66,'XCCL HO TB'!D:D))</f>
        <v/>
      </c>
      <c r="Q66" s="37">
        <f>SUMIF('XCCL Blank TB'!$R:$R,'CCL HO P&amp;L'!$A66,'XCCL Blank TB'!E:E)+(SUMIF('XCCL HO TB'!$R:$R,'CCL HO P&amp;L'!$A66,'XCCL HO TB'!E:E))</f>
        <v/>
      </c>
      <c r="R66" s="37">
        <f>SUMIF('XCCL Blank TB'!$R:$R,'CCL HO P&amp;L'!$A66,'XCCL Blank TB'!F:F)+(SUMIF('XCCL HO TB'!$R:$R,'CCL HO P&amp;L'!$A66,'XCCL HO TB'!F:F))</f>
        <v/>
      </c>
      <c r="S66" s="37">
        <f>SUMIF('XCCL Blank TB'!$R:$R,'CCL HO P&amp;L'!$A66,'XCCL Blank TB'!G:G)+(SUMIF('XCCL HO TB'!$R:$R,'CCL HO P&amp;L'!$A66,'XCCL HO TB'!G:G))</f>
        <v/>
      </c>
      <c r="T66" s="37">
        <f>SUMIF('XCCL Blank TB'!$R:$R,'CCL HO P&amp;L'!$A66,'XCCL Blank TB'!H:H)+(SUMIF('XCCL HO TB'!$R:$R,'CCL HO P&amp;L'!$A66,'XCCL HO TB'!H:H))</f>
        <v/>
      </c>
      <c r="U66" s="38" t="n"/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1068</v>
      </c>
      <c r="D67" s="35" t="n">
        <v>0</v>
      </c>
      <c r="E67" s="35" t="n">
        <v>1220.4</v>
      </c>
      <c r="F67" s="35" t="n">
        <v>0</v>
      </c>
      <c r="G67" s="35" t="n">
        <v>750.6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939.6</v>
      </c>
      <c r="N67" s="36">
        <f>SUM(B67:M67)</f>
        <v/>
      </c>
      <c r="O67" s="37">
        <f>SUMIF('XCCL Blank TB'!$R:$R,'CCL HO P&amp;L'!$A67,'XCCL Blank TB'!C:C)+(SUMIF('XCCL HO TB'!$R:$R,'CCL HO P&amp;L'!$A67,'XCCL HO TB'!C:C))</f>
        <v/>
      </c>
      <c r="P67" s="37">
        <f>SUMIF('XCCL Blank TB'!$R:$R,'CCL HO P&amp;L'!$A67,'XCCL Blank TB'!D:D)+(SUMIF('XCCL HO TB'!$R:$R,'CCL HO P&amp;L'!$A67,'XCCL HO TB'!D:D))</f>
        <v/>
      </c>
      <c r="Q67" s="37">
        <f>SUMIF('XCCL Blank TB'!$R:$R,'CCL HO P&amp;L'!$A67,'XCCL Blank TB'!E:E)+(SUMIF('XCCL HO TB'!$R:$R,'CCL HO P&amp;L'!$A67,'XCCL HO TB'!E:E))</f>
        <v/>
      </c>
      <c r="R67" s="37">
        <f>SUMIF('XCCL Blank TB'!$R:$R,'CCL HO P&amp;L'!$A67,'XCCL Blank TB'!F:F)+(SUMIF('XCCL HO TB'!$R:$R,'CCL HO P&amp;L'!$A67,'XCCL HO TB'!F:F))</f>
        <v/>
      </c>
      <c r="S67" s="37">
        <f>SUMIF('XCCL Blank TB'!$R:$R,'CCL HO P&amp;L'!$A67,'XCCL Blank TB'!G:G)+(SUMIF('XCCL HO TB'!$R:$R,'CCL HO P&amp;L'!$A67,'XCCL HO TB'!G:G))</f>
        <v/>
      </c>
      <c r="T67" s="37">
        <f>SUMIF('XCCL Blank TB'!$R:$R,'CCL HO P&amp;L'!$A67,'XCCL Blank TB'!H:H)+(SUMIF('XCCL HO TB'!$R:$R,'CCL HO P&amp;L'!$A67,'XCCL HO TB'!H:H))</f>
        <v/>
      </c>
      <c r="U67" s="38" t="n"/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159</v>
      </c>
      <c r="C68" s="35" t="n">
        <v>154.4</v>
      </c>
      <c r="D68" s="35" t="n">
        <v>242.15</v>
      </c>
      <c r="E68" s="35" t="n">
        <v>157.57</v>
      </c>
      <c r="F68" s="35" t="n">
        <v>227.35</v>
      </c>
      <c r="G68" s="35" t="n">
        <v>354.85</v>
      </c>
      <c r="H68" s="35" t="n">
        <v>247.7</v>
      </c>
      <c r="I68" s="35" t="n">
        <v>124.9</v>
      </c>
      <c r="J68" s="35" t="n">
        <v>117.15</v>
      </c>
      <c r="K68" s="35" t="n">
        <v>159.9</v>
      </c>
      <c r="L68" s="35" t="n">
        <v>125.75</v>
      </c>
      <c r="M68" s="35" t="n">
        <v>116.05</v>
      </c>
      <c r="N68" s="36">
        <f>SUM(B68:M68)</f>
        <v/>
      </c>
      <c r="O68" s="37">
        <f>SUMIF('XCCL Blank TB'!$R:$R,'CCL HO P&amp;L'!$A68,'XCCL Blank TB'!C:C)+(SUMIF('XCCL HO TB'!$R:$R,'CCL HO P&amp;L'!$A68,'XCCL HO TB'!C:C))</f>
        <v/>
      </c>
      <c r="P68" s="37">
        <f>SUMIF('XCCL Blank TB'!$R:$R,'CCL HO P&amp;L'!$A68,'XCCL Blank TB'!D:D)+(SUMIF('XCCL HO TB'!$R:$R,'CCL HO P&amp;L'!$A68,'XCCL HO TB'!D:D))</f>
        <v/>
      </c>
      <c r="Q68" s="37">
        <f>SUMIF('XCCL Blank TB'!$R:$R,'CCL HO P&amp;L'!$A68,'XCCL Blank TB'!E:E)+(SUMIF('XCCL HO TB'!$R:$R,'CCL HO P&amp;L'!$A68,'XCCL HO TB'!E:E))</f>
        <v/>
      </c>
      <c r="R68" s="37">
        <f>SUMIF('XCCL Blank TB'!$R:$R,'CCL HO P&amp;L'!$A68,'XCCL Blank TB'!F:F)+(SUMIF('XCCL HO TB'!$R:$R,'CCL HO P&amp;L'!$A68,'XCCL HO TB'!F:F))</f>
        <v/>
      </c>
      <c r="S68" s="37">
        <f>SUMIF('XCCL Blank TB'!$R:$R,'CCL HO P&amp;L'!$A68,'XCCL Blank TB'!G:G)+(SUMIF('XCCL HO TB'!$R:$R,'CCL HO P&amp;L'!$A68,'XCCL HO TB'!G:G))</f>
        <v/>
      </c>
      <c r="T68" s="37">
        <f>SUMIF('XCCL Blank TB'!$R:$R,'CCL HO P&amp;L'!$A68,'XCCL Blank TB'!H:H)+(SUMIF('XCCL HO TB'!$R:$R,'CCL HO P&amp;L'!$A68,'XCCL HO TB'!H:H))</f>
        <v/>
      </c>
      <c r="U68" s="38" t="n"/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7653.83</v>
      </c>
      <c r="C69" s="42" t="n">
        <v>1492.4</v>
      </c>
      <c r="D69" s="42" t="n">
        <v>11304.95</v>
      </c>
      <c r="E69" s="42" t="n">
        <v>4451.17</v>
      </c>
      <c r="F69" s="42" t="n">
        <v>185.61</v>
      </c>
      <c r="G69" s="42" t="n">
        <v>1092.02</v>
      </c>
      <c r="H69" s="42" t="n">
        <v>247.7</v>
      </c>
      <c r="I69" s="42" t="n">
        <v>124.9</v>
      </c>
      <c r="J69" s="42" t="n">
        <v>117.15</v>
      </c>
      <c r="K69" s="42" t="n">
        <v>167.4</v>
      </c>
      <c r="L69" s="42" t="n">
        <v>235.74</v>
      </c>
      <c r="M69" s="42" t="n">
        <v>4640.97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5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 t="n"/>
      <c r="AD69" s="45" t="n"/>
      <c r="AE69" s="45" t="n"/>
      <c r="AF69" s="45" t="n"/>
      <c r="AG69" s="45" t="n"/>
      <c r="AH69" s="45" t="n"/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-12993.6</v>
      </c>
      <c r="C70" s="55" t="n">
        <v>-2334.04</v>
      </c>
      <c r="D70" s="55" t="n">
        <v>-12146.26</v>
      </c>
      <c r="E70" s="55" t="n">
        <v>-9632.49</v>
      </c>
      <c r="F70" s="55" t="n">
        <v>-6257.78</v>
      </c>
      <c r="G70" s="55" t="n">
        <v>-2162.86</v>
      </c>
      <c r="H70" s="55" t="n">
        <v>-6435.16</v>
      </c>
      <c r="I70" s="55" t="n">
        <v>-2899.46</v>
      </c>
      <c r="J70" s="55" t="n">
        <v>-1451.09</v>
      </c>
      <c r="K70" s="55" t="n">
        <v>-2702.36</v>
      </c>
      <c r="L70" s="55" t="n">
        <v>-2127.25</v>
      </c>
      <c r="M70" s="55" t="n">
        <v>-6332.82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20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20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40" t="n"/>
      <c r="AK72" s="40" t="n"/>
      <c r="AL72" s="40" t="n"/>
      <c r="AM72" s="40" t="n"/>
      <c r="AN72" s="40" t="n"/>
      <c r="AO72" s="40" t="n"/>
      <c r="AP72" s="40" t="n"/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8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8" t="n"/>
      <c r="AJ73" s="59" t="inlineStr">
        <is>
          <t>Model assumptions 2027:</t>
        </is>
      </c>
      <c r="AK73" s="8" t="n"/>
      <c r="AL73" s="8" t="n"/>
      <c r="AM73" s="8" t="n"/>
      <c r="AN73" s="40" t="n"/>
      <c r="AO73" s="40" t="n"/>
      <c r="AP73" s="40" t="n"/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8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40" t="n"/>
      <c r="AO74" s="40" t="n"/>
      <c r="AP74" s="40" t="n"/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8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40" t="n"/>
      <c r="AO75" s="40" t="n"/>
      <c r="AP75" s="40" t="n"/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8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40" t="n"/>
      <c r="AO76" s="40" t="n"/>
      <c r="AP76" s="40" t="n"/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8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40" t="n"/>
      <c r="AO77" s="40" t="n"/>
      <c r="AP77" s="40" t="n"/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7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-12993.6</v>
      </c>
      <c r="C79" s="57" t="n">
        <v>-2334.04</v>
      </c>
      <c r="D79" s="57" t="n">
        <v>-12146.26</v>
      </c>
      <c r="E79" s="57" t="n">
        <v>-9632.49</v>
      </c>
      <c r="F79" s="57" t="n">
        <v>-6257.78</v>
      </c>
      <c r="G79" s="57" t="n">
        <v>-2162.86</v>
      </c>
      <c r="H79" s="57" t="n">
        <v>-6435.16</v>
      </c>
      <c r="I79" s="57" t="n">
        <v>-2899.46</v>
      </c>
      <c r="J79" s="57" t="n">
        <v>-1451.09</v>
      </c>
      <c r="K79" s="57" t="n">
        <v>-2702.36</v>
      </c>
      <c r="L79" s="57" t="n">
        <v>-2127.25</v>
      </c>
      <c r="M79" s="57" t="n">
        <v>-6332.82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8" t="n"/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8" t="n"/>
      <c r="AJ79" s="56" t="n"/>
      <c r="AK79" s="56" t="n"/>
      <c r="AL79" s="56" t="n"/>
      <c r="AM79" s="56" t="n"/>
      <c r="AN79" s="56" t="n"/>
      <c r="AO79" s="56" t="n"/>
      <c r="AP79" s="56" t="n"/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20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34" t="inlineStr">
        <is>
          <t>Direct - Sales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0</v>
      </c>
      <c r="I82" s="18" t="n">
        <v>0</v>
      </c>
      <c r="J82" s="18" t="n">
        <v>0</v>
      </c>
      <c r="K82" s="18" t="n">
        <v>0</v>
      </c>
      <c r="L82" s="18" t="n">
        <v>0</v>
      </c>
      <c r="M82" s="18" t="n"/>
      <c r="N82" s="8" t="n"/>
      <c r="O82" s="60">
        <f>-SUMIF('XCCL Blank TB'!$T:$T,'KNL HO P&amp;L'!$A73,'XCCL Blank TB'!C:C)-SUMIF('XCCL HO TB'!$T:$T,'KNL HO P&amp;L'!$A73,'XCCL HO TB'!C:C)</f>
        <v/>
      </c>
      <c r="P82" s="60">
        <f>-SUMIF('XCCL Blank TB'!$T:$T,'KNL HO P&amp;L'!$A73,'XCCL Blank TB'!D:D)-SUMIF('XCCL HO TB'!$T:$T,'KNL HO P&amp;L'!$A73,'XCCL HO TB'!D:D)</f>
        <v/>
      </c>
      <c r="Q82" s="60">
        <f>-SUMIF('XCCL Blank TB'!$T:$T,'KNL HO P&amp;L'!$A73,'XCCL Blank TB'!E:E)-SUMIF('XCCL HO TB'!$T:$T,'KNL HO P&amp;L'!$A73,'XCCL HO TB'!E:E)</f>
        <v/>
      </c>
      <c r="R82" s="60">
        <f>-SUMIF('XCCL Blank TB'!$T:$T,'KNL HO P&amp;L'!$A73,'XCCL Blank TB'!F:F)-SUMIF('XCCL HO TB'!$T:$T,'KNL HO P&amp;L'!$A73,'XCCL HO TB'!F:F)</f>
        <v/>
      </c>
      <c r="S82" s="60">
        <f>-SUMIF('XCCL Blank TB'!$T:$T,'KNL HO P&amp;L'!$A73,'XCCL Blank TB'!G:G)-SUMIF('XCCL HO TB'!$T:$T,'KNL HO P&amp;L'!$A73,'XCCL HO TB'!G:G)</f>
        <v/>
      </c>
      <c r="T82" s="60">
        <f>-SUMIF('XCCL Blank TB'!$T:$T,'KNL HO P&amp;L'!$A73,'XCCL Blank TB'!H:H)-SUMIF('XCCL HO TB'!$T:$T,'KNL HO P&amp;L'!$A73,'XCCL HO TB'!H:H)</f>
        <v/>
      </c>
      <c r="U82" s="60">
        <f>-SUMIF('XCCL Blank TB'!$T:$T,'CCL HO P&amp;L'!$A82,'XCCL Blank TB'!I:I)-SUMIF('XCCL HO TB'!$T:$T,'CCL HO P&amp;L'!$A82,'XCCL HO TB'!I:I)</f>
        <v/>
      </c>
      <c r="V82" s="60">
        <f>-SUMIF('XCCL Blank TB'!$T:$T,'CCL HO P&amp;L'!$A82,'XCCL Blank TB'!J:J)-SUMIF('XCCL HO TB'!$T:$T,'CCL HO P&amp;L'!$A82,'XCCL HO TB'!J:J)</f>
        <v/>
      </c>
      <c r="W82" s="60">
        <f>-SUMIF('XCCL Blank TB'!$T:$T,'CCL HO P&amp;L'!$A82,'XCCL Blank TB'!K:K)-SUMIF('XCCL HO TB'!$T:$T,'CCL HO P&amp;L'!$A82,'XCCL HO TB'!K:K)</f>
        <v/>
      </c>
      <c r="X82" s="60">
        <f>-SUMIF('XCCL Blank TB'!$T:$T,'CCL HO P&amp;L'!$A82,'XCCL Blank TB'!L:L)-SUMIF('XCCL HO TB'!$T:$T,'CCL HO P&amp;L'!$A82,'XCCL HO TB'!L:L)</f>
        <v/>
      </c>
      <c r="Y82" s="60">
        <f>-SUMIF('XCCL Blank TB'!$T:$T,'CCL HO P&amp;L'!$A82,'XCCL Blank TB'!M:M)-SUMIF('XCCL HO TB'!$T:$T,'CCL HO P&amp;L'!$A82,'XCCL HO TB'!M:M)</f>
        <v/>
      </c>
      <c r="Z82" s="60">
        <f>-SUMIF('XCCL Blank TB'!$T:$T,'CCL HO P&amp;L'!$A82,'XCCL Blank TB'!N:N)-SUMIF('XCCL HO TB'!$T:$T,'CCL HO P&amp;L'!$A82,'XCCL HO TB'!N:N)</f>
        <v/>
      </c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60" t="inlineStr">
        <is>
          <t>Direct - Staff Cost</t>
        </is>
      </c>
      <c r="B83" s="60" t="n">
        <v>0</v>
      </c>
      <c r="C83" s="60" t="n">
        <v>0</v>
      </c>
      <c r="D83" s="60" t="n">
        <v>0</v>
      </c>
      <c r="E83" s="60" t="n">
        <v>0</v>
      </c>
      <c r="F83" s="60" t="n">
        <v>-1917.6</v>
      </c>
      <c r="G83" s="60" t="n">
        <v>-632.5799999999999</v>
      </c>
      <c r="H83" s="60" t="n">
        <v>0</v>
      </c>
      <c r="I83" s="60" t="n">
        <v>0</v>
      </c>
      <c r="J83" s="60" t="n">
        <v>0</v>
      </c>
      <c r="K83" s="60" t="n">
        <v>0</v>
      </c>
      <c r="L83" s="60" t="n">
        <v>0</v>
      </c>
      <c r="M83" s="8" t="n"/>
      <c r="N83" s="8" t="n"/>
      <c r="O83" s="60">
        <f>-SUMIF('XCCL Blank TB'!$T:$T,'KNL HO P&amp;L'!$A74,'XCCL Blank TB'!C:C)-SUMIF('XCCL HO TB'!$T:$T,'KNL HO P&amp;L'!$A74,'XCCL HO TB'!C:C)</f>
        <v/>
      </c>
      <c r="P83" s="60">
        <f>-SUMIF('XCCL Blank TB'!$T:$T,'KNL HO P&amp;L'!$A74,'XCCL Blank TB'!D:D)-SUMIF('XCCL HO TB'!$T:$T,'KNL HO P&amp;L'!$A74,'XCCL HO TB'!D:D)</f>
        <v/>
      </c>
      <c r="Q83" s="60">
        <f>-SUMIF('XCCL Blank TB'!$T:$T,'KNL HO P&amp;L'!$A74,'XCCL Blank TB'!E:E)-SUMIF('XCCL HO TB'!$T:$T,'KNL HO P&amp;L'!$A74,'XCCL HO TB'!E:E)</f>
        <v/>
      </c>
      <c r="R83" s="60">
        <f>-SUMIF('XCCL Blank TB'!$T:$T,'KNL HO P&amp;L'!$A74,'XCCL Blank TB'!F:F)-SUMIF('XCCL HO TB'!$T:$T,'KNL HO P&amp;L'!$A74,'XCCL HO TB'!F:F)</f>
        <v/>
      </c>
      <c r="S83" s="60">
        <f>-SUMIF('XCCL Blank TB'!$T:$T,'KNL HO P&amp;L'!$A74,'XCCL Blank TB'!G:G)-SUMIF('XCCL HO TB'!$T:$T,'KNL HO P&amp;L'!$A74,'XCCL HO TB'!G:G)</f>
        <v/>
      </c>
      <c r="T83" s="60">
        <f>-SUMIF('XCCL Blank TB'!$T:$T,'KNL HO P&amp;L'!$A74,'XCCL Blank TB'!H:H)-SUMIF('XCCL HO TB'!$T:$T,'KNL HO P&amp;L'!$A74,'XCCL HO TB'!H:H)</f>
        <v/>
      </c>
      <c r="U83" s="60">
        <f>-SUMIF('XCCL Blank TB'!$T:$T,'CCL HO P&amp;L'!$A83,'XCCL Blank TB'!I:I)-SUMIF('XCCL HO TB'!$T:$T,'CCL HO P&amp;L'!$A83,'XCCL HO TB'!I:I)</f>
        <v/>
      </c>
      <c r="V83" s="60">
        <f>-SUMIF('XCCL Blank TB'!$T:$T,'CCL HO P&amp;L'!$A83,'XCCL Blank TB'!J:J)-SUMIF('XCCL HO TB'!$T:$T,'CCL HO P&amp;L'!$A83,'XCCL HO TB'!J:J)</f>
        <v/>
      </c>
      <c r="W83" s="60">
        <f>-SUMIF('XCCL Blank TB'!$T:$T,'CCL HO P&amp;L'!$A83,'XCCL Blank TB'!K:K)-SUMIF('XCCL HO TB'!$T:$T,'CCL HO P&amp;L'!$A83,'XCCL HO TB'!K:K)</f>
        <v/>
      </c>
      <c r="X83" s="60">
        <f>-SUMIF('XCCL Blank TB'!$T:$T,'CCL HO P&amp;L'!$A83,'XCCL Blank TB'!L:L)-SUMIF('XCCL HO TB'!$T:$T,'CCL HO P&amp;L'!$A83,'XCCL HO TB'!L:L)</f>
        <v/>
      </c>
      <c r="Y83" s="60">
        <f>-SUMIF('XCCL Blank TB'!$T:$T,'CCL HO P&amp;L'!$A83,'XCCL Blank TB'!M:M)-SUMIF('XCCL HO TB'!$T:$T,'CCL HO P&amp;L'!$A83,'XCCL HO TB'!M:M)</f>
        <v/>
      </c>
      <c r="Z83" s="60">
        <f>-SUMIF('XCCL Blank TB'!$T:$T,'CCL HO P&amp;L'!$A83,'XCCL Blank TB'!N:N)-SUMIF('XCCL HO TB'!$T:$T,'CCL HO P&amp;L'!$A83,'XCCL HO TB'!N:N)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60" t="inlineStr">
        <is>
          <t>Direct - Childcare Cost</t>
        </is>
      </c>
      <c r="B84" s="60" t="n">
        <v>-228.05</v>
      </c>
      <c r="C84" s="60" t="n">
        <v>0</v>
      </c>
      <c r="D84" s="60" t="n">
        <v>0</v>
      </c>
      <c r="E84" s="60" t="n">
        <v>0</v>
      </c>
      <c r="F84" s="60" t="n">
        <v>0</v>
      </c>
      <c r="G84" s="60" t="n">
        <v>0</v>
      </c>
      <c r="H84" s="60" t="n">
        <v>-20.97</v>
      </c>
      <c r="I84" s="60" t="n">
        <v>0</v>
      </c>
      <c r="J84" s="60" t="n">
        <v>0</v>
      </c>
      <c r="K84" s="60" t="n">
        <v>-47.98</v>
      </c>
      <c r="L84" s="60" t="n">
        <v>0</v>
      </c>
      <c r="M84" s="8" t="n"/>
      <c r="N84" s="8" t="n"/>
      <c r="O84" s="60">
        <f>-SUMIF('XCCL Blank TB'!$T:$T,'KNL HO P&amp;L'!$A75,'XCCL Blank TB'!C:C)-SUMIF('XCCL HO TB'!$T:$T,'KNL HO P&amp;L'!$A75,'XCCL HO TB'!C:C)</f>
        <v/>
      </c>
      <c r="P84" s="60">
        <f>-SUMIF('XCCL Blank TB'!$T:$T,'KNL HO P&amp;L'!$A75,'XCCL Blank TB'!D:D)-SUMIF('XCCL HO TB'!$T:$T,'KNL HO P&amp;L'!$A75,'XCCL HO TB'!D:D)</f>
        <v/>
      </c>
      <c r="Q84" s="60">
        <f>-SUMIF('XCCL Blank TB'!$T:$T,'KNL HO P&amp;L'!$A75,'XCCL Blank TB'!E:E)-SUMIF('XCCL HO TB'!$T:$T,'KNL HO P&amp;L'!$A75,'XCCL HO TB'!E:E)</f>
        <v/>
      </c>
      <c r="R84" s="60">
        <f>-SUMIF('XCCL Blank TB'!$T:$T,'KNL HO P&amp;L'!$A75,'XCCL Blank TB'!F:F)-SUMIF('XCCL HO TB'!$T:$T,'KNL HO P&amp;L'!$A75,'XCCL HO TB'!F:F)</f>
        <v/>
      </c>
      <c r="S84" s="60">
        <f>-SUMIF('XCCL Blank TB'!$T:$T,'KNL HO P&amp;L'!$A75,'XCCL Blank TB'!G:G)-SUMIF('XCCL HO TB'!$T:$T,'KNL HO P&amp;L'!$A75,'XCCL HO TB'!G:G)</f>
        <v/>
      </c>
      <c r="T84" s="60">
        <f>-SUMIF('XCCL Blank TB'!$T:$T,'KNL HO P&amp;L'!$A75,'XCCL Blank TB'!H:H)-SUMIF('XCCL HO TB'!$T:$T,'KNL HO P&amp;L'!$A75,'XCCL HO TB'!H:H)</f>
        <v/>
      </c>
      <c r="U84" s="60">
        <f>-SUMIF('XCCL Blank TB'!$T:$T,'CCL HO P&amp;L'!$A84,'XCCL Blank TB'!I:I)-SUMIF('XCCL HO TB'!$T:$T,'CCL HO P&amp;L'!$A84,'XCCL HO TB'!I:I)</f>
        <v/>
      </c>
      <c r="V84" s="60">
        <f>-SUMIF('XCCL Blank TB'!$T:$T,'CCL HO P&amp;L'!$A84,'XCCL Blank TB'!J:J)-SUMIF('XCCL HO TB'!$T:$T,'CCL HO P&amp;L'!$A84,'XCCL HO TB'!J:J)</f>
        <v/>
      </c>
      <c r="W84" s="60">
        <f>-SUMIF('XCCL Blank TB'!$T:$T,'CCL HO P&amp;L'!$A84,'XCCL Blank TB'!K:K)-SUMIF('XCCL HO TB'!$T:$T,'CCL HO P&amp;L'!$A84,'XCCL HO TB'!K:K)</f>
        <v/>
      </c>
      <c r="X84" s="60">
        <f>-SUMIF('XCCL Blank TB'!$T:$T,'CCL HO P&amp;L'!$A84,'XCCL Blank TB'!L:L)-SUMIF('XCCL HO TB'!$T:$T,'CCL HO P&amp;L'!$A84,'XCCL HO TB'!L:L)</f>
        <v/>
      </c>
      <c r="Y84" s="60">
        <f>-SUMIF('XCCL Blank TB'!$T:$T,'CCL HO P&amp;L'!$A84,'XCCL Blank TB'!M:M)-SUMIF('XCCL HO TB'!$T:$T,'CCL HO P&amp;L'!$A84,'XCCL HO TB'!M:M)</f>
        <v/>
      </c>
      <c r="Z84" s="60">
        <f>-SUMIF('XCCL Blank TB'!$T:$T,'CCL HO P&amp;L'!$A84,'XCCL Blank TB'!N:N)-SUMIF('XCCL HO TB'!$T:$T,'CCL HO P&amp;L'!$A84,'XCCL HO TB'!N:N)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60" t="inlineStr">
        <is>
          <t>Direct - Premises &amp; Admin</t>
        </is>
      </c>
      <c r="B85" s="18" t="n">
        <v>-5111.72</v>
      </c>
      <c r="C85" s="18" t="n">
        <v>-841.64</v>
      </c>
      <c r="D85" s="18" t="n">
        <v>-841.3099999999999</v>
      </c>
      <c r="E85" s="18" t="n">
        <v>-5181.32</v>
      </c>
      <c r="F85" s="18" t="n">
        <v>-4154.57</v>
      </c>
      <c r="G85" s="18" t="n">
        <v>-438.26</v>
      </c>
      <c r="H85" s="18" t="n">
        <v>-6166.49</v>
      </c>
      <c r="I85" s="18" t="n">
        <v>-2774.56</v>
      </c>
      <c r="J85" s="18" t="n">
        <v>-1333.94</v>
      </c>
      <c r="K85" s="18" t="n">
        <v>-2486.98</v>
      </c>
      <c r="L85" s="18" t="n">
        <v>-1891.51</v>
      </c>
      <c r="M85" s="18" t="n"/>
      <c r="N85" s="8" t="n"/>
      <c r="O85" s="60">
        <f>-SUMIF('XCCL Blank TB'!$T:$T,'KNL HO P&amp;L'!$A76,'XCCL Blank TB'!C:C)-SUMIF('XCCL HO TB'!$T:$T,'KNL HO P&amp;L'!$A76,'XCCL HO TB'!C:C)</f>
        <v/>
      </c>
      <c r="P85" s="60">
        <f>-SUMIF('XCCL Blank TB'!$T:$T,'KNL HO P&amp;L'!$A76,'XCCL Blank TB'!D:D)-SUMIF('XCCL HO TB'!$T:$T,'KNL HO P&amp;L'!$A76,'XCCL HO TB'!D:D)</f>
        <v/>
      </c>
      <c r="Q85" s="60">
        <f>-SUMIF('XCCL Blank TB'!$T:$T,'KNL HO P&amp;L'!$A76,'XCCL Blank TB'!E:E)-SUMIF('XCCL HO TB'!$T:$T,'KNL HO P&amp;L'!$A76,'XCCL HO TB'!E:E)</f>
        <v/>
      </c>
      <c r="R85" s="60">
        <f>-SUMIF('XCCL Blank TB'!$T:$T,'KNL HO P&amp;L'!$A76,'XCCL Blank TB'!F:F)-SUMIF('XCCL HO TB'!$T:$T,'KNL HO P&amp;L'!$A76,'XCCL HO TB'!F:F)</f>
        <v/>
      </c>
      <c r="S85" s="60">
        <f>-SUMIF('XCCL Blank TB'!$T:$T,'KNL HO P&amp;L'!$A76,'XCCL Blank TB'!G:G)-SUMIF('XCCL HO TB'!$T:$T,'KNL HO P&amp;L'!$A76,'XCCL HO TB'!G:G)</f>
        <v/>
      </c>
      <c r="T85" s="60">
        <f>-SUMIF('XCCL Blank TB'!$T:$T,'KNL HO P&amp;L'!$A76,'XCCL Blank TB'!H:H)-SUMIF('XCCL HO TB'!$T:$T,'KNL HO P&amp;L'!$A76,'XCCL HO TB'!H:H)</f>
        <v/>
      </c>
      <c r="U85" s="60">
        <f>-SUMIF('XCCL Blank TB'!$T:$T,'CCL HO P&amp;L'!$A85,'XCCL Blank TB'!I:I)-SUMIF('XCCL HO TB'!$T:$T,'CCL HO P&amp;L'!$A85,'XCCL HO TB'!I:I)</f>
        <v/>
      </c>
      <c r="V85" s="60">
        <f>-SUMIF('XCCL Blank TB'!$T:$T,'CCL HO P&amp;L'!$A85,'XCCL Blank TB'!J:J)-SUMIF('XCCL HO TB'!$T:$T,'CCL HO P&amp;L'!$A85,'XCCL HO TB'!J:J)</f>
        <v/>
      </c>
      <c r="W85" s="60">
        <f>-SUMIF('XCCL Blank TB'!$T:$T,'CCL HO P&amp;L'!$A85,'XCCL Blank TB'!K:K)-SUMIF('XCCL HO TB'!$T:$T,'CCL HO P&amp;L'!$A85,'XCCL HO TB'!K:K)</f>
        <v/>
      </c>
      <c r="X85" s="60">
        <f>-SUMIF('XCCL Blank TB'!$T:$T,'CCL HO P&amp;L'!$A85,'XCCL Blank TB'!L:L)-SUMIF('XCCL HO TB'!$T:$T,'CCL HO P&amp;L'!$A85,'XCCL HO TB'!L:L)</f>
        <v/>
      </c>
      <c r="Y85" s="60">
        <f>-SUMIF('XCCL Blank TB'!$T:$T,'CCL HO P&amp;L'!$A85,'XCCL Blank TB'!M:M)-SUMIF('XCCL HO TB'!$T:$T,'CCL HO P&amp;L'!$A85,'XCCL HO TB'!M:M)</f>
        <v/>
      </c>
      <c r="Z85" s="60">
        <f>-SUMIF('XCCL Blank TB'!$T:$T,'CCL HO P&amp;L'!$A85,'XCCL Blank TB'!N:N)-SUMIF('XCCL HO TB'!$T:$T,'CCL HO P&amp;L'!$A85,'XCCL HO TB'!N:N)</f>
        <v/>
      </c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In-Direct - Staff Cost</t>
        </is>
      </c>
      <c r="B86" s="60" t="n">
        <v>0</v>
      </c>
      <c r="C86" s="60" t="n">
        <v>0</v>
      </c>
      <c r="D86" s="60" t="n">
        <v>0</v>
      </c>
      <c r="E86" s="60" t="n">
        <v>0</v>
      </c>
      <c r="F86" s="60" t="n">
        <v>0</v>
      </c>
      <c r="G86" s="60" t="n">
        <v>0</v>
      </c>
      <c r="H86" s="60" t="n">
        <v>0</v>
      </c>
      <c r="I86" s="60" t="n">
        <v>0</v>
      </c>
      <c r="J86" s="60" t="n">
        <v>0</v>
      </c>
      <c r="K86" s="60" t="n">
        <v>0</v>
      </c>
      <c r="L86" s="60" t="n">
        <v>0</v>
      </c>
      <c r="M86" s="8" t="n"/>
      <c r="N86" s="8" t="n"/>
      <c r="O86" s="60">
        <f>-SUMIF('XCCL Blank TB'!$T:$T,'KNL HO P&amp;L'!$A77,'XCCL Blank TB'!C:C)-SUMIF('XCCL HO TB'!$T:$T,'KNL HO P&amp;L'!$A77,'XCCL HO TB'!C:C)</f>
        <v/>
      </c>
      <c r="P86" s="60">
        <f>-SUMIF('XCCL Blank TB'!$T:$T,'KNL HO P&amp;L'!$A77,'XCCL Blank TB'!D:D)-SUMIF('XCCL HO TB'!$T:$T,'KNL HO P&amp;L'!$A77,'XCCL HO TB'!D:D)</f>
        <v/>
      </c>
      <c r="Q86" s="60">
        <f>-SUMIF('XCCL Blank TB'!$T:$T,'KNL HO P&amp;L'!$A77,'XCCL Blank TB'!E:E)-SUMIF('XCCL HO TB'!$T:$T,'KNL HO P&amp;L'!$A77,'XCCL HO TB'!E:E)</f>
        <v/>
      </c>
      <c r="R86" s="60">
        <f>-SUMIF('XCCL Blank TB'!$T:$T,'KNL HO P&amp;L'!$A77,'XCCL Blank TB'!F:F)-SUMIF('XCCL HO TB'!$T:$T,'KNL HO P&amp;L'!$A77,'XCCL HO TB'!F:F)</f>
        <v/>
      </c>
      <c r="S86" s="60">
        <f>-SUMIF('XCCL Blank TB'!$T:$T,'KNL HO P&amp;L'!$A77,'XCCL Blank TB'!G:G)-SUMIF('XCCL HO TB'!$T:$T,'KNL HO P&amp;L'!$A77,'XCCL HO TB'!G:G)</f>
        <v/>
      </c>
      <c r="T86" s="60">
        <f>-SUMIF('XCCL Blank TB'!$T:$T,'KNL HO P&amp;L'!$A77,'XCCL Blank TB'!H:H)-SUMIF('XCCL HO TB'!$T:$T,'KNL HO P&amp;L'!$A77,'XCCL HO TB'!H:H)</f>
        <v/>
      </c>
      <c r="U86" s="60">
        <f>-SUMIF('XCCL Blank TB'!$T:$T,'CCL HO P&amp;L'!$A86,'XCCL Blank TB'!I:I)-SUMIF('XCCL HO TB'!$T:$T,'CCL HO P&amp;L'!$A86,'XCCL HO TB'!I:I)</f>
        <v/>
      </c>
      <c r="V86" s="60">
        <f>-SUMIF('XCCL Blank TB'!$T:$T,'CCL HO P&amp;L'!$A86,'XCCL Blank TB'!J:J)-SUMIF('XCCL HO TB'!$T:$T,'CCL HO P&amp;L'!$A86,'XCCL HO TB'!J:J)</f>
        <v/>
      </c>
      <c r="W86" s="60">
        <f>-SUMIF('XCCL Blank TB'!$T:$T,'CCL HO P&amp;L'!$A86,'XCCL Blank TB'!K:K)-SUMIF('XCCL HO TB'!$T:$T,'CCL HO P&amp;L'!$A86,'XCCL HO TB'!K:K)</f>
        <v/>
      </c>
      <c r="X86" s="60">
        <f>-SUMIF('XCCL Blank TB'!$T:$T,'CCL HO P&amp;L'!$A86,'XCCL Blank TB'!L:L)-SUMIF('XCCL HO TB'!$T:$T,'CCL HO P&amp;L'!$A86,'XCCL HO TB'!L:L)</f>
        <v/>
      </c>
      <c r="Y86" s="60">
        <f>-SUMIF('XCCL Blank TB'!$T:$T,'CCL HO P&amp;L'!$A86,'XCCL Blank TB'!M:M)-SUMIF('XCCL HO TB'!$T:$T,'CCL HO P&amp;L'!$A86,'XCCL HO TB'!M:M)</f>
        <v/>
      </c>
      <c r="Z86" s="60">
        <f>-SUMIF('XCCL Blank TB'!$T:$T,'CCL HO P&amp;L'!$A86,'XCCL Blank TB'!N:N)-SUMIF('XCCL HO TB'!$T:$T,'CCL HO P&amp;L'!$A86,'XCCL HO TB'!N:N)</f>
        <v/>
      </c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In-Direct - Overheads</t>
        </is>
      </c>
      <c r="B87" s="60" t="n">
        <v>-7653.83</v>
      </c>
      <c r="C87" s="60" t="n">
        <v>-1492.4</v>
      </c>
      <c r="D87" s="60" t="n">
        <v>-11304.95</v>
      </c>
      <c r="E87" s="60" t="n">
        <v>-4451.17</v>
      </c>
      <c r="F87" s="60" t="n">
        <v>-185.61</v>
      </c>
      <c r="G87" s="60" t="n">
        <v>-1092.02</v>
      </c>
      <c r="H87" s="60" t="n">
        <v>-247.7</v>
      </c>
      <c r="I87" s="60" t="n">
        <v>-124.9</v>
      </c>
      <c r="J87" s="60" t="n">
        <v>-117.15</v>
      </c>
      <c r="K87" s="60" t="n">
        <v>-167.4</v>
      </c>
      <c r="L87" s="60" t="n">
        <v>-235.74</v>
      </c>
      <c r="M87" s="8" t="n"/>
      <c r="N87" s="8" t="n"/>
      <c r="O87" s="60">
        <f>-SUMIF('XCCL Blank TB'!$T:$T,'KNL HO P&amp;L'!$A78,'XCCL Blank TB'!C:C)-SUMIF('XCCL HO TB'!$T:$T,'KNL HO P&amp;L'!$A78,'XCCL HO TB'!C:C)</f>
        <v/>
      </c>
      <c r="P87" s="60">
        <f>-SUMIF('XCCL Blank TB'!$T:$T,'KNL HO P&amp;L'!$A78,'XCCL Blank TB'!D:D)-SUMIF('XCCL HO TB'!$T:$T,'KNL HO P&amp;L'!$A78,'XCCL HO TB'!D:D)</f>
        <v/>
      </c>
      <c r="Q87" s="60">
        <f>-SUMIF('XCCL Blank TB'!$T:$T,'KNL HO P&amp;L'!$A78,'XCCL Blank TB'!E:E)-SUMIF('XCCL HO TB'!$T:$T,'KNL HO P&amp;L'!$A78,'XCCL HO TB'!E:E)</f>
        <v/>
      </c>
      <c r="R87" s="60">
        <f>-SUMIF('XCCL Blank TB'!$T:$T,'KNL HO P&amp;L'!$A78,'XCCL Blank TB'!F:F)-SUMIF('XCCL HO TB'!$T:$T,'KNL HO P&amp;L'!$A78,'XCCL HO TB'!F:F)</f>
        <v/>
      </c>
      <c r="S87" s="60">
        <f>-SUMIF('XCCL Blank TB'!$T:$T,'KNL HO P&amp;L'!$A78,'XCCL Blank TB'!G:G)-SUMIF('XCCL HO TB'!$T:$T,'KNL HO P&amp;L'!$A78,'XCCL HO TB'!G:G)</f>
        <v/>
      </c>
      <c r="T87" s="60">
        <f>-SUMIF('XCCL Blank TB'!$T:$T,'KNL HO P&amp;L'!$A78,'XCCL Blank TB'!H:H)-SUMIF('XCCL HO TB'!$T:$T,'KNL HO P&amp;L'!$A78,'XCCL HO TB'!H:H)</f>
        <v/>
      </c>
      <c r="U87" s="60">
        <f>-SUMIF('XCCL Blank TB'!$T:$T,'CCL HO P&amp;L'!$A87,'XCCL Blank TB'!I:I)-SUMIF('XCCL HO TB'!$T:$T,'CCL HO P&amp;L'!$A87,'XCCL HO TB'!I:I)</f>
        <v/>
      </c>
      <c r="V87" s="60">
        <f>-SUMIF('XCCL Blank TB'!$T:$T,'CCL HO P&amp;L'!$A87,'XCCL Blank TB'!J:J)-SUMIF('XCCL HO TB'!$T:$T,'CCL HO P&amp;L'!$A87,'XCCL HO TB'!J:J)</f>
        <v/>
      </c>
      <c r="W87" s="60">
        <f>-SUMIF('XCCL Blank TB'!$T:$T,'CCL HO P&amp;L'!$A87,'XCCL Blank TB'!K:K)-SUMIF('XCCL HO TB'!$T:$T,'CCL HO P&amp;L'!$A87,'XCCL HO TB'!K:K)</f>
        <v/>
      </c>
      <c r="X87" s="60">
        <f>-SUMIF('XCCL Blank TB'!$T:$T,'CCL HO P&amp;L'!$A87,'XCCL Blank TB'!L:L)-SUMIF('XCCL HO TB'!$T:$T,'CCL HO P&amp;L'!$A87,'XCCL HO TB'!L:L)</f>
        <v/>
      </c>
      <c r="Y87" s="60">
        <f>-SUMIF('XCCL Blank TB'!$T:$T,'CCL HO P&amp;L'!$A87,'XCCL Blank TB'!M:M)-SUMIF('XCCL HO TB'!$T:$T,'CCL HO P&amp;L'!$A87,'XCCL HO TB'!M:M)</f>
        <v/>
      </c>
      <c r="Z87" s="60">
        <f>-SUMIF('XCCL Blank TB'!$T:$T,'CCL HO P&amp;L'!$A87,'XCCL Blank TB'!N:N)-SUMIF('XCCL HO TB'!$T:$T,'CCL HO P&amp;L'!$A87,'XCCL HO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 ht="15.75" customHeight="1">
      <c r="A88" s="8" t="n"/>
      <c r="B88" s="67" t="n">
        <v>-12993.6</v>
      </c>
      <c r="C88" s="67" t="n">
        <v>-2334.04</v>
      </c>
      <c r="D88" s="67" t="n">
        <v>-12146.26</v>
      </c>
      <c r="E88" s="67" t="n">
        <v>-9632.49</v>
      </c>
      <c r="F88" s="67" t="n">
        <v>-6257.78</v>
      </c>
      <c r="G88" s="67" t="n">
        <v>-2162.86</v>
      </c>
      <c r="H88" s="67" t="n">
        <v>-6435.16</v>
      </c>
      <c r="I88" s="67" t="n">
        <v>-2899.46</v>
      </c>
      <c r="J88" s="67" t="n">
        <v>-1451.09</v>
      </c>
      <c r="K88" s="67" t="n">
        <v>-2702.36</v>
      </c>
      <c r="L88" s="67" t="n">
        <v>-2127.25</v>
      </c>
      <c r="M88" s="67" t="n"/>
      <c r="N88" s="64" t="n"/>
      <c r="O88" s="64">
        <f>SUM(O82:O87)</f>
        <v/>
      </c>
      <c r="P88" s="64">
        <f>SUM(P82:P87)</f>
        <v/>
      </c>
      <c r="Q88" s="64">
        <f>SUM(Q82:Q87)</f>
        <v/>
      </c>
      <c r="R88" s="64">
        <f>SUM(R82:R87)</f>
        <v/>
      </c>
      <c r="S88" s="64">
        <f>SUM(S82:S87)</f>
        <v/>
      </c>
      <c r="T88" s="64">
        <f>SUM(T82:T87)</f>
        <v/>
      </c>
      <c r="U88" s="64">
        <f>SUM(U82:U87)</f>
        <v/>
      </c>
      <c r="V88" s="64">
        <f>SUM(V82:V87)</f>
        <v/>
      </c>
      <c r="W88" s="64">
        <f>SUM(W82:W87)</f>
        <v/>
      </c>
      <c r="X88" s="64">
        <f>SUM(X82:X87)</f>
        <v/>
      </c>
      <c r="Y88" s="64">
        <f>SUM(Y82:Y87)</f>
        <v/>
      </c>
      <c r="Z88" s="64">
        <f>SUM(Z82:Z87)</f>
        <v/>
      </c>
      <c r="AA88" s="64">
        <f>SUM(AA82:AA87)</f>
        <v/>
      </c>
      <c r="AB88" s="8" t="n"/>
      <c r="AC88" s="64" t="n"/>
      <c r="AD88" s="64" t="n"/>
      <c r="AE88" s="64" t="n"/>
      <c r="AF88" s="64" t="n"/>
      <c r="AG88" s="64" t="n"/>
      <c r="AH88" s="64" t="n"/>
      <c r="AI88" s="8" t="n"/>
      <c r="AJ88" s="64" t="n"/>
      <c r="AK88" s="64" t="n"/>
      <c r="AL88" s="64" t="n"/>
      <c r="AM88" s="64" t="n"/>
      <c r="AN88" s="64" t="n"/>
      <c r="AO88" s="64" t="n"/>
      <c r="AP88" s="64" t="n"/>
    </row>
    <row r="89" ht="15.75" customHeight="1">
      <c r="A89" s="8" t="n"/>
      <c r="B89" s="18" t="n">
        <v>0</v>
      </c>
      <c r="C89" s="18" t="n">
        <v>0</v>
      </c>
      <c r="D89" s="18" t="n">
        <v>0</v>
      </c>
      <c r="E89" s="18" t="n">
        <v>0</v>
      </c>
      <c r="F89" s="18" t="n">
        <v>0</v>
      </c>
      <c r="G89" s="18" t="n">
        <v>0</v>
      </c>
      <c r="H89" s="18" t="n">
        <v>0</v>
      </c>
      <c r="I89" s="18" t="n">
        <v>0</v>
      </c>
      <c r="J89" s="18" t="n">
        <v>0</v>
      </c>
      <c r="K89" s="18" t="n">
        <v>0</v>
      </c>
      <c r="L89" s="18" t="n">
        <v>0</v>
      </c>
      <c r="M89" s="18" t="n">
        <v>-6332.82</v>
      </c>
      <c r="N89" s="8" t="n"/>
      <c r="O89" s="60">
        <f>+O70-O88</f>
        <v/>
      </c>
      <c r="P89" s="60">
        <f>+P70-P88</f>
        <v/>
      </c>
      <c r="Q89" s="60">
        <f>+Q70-Q88</f>
        <v/>
      </c>
      <c r="R89" s="60">
        <f>+R70-R88</f>
        <v/>
      </c>
      <c r="S89" s="60">
        <f>+S70-S88</f>
        <v/>
      </c>
      <c r="T89" s="60">
        <f>+T70-T88</f>
        <v/>
      </c>
      <c r="U89" s="60">
        <f>+U70-U88</f>
        <v/>
      </c>
      <c r="V89" s="60">
        <f>+V70-V88</f>
        <v/>
      </c>
      <c r="W89" s="60">
        <f>+W70-W88</f>
        <v/>
      </c>
      <c r="X89" s="60">
        <f>+X70-X88</f>
        <v/>
      </c>
      <c r="Y89" s="60">
        <f>+Y70-Y88</f>
        <v/>
      </c>
      <c r="Z89" s="60">
        <f>+Z70-Z88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6332.82</v>
      </c>
      <c r="N91" s="8" t="n"/>
      <c r="O91" s="60">
        <f>O88+O92</f>
        <v/>
      </c>
      <c r="P91" s="60">
        <f>P88+P92</f>
        <v/>
      </c>
      <c r="Q91" s="60">
        <f>Q88+Q92</f>
        <v/>
      </c>
      <c r="R91" s="60">
        <f>R88+R92</f>
        <v/>
      </c>
      <c r="S91" s="60">
        <f>S88+S92</f>
        <v/>
      </c>
      <c r="T91" s="60">
        <f>T88+T92</f>
        <v/>
      </c>
      <c r="U91" s="60">
        <f>U88+U92</f>
        <v/>
      </c>
      <c r="V91" s="60">
        <f>V88+V92</f>
        <v/>
      </c>
      <c r="W91" s="60">
        <f>W88+W92</f>
        <v/>
      </c>
      <c r="X91" s="60">
        <f>X88+X92</f>
        <v/>
      </c>
      <c r="Y91" s="60">
        <f>Y88+Y92</f>
        <v/>
      </c>
      <c r="Z91" s="60">
        <f>Z88+Z92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>
        <v>12993.6</v>
      </c>
      <c r="C92" s="18" t="n">
        <v>2334.04</v>
      </c>
      <c r="D92" s="18" t="n">
        <v>12146.26</v>
      </c>
      <c r="E92" s="18" t="n">
        <v>9632.49</v>
      </c>
      <c r="F92" s="18" t="n">
        <v>6257.780000000001</v>
      </c>
      <c r="G92" s="18" t="n">
        <v>2162.86</v>
      </c>
      <c r="H92" s="18" t="n">
        <v>6435.16</v>
      </c>
      <c r="I92" s="18" t="n">
        <v>2899.46</v>
      </c>
      <c r="J92" s="18" t="n">
        <v>1451.09</v>
      </c>
      <c r="K92" s="18" t="n">
        <v>2702.36</v>
      </c>
      <c r="L92" s="18" t="n">
        <v>2127.25</v>
      </c>
      <c r="M92" s="18" t="n">
        <v>6332.82</v>
      </c>
      <c r="N92" s="8" t="n"/>
      <c r="O92" s="60">
        <f>SUM('XCCL Blank TB'!C2:C37)+SUM('XCCL HO TB'!C2:C44)</f>
        <v/>
      </c>
      <c r="P92" s="60">
        <f>SUM('XCCL Blank TB'!D2:D37)+SUM('XCCL HO TB'!D2:D44)</f>
        <v/>
      </c>
      <c r="Q92" s="60">
        <f>SUM('XCCL Blank TB'!E2:E37)+SUM('XCCL HO TB'!E2:E44)</f>
        <v/>
      </c>
      <c r="R92" s="60">
        <f>SUM('XCCL Blank TB'!F2:F37)+SUM('XCCL HO TB'!F2:F44)</f>
        <v/>
      </c>
      <c r="S92" s="60">
        <f>SUM('XCCL Blank TB'!G2:G37)+SUM('XCCL HO TB'!G2:G44)</f>
        <v/>
      </c>
      <c r="T92" s="60">
        <f>SUM('XCCL Blank TB'!H2:H37)+SUM('XCCL HO TB'!H2:H44)</f>
        <v/>
      </c>
      <c r="U92" s="60">
        <f>SUM('XCCL Blank TB'!I2:I37)+SUM('XCCL HO TB'!I2:I44)</f>
        <v/>
      </c>
      <c r="V92" s="60">
        <f>SUM('XCCL Blank TB'!J2:J37)+SUM('XCCL HO TB'!J2:J44)</f>
        <v/>
      </c>
      <c r="W92" s="60">
        <f>SUM('XCCL Blank TB'!K2:K37)+SUM('XCCL HO TB'!K2:K44)</f>
        <v/>
      </c>
      <c r="X92" s="60">
        <f>SUM('XCCL Blank TB'!L2:L37)+SUM('XCCL HO TB'!L2:L44)</f>
        <v/>
      </c>
      <c r="Y92" s="60">
        <f>SUM('XCCL Blank TB'!M2:M37)+SUM('XCCL HO TB'!M2:M44)</f>
        <v/>
      </c>
      <c r="Z92" s="60">
        <f>SUM('XCCL Blank TB'!N2:N37)+SUM('XCCL HO TB'!N2:N44)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P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5703125" customWidth="1" min="27" max="27"/>
    <col width="9" customWidth="1" min="28" max="28"/>
    <col width="13.28515625" customWidth="1" min="29" max="29"/>
    <col width="11.710937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YBHN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0</v>
      </c>
      <c r="C8" s="35" t="n">
        <v>0</v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 t="n">
        <v>0</v>
      </c>
      <c r="J8" s="35" t="n">
        <v>0</v>
      </c>
      <c r="K8" s="35" t="n">
        <v>0</v>
      </c>
      <c r="L8" s="35" t="n">
        <v>0</v>
      </c>
      <c r="M8" s="35" t="n">
        <v>0</v>
      </c>
      <c r="N8" s="36">
        <f>SUM(B8:M8)</f>
        <v/>
      </c>
      <c r="O8" s="37">
        <f>-(SUMIF('YBHN Blank TB'!$R:$R,'YBHN HO P&amp;L'!$A8,'YBHN Blank TB'!C:C)+(SUMIF('YBHN HO TB'!$R:$R,'YBHN HO P&amp;L'!$A8,'YBHN HO TB'!C:C)))</f>
        <v/>
      </c>
      <c r="P8" s="37">
        <f>-(SUMIF('YBHN Blank TB'!$R:$R,'YBHN HO P&amp;L'!$A8,'YBHN Blank TB'!D:D)+(SUMIF('YBHN HO TB'!$R:$R,'YBHN HO P&amp;L'!$A8,'YBHN HO TB'!D:D)))</f>
        <v/>
      </c>
      <c r="Q8" s="37">
        <f>-(SUMIF('YBHN Blank TB'!$R:$R,'YBHN HO P&amp;L'!$A8,'YBHN Blank TB'!E:E)+(SUMIF('YBHN HO TB'!$R:$R,'YBHN HO P&amp;L'!$A8,'YBHN HO TB'!E:E)))</f>
        <v/>
      </c>
      <c r="R8" s="37">
        <f>-(SUMIF('YBHN Blank TB'!$R:$R,'YBHN HO P&amp;L'!$A8,'YBHN Blank TB'!F:F)+(SUMIF('YBHN HO TB'!$R:$R,'YBHN HO P&amp;L'!$A8,'YBHN HO TB'!F:F)))</f>
        <v/>
      </c>
      <c r="S8" s="37">
        <f>-(SUMIF('YBHN Blank TB'!$R:$R,'YBHN HO P&amp;L'!$A8,'YBHN Blank TB'!G:G)+(SUMIF('YBHN HO TB'!$R:$R,'YBHN HO P&amp;L'!$A8,'YBHN HO TB'!G:G)))</f>
        <v/>
      </c>
      <c r="T8" s="37">
        <f>-(SUMIF('YBHN Blank TB'!$R:$R,'YBHN HO P&amp;L'!$A8,'YBHN Blank TB'!H:H)+(SUMIF('YBHN HO TB'!$R:$R,'YBHN HO P&amp;L'!$A8,'YBHN HO TB'!H:H)))</f>
        <v/>
      </c>
      <c r="U8" s="37">
        <f>-(SUMIF('YBHN Blank TB'!$R:$R,'YBHN HO P&amp;L'!$A8,'YBHN Blank TB'!I:I)+(SUMIF('YBHN HO TB'!$R:$R,'YBHN HO P&amp;L'!$A8,'YBHN HO TB'!I:I)))</f>
        <v/>
      </c>
      <c r="V8" s="38" t="n"/>
      <c r="W8" s="38" t="n"/>
      <c r="X8" s="38" t="n"/>
      <c r="Y8" s="38" t="n"/>
      <c r="Z8" s="38" t="n"/>
      <c r="AA8" s="36">
        <f>SUM(O8:U8)</f>
        <v/>
      </c>
      <c r="AB8" s="36">
        <f>SUM(O8:Z8)</f>
        <v/>
      </c>
      <c r="AC8" s="38" t="n"/>
      <c r="AD8" s="38" t="n"/>
      <c r="AE8" s="38" t="n"/>
      <c r="AF8" s="38" t="n"/>
      <c r="AG8" s="38" t="n"/>
      <c r="AH8" s="38" t="n"/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0</v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  <c r="H9" s="35" t="n">
        <v>0</v>
      </c>
      <c r="I9" s="35" t="n">
        <v>0</v>
      </c>
      <c r="J9" s="35" t="n">
        <v>0</v>
      </c>
      <c r="K9" s="35" t="n">
        <v>0</v>
      </c>
      <c r="L9" s="35" t="n">
        <v>0</v>
      </c>
      <c r="M9" s="35" t="n">
        <v>0</v>
      </c>
      <c r="N9" s="36">
        <f>SUM(B9:M9)</f>
        <v/>
      </c>
      <c r="O9" s="37">
        <f>-(SUMIF('YBHN Blank TB'!$R:$R,'YBHN HO P&amp;L'!$A9,'YBHN Blank TB'!C:C)+(SUMIF('YBHN HO TB'!$R:$R,'YBHN HO P&amp;L'!$A9,'YBHN HO TB'!C:C)))</f>
        <v/>
      </c>
      <c r="P9" s="37">
        <f>-(SUMIF('YBHN Blank TB'!$R:$R,'YBHN HO P&amp;L'!$A9,'YBHN Blank TB'!D:D)+(SUMIF('YBHN HO TB'!$R:$R,'YBHN HO P&amp;L'!$A9,'YBHN HO TB'!D:D)))</f>
        <v/>
      </c>
      <c r="Q9" s="37">
        <f>-(SUMIF('YBHN Blank TB'!$R:$R,'YBHN HO P&amp;L'!$A9,'YBHN Blank TB'!E:E)+(SUMIF('YBHN HO TB'!$R:$R,'YBHN HO P&amp;L'!$A9,'YBHN HO TB'!E:E)))</f>
        <v/>
      </c>
      <c r="R9" s="37">
        <f>-(SUMIF('YBHN Blank TB'!$R:$R,'YBHN HO P&amp;L'!$A9,'YBHN Blank TB'!F:F)+(SUMIF('YBHN HO TB'!$R:$R,'YBHN HO P&amp;L'!$A9,'YBHN HO TB'!F:F)))</f>
        <v/>
      </c>
      <c r="S9" s="37">
        <f>-(SUMIF('YBHN Blank TB'!$R:$R,'YBHN HO P&amp;L'!$A9,'YBHN Blank TB'!G:G)+(SUMIF('YBHN HO TB'!$R:$R,'YBHN HO P&amp;L'!$A9,'YBHN HO TB'!G:G)))</f>
        <v/>
      </c>
      <c r="T9" s="37">
        <f>-(SUMIF('YBHN Blank TB'!$R:$R,'YBHN HO P&amp;L'!$A9,'YBHN Blank TB'!H:H)+(SUMIF('YBHN HO TB'!$R:$R,'YBHN HO P&amp;L'!$A9,'YBHN HO TB'!H:H)))</f>
        <v/>
      </c>
      <c r="U9" s="37">
        <f>-(SUMIF('YBHN Blank TB'!$R:$R,'YBHN HO P&amp;L'!$A9,'YBHN Blank TB'!I:I)+(SUMIF('YBHN HO TB'!$R:$R,'YBHN HO P&amp;L'!$A9,'YBHN HO TB'!I:I)))</f>
        <v/>
      </c>
      <c r="V9" s="38" t="n"/>
      <c r="W9" s="38" t="n"/>
      <c r="X9" s="38" t="n"/>
      <c r="Y9" s="38" t="n"/>
      <c r="Z9" s="38" t="n"/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-(SUMIF('YBHN Blank TB'!$R:$R,'YBHN HO P&amp;L'!$A10,'YBHN Blank TB'!C:C)+(SUMIF('YBHN HO TB'!$R:$R,'YBHN HO P&amp;L'!$A10,'YBHN HO TB'!C:C)))</f>
        <v/>
      </c>
      <c r="P10" s="37">
        <f>-(SUMIF('YBHN Blank TB'!$R:$R,'YBHN HO P&amp;L'!$A10,'YBHN Blank TB'!D:D)+(SUMIF('YBHN HO TB'!$R:$R,'YBHN HO P&amp;L'!$A10,'YBHN HO TB'!D:D)))</f>
        <v/>
      </c>
      <c r="Q10" s="37">
        <f>-(SUMIF('YBHN Blank TB'!$R:$R,'YBHN HO P&amp;L'!$A10,'YBHN Blank TB'!E:E)+(SUMIF('YBHN HO TB'!$R:$R,'YBHN HO P&amp;L'!$A10,'YBHN HO TB'!E:E)))</f>
        <v/>
      </c>
      <c r="R10" s="37">
        <f>-(SUMIF('YBHN Blank TB'!$R:$R,'YBHN HO P&amp;L'!$A10,'YBHN Blank TB'!F:F)+(SUMIF('YBHN HO TB'!$R:$R,'YBHN HO P&amp;L'!$A10,'YBHN HO TB'!F:F)))</f>
        <v/>
      </c>
      <c r="S10" s="37">
        <f>-(SUMIF('YBHN Blank TB'!$R:$R,'YBHN HO P&amp;L'!$A10,'YBHN Blank TB'!G:G)+(SUMIF('YBHN HO TB'!$R:$R,'YBHN HO P&amp;L'!$A10,'YBHN HO TB'!G:G)))</f>
        <v/>
      </c>
      <c r="T10" s="37">
        <f>-(SUMIF('YBHN Blank TB'!$R:$R,'YBHN HO P&amp;L'!$A10,'YBHN Blank TB'!H:H)+(SUMIF('YBHN HO TB'!$R:$R,'YBHN HO P&amp;L'!$A10,'YBHN HO TB'!H:H)))</f>
        <v/>
      </c>
      <c r="U10" s="37">
        <f>-(SUMIF('YBHN Blank TB'!$R:$R,'YBHN HO P&amp;L'!$A10,'YBHN Blank TB'!I:I)+(SUMIF('YBHN HO TB'!$R:$R,'YBHN HO P&amp;L'!$A10,'YBHN HO TB'!I:I)))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0</v>
      </c>
      <c r="C11" s="42" t="n">
        <v>0</v>
      </c>
      <c r="D11" s="42" t="n">
        <v>0</v>
      </c>
      <c r="E11" s="42" t="n">
        <v>0</v>
      </c>
      <c r="F11" s="42" t="n">
        <v>0</v>
      </c>
      <c r="G11" s="42" t="n">
        <v>0</v>
      </c>
      <c r="H11" s="42" t="n">
        <v>0</v>
      </c>
      <c r="I11" s="42" t="n">
        <v>0</v>
      </c>
      <c r="J11" s="42" t="n">
        <v>0</v>
      </c>
      <c r="K11" s="42" t="n">
        <v>0</v>
      </c>
      <c r="L11" s="42" t="n">
        <v>0</v>
      </c>
      <c r="M11" s="42" t="n">
        <v>0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 t="n"/>
      <c r="AD11" s="45" t="n"/>
      <c r="AE11" s="45" t="n"/>
      <c r="AF11" s="45" t="n"/>
      <c r="AG11" s="45" t="n"/>
      <c r="AH11" s="45" t="n"/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 t="n"/>
      <c r="AD13" s="47" t="n"/>
      <c r="AE13" s="47" t="n"/>
      <c r="AF13" s="47" t="n"/>
      <c r="AG13" s="47" t="n"/>
      <c r="AH13" s="47" t="n"/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0</v>
      </c>
      <c r="C16" s="35" t="n">
        <v>0</v>
      </c>
      <c r="D16" s="35" t="n">
        <v>0</v>
      </c>
      <c r="E16" s="35" t="n">
        <v>0</v>
      </c>
      <c r="F16" s="35" t="n">
        <v>0</v>
      </c>
      <c r="G16" s="35" t="n">
        <v>0</v>
      </c>
      <c r="H16" s="35" t="n">
        <v>0</v>
      </c>
      <c r="I16" s="35" t="n">
        <v>0</v>
      </c>
      <c r="J16" s="35" t="n">
        <v>0</v>
      </c>
      <c r="K16" s="35" t="n">
        <v>0</v>
      </c>
      <c r="L16" s="35" t="n">
        <v>0</v>
      </c>
      <c r="M16" s="35" t="n">
        <v>0</v>
      </c>
      <c r="N16" s="36">
        <f>SUM(B16:M16)</f>
        <v/>
      </c>
      <c r="O16" s="37">
        <f>(SUMIF('YBHN Blank TB'!$R:$R,'YBHN HO P&amp;L'!$A16,'YBHN Blank TB'!C:C)+(SUMIF('YBHN HO TB'!$R:$R,'YBHN HO P&amp;L'!$A16,'YBHN HO TB'!C:C)))</f>
        <v/>
      </c>
      <c r="P16" s="37">
        <f>(SUMIF('YBHN Blank TB'!$R:$R,'YBHN HO P&amp;L'!$A16,'YBHN Blank TB'!D:D)+(SUMIF('YBHN HO TB'!$R:$R,'YBHN HO P&amp;L'!$A16,'YBHN HO TB'!D:D)))</f>
        <v/>
      </c>
      <c r="Q16" s="37">
        <f>(SUMIF('YBHN Blank TB'!$R:$R,'YBHN HO P&amp;L'!$A16,'YBHN Blank TB'!E:E)+(SUMIF('YBHN HO TB'!$R:$R,'YBHN HO P&amp;L'!$A16,'YBHN HO TB'!E:E)))</f>
        <v/>
      </c>
      <c r="R16" s="37">
        <f>(SUMIF('YBHN Blank TB'!$R:$R,'YBHN HO P&amp;L'!$A16,'YBHN Blank TB'!F:F)+(SUMIF('YBHN HO TB'!$R:$R,'YBHN HO P&amp;L'!$A16,'YBHN HO TB'!F:F)))</f>
        <v/>
      </c>
      <c r="S16" s="37">
        <f>(SUMIF('YBHN Blank TB'!$R:$R,'YBHN HO P&amp;L'!$A16,'YBHN Blank TB'!G:G)+(SUMIF('YBHN HO TB'!$R:$R,'YBHN HO P&amp;L'!$A16,'YBHN HO TB'!G:G)))</f>
        <v/>
      </c>
      <c r="T16" s="37">
        <f>(SUMIF('YBHN Blank TB'!$R:$R,'YBHN HO P&amp;L'!$A16,'YBHN Blank TB'!H:H)+(SUMIF('YBHN HO TB'!$R:$R,'YBHN HO P&amp;L'!$A16,'YBHN HO TB'!H:H)))</f>
        <v/>
      </c>
      <c r="U16" s="37">
        <f>(SUMIF('YBHN Blank TB'!$R:$R,'YBHN HO P&amp;L'!$A16,'YBHN Blank TB'!I:I)+(SUMIF('YBHN HO TB'!$R:$R,'YBHN HO P&amp;L'!$A16,'YBHN HO TB'!I:I)))</f>
        <v/>
      </c>
      <c r="V16" s="38" t="n"/>
      <c r="W16" s="38" t="n"/>
      <c r="X16" s="38" t="n"/>
      <c r="Y16" s="38" t="n"/>
      <c r="Z16" s="38" t="n"/>
      <c r="AA16" s="36">
        <f>SUM(O16:U16)</f>
        <v/>
      </c>
      <c r="AB16" s="36">
        <f>SUM(O16:Z16)</f>
        <v/>
      </c>
      <c r="AC16" s="38" t="n"/>
      <c r="AD16" s="38" t="n"/>
      <c r="AE16" s="38" t="n"/>
      <c r="AF16" s="38" t="n"/>
      <c r="AG16" s="38" t="n"/>
      <c r="AH16" s="38" t="n"/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0</v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0</v>
      </c>
      <c r="K17" s="35" t="n">
        <v>0</v>
      </c>
      <c r="L17" s="35" t="n">
        <v>0</v>
      </c>
      <c r="M17" s="35" t="n">
        <v>0</v>
      </c>
      <c r="N17" s="36">
        <f>SUM(B17:M17)</f>
        <v/>
      </c>
      <c r="O17" s="37">
        <f>(SUMIF('YBHN Blank TB'!$R:$R,'YBHN HO P&amp;L'!$A17,'YBHN Blank TB'!C:C)+(SUMIF('YBHN HO TB'!$R:$R,'YBHN HO P&amp;L'!$A17,'YBHN HO TB'!C:C)))</f>
        <v/>
      </c>
      <c r="P17" s="37">
        <f>(SUMIF('YBHN Blank TB'!$R:$R,'YBHN HO P&amp;L'!$A17,'YBHN Blank TB'!D:D)+(SUMIF('YBHN HO TB'!$R:$R,'YBHN HO P&amp;L'!$A17,'YBHN HO TB'!D:D)))</f>
        <v/>
      </c>
      <c r="Q17" s="37">
        <f>(SUMIF('YBHN Blank TB'!$R:$R,'YBHN HO P&amp;L'!$A17,'YBHN Blank TB'!E:E)+(SUMIF('YBHN HO TB'!$R:$R,'YBHN HO P&amp;L'!$A17,'YBHN HO TB'!E:E)))</f>
        <v/>
      </c>
      <c r="R17" s="37">
        <f>(SUMIF('YBHN Blank TB'!$R:$R,'YBHN HO P&amp;L'!$A17,'YBHN Blank TB'!F:F)+(SUMIF('YBHN HO TB'!$R:$R,'YBHN HO P&amp;L'!$A17,'YBHN HO TB'!F:F)))</f>
        <v/>
      </c>
      <c r="S17" s="37">
        <f>(SUMIF('YBHN Blank TB'!$R:$R,'YBHN HO P&amp;L'!$A17,'YBHN Blank TB'!G:G)+(SUMIF('YBHN HO TB'!$R:$R,'YBHN HO P&amp;L'!$A17,'YBHN HO TB'!G:G)))</f>
        <v/>
      </c>
      <c r="T17" s="37">
        <f>(SUMIF('YBHN Blank TB'!$R:$R,'YBHN HO P&amp;L'!$A17,'YBHN Blank TB'!H:H)+(SUMIF('YBHN HO TB'!$R:$R,'YBHN HO P&amp;L'!$A17,'YBHN HO TB'!H:H)))</f>
        <v/>
      </c>
      <c r="U17" s="37">
        <f>(SUMIF('YBHN Blank TB'!$R:$R,'YBHN HO P&amp;L'!$A17,'YBHN Blank TB'!I:I)+(SUMIF('YBHN HO TB'!$R:$R,'YBHN HO P&amp;L'!$A17,'YBHN HO TB'!I:I)))</f>
        <v/>
      </c>
      <c r="V17" s="38" t="n"/>
      <c r="W17" s="38" t="n"/>
      <c r="X17" s="38" t="n"/>
      <c r="Y17" s="38" t="n"/>
      <c r="Z17" s="38" t="n"/>
      <c r="AA17" s="36">
        <f>SUM(O17:U17)</f>
        <v/>
      </c>
      <c r="AB17" s="36">
        <f>SUM(O17:Z17)</f>
        <v/>
      </c>
      <c r="AC17" s="38" t="n"/>
      <c r="AD17" s="38" t="n"/>
      <c r="AE17" s="38" t="n"/>
      <c r="AF17" s="38" t="n"/>
      <c r="AG17" s="38" t="n"/>
      <c r="AH17" s="38" t="n"/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0</v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  <c r="H18" s="35" t="n">
        <v>0</v>
      </c>
      <c r="I18" s="35" t="n">
        <v>0</v>
      </c>
      <c r="J18" s="35" t="n">
        <v>0</v>
      </c>
      <c r="K18" s="35" t="n">
        <v>0</v>
      </c>
      <c r="L18" s="35" t="n">
        <v>0</v>
      </c>
      <c r="M18" s="35" t="n">
        <v>0</v>
      </c>
      <c r="N18" s="36">
        <f>SUM(B18:M18)</f>
        <v/>
      </c>
      <c r="O18" s="37">
        <f>(SUMIF('YBHN Blank TB'!$R:$R,'YBHN HO P&amp;L'!$A18,'YBHN Blank TB'!C:C)+(SUMIF('YBHN HO TB'!$R:$R,'YBHN HO P&amp;L'!$A18,'YBHN HO TB'!C:C)))</f>
        <v/>
      </c>
      <c r="P18" s="37">
        <f>(SUMIF('YBHN Blank TB'!$R:$R,'YBHN HO P&amp;L'!$A18,'YBHN Blank TB'!D:D)+(SUMIF('YBHN HO TB'!$R:$R,'YBHN HO P&amp;L'!$A18,'YBHN HO TB'!D:D)))</f>
        <v/>
      </c>
      <c r="Q18" s="37">
        <f>(SUMIF('YBHN Blank TB'!$R:$R,'YBHN HO P&amp;L'!$A18,'YBHN Blank TB'!E:E)+(SUMIF('YBHN HO TB'!$R:$R,'YBHN HO P&amp;L'!$A18,'YBHN HO TB'!E:E)))</f>
        <v/>
      </c>
      <c r="R18" s="37">
        <f>(SUMIF('YBHN Blank TB'!$R:$R,'YBHN HO P&amp;L'!$A18,'YBHN Blank TB'!F:F)+(SUMIF('YBHN HO TB'!$R:$R,'YBHN HO P&amp;L'!$A18,'YBHN HO TB'!F:F)))</f>
        <v/>
      </c>
      <c r="S18" s="37">
        <f>(SUMIF('YBHN Blank TB'!$R:$R,'YBHN HO P&amp;L'!$A18,'YBHN Blank TB'!G:G)+(SUMIF('YBHN HO TB'!$R:$R,'YBHN HO P&amp;L'!$A18,'YBHN HO TB'!G:G)))</f>
        <v/>
      </c>
      <c r="T18" s="37">
        <f>(SUMIF('YBHN Blank TB'!$R:$R,'YBHN HO P&amp;L'!$A18,'YBHN Blank TB'!H:H)+(SUMIF('YBHN HO TB'!$R:$R,'YBHN HO P&amp;L'!$A18,'YBHN HO TB'!H:H)))</f>
        <v/>
      </c>
      <c r="U18" s="37">
        <f>(SUMIF('YBHN Blank TB'!$R:$R,'YBHN HO P&amp;L'!$A18,'YBHN Blank TB'!I:I)+(SUMIF('YBHN HO TB'!$R:$R,'YBHN HO P&amp;L'!$A18,'YBHN HO TB'!I:I)))</f>
        <v/>
      </c>
      <c r="V18" s="38" t="n"/>
      <c r="W18" s="38" t="n"/>
      <c r="X18" s="38" t="n"/>
      <c r="Y18" s="38" t="n"/>
      <c r="Z18" s="38" t="n"/>
      <c r="AA18" s="36">
        <f>SUM(O18:U18)</f>
        <v/>
      </c>
      <c r="AB18" s="36">
        <f>SUM(O18:Z18)</f>
        <v/>
      </c>
      <c r="AC18" s="38" t="n"/>
      <c r="AD18" s="38" t="n"/>
      <c r="AE18" s="38" t="n"/>
      <c r="AF18" s="38" t="n"/>
      <c r="AG18" s="38" t="n"/>
      <c r="AH18" s="38" t="n"/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0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0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>
        <f>(SUMIF('YBHN Blank TB'!$R:$R,'YBHN HO P&amp;L'!$A19,'YBHN Blank TB'!C:C)+(SUMIF('YBHN HO TB'!$R:$R,'YBHN HO P&amp;L'!$A19,'YBHN HO TB'!C:C)))</f>
        <v/>
      </c>
      <c r="P19" s="37">
        <f>(SUMIF('YBHN Blank TB'!$R:$R,'YBHN HO P&amp;L'!$A19,'YBHN Blank TB'!D:D)+(SUMIF('YBHN HO TB'!$R:$R,'YBHN HO P&amp;L'!$A19,'YBHN HO TB'!D:D)))</f>
        <v/>
      </c>
      <c r="Q19" s="37">
        <f>(SUMIF('YBHN Blank TB'!$R:$R,'YBHN HO P&amp;L'!$A19,'YBHN Blank TB'!E:E)+(SUMIF('YBHN HO TB'!$R:$R,'YBHN HO P&amp;L'!$A19,'YBHN HO TB'!E:E)))</f>
        <v/>
      </c>
      <c r="R19" s="37">
        <f>(SUMIF('YBHN Blank TB'!$R:$R,'YBHN HO P&amp;L'!$A19,'YBHN Blank TB'!F:F)+(SUMIF('YBHN HO TB'!$R:$R,'YBHN HO P&amp;L'!$A19,'YBHN HO TB'!F:F)))</f>
        <v/>
      </c>
      <c r="S19" s="37">
        <f>(SUMIF('YBHN Blank TB'!$R:$R,'YBHN HO P&amp;L'!$A19,'YBHN Blank TB'!G:G)+(SUMIF('YBHN HO TB'!$R:$R,'YBHN HO P&amp;L'!$A19,'YBHN HO TB'!G:G)))</f>
        <v/>
      </c>
      <c r="T19" s="37">
        <f>(SUMIF('YBHN Blank TB'!$R:$R,'YBHN HO P&amp;L'!$A19,'YBHN Blank TB'!H:H)+(SUMIF('YBHN HO TB'!$R:$R,'YBHN HO P&amp;L'!$A19,'YBHN HO TB'!H:H)))</f>
        <v/>
      </c>
      <c r="U19" s="37">
        <f>(SUMIF('YBHN Blank TB'!$R:$R,'YBHN HO P&amp;L'!$A19,'YBHN Blank TB'!I:I)+(SUMIF('YBHN HO TB'!$R:$R,'YBHN HO P&amp;L'!$A19,'YBHN HO TB'!I:I)))</f>
        <v/>
      </c>
      <c r="V19" s="38" t="n"/>
      <c r="W19" s="38" t="n"/>
      <c r="X19" s="38" t="n"/>
      <c r="Y19" s="38" t="n"/>
      <c r="Z19" s="38" t="n"/>
      <c r="AA19" s="36">
        <f>SUM(O19:U19)</f>
        <v/>
      </c>
      <c r="AB19" s="36">
        <f>SUM(O19:Z19)</f>
        <v/>
      </c>
      <c r="AC19" s="38" t="n"/>
      <c r="AD19" s="38" t="n"/>
      <c r="AE19" s="38" t="n"/>
      <c r="AF19" s="38" t="n"/>
      <c r="AG19" s="38" t="n"/>
      <c r="AH19" s="38" t="n"/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0</v>
      </c>
      <c r="C20" s="35" t="n">
        <v>72</v>
      </c>
      <c r="D20" s="35" t="n">
        <v>0</v>
      </c>
      <c r="E20" s="35" t="n">
        <v>31.2</v>
      </c>
      <c r="F20" s="35" t="n">
        <v>72</v>
      </c>
      <c r="G20" s="35" t="n">
        <v>0</v>
      </c>
      <c r="H20" s="35" t="n">
        <v>0</v>
      </c>
      <c r="I20" s="35" t="n">
        <v>0</v>
      </c>
      <c r="J20" s="35" t="n">
        <v>52</v>
      </c>
      <c r="K20" s="35" t="n">
        <v>117.19</v>
      </c>
      <c r="L20" s="35" t="n">
        <v>0</v>
      </c>
      <c r="M20" s="35" t="n">
        <v>0</v>
      </c>
      <c r="N20" s="36">
        <f>SUM(B20:M20)</f>
        <v/>
      </c>
      <c r="O20" s="37">
        <f>(SUMIF('YBHN Blank TB'!$R:$R,'YBHN HO P&amp;L'!$A20,'YBHN Blank TB'!C:C)+(SUMIF('YBHN HO TB'!$R:$R,'YBHN HO P&amp;L'!$A20,'YBHN HO TB'!C:C)))</f>
        <v/>
      </c>
      <c r="P20" s="37">
        <f>(SUMIF('YBHN Blank TB'!$R:$R,'YBHN HO P&amp;L'!$A20,'YBHN Blank TB'!D:D)+(SUMIF('YBHN HO TB'!$R:$R,'YBHN HO P&amp;L'!$A20,'YBHN HO TB'!D:D)))</f>
        <v/>
      </c>
      <c r="Q20" s="37">
        <f>(SUMIF('YBHN Blank TB'!$R:$R,'YBHN HO P&amp;L'!$A20,'YBHN Blank TB'!E:E)+(SUMIF('YBHN HO TB'!$R:$R,'YBHN HO P&amp;L'!$A20,'YBHN HO TB'!E:E)))</f>
        <v/>
      </c>
      <c r="R20" s="37">
        <f>(SUMIF('YBHN Blank TB'!$R:$R,'YBHN HO P&amp;L'!$A20,'YBHN Blank TB'!F:F)+(SUMIF('YBHN HO TB'!$R:$R,'YBHN HO P&amp;L'!$A20,'YBHN HO TB'!F:F)))</f>
        <v/>
      </c>
      <c r="S20" s="37">
        <f>(SUMIF('YBHN Blank TB'!$R:$R,'YBHN HO P&amp;L'!$A20,'YBHN Blank TB'!G:G)+(SUMIF('YBHN HO TB'!$R:$R,'YBHN HO P&amp;L'!$A20,'YBHN HO TB'!G:G)))</f>
        <v/>
      </c>
      <c r="T20" s="37">
        <f>(SUMIF('YBHN Blank TB'!$R:$R,'YBHN HO P&amp;L'!$A20,'YBHN Blank TB'!H:H)+(SUMIF('YBHN HO TB'!$R:$R,'YBHN HO P&amp;L'!$A20,'YBHN HO TB'!H:H)))</f>
        <v/>
      </c>
      <c r="U20" s="37">
        <f>(SUMIF('YBHN Blank TB'!$R:$R,'YBHN HO P&amp;L'!$A20,'YBHN Blank TB'!I:I)+(SUMIF('YBHN HO TB'!$R:$R,'YBHN HO P&amp;L'!$A20,'YBHN HO TB'!I:I)))</f>
        <v/>
      </c>
      <c r="V20" s="38" t="n"/>
      <c r="W20" s="38" t="n"/>
      <c r="X20" s="38" t="n"/>
      <c r="Y20" s="38" t="n"/>
      <c r="Z20" s="38" t="n"/>
      <c r="AA20" s="36">
        <f>SUM(O20:U20)</f>
        <v/>
      </c>
      <c r="AB20" s="36">
        <f>SUM(O20:Z20)</f>
        <v/>
      </c>
      <c r="AC20" s="38" t="n"/>
      <c r="AD20" s="38" t="n"/>
      <c r="AE20" s="38" t="n"/>
      <c r="AF20" s="38" t="n"/>
      <c r="AG20" s="38" t="n"/>
      <c r="AH20" s="38" t="n"/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0</v>
      </c>
      <c r="C21" s="35" t="n">
        <v>0</v>
      </c>
      <c r="D21" s="35" t="n">
        <v>0</v>
      </c>
      <c r="E21" s="35" t="n">
        <v>98.3</v>
      </c>
      <c r="F21" s="35" t="n">
        <v>125.09</v>
      </c>
      <c r="G21" s="35" t="n">
        <v>0</v>
      </c>
      <c r="H21" s="35" t="n">
        <v>20.24</v>
      </c>
      <c r="I21" s="35" t="n">
        <v>0</v>
      </c>
      <c r="J21" s="35" t="n">
        <v>226.03</v>
      </c>
      <c r="K21" s="35" t="n">
        <v>0</v>
      </c>
      <c r="L21" s="35" t="n">
        <v>19.2</v>
      </c>
      <c r="M21" s="35" t="n">
        <v>10.85</v>
      </c>
      <c r="N21" s="36">
        <f>SUM(B21:M21)</f>
        <v/>
      </c>
      <c r="O21" s="37">
        <f>(SUMIF('YBHN Blank TB'!$R:$R,'YBHN HO P&amp;L'!$A21,'YBHN Blank TB'!C:C)+(SUMIF('YBHN HO TB'!$R:$R,'YBHN HO P&amp;L'!$A21,'YBHN HO TB'!C:C)))</f>
        <v/>
      </c>
      <c r="P21" s="37">
        <f>(SUMIF('YBHN Blank TB'!$R:$R,'YBHN HO P&amp;L'!$A21,'YBHN Blank TB'!D:D)+(SUMIF('YBHN HO TB'!$R:$R,'YBHN HO P&amp;L'!$A21,'YBHN HO TB'!D:D)))</f>
        <v/>
      </c>
      <c r="Q21" s="37">
        <f>(SUMIF('YBHN Blank TB'!$R:$R,'YBHN HO P&amp;L'!$A21,'YBHN Blank TB'!E:E)+(SUMIF('YBHN HO TB'!$R:$R,'YBHN HO P&amp;L'!$A21,'YBHN HO TB'!E:E)))</f>
        <v/>
      </c>
      <c r="R21" s="37">
        <f>(SUMIF('YBHN Blank TB'!$R:$R,'YBHN HO P&amp;L'!$A21,'YBHN Blank TB'!F:F)+(SUMIF('YBHN HO TB'!$R:$R,'YBHN HO P&amp;L'!$A21,'YBHN HO TB'!F:F)))</f>
        <v/>
      </c>
      <c r="S21" s="37">
        <f>(SUMIF('YBHN Blank TB'!$R:$R,'YBHN HO P&amp;L'!$A21,'YBHN Blank TB'!G:G)+(SUMIF('YBHN HO TB'!$R:$R,'YBHN HO P&amp;L'!$A21,'YBHN HO TB'!G:G)))</f>
        <v/>
      </c>
      <c r="T21" s="37">
        <f>(SUMIF('YBHN Blank TB'!$R:$R,'YBHN HO P&amp;L'!$A21,'YBHN Blank TB'!H:H)+(SUMIF('YBHN HO TB'!$R:$R,'YBHN HO P&amp;L'!$A21,'YBHN HO TB'!H:H)))</f>
        <v/>
      </c>
      <c r="U21" s="37">
        <f>(SUMIF('YBHN Blank TB'!$R:$R,'YBHN HO P&amp;L'!$A21,'YBHN Blank TB'!I:I)+(SUMIF('YBHN HO TB'!$R:$R,'YBHN HO P&amp;L'!$A21,'YBHN HO TB'!I:I)))</f>
        <v/>
      </c>
      <c r="V21" s="38" t="n"/>
      <c r="W21" s="38" t="n"/>
      <c r="X21" s="38" t="n"/>
      <c r="Y21" s="38" t="n"/>
      <c r="Z21" s="38" t="n"/>
      <c r="AA21" s="36">
        <f>SUM(O21:U21)</f>
        <v/>
      </c>
      <c r="AB21" s="36">
        <f>SUM(O21:Z21)</f>
        <v/>
      </c>
      <c r="AC21" s="38" t="n"/>
      <c r="AD21" s="38" t="n"/>
      <c r="AE21" s="38" t="n"/>
      <c r="AF21" s="38" t="n"/>
      <c r="AG21" s="38" t="n"/>
      <c r="AH21" s="38" t="n"/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7085.94</v>
      </c>
      <c r="C22" s="35" t="n">
        <v>2050</v>
      </c>
      <c r="D22" s="35" t="n">
        <v>1589.67</v>
      </c>
      <c r="E22" s="35" t="n">
        <v>667.9400000000001</v>
      </c>
      <c r="F22" s="35" t="n">
        <v>1928.6</v>
      </c>
      <c r="G22" s="35" t="n">
        <v>3710.27</v>
      </c>
      <c r="H22" s="35" t="n">
        <v>7220.33</v>
      </c>
      <c r="I22" s="35" t="n">
        <v>3434</v>
      </c>
      <c r="J22" s="35" t="n">
        <v>2623</v>
      </c>
      <c r="K22" s="35" t="n">
        <v>4004.61</v>
      </c>
      <c r="L22" s="35" t="n">
        <v>2527.46</v>
      </c>
      <c r="M22" s="35" t="n">
        <v>4279.71</v>
      </c>
      <c r="N22" s="36">
        <f>SUM(B22:M22)</f>
        <v/>
      </c>
      <c r="O22" s="37">
        <f>(SUMIF('YBHN Blank TB'!$R:$R,'YBHN HO P&amp;L'!$A22,'YBHN Blank TB'!C:C)+(SUMIF('YBHN HO TB'!$R:$R,'YBHN HO P&amp;L'!$A22,'YBHN HO TB'!C:C)))</f>
        <v/>
      </c>
      <c r="P22" s="37">
        <f>(SUMIF('YBHN Blank TB'!$R:$R,'YBHN HO P&amp;L'!$A22,'YBHN Blank TB'!D:D)+(SUMIF('YBHN HO TB'!$R:$R,'YBHN HO P&amp;L'!$A22,'YBHN HO TB'!D:D)))</f>
        <v/>
      </c>
      <c r="Q22" s="37">
        <f>(SUMIF('YBHN Blank TB'!$R:$R,'YBHN HO P&amp;L'!$A22,'YBHN Blank TB'!E:E)+(SUMIF('YBHN HO TB'!$R:$R,'YBHN HO P&amp;L'!$A22,'YBHN HO TB'!E:E)))</f>
        <v/>
      </c>
      <c r="R22" s="37">
        <f>(SUMIF('YBHN Blank TB'!$R:$R,'YBHN HO P&amp;L'!$A22,'YBHN Blank TB'!F:F)+(SUMIF('YBHN HO TB'!$R:$R,'YBHN HO P&amp;L'!$A22,'YBHN HO TB'!F:F)))</f>
        <v/>
      </c>
      <c r="S22" s="37">
        <f>(SUMIF('YBHN Blank TB'!$R:$R,'YBHN HO P&amp;L'!$A22,'YBHN Blank TB'!G:G)+(SUMIF('YBHN HO TB'!$R:$R,'YBHN HO P&amp;L'!$A22,'YBHN HO TB'!G:G)))</f>
        <v/>
      </c>
      <c r="T22" s="37">
        <f>(SUMIF('YBHN Blank TB'!$R:$R,'YBHN HO P&amp;L'!$A22,'YBHN Blank TB'!H:H)+(SUMIF('YBHN HO TB'!$R:$R,'YBHN HO P&amp;L'!$A22,'YBHN HO TB'!H:H)))</f>
        <v/>
      </c>
      <c r="U22" s="37">
        <f>(SUMIF('YBHN Blank TB'!$R:$R,'YBHN HO P&amp;L'!$A22,'YBHN Blank TB'!I:I)+(SUMIF('YBHN HO TB'!$R:$R,'YBHN HO P&amp;L'!$A22,'YBHN HO TB'!I:I)))</f>
        <v/>
      </c>
      <c r="V22" s="38" t="n">
        <v>3600</v>
      </c>
      <c r="W22" s="38" t="n">
        <v>3600</v>
      </c>
      <c r="X22" s="38" t="n">
        <v>3600</v>
      </c>
      <c r="Y22" s="38" t="n">
        <v>3600</v>
      </c>
      <c r="Z22" s="38" t="n">
        <v>3600</v>
      </c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1300</v>
      </c>
      <c r="M23" s="35" t="n">
        <v>0</v>
      </c>
      <c r="N23" s="36">
        <f>SUM(B23:M23)</f>
        <v/>
      </c>
      <c r="O23" s="37">
        <f>(SUMIF('YBHN Blank TB'!$R:$R,'YBHN HO P&amp;L'!$A23,'YBHN Blank TB'!C:C)+(SUMIF('YBHN HO TB'!$R:$R,'YBHN HO P&amp;L'!$A23,'YBHN HO TB'!C:C)))</f>
        <v/>
      </c>
      <c r="P23" s="37">
        <f>(SUMIF('YBHN Blank TB'!$R:$R,'YBHN HO P&amp;L'!$A23,'YBHN Blank TB'!D:D)+(SUMIF('YBHN HO TB'!$R:$R,'YBHN HO P&amp;L'!$A23,'YBHN HO TB'!D:D)))</f>
        <v/>
      </c>
      <c r="Q23" s="37">
        <f>(SUMIF('YBHN Blank TB'!$R:$R,'YBHN HO P&amp;L'!$A23,'YBHN Blank TB'!E:E)+(SUMIF('YBHN HO TB'!$R:$R,'YBHN HO P&amp;L'!$A23,'YBHN HO TB'!E:E)))</f>
        <v/>
      </c>
      <c r="R23" s="37">
        <f>(SUMIF('YBHN Blank TB'!$R:$R,'YBHN HO P&amp;L'!$A23,'YBHN Blank TB'!F:F)+(SUMIF('YBHN HO TB'!$R:$R,'YBHN HO P&amp;L'!$A23,'YBHN HO TB'!F:F)))</f>
        <v/>
      </c>
      <c r="S23" s="37">
        <f>(SUMIF('YBHN Blank TB'!$R:$R,'YBHN HO P&amp;L'!$A23,'YBHN Blank TB'!G:G)+(SUMIF('YBHN HO TB'!$R:$R,'YBHN HO P&amp;L'!$A23,'YBHN HO TB'!G:G)))</f>
        <v/>
      </c>
      <c r="T23" s="37">
        <f>(SUMIF('YBHN Blank TB'!$R:$R,'YBHN HO P&amp;L'!$A23,'YBHN Blank TB'!H:H)+(SUMIF('YBHN HO TB'!$R:$R,'YBHN HO P&amp;L'!$A23,'YBHN HO TB'!H:H)))</f>
        <v/>
      </c>
      <c r="U23" s="37">
        <f>(SUMIF('YBHN Blank TB'!$R:$R,'YBHN HO P&amp;L'!$A23,'YBHN Blank TB'!I:I)+(SUMIF('YBHN HO TB'!$R:$R,'YBHN HO P&amp;L'!$A23,'YBHN HO TB'!I:I)))</f>
        <v/>
      </c>
      <c r="V23" s="38" t="n"/>
      <c r="W23" s="38" t="n"/>
      <c r="X23" s="38" t="n"/>
      <c r="Y23" s="38" t="n"/>
      <c r="Z23" s="38" t="n"/>
      <c r="AA23" s="36">
        <f>SUM(O23:U23)</f>
        <v/>
      </c>
      <c r="AB23" s="36">
        <f>SUM(O23:Z23)</f>
        <v/>
      </c>
      <c r="AC23" s="38" t="n"/>
      <c r="AD23" s="38" t="n"/>
      <c r="AE23" s="38" t="n"/>
      <c r="AF23" s="38" t="n"/>
      <c r="AG23" s="38" t="n"/>
      <c r="AH23" s="38" t="n"/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(SUMIF('YBHN Blank TB'!$R:$R,'YBHN HO P&amp;L'!$A24,'YBHN Blank TB'!C:C)+(SUMIF('YBHN HO TB'!$R:$R,'YBHN HO P&amp;L'!$A24,'YBHN HO TB'!C:C)))</f>
        <v/>
      </c>
      <c r="P24" s="37">
        <f>(SUMIF('YBHN Blank TB'!$R:$R,'YBHN HO P&amp;L'!$A24,'YBHN Blank TB'!D:D)+(SUMIF('YBHN HO TB'!$R:$R,'YBHN HO P&amp;L'!$A24,'YBHN HO TB'!D:D)))</f>
        <v/>
      </c>
      <c r="Q24" s="37">
        <f>(SUMIF('YBHN Blank TB'!$R:$R,'YBHN HO P&amp;L'!$A24,'YBHN Blank TB'!E:E)+(SUMIF('YBHN HO TB'!$R:$R,'YBHN HO P&amp;L'!$A24,'YBHN HO TB'!E:E)))</f>
        <v/>
      </c>
      <c r="R24" s="37">
        <f>(SUMIF('YBHN Blank TB'!$R:$R,'YBHN HO P&amp;L'!$A24,'YBHN Blank TB'!F:F)+(SUMIF('YBHN HO TB'!$R:$R,'YBHN HO P&amp;L'!$A24,'YBHN HO TB'!F:F)))</f>
        <v/>
      </c>
      <c r="S24" s="37">
        <f>(SUMIF('YBHN Blank TB'!$R:$R,'YBHN HO P&amp;L'!$A24,'YBHN Blank TB'!G:G)+(SUMIF('YBHN HO TB'!$R:$R,'YBHN HO P&amp;L'!$A24,'YBHN HO TB'!G:G)))</f>
        <v/>
      </c>
      <c r="T24" s="37">
        <f>(SUMIF('YBHN Blank TB'!$R:$R,'YBHN HO P&amp;L'!$A24,'YBHN Blank TB'!H:H)+(SUMIF('YBHN HO TB'!$R:$R,'YBHN HO P&amp;L'!$A24,'YBHN HO TB'!H:H)))</f>
        <v/>
      </c>
      <c r="U24" s="37">
        <f>(SUMIF('YBHN Blank TB'!$R:$R,'YBHN HO P&amp;L'!$A24,'YBHN Blank TB'!I:I)+(SUMIF('YBHN HO TB'!$R:$R,'YBHN HO P&amp;L'!$A24,'YBHN HO TB'!I:I)))</f>
        <v/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7085.94</v>
      </c>
      <c r="C25" s="42" t="n">
        <v>2122</v>
      </c>
      <c r="D25" s="42" t="n">
        <v>1589.67</v>
      </c>
      <c r="E25" s="42" t="n">
        <v>797.4400000000001</v>
      </c>
      <c r="F25" s="42" t="n">
        <v>2125.69</v>
      </c>
      <c r="G25" s="42" t="n">
        <v>3710.27</v>
      </c>
      <c r="H25" s="42" t="n">
        <v>7240.57</v>
      </c>
      <c r="I25" s="42" t="n">
        <v>3434</v>
      </c>
      <c r="J25" s="42" t="n">
        <v>2901.03</v>
      </c>
      <c r="K25" s="42" t="n">
        <v>4121.8</v>
      </c>
      <c r="L25" s="42" t="n">
        <v>3846.66</v>
      </c>
      <c r="M25" s="42" t="n">
        <v>4290.56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 t="n"/>
      <c r="AD25" s="45" t="n"/>
      <c r="AE25" s="45" t="n"/>
      <c r="AF25" s="45" t="n"/>
      <c r="AG25" s="45" t="n"/>
      <c r="AH25" s="45" t="n"/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0</v>
      </c>
      <c r="C27" s="35" t="n">
        <v>0</v>
      </c>
      <c r="D27" s="35" t="n">
        <v>0</v>
      </c>
      <c r="E27" s="35" t="n">
        <v>104.48</v>
      </c>
      <c r="F27" s="35" t="n">
        <v>0</v>
      </c>
      <c r="G27" s="35" t="n">
        <v>0</v>
      </c>
      <c r="H27" s="35" t="n">
        <v>16.44</v>
      </c>
      <c r="I27" s="35" t="n">
        <v>0</v>
      </c>
      <c r="J27" s="35" t="n">
        <v>0</v>
      </c>
      <c r="K27" s="35" t="n">
        <v>0</v>
      </c>
      <c r="L27" s="35" t="n">
        <v>0</v>
      </c>
      <c r="M27" s="35" t="n">
        <v>0</v>
      </c>
      <c r="N27" s="36">
        <f>SUM(B27:M27)</f>
        <v/>
      </c>
      <c r="O27" s="37">
        <f>(SUMIF('YBHN Blank TB'!$R:$R,'YBHN HO P&amp;L'!$A27,'YBHN Blank TB'!C:C)+(SUMIF('YBHN HO TB'!$R:$R,'YBHN HO P&amp;L'!$A27,'YBHN HO TB'!C:C)))</f>
        <v/>
      </c>
      <c r="P27" s="37">
        <f>(SUMIF('YBHN Blank TB'!$R:$R,'YBHN HO P&amp;L'!$A27,'YBHN Blank TB'!D:D)+(SUMIF('YBHN HO TB'!$R:$R,'YBHN HO P&amp;L'!$A27,'YBHN HO TB'!D:D)))</f>
        <v/>
      </c>
      <c r="Q27" s="37">
        <f>(SUMIF('YBHN Blank TB'!$R:$R,'YBHN HO P&amp;L'!$A27,'YBHN Blank TB'!E:E)+(SUMIF('YBHN HO TB'!$R:$R,'YBHN HO P&amp;L'!$A27,'YBHN HO TB'!E:E)))</f>
        <v/>
      </c>
      <c r="R27" s="37">
        <f>(SUMIF('YBHN Blank TB'!$R:$R,'YBHN HO P&amp;L'!$A27,'YBHN Blank TB'!F:F)+(SUMIF('YBHN HO TB'!$R:$R,'YBHN HO P&amp;L'!$A27,'YBHN HO TB'!F:F)))</f>
        <v/>
      </c>
      <c r="S27" s="37">
        <f>(SUMIF('YBHN Blank TB'!$R:$R,'YBHN HO P&amp;L'!$A27,'YBHN Blank TB'!G:G)+(SUMIF('YBHN HO TB'!$R:$R,'YBHN HO P&amp;L'!$A27,'YBHN HO TB'!G:G)))</f>
        <v/>
      </c>
      <c r="T27" s="37">
        <f>(SUMIF('YBHN Blank TB'!$R:$R,'YBHN HO P&amp;L'!$A27,'YBHN Blank TB'!H:H)+(SUMIF('YBHN HO TB'!$R:$R,'YBHN HO P&amp;L'!$A27,'YBHN HO TB'!H:H)))</f>
        <v/>
      </c>
      <c r="U27" s="37">
        <f>(SUMIF('YBHN Blank TB'!$R:$R,'YBHN HO P&amp;L'!$A27,'YBHN Blank TB'!I:I)+(SUMIF('YBHN HO TB'!$R:$R,'YBHN HO P&amp;L'!$A27,'YBHN HO TB'!I:I)))</f>
        <v/>
      </c>
      <c r="V27" s="38" t="n"/>
      <c r="W27" s="38" t="n"/>
      <c r="X27" s="38" t="n"/>
      <c r="Y27" s="38" t="n"/>
      <c r="Z27" s="38" t="n"/>
      <c r="AA27" s="36">
        <f>SUM(O27:U27)</f>
        <v/>
      </c>
      <c r="AB27" s="36">
        <f>SUM(O27:Z27)</f>
        <v/>
      </c>
      <c r="AC27" s="38" t="n"/>
      <c r="AD27" s="38" t="n"/>
      <c r="AE27" s="38" t="n"/>
      <c r="AF27" s="38" t="n"/>
      <c r="AG27" s="38" t="n"/>
      <c r="AH27" s="38" t="n"/>
      <c r="AI27" s="8" t="n"/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5" t="n">
        <v>0</v>
      </c>
      <c r="I28" s="35" t="n">
        <v>0</v>
      </c>
      <c r="J28" s="35" t="n">
        <v>0</v>
      </c>
      <c r="K28" s="35" t="n">
        <v>0</v>
      </c>
      <c r="L28" s="35" t="n">
        <v>0</v>
      </c>
      <c r="M28" s="35" t="n">
        <v>0</v>
      </c>
      <c r="N28" s="36">
        <f>SUM(B28:M28)</f>
        <v/>
      </c>
      <c r="O28" s="37">
        <f>(SUMIF('YBHN Blank TB'!$R:$R,'YBHN HO P&amp;L'!$A28,'YBHN Blank TB'!C:C)+(SUMIF('YBHN HO TB'!$R:$R,'YBHN HO P&amp;L'!$A28,'YBHN HO TB'!C:C)))</f>
        <v/>
      </c>
      <c r="P28" s="37">
        <f>(SUMIF('YBHN Blank TB'!$R:$R,'YBHN HO P&amp;L'!$A28,'YBHN Blank TB'!D:D)+(SUMIF('YBHN HO TB'!$R:$R,'YBHN HO P&amp;L'!$A28,'YBHN HO TB'!D:D)))</f>
        <v/>
      </c>
      <c r="Q28" s="37">
        <f>(SUMIF('YBHN Blank TB'!$R:$R,'YBHN HO P&amp;L'!$A28,'YBHN Blank TB'!E:E)+(SUMIF('YBHN HO TB'!$R:$R,'YBHN HO P&amp;L'!$A28,'YBHN HO TB'!E:E)))</f>
        <v/>
      </c>
      <c r="R28" s="37">
        <f>(SUMIF('YBHN Blank TB'!$R:$R,'YBHN HO P&amp;L'!$A28,'YBHN Blank TB'!F:F)+(SUMIF('YBHN HO TB'!$R:$R,'YBHN HO P&amp;L'!$A28,'YBHN HO TB'!F:F)))</f>
        <v/>
      </c>
      <c r="S28" s="37">
        <f>(SUMIF('YBHN Blank TB'!$R:$R,'YBHN HO P&amp;L'!$A28,'YBHN Blank TB'!G:G)+(SUMIF('YBHN HO TB'!$R:$R,'YBHN HO P&amp;L'!$A28,'YBHN HO TB'!G:G)))</f>
        <v/>
      </c>
      <c r="T28" s="37">
        <f>(SUMIF('YBHN Blank TB'!$R:$R,'YBHN HO P&amp;L'!$A28,'YBHN Blank TB'!H:H)+(SUMIF('YBHN HO TB'!$R:$R,'YBHN HO P&amp;L'!$A28,'YBHN HO TB'!H:H)))</f>
        <v/>
      </c>
      <c r="U28" s="37">
        <f>(SUMIF('YBHN Blank TB'!$R:$R,'YBHN HO P&amp;L'!$A28,'YBHN Blank TB'!I:I)+(SUMIF('YBHN HO TB'!$R:$R,'YBHN HO P&amp;L'!$A28,'YBHN HO TB'!I:I)))</f>
        <v/>
      </c>
      <c r="V28" s="38" t="n"/>
      <c r="W28" s="38" t="n"/>
      <c r="X28" s="38" t="n"/>
      <c r="Y28" s="38" t="n"/>
      <c r="Z28" s="38" t="n"/>
      <c r="AA28" s="36">
        <f>SUM(O28:U28)</f>
        <v/>
      </c>
      <c r="AB28" s="36">
        <f>SUM(O28:Z28)</f>
        <v/>
      </c>
      <c r="AC28" s="38" t="n"/>
      <c r="AD28" s="38" t="n"/>
      <c r="AE28" s="38" t="n"/>
      <c r="AF28" s="38" t="n"/>
      <c r="AG28" s="38" t="n"/>
      <c r="AH28" s="38" t="n"/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5" t="n">
        <v>0</v>
      </c>
      <c r="J29" s="35" t="n">
        <v>0</v>
      </c>
      <c r="K29" s="35" t="n">
        <v>0</v>
      </c>
      <c r="L29" s="35" t="n">
        <v>0</v>
      </c>
      <c r="M29" s="35" t="n">
        <v>0</v>
      </c>
      <c r="N29" s="36">
        <f>SUM(B29:M29)</f>
        <v/>
      </c>
      <c r="O29" s="37">
        <f>(SUMIF('YBHN Blank TB'!$R:$R,'YBHN HO P&amp;L'!$A29,'YBHN Blank TB'!C:C)+(SUMIF('YBHN HO TB'!$R:$R,'YBHN HO P&amp;L'!$A29,'YBHN HO TB'!C:C)))</f>
        <v/>
      </c>
      <c r="P29" s="37">
        <f>(SUMIF('YBHN Blank TB'!$R:$R,'YBHN HO P&amp;L'!$A29,'YBHN Blank TB'!D:D)+(SUMIF('YBHN HO TB'!$R:$R,'YBHN HO P&amp;L'!$A29,'YBHN HO TB'!D:D)))</f>
        <v/>
      </c>
      <c r="Q29" s="37">
        <f>(SUMIF('YBHN Blank TB'!$R:$R,'YBHN HO P&amp;L'!$A29,'YBHN Blank TB'!E:E)+(SUMIF('YBHN HO TB'!$R:$R,'YBHN HO P&amp;L'!$A29,'YBHN HO TB'!E:E)))</f>
        <v/>
      </c>
      <c r="R29" s="37">
        <f>(SUMIF('YBHN Blank TB'!$R:$R,'YBHN HO P&amp;L'!$A29,'YBHN Blank TB'!F:F)+(SUMIF('YBHN HO TB'!$R:$R,'YBHN HO P&amp;L'!$A29,'YBHN HO TB'!F:F)))</f>
        <v/>
      </c>
      <c r="S29" s="37">
        <f>(SUMIF('YBHN Blank TB'!$R:$R,'YBHN HO P&amp;L'!$A29,'YBHN Blank TB'!G:G)+(SUMIF('YBHN HO TB'!$R:$R,'YBHN HO P&amp;L'!$A29,'YBHN HO TB'!G:G)))</f>
        <v/>
      </c>
      <c r="T29" s="37">
        <f>(SUMIF('YBHN Blank TB'!$R:$R,'YBHN HO P&amp;L'!$A29,'YBHN Blank TB'!H:H)+(SUMIF('YBHN HO TB'!$R:$R,'YBHN HO P&amp;L'!$A29,'YBHN HO TB'!H:H)))</f>
        <v/>
      </c>
      <c r="U29" s="37">
        <f>(SUMIF('YBHN Blank TB'!$R:$R,'YBHN HO P&amp;L'!$A29,'YBHN Blank TB'!I:I)+(SUMIF('YBHN HO TB'!$R:$R,'YBHN HO P&amp;L'!$A29,'YBHN HO TB'!I:I)))</f>
        <v/>
      </c>
      <c r="V29" s="38" t="n"/>
      <c r="W29" s="38" t="n"/>
      <c r="X29" s="38" t="n"/>
      <c r="Y29" s="38" t="n"/>
      <c r="Z29" s="38" t="n"/>
      <c r="AA29" s="36">
        <f>SUM(O29:U29)</f>
        <v/>
      </c>
      <c r="AB29" s="36">
        <f>SUM(O29:Z29)</f>
        <v/>
      </c>
      <c r="AC29" s="38" t="n"/>
      <c r="AD29" s="38" t="n"/>
      <c r="AE29" s="38" t="n"/>
      <c r="AF29" s="38" t="n"/>
      <c r="AG29" s="38" t="n"/>
      <c r="AH29" s="38" t="n"/>
      <c r="AI29" s="8" t="n"/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(SUMIF('YBHN Blank TB'!$R:$R,'YBHN HO P&amp;L'!$A30,'YBHN Blank TB'!C:C)+(SUMIF('YBHN HO TB'!$R:$R,'YBHN HO P&amp;L'!$A30,'YBHN HO TB'!C:C)))</f>
        <v/>
      </c>
      <c r="P30" s="37">
        <f>(SUMIF('YBHN Blank TB'!$R:$R,'YBHN HO P&amp;L'!$A30,'YBHN Blank TB'!D:D)+(SUMIF('YBHN HO TB'!$R:$R,'YBHN HO P&amp;L'!$A30,'YBHN HO TB'!D:D)))</f>
        <v/>
      </c>
      <c r="Q30" s="37">
        <f>(SUMIF('YBHN Blank TB'!$R:$R,'YBHN HO P&amp;L'!$A30,'YBHN Blank TB'!E:E)+(SUMIF('YBHN HO TB'!$R:$R,'YBHN HO P&amp;L'!$A30,'YBHN HO TB'!E:E)))</f>
        <v/>
      </c>
      <c r="R30" s="37">
        <f>(SUMIF('YBHN Blank TB'!$R:$R,'YBHN HO P&amp;L'!$A30,'YBHN Blank TB'!F:F)+(SUMIF('YBHN HO TB'!$R:$R,'YBHN HO P&amp;L'!$A30,'YBHN HO TB'!F:F)))</f>
        <v/>
      </c>
      <c r="S30" s="37">
        <f>(SUMIF('YBHN Blank TB'!$R:$R,'YBHN HO P&amp;L'!$A30,'YBHN Blank TB'!G:G)+(SUMIF('YBHN HO TB'!$R:$R,'YBHN HO P&amp;L'!$A30,'YBHN HO TB'!G:G)))</f>
        <v/>
      </c>
      <c r="T30" s="37">
        <f>(SUMIF('YBHN Blank TB'!$R:$R,'YBHN HO P&amp;L'!$A30,'YBHN Blank TB'!H:H)+(SUMIF('YBHN HO TB'!$R:$R,'YBHN HO P&amp;L'!$A30,'YBHN HO TB'!H:H)))</f>
        <v/>
      </c>
      <c r="U30" s="37">
        <f>(SUMIF('YBHN Blank TB'!$R:$R,'YBHN HO P&amp;L'!$A30,'YBHN Blank TB'!I:I)+(SUMIF('YBHN HO TB'!$R:$R,'YBHN HO P&amp;L'!$A30,'YBHN HO TB'!I:I)))</f>
        <v/>
      </c>
      <c r="V30" s="38" t="n"/>
      <c r="W30" s="38" t="n"/>
      <c r="X30" s="38" t="n"/>
      <c r="Y30" s="38" t="n"/>
      <c r="Z30" s="38" t="n"/>
      <c r="AA30" s="36">
        <f>SUM(O30:U30)</f>
        <v/>
      </c>
      <c r="AB30" s="36">
        <f>SUM(O30:Z30)</f>
        <v/>
      </c>
      <c r="AC30" s="38" t="n"/>
      <c r="AD30" s="38" t="n"/>
      <c r="AE30" s="38" t="n"/>
      <c r="AF30" s="38" t="n"/>
      <c r="AG30" s="38" t="n"/>
      <c r="AH30" s="38" t="n"/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0</v>
      </c>
      <c r="C31" s="35" t="n">
        <v>0</v>
      </c>
      <c r="D31" s="35" t="n">
        <v>0</v>
      </c>
      <c r="E31" s="35" t="n">
        <v>0</v>
      </c>
      <c r="F31" s="35" t="n">
        <v>0</v>
      </c>
      <c r="G31" s="35" t="n">
        <v>0</v>
      </c>
      <c r="H31" s="35" t="n">
        <v>0</v>
      </c>
      <c r="I31" s="35" t="n">
        <v>0</v>
      </c>
      <c r="J31" s="35" t="n">
        <v>0</v>
      </c>
      <c r="K31" s="35" t="n">
        <v>0</v>
      </c>
      <c r="L31" s="35" t="n">
        <v>0</v>
      </c>
      <c r="M31" s="35" t="n">
        <v>0</v>
      </c>
      <c r="N31" s="36">
        <f>SUM(B31:M31)</f>
        <v/>
      </c>
      <c r="O31" s="37">
        <f>(SUMIF('YBHN Blank TB'!$R:$R,'YBHN HO P&amp;L'!$A31,'YBHN Blank TB'!C:C)+(SUMIF('YBHN HO TB'!$R:$R,'YBHN HO P&amp;L'!$A31,'YBHN HO TB'!C:C)))</f>
        <v/>
      </c>
      <c r="P31" s="37">
        <f>(SUMIF('YBHN Blank TB'!$R:$R,'YBHN HO P&amp;L'!$A31,'YBHN Blank TB'!D:D)+(SUMIF('YBHN HO TB'!$R:$R,'YBHN HO P&amp;L'!$A31,'YBHN HO TB'!D:D)))</f>
        <v/>
      </c>
      <c r="Q31" s="37">
        <f>(SUMIF('YBHN Blank TB'!$R:$R,'YBHN HO P&amp;L'!$A31,'YBHN Blank TB'!E:E)+(SUMIF('YBHN HO TB'!$R:$R,'YBHN HO P&amp;L'!$A31,'YBHN HO TB'!E:E)))</f>
        <v/>
      </c>
      <c r="R31" s="37">
        <f>(SUMIF('YBHN Blank TB'!$R:$R,'YBHN HO P&amp;L'!$A31,'YBHN Blank TB'!F:F)+(SUMIF('YBHN HO TB'!$R:$R,'YBHN HO P&amp;L'!$A31,'YBHN HO TB'!F:F)))</f>
        <v/>
      </c>
      <c r="S31" s="37">
        <f>(SUMIF('YBHN Blank TB'!$R:$R,'YBHN HO P&amp;L'!$A31,'YBHN Blank TB'!G:G)+(SUMIF('YBHN HO TB'!$R:$R,'YBHN HO P&amp;L'!$A31,'YBHN HO TB'!G:G)))</f>
        <v/>
      </c>
      <c r="T31" s="37">
        <f>(SUMIF('YBHN Blank TB'!$R:$R,'YBHN HO P&amp;L'!$A31,'YBHN Blank TB'!H:H)+(SUMIF('YBHN HO TB'!$R:$R,'YBHN HO P&amp;L'!$A31,'YBHN HO TB'!H:H)))</f>
        <v/>
      </c>
      <c r="U31" s="37">
        <f>(SUMIF('YBHN Blank TB'!$R:$R,'YBHN HO P&amp;L'!$A31,'YBHN Blank TB'!I:I)+(SUMIF('YBHN HO TB'!$R:$R,'YBHN HO P&amp;L'!$A31,'YBHN HO TB'!I:I)))</f>
        <v/>
      </c>
      <c r="V31" s="38" t="n"/>
      <c r="W31" s="38" t="n"/>
      <c r="X31" s="38" t="n"/>
      <c r="Y31" s="38" t="n"/>
      <c r="Z31" s="38" t="n"/>
      <c r="AA31" s="36">
        <f>SUM(O31:U31)</f>
        <v/>
      </c>
      <c r="AB31" s="36">
        <f>SUM(O31:Z31)</f>
        <v/>
      </c>
      <c r="AC31" s="38" t="n"/>
      <c r="AD31" s="38" t="n"/>
      <c r="AE31" s="38" t="n"/>
      <c r="AF31" s="38" t="n"/>
      <c r="AG31" s="38" t="n"/>
      <c r="AH31" s="38" t="n"/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0</v>
      </c>
      <c r="C32" s="35" t="n">
        <v>0</v>
      </c>
      <c r="D32" s="35" t="n">
        <v>0</v>
      </c>
      <c r="E32" s="35" t="n">
        <v>0</v>
      </c>
      <c r="F32" s="35" t="n">
        <v>0</v>
      </c>
      <c r="G32" s="35" t="n">
        <v>0</v>
      </c>
      <c r="H32" s="35" t="n">
        <v>0</v>
      </c>
      <c r="I32" s="35" t="n">
        <v>0</v>
      </c>
      <c r="J32" s="35" t="n">
        <v>0</v>
      </c>
      <c r="K32" s="35" t="n">
        <v>0</v>
      </c>
      <c r="L32" s="35" t="n">
        <v>0</v>
      </c>
      <c r="M32" s="35" t="n">
        <v>0</v>
      </c>
      <c r="N32" s="36">
        <f>SUM(B32:M32)</f>
        <v/>
      </c>
      <c r="O32" s="37">
        <f>(SUMIF('YBHN Blank TB'!$R:$R,'YBHN HO P&amp;L'!$A32,'YBHN Blank TB'!C:C)+(SUMIF('YBHN HO TB'!$R:$R,'YBHN HO P&amp;L'!$A32,'YBHN HO TB'!C:C)))</f>
        <v/>
      </c>
      <c r="P32" s="37">
        <f>(SUMIF('YBHN Blank TB'!$R:$R,'YBHN HO P&amp;L'!$A32,'YBHN Blank TB'!D:D)+(SUMIF('YBHN HO TB'!$R:$R,'YBHN HO P&amp;L'!$A32,'YBHN HO TB'!D:D)))</f>
        <v/>
      </c>
      <c r="Q32" s="37">
        <f>(SUMIF('YBHN Blank TB'!$R:$R,'YBHN HO P&amp;L'!$A32,'YBHN Blank TB'!E:E)+(SUMIF('YBHN HO TB'!$R:$R,'YBHN HO P&amp;L'!$A32,'YBHN HO TB'!E:E)))</f>
        <v/>
      </c>
      <c r="R32" s="37">
        <f>(SUMIF('YBHN Blank TB'!$R:$R,'YBHN HO P&amp;L'!$A32,'YBHN Blank TB'!F:F)+(SUMIF('YBHN HO TB'!$R:$R,'YBHN HO P&amp;L'!$A32,'YBHN HO TB'!F:F)))</f>
        <v/>
      </c>
      <c r="S32" s="37">
        <f>(SUMIF('YBHN Blank TB'!$R:$R,'YBHN HO P&amp;L'!$A32,'YBHN Blank TB'!G:G)+(SUMIF('YBHN HO TB'!$R:$R,'YBHN HO P&amp;L'!$A32,'YBHN HO TB'!G:G)))</f>
        <v/>
      </c>
      <c r="T32" s="37">
        <f>(SUMIF('YBHN Blank TB'!$R:$R,'YBHN HO P&amp;L'!$A32,'YBHN Blank TB'!H:H)+(SUMIF('YBHN HO TB'!$R:$R,'YBHN HO P&amp;L'!$A32,'YBHN HO TB'!H:H)))</f>
        <v/>
      </c>
      <c r="U32" s="37">
        <f>(SUMIF('YBHN Blank TB'!$R:$R,'YBHN HO P&amp;L'!$A32,'YBHN Blank TB'!I:I)+(SUMIF('YBHN HO TB'!$R:$R,'YBHN HO P&amp;L'!$A32,'YBHN HO TB'!I:I)))</f>
        <v/>
      </c>
      <c r="V32" s="38" t="n"/>
      <c r="W32" s="38" t="n"/>
      <c r="X32" s="38" t="n"/>
      <c r="Y32" s="38" t="n"/>
      <c r="Z32" s="38" t="n"/>
      <c r="AA32" s="36">
        <f>SUM(O32:U32)</f>
        <v/>
      </c>
      <c r="AB32" s="36">
        <f>SUM(O32:Z32)</f>
        <v/>
      </c>
      <c r="AC32" s="38" t="n"/>
      <c r="AD32" s="38" t="n"/>
      <c r="AE32" s="38" t="n"/>
      <c r="AF32" s="38" t="n"/>
      <c r="AG32" s="38" t="n"/>
      <c r="AH32" s="38" t="n"/>
      <c r="AI32" s="8" t="n"/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(SUMIF('YBHN Blank TB'!$R:$R,'YBHN HO P&amp;L'!$A33,'YBHN Blank TB'!C:C)+(SUMIF('YBHN HO TB'!$R:$R,'YBHN HO P&amp;L'!$A33,'YBHN HO TB'!C:C)))</f>
        <v/>
      </c>
      <c r="P33" s="37">
        <f>(SUMIF('YBHN Blank TB'!$R:$R,'YBHN HO P&amp;L'!$A33,'YBHN Blank TB'!D:D)+(SUMIF('YBHN HO TB'!$R:$R,'YBHN HO P&amp;L'!$A33,'YBHN HO TB'!D:D)))</f>
        <v/>
      </c>
      <c r="Q33" s="37">
        <f>(SUMIF('YBHN Blank TB'!$R:$R,'YBHN HO P&amp;L'!$A33,'YBHN Blank TB'!E:E)+(SUMIF('YBHN HO TB'!$R:$R,'YBHN HO P&amp;L'!$A33,'YBHN HO TB'!E:E)))</f>
        <v/>
      </c>
      <c r="R33" s="37">
        <f>(SUMIF('YBHN Blank TB'!$R:$R,'YBHN HO P&amp;L'!$A33,'YBHN Blank TB'!F:F)+(SUMIF('YBHN HO TB'!$R:$R,'YBHN HO P&amp;L'!$A33,'YBHN HO TB'!F:F)))</f>
        <v/>
      </c>
      <c r="S33" s="37">
        <f>(SUMIF('YBHN Blank TB'!$R:$R,'YBHN HO P&amp;L'!$A33,'YBHN Blank TB'!G:G)+(SUMIF('YBHN HO TB'!$R:$R,'YBHN HO P&amp;L'!$A33,'YBHN HO TB'!G:G)))</f>
        <v/>
      </c>
      <c r="T33" s="37">
        <f>(SUMIF('YBHN Blank TB'!$R:$R,'YBHN HO P&amp;L'!$A33,'YBHN Blank TB'!H:H)+(SUMIF('YBHN HO TB'!$R:$R,'YBHN HO P&amp;L'!$A33,'YBHN HO TB'!H:H)))</f>
        <v/>
      </c>
      <c r="U33" s="37">
        <f>(SUMIF('YBHN Blank TB'!$R:$R,'YBHN HO P&amp;L'!$A33,'YBHN Blank TB'!I:I)+(SUMIF('YBHN HO TB'!$R:$R,'YBHN HO P&amp;L'!$A33,'YBHN HO TB'!I:I)))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0</v>
      </c>
      <c r="C34" s="42" t="n">
        <v>0</v>
      </c>
      <c r="D34" s="42" t="n">
        <v>0</v>
      </c>
      <c r="E34" s="42" t="n">
        <v>104.48</v>
      </c>
      <c r="F34" s="42" t="n">
        <v>0</v>
      </c>
      <c r="G34" s="42" t="n">
        <v>0</v>
      </c>
      <c r="H34" s="42" t="n">
        <v>16.44</v>
      </c>
      <c r="I34" s="42" t="n">
        <v>0</v>
      </c>
      <c r="J34" s="42" t="n">
        <v>0</v>
      </c>
      <c r="K34" s="42" t="n">
        <v>0</v>
      </c>
      <c r="L34" s="42" t="n">
        <v>0</v>
      </c>
      <c r="M34" s="42" t="n">
        <v>0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 t="n"/>
      <c r="AD34" s="45" t="n"/>
      <c r="AE34" s="45" t="n"/>
      <c r="AF34" s="45" t="n"/>
      <c r="AG34" s="45" t="n"/>
      <c r="AH34" s="45" t="n"/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(SUMIF('YBHN Blank TB'!$R:$R,'YBHN HO P&amp;L'!$A36,'YBHN Blank TB'!C:C)+(SUMIF('YBHN HO TB'!$R:$R,'YBHN HO P&amp;L'!$A36,'YBHN HO TB'!C:C)))</f>
        <v/>
      </c>
      <c r="P36" s="37">
        <f>(SUMIF('YBHN Blank TB'!$R:$R,'YBHN HO P&amp;L'!$A36,'YBHN Blank TB'!D:D)+(SUMIF('YBHN HO TB'!$R:$R,'YBHN HO P&amp;L'!$A36,'YBHN HO TB'!D:D)))</f>
        <v/>
      </c>
      <c r="Q36" s="37">
        <f>(SUMIF('YBHN Blank TB'!$R:$R,'YBHN HO P&amp;L'!$A36,'YBHN Blank TB'!E:E)+(SUMIF('YBHN HO TB'!$R:$R,'YBHN HO P&amp;L'!$A36,'YBHN HO TB'!E:E)))</f>
        <v/>
      </c>
      <c r="R36" s="37">
        <f>(SUMIF('YBHN Blank TB'!$R:$R,'YBHN HO P&amp;L'!$A36,'YBHN Blank TB'!F:F)+(SUMIF('YBHN HO TB'!$R:$R,'YBHN HO P&amp;L'!$A36,'YBHN HO TB'!F:F)))</f>
        <v/>
      </c>
      <c r="S36" s="37">
        <f>(SUMIF('YBHN Blank TB'!$R:$R,'YBHN HO P&amp;L'!$A36,'YBHN Blank TB'!G:G)+(SUMIF('YBHN HO TB'!$R:$R,'YBHN HO P&amp;L'!$A36,'YBHN HO TB'!G:G)))</f>
        <v/>
      </c>
      <c r="T36" s="37">
        <f>(SUMIF('YBHN Blank TB'!$R:$R,'YBHN HO P&amp;L'!$A36,'YBHN Blank TB'!H:H)+(SUMIF('YBHN HO TB'!$R:$R,'YBHN HO P&amp;L'!$A36,'YBHN HO TB'!H:H)))</f>
        <v/>
      </c>
      <c r="U36" s="37">
        <f>(SUMIF('YBHN Blank TB'!$R:$R,'YBHN HO P&amp;L'!$A36,'YBHN Blank TB'!I:I)+(SUMIF('YBHN HO TB'!$R:$R,'YBHN HO P&amp;L'!$A36,'YBHN HO TB'!I:I)))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0</v>
      </c>
      <c r="C37" s="35" t="n">
        <v>0</v>
      </c>
      <c r="D37" s="35" t="n">
        <v>0</v>
      </c>
      <c r="E37" s="35" t="n">
        <v>0</v>
      </c>
      <c r="F37" s="35" t="n">
        <v>0</v>
      </c>
      <c r="G37" s="35" t="n">
        <v>0</v>
      </c>
      <c r="H37" s="35" t="n">
        <v>0</v>
      </c>
      <c r="I37" s="35" t="n">
        <v>0</v>
      </c>
      <c r="J37" s="35" t="n">
        <v>0</v>
      </c>
      <c r="K37" s="35" t="n">
        <v>0</v>
      </c>
      <c r="L37" s="35" t="n">
        <v>0</v>
      </c>
      <c r="M37" s="35" t="n">
        <v>0</v>
      </c>
      <c r="N37" s="36">
        <f>SUM(B37:M37)</f>
        <v/>
      </c>
      <c r="O37" s="37">
        <f>(SUMIF('YBHN Blank TB'!$R:$R,'YBHN HO P&amp;L'!$A37,'YBHN Blank TB'!C:C)+(SUMIF('YBHN HO TB'!$R:$R,'YBHN HO P&amp;L'!$A37,'YBHN HO TB'!C:C)))</f>
        <v/>
      </c>
      <c r="P37" s="37">
        <f>(SUMIF('YBHN Blank TB'!$R:$R,'YBHN HO P&amp;L'!$A37,'YBHN Blank TB'!D:D)+(SUMIF('YBHN HO TB'!$R:$R,'YBHN HO P&amp;L'!$A37,'YBHN HO TB'!D:D)))</f>
        <v/>
      </c>
      <c r="Q37" s="37">
        <f>(SUMIF('YBHN Blank TB'!$R:$R,'YBHN HO P&amp;L'!$A37,'YBHN Blank TB'!E:E)+(SUMIF('YBHN HO TB'!$R:$R,'YBHN HO P&amp;L'!$A37,'YBHN HO TB'!E:E)))</f>
        <v/>
      </c>
      <c r="R37" s="37">
        <f>(SUMIF('YBHN Blank TB'!$R:$R,'YBHN HO P&amp;L'!$A37,'YBHN Blank TB'!F:F)+(SUMIF('YBHN HO TB'!$R:$R,'YBHN HO P&amp;L'!$A37,'YBHN HO TB'!F:F)))</f>
        <v/>
      </c>
      <c r="S37" s="37">
        <f>(SUMIF('YBHN Blank TB'!$R:$R,'YBHN HO P&amp;L'!$A37,'YBHN Blank TB'!G:G)+(SUMIF('YBHN HO TB'!$R:$R,'YBHN HO P&amp;L'!$A37,'YBHN HO TB'!G:G)))</f>
        <v/>
      </c>
      <c r="T37" s="37">
        <f>(SUMIF('YBHN Blank TB'!$R:$R,'YBHN HO P&amp;L'!$A37,'YBHN Blank TB'!H:H)+(SUMIF('YBHN HO TB'!$R:$R,'YBHN HO P&amp;L'!$A37,'YBHN HO TB'!H:H)))</f>
        <v/>
      </c>
      <c r="U37" s="37">
        <f>(SUMIF('YBHN Blank TB'!$R:$R,'YBHN HO P&amp;L'!$A37,'YBHN Blank TB'!I:I)+(SUMIF('YBHN HO TB'!$R:$R,'YBHN HO P&amp;L'!$A37,'YBHN HO TB'!I:I)))</f>
        <v/>
      </c>
      <c r="V37" s="38" t="n"/>
      <c r="W37" s="38" t="n"/>
      <c r="X37" s="38" t="n"/>
      <c r="Y37" s="38" t="n"/>
      <c r="Z37" s="38" t="n"/>
      <c r="AA37" s="36">
        <f>SUM(O37:U37)</f>
        <v/>
      </c>
      <c r="AB37" s="36">
        <f>SUM(O37:Z37)</f>
        <v/>
      </c>
      <c r="AC37" s="38" t="n"/>
      <c r="AD37" s="38" t="n"/>
      <c r="AE37" s="38" t="n"/>
      <c r="AF37" s="38" t="n"/>
      <c r="AG37" s="38" t="n"/>
      <c r="AH37" s="38" t="n"/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0</v>
      </c>
      <c r="C38" s="35" t="n">
        <v>0</v>
      </c>
      <c r="D38" s="35" t="n">
        <v>0</v>
      </c>
      <c r="E38" s="35" t="n">
        <v>0</v>
      </c>
      <c r="F38" s="35" t="n">
        <v>0</v>
      </c>
      <c r="G38" s="35" t="n">
        <v>0</v>
      </c>
      <c r="H38" s="35" t="n">
        <v>0</v>
      </c>
      <c r="I38" s="35" t="n">
        <v>0</v>
      </c>
      <c r="J38" s="35" t="n">
        <v>0</v>
      </c>
      <c r="K38" s="35" t="n">
        <v>0</v>
      </c>
      <c r="L38" s="35" t="n">
        <v>0</v>
      </c>
      <c r="M38" s="35" t="n">
        <v>-1212.84</v>
      </c>
      <c r="N38" s="36">
        <f>SUM(B38:M38)</f>
        <v/>
      </c>
      <c r="O38" s="37">
        <f>(SUMIF('YBHN Blank TB'!$R:$R,'YBHN HO P&amp;L'!$A38,'YBHN Blank TB'!C:C)+(SUMIF('YBHN HO TB'!$R:$R,'YBHN HO P&amp;L'!$A38,'YBHN HO TB'!C:C)))</f>
        <v/>
      </c>
      <c r="P38" s="37">
        <f>(SUMIF('YBHN Blank TB'!$R:$R,'YBHN HO P&amp;L'!$A38,'YBHN Blank TB'!D:D)+(SUMIF('YBHN HO TB'!$R:$R,'YBHN HO P&amp;L'!$A38,'YBHN HO TB'!D:D)))</f>
        <v/>
      </c>
      <c r="Q38" s="37">
        <f>(SUMIF('YBHN Blank TB'!$R:$R,'YBHN HO P&amp;L'!$A38,'YBHN Blank TB'!E:E)+(SUMIF('YBHN HO TB'!$R:$R,'YBHN HO P&amp;L'!$A38,'YBHN HO TB'!E:E)))</f>
        <v/>
      </c>
      <c r="R38" s="37">
        <f>(SUMIF('YBHN Blank TB'!$R:$R,'YBHN HO P&amp;L'!$A38,'YBHN Blank TB'!F:F)+(SUMIF('YBHN HO TB'!$R:$R,'YBHN HO P&amp;L'!$A38,'YBHN HO TB'!F:F)))</f>
        <v/>
      </c>
      <c r="S38" s="37">
        <f>(SUMIF('YBHN Blank TB'!$R:$R,'YBHN HO P&amp;L'!$A38,'YBHN Blank TB'!G:G)+(SUMIF('YBHN HO TB'!$R:$R,'YBHN HO P&amp;L'!$A38,'YBHN HO TB'!G:G)))</f>
        <v/>
      </c>
      <c r="T38" s="37">
        <f>(SUMIF('YBHN Blank TB'!$R:$R,'YBHN HO P&amp;L'!$A38,'YBHN Blank TB'!H:H)+(SUMIF('YBHN HO TB'!$R:$R,'YBHN HO P&amp;L'!$A38,'YBHN HO TB'!H:H)))</f>
        <v/>
      </c>
      <c r="U38" s="37">
        <f>(SUMIF('YBHN Blank TB'!$R:$R,'YBHN HO P&amp;L'!$A38,'YBHN Blank TB'!I:I)+(SUMIF('YBHN HO TB'!$R:$R,'YBHN HO P&amp;L'!$A38,'YBHN HO TB'!I:I)))</f>
        <v/>
      </c>
      <c r="V38" s="38" t="n"/>
      <c r="W38" s="38" t="n"/>
      <c r="X38" s="38" t="n"/>
      <c r="Y38" s="38" t="n"/>
      <c r="Z38" s="38" t="n"/>
      <c r="AA38" s="36">
        <f>SUM(O38:U38)</f>
        <v/>
      </c>
      <c r="AB38" s="36">
        <f>SUM(O38:Z38)</f>
        <v/>
      </c>
      <c r="AC38" s="38" t="n"/>
      <c r="AD38" s="38" t="n"/>
      <c r="AE38" s="38" t="n"/>
      <c r="AF38" s="38" t="n"/>
      <c r="AG38" s="38" t="n"/>
      <c r="AH38" s="38" t="n"/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0</v>
      </c>
      <c r="C39" s="35" t="n">
        <v>0</v>
      </c>
      <c r="D39" s="35" t="n">
        <v>0</v>
      </c>
      <c r="E39" s="35" t="n">
        <v>0</v>
      </c>
      <c r="F39" s="35" t="n">
        <v>0</v>
      </c>
      <c r="G39" s="35" t="n">
        <v>331.03</v>
      </c>
      <c r="H39" s="35" t="n">
        <v>0</v>
      </c>
      <c r="I39" s="35" t="n">
        <v>0</v>
      </c>
      <c r="J39" s="35" t="n">
        <v>0</v>
      </c>
      <c r="K39" s="35" t="n">
        <v>0</v>
      </c>
      <c r="L39" s="35" t="n">
        <v>0</v>
      </c>
      <c r="M39" s="35" t="n">
        <v>0</v>
      </c>
      <c r="N39" s="36">
        <f>SUM(B39:M39)</f>
        <v/>
      </c>
      <c r="O39" s="37">
        <f>(SUMIF('YBHN Blank TB'!$R:$R,'YBHN HO P&amp;L'!$A39,'YBHN Blank TB'!C:C)+(SUMIF('YBHN HO TB'!$R:$R,'YBHN HO P&amp;L'!$A39,'YBHN HO TB'!C:C)))</f>
        <v/>
      </c>
      <c r="P39" s="37">
        <f>(SUMIF('YBHN Blank TB'!$R:$R,'YBHN HO P&amp;L'!$A39,'YBHN Blank TB'!D:D)+(SUMIF('YBHN HO TB'!$R:$R,'YBHN HO P&amp;L'!$A39,'YBHN HO TB'!D:D)))</f>
        <v/>
      </c>
      <c r="Q39" s="37">
        <f>(SUMIF('YBHN Blank TB'!$R:$R,'YBHN HO P&amp;L'!$A39,'YBHN Blank TB'!E:E)+(SUMIF('YBHN HO TB'!$R:$R,'YBHN HO P&amp;L'!$A39,'YBHN HO TB'!E:E)))</f>
        <v/>
      </c>
      <c r="R39" s="37">
        <f>(SUMIF('YBHN Blank TB'!$R:$R,'YBHN HO P&amp;L'!$A39,'YBHN Blank TB'!F:F)+(SUMIF('YBHN HO TB'!$R:$R,'YBHN HO P&amp;L'!$A39,'YBHN HO TB'!F:F)))</f>
        <v/>
      </c>
      <c r="S39" s="37">
        <f>(SUMIF('YBHN Blank TB'!$R:$R,'YBHN HO P&amp;L'!$A39,'YBHN Blank TB'!G:G)+(SUMIF('YBHN HO TB'!$R:$R,'YBHN HO P&amp;L'!$A39,'YBHN HO TB'!G:G)))</f>
        <v/>
      </c>
      <c r="T39" s="37">
        <f>(SUMIF('YBHN Blank TB'!$R:$R,'YBHN HO P&amp;L'!$A39,'YBHN Blank TB'!H:H)+(SUMIF('YBHN HO TB'!$R:$R,'YBHN HO P&amp;L'!$A39,'YBHN HO TB'!H:H)))</f>
        <v/>
      </c>
      <c r="U39" s="37">
        <f>(SUMIF('YBHN Blank TB'!$R:$R,'YBHN HO P&amp;L'!$A39,'YBHN Blank TB'!I:I)+(SUMIF('YBHN HO TB'!$R:$R,'YBHN HO P&amp;L'!$A39,'YBHN HO TB'!I:I)))</f>
        <v/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0</v>
      </c>
      <c r="C40" s="35" t="n">
        <v>0</v>
      </c>
      <c r="D40" s="35" t="n">
        <v>0</v>
      </c>
      <c r="E40" s="35" t="n">
        <v>0</v>
      </c>
      <c r="F40" s="35" t="n">
        <v>0</v>
      </c>
      <c r="G40" s="35" t="n">
        <v>0</v>
      </c>
      <c r="H40" s="35" t="n">
        <v>0</v>
      </c>
      <c r="I40" s="35" t="n">
        <v>0</v>
      </c>
      <c r="J40" s="35" t="n">
        <v>0</v>
      </c>
      <c r="K40" s="35" t="n">
        <v>0</v>
      </c>
      <c r="L40" s="35" t="n">
        <v>0</v>
      </c>
      <c r="M40" s="35" t="n">
        <v>0</v>
      </c>
      <c r="N40" s="36">
        <f>SUM(B40:M40)</f>
        <v/>
      </c>
      <c r="O40" s="37">
        <f>(SUMIF('YBHN Blank TB'!$R:$R,'YBHN HO P&amp;L'!$A40,'YBHN Blank TB'!C:C)+(SUMIF('YBHN HO TB'!$R:$R,'YBHN HO P&amp;L'!$A40,'YBHN HO TB'!C:C)))</f>
        <v/>
      </c>
      <c r="P40" s="37">
        <f>(SUMIF('YBHN Blank TB'!$R:$R,'YBHN HO P&amp;L'!$A40,'YBHN Blank TB'!D:D)+(SUMIF('YBHN HO TB'!$R:$R,'YBHN HO P&amp;L'!$A40,'YBHN HO TB'!D:D)))</f>
        <v/>
      </c>
      <c r="Q40" s="37">
        <f>(SUMIF('YBHN Blank TB'!$R:$R,'YBHN HO P&amp;L'!$A40,'YBHN Blank TB'!E:E)+(SUMIF('YBHN HO TB'!$R:$R,'YBHN HO P&amp;L'!$A40,'YBHN HO TB'!E:E)))</f>
        <v/>
      </c>
      <c r="R40" s="37">
        <f>(SUMIF('YBHN Blank TB'!$R:$R,'YBHN HO P&amp;L'!$A40,'YBHN Blank TB'!F:F)+(SUMIF('YBHN HO TB'!$R:$R,'YBHN HO P&amp;L'!$A40,'YBHN HO TB'!F:F)))</f>
        <v/>
      </c>
      <c r="S40" s="37">
        <f>(SUMIF('YBHN Blank TB'!$R:$R,'YBHN HO P&amp;L'!$A40,'YBHN Blank TB'!G:G)+(SUMIF('YBHN HO TB'!$R:$R,'YBHN HO P&amp;L'!$A40,'YBHN HO TB'!G:G)))</f>
        <v/>
      </c>
      <c r="T40" s="37">
        <f>(SUMIF('YBHN Blank TB'!$R:$R,'YBHN HO P&amp;L'!$A40,'YBHN Blank TB'!H:H)+(SUMIF('YBHN HO TB'!$R:$R,'YBHN HO P&amp;L'!$A40,'YBHN HO TB'!H:H)))</f>
        <v/>
      </c>
      <c r="U40" s="37">
        <f>(SUMIF('YBHN Blank TB'!$R:$R,'YBHN HO P&amp;L'!$A40,'YBHN Blank TB'!I:I)+(SUMIF('YBHN HO TB'!$R:$R,'YBHN HO P&amp;L'!$A40,'YBHN HO TB'!I:I)))</f>
        <v/>
      </c>
      <c r="V40" s="38" t="n"/>
      <c r="W40" s="38" t="n"/>
      <c r="X40" s="38" t="n"/>
      <c r="Y40" s="38" t="n"/>
      <c r="Z40" s="38" t="n"/>
      <c r="AA40" s="36">
        <f>SUM(O40:U40)</f>
        <v/>
      </c>
      <c r="AB40" s="36">
        <f>SUM(O40:Z40)</f>
        <v/>
      </c>
      <c r="AC40" s="38" t="n"/>
      <c r="AD40" s="38" t="n"/>
      <c r="AE40" s="38" t="n"/>
      <c r="AF40" s="38" t="n"/>
      <c r="AG40" s="38" t="n"/>
      <c r="AH40" s="38" t="n"/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0</v>
      </c>
      <c r="C41" s="35" t="n">
        <v>0</v>
      </c>
      <c r="D41" s="35" t="n">
        <v>102.02</v>
      </c>
      <c r="E41" s="35" t="n">
        <v>0</v>
      </c>
      <c r="F41" s="35" t="n">
        <v>0</v>
      </c>
      <c r="G41" s="35" t="n">
        <v>0</v>
      </c>
      <c r="H41" s="35" t="n">
        <v>0</v>
      </c>
      <c r="I41" s="35" t="n">
        <v>0</v>
      </c>
      <c r="J41" s="35" t="n">
        <v>0</v>
      </c>
      <c r="K41" s="35" t="n">
        <v>0</v>
      </c>
      <c r="L41" s="35" t="n">
        <v>0</v>
      </c>
      <c r="M41" s="35" t="n">
        <v>0</v>
      </c>
      <c r="N41" s="36">
        <f>SUM(B41:M41)</f>
        <v/>
      </c>
      <c r="O41" s="37">
        <f>(SUMIF('YBHN Blank TB'!$R:$R,'YBHN HO P&amp;L'!$A41,'YBHN Blank TB'!C:C)+(SUMIF('YBHN HO TB'!$R:$R,'YBHN HO P&amp;L'!$A41,'YBHN HO TB'!C:C)))</f>
        <v/>
      </c>
      <c r="P41" s="37">
        <f>(SUMIF('YBHN Blank TB'!$R:$R,'YBHN HO P&amp;L'!$A41,'YBHN Blank TB'!D:D)+(SUMIF('YBHN HO TB'!$R:$R,'YBHN HO P&amp;L'!$A41,'YBHN HO TB'!D:D)))</f>
        <v/>
      </c>
      <c r="Q41" s="37">
        <f>(SUMIF('YBHN Blank TB'!$R:$R,'YBHN HO P&amp;L'!$A41,'YBHN Blank TB'!E:E)+(SUMIF('YBHN HO TB'!$R:$R,'YBHN HO P&amp;L'!$A41,'YBHN HO TB'!E:E)))</f>
        <v/>
      </c>
      <c r="R41" s="37">
        <f>(SUMIF('YBHN Blank TB'!$R:$R,'YBHN HO P&amp;L'!$A41,'YBHN Blank TB'!F:F)+(SUMIF('YBHN HO TB'!$R:$R,'YBHN HO P&amp;L'!$A41,'YBHN HO TB'!F:F)))</f>
        <v/>
      </c>
      <c r="S41" s="37">
        <f>(SUMIF('YBHN Blank TB'!$R:$R,'YBHN HO P&amp;L'!$A41,'YBHN Blank TB'!G:G)+(SUMIF('YBHN HO TB'!$R:$R,'YBHN HO P&amp;L'!$A41,'YBHN HO TB'!G:G)))</f>
        <v/>
      </c>
      <c r="T41" s="37">
        <f>(SUMIF('YBHN Blank TB'!$R:$R,'YBHN HO P&amp;L'!$A41,'YBHN Blank TB'!H:H)+(SUMIF('YBHN HO TB'!$R:$R,'YBHN HO P&amp;L'!$A41,'YBHN HO TB'!H:H)))</f>
        <v/>
      </c>
      <c r="U41" s="37">
        <f>(SUMIF('YBHN Blank TB'!$R:$R,'YBHN HO P&amp;L'!$A41,'YBHN Blank TB'!I:I)+(SUMIF('YBHN HO TB'!$R:$R,'YBHN HO P&amp;L'!$A41,'YBHN HO TB'!I:I)))</f>
        <v/>
      </c>
      <c r="V41" s="38" t="n"/>
      <c r="W41" s="38" t="n"/>
      <c r="X41" s="38" t="n"/>
      <c r="Y41" s="38" t="n"/>
      <c r="Z41" s="38" t="n"/>
      <c r="AA41" s="36">
        <f>SUM(O41:U41)</f>
        <v/>
      </c>
      <c r="AB41" s="36">
        <f>SUM(O41:Z41)</f>
        <v/>
      </c>
      <c r="AC41" s="38" t="n"/>
      <c r="AD41" s="38" t="n"/>
      <c r="AE41" s="38" t="n"/>
      <c r="AF41" s="38" t="n"/>
      <c r="AG41" s="38" t="n"/>
      <c r="AH41" s="38" t="n"/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0</v>
      </c>
      <c r="C42" s="35" t="n">
        <v>0</v>
      </c>
      <c r="D42" s="35" t="n">
        <v>0</v>
      </c>
      <c r="E42" s="35" t="n">
        <v>0</v>
      </c>
      <c r="F42" s="35" t="n">
        <v>0</v>
      </c>
      <c r="G42" s="35" t="n">
        <v>0</v>
      </c>
      <c r="H42" s="35" t="n">
        <v>0</v>
      </c>
      <c r="I42" s="35" t="n">
        <v>0</v>
      </c>
      <c r="J42" s="35" t="n">
        <v>0</v>
      </c>
      <c r="K42" s="35" t="n">
        <v>0</v>
      </c>
      <c r="L42" s="35" t="n">
        <v>0</v>
      </c>
      <c r="M42" s="35" t="n">
        <v>3.27</v>
      </c>
      <c r="N42" s="36">
        <f>SUM(B42:M42)</f>
        <v/>
      </c>
      <c r="O42" s="37">
        <f>(SUMIF('YBHN Blank TB'!$R:$R,'YBHN HO P&amp;L'!$A42,'YBHN Blank TB'!C:C)+(SUMIF('YBHN HO TB'!$R:$R,'YBHN HO P&amp;L'!$A42,'YBHN HO TB'!C:C)))</f>
        <v/>
      </c>
      <c r="P42" s="37">
        <f>(SUMIF('YBHN Blank TB'!$R:$R,'YBHN HO P&amp;L'!$A42,'YBHN Blank TB'!D:D)+(SUMIF('YBHN HO TB'!$R:$R,'YBHN HO P&amp;L'!$A42,'YBHN HO TB'!D:D)))</f>
        <v/>
      </c>
      <c r="Q42" s="37">
        <f>(SUMIF('YBHN Blank TB'!$R:$R,'YBHN HO P&amp;L'!$A42,'YBHN Blank TB'!E:E)+(SUMIF('YBHN HO TB'!$R:$R,'YBHN HO P&amp;L'!$A42,'YBHN HO TB'!E:E)))</f>
        <v/>
      </c>
      <c r="R42" s="37">
        <f>(SUMIF('YBHN Blank TB'!$R:$R,'YBHN HO P&amp;L'!$A42,'YBHN Blank TB'!F:F)+(SUMIF('YBHN HO TB'!$R:$R,'YBHN HO P&amp;L'!$A42,'YBHN HO TB'!F:F)))</f>
        <v/>
      </c>
      <c r="S42" s="37">
        <f>(SUMIF('YBHN Blank TB'!$R:$R,'YBHN HO P&amp;L'!$A42,'YBHN Blank TB'!G:G)+(SUMIF('YBHN HO TB'!$R:$R,'YBHN HO P&amp;L'!$A42,'YBHN HO TB'!G:G)))</f>
        <v/>
      </c>
      <c r="T42" s="37">
        <f>(SUMIF('YBHN Blank TB'!$R:$R,'YBHN HO P&amp;L'!$A42,'YBHN Blank TB'!H:H)+(SUMIF('YBHN HO TB'!$R:$R,'YBHN HO P&amp;L'!$A42,'YBHN HO TB'!H:H)))</f>
        <v/>
      </c>
      <c r="U42" s="37">
        <f>(SUMIF('YBHN Blank TB'!$R:$R,'YBHN HO P&amp;L'!$A42,'YBHN Blank TB'!I:I)+(SUMIF('YBHN HO TB'!$R:$R,'YBHN HO P&amp;L'!$A42,'YBHN HO TB'!I:I)))</f>
        <v/>
      </c>
      <c r="V42" s="38" t="n"/>
      <c r="W42" s="38" t="n"/>
      <c r="X42" s="38" t="n"/>
      <c r="Y42" s="38" t="n"/>
      <c r="Z42" s="38" t="n"/>
      <c r="AA42" s="36">
        <f>SUM(O42:U42)</f>
        <v/>
      </c>
      <c r="AB42" s="36">
        <f>SUM(O42:Z42)</f>
        <v/>
      </c>
      <c r="AC42" s="38" t="n"/>
      <c r="AD42" s="38" t="n"/>
      <c r="AE42" s="38" t="n"/>
      <c r="AF42" s="38" t="n"/>
      <c r="AG42" s="38" t="n"/>
      <c r="AH42" s="38" t="n"/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(SUMIF('YBHN Blank TB'!$R:$R,'YBHN HO P&amp;L'!$A43,'YBHN Blank TB'!C:C)+(SUMIF('YBHN HO TB'!$R:$R,'YBHN HO P&amp;L'!$A43,'YBHN HO TB'!C:C)))</f>
        <v/>
      </c>
      <c r="P43" s="37">
        <f>(SUMIF('YBHN Blank TB'!$R:$R,'YBHN HO P&amp;L'!$A43,'YBHN Blank TB'!D:D)+(SUMIF('YBHN HO TB'!$R:$R,'YBHN HO P&amp;L'!$A43,'YBHN HO TB'!D:D)))</f>
        <v/>
      </c>
      <c r="Q43" s="37">
        <f>(SUMIF('YBHN Blank TB'!$R:$R,'YBHN HO P&amp;L'!$A43,'YBHN Blank TB'!E:E)+(SUMIF('YBHN HO TB'!$R:$R,'YBHN HO P&amp;L'!$A43,'YBHN HO TB'!E:E)))</f>
        <v/>
      </c>
      <c r="R43" s="37">
        <f>(SUMIF('YBHN Blank TB'!$R:$R,'YBHN HO P&amp;L'!$A43,'YBHN Blank TB'!F:F)+(SUMIF('YBHN HO TB'!$R:$R,'YBHN HO P&amp;L'!$A43,'YBHN HO TB'!F:F)))</f>
        <v/>
      </c>
      <c r="S43" s="37">
        <f>(SUMIF('YBHN Blank TB'!$R:$R,'YBHN HO P&amp;L'!$A43,'YBHN Blank TB'!G:G)+(SUMIF('YBHN HO TB'!$R:$R,'YBHN HO P&amp;L'!$A43,'YBHN HO TB'!G:G)))</f>
        <v/>
      </c>
      <c r="T43" s="37">
        <f>(SUMIF('YBHN Blank TB'!$R:$R,'YBHN HO P&amp;L'!$A43,'YBHN Blank TB'!H:H)+(SUMIF('YBHN HO TB'!$R:$R,'YBHN HO P&amp;L'!$A43,'YBHN HO TB'!H:H)))</f>
        <v/>
      </c>
      <c r="U43" s="37">
        <f>(SUMIF('YBHN Blank TB'!$R:$R,'YBHN HO P&amp;L'!$A43,'YBHN Blank TB'!I:I)+(SUMIF('YBHN HO TB'!$R:$R,'YBHN HO P&amp;L'!$A43,'YBHN HO TB'!I:I)))</f>
        <v/>
      </c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(SUMIF('YBHN Blank TB'!$R:$R,'YBHN HO P&amp;L'!$A44,'YBHN Blank TB'!C:C)+(SUMIF('YBHN HO TB'!$R:$R,'YBHN HO P&amp;L'!$A44,'YBHN HO TB'!C:C)))</f>
        <v/>
      </c>
      <c r="P44" s="37">
        <f>(SUMIF('YBHN Blank TB'!$R:$R,'YBHN HO P&amp;L'!$A44,'YBHN Blank TB'!D:D)+(SUMIF('YBHN HO TB'!$R:$R,'YBHN HO P&amp;L'!$A44,'YBHN HO TB'!D:D)))</f>
        <v/>
      </c>
      <c r="Q44" s="37">
        <f>(SUMIF('YBHN Blank TB'!$R:$R,'YBHN HO P&amp;L'!$A44,'YBHN Blank TB'!E:E)+(SUMIF('YBHN HO TB'!$R:$R,'YBHN HO P&amp;L'!$A44,'YBHN HO TB'!E:E)))</f>
        <v/>
      </c>
      <c r="R44" s="37">
        <f>(SUMIF('YBHN Blank TB'!$R:$R,'YBHN HO P&amp;L'!$A44,'YBHN Blank TB'!F:F)+(SUMIF('YBHN HO TB'!$R:$R,'YBHN HO P&amp;L'!$A44,'YBHN HO TB'!F:F)))</f>
        <v/>
      </c>
      <c r="S44" s="37">
        <f>(SUMIF('YBHN Blank TB'!$R:$R,'YBHN HO P&amp;L'!$A44,'YBHN Blank TB'!G:G)+(SUMIF('YBHN HO TB'!$R:$R,'YBHN HO P&amp;L'!$A44,'YBHN HO TB'!G:G)))</f>
        <v/>
      </c>
      <c r="T44" s="37">
        <f>(SUMIF('YBHN Blank TB'!$R:$R,'YBHN HO P&amp;L'!$A44,'YBHN Blank TB'!H:H)+(SUMIF('YBHN HO TB'!$R:$R,'YBHN HO P&amp;L'!$A44,'YBHN HO TB'!H:H)))</f>
        <v/>
      </c>
      <c r="U44" s="37">
        <f>(SUMIF('YBHN Blank TB'!$R:$R,'YBHN HO P&amp;L'!$A44,'YBHN Blank TB'!I:I)+(SUMIF('YBHN HO TB'!$R:$R,'YBHN HO P&amp;L'!$A44,'YBHN HO TB'!I:I)))</f>
        <v/>
      </c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2555.59</v>
      </c>
      <c r="C45" s="35" t="n">
        <v>2594.31</v>
      </c>
      <c r="D45" s="35" t="n">
        <v>2549.76</v>
      </c>
      <c r="E45" s="35" t="n">
        <v>2555.52</v>
      </c>
      <c r="F45" s="35" t="n">
        <v>2555.85</v>
      </c>
      <c r="G45" s="35" t="n">
        <v>2592.7</v>
      </c>
      <c r="H45" s="35" t="n">
        <v>2549.98</v>
      </c>
      <c r="I45" s="35" t="n">
        <v>2549.94</v>
      </c>
      <c r="J45" s="35" t="n">
        <v>2549.95</v>
      </c>
      <c r="K45" s="35" t="n">
        <v>549.84</v>
      </c>
      <c r="L45" s="35" t="n">
        <v>0</v>
      </c>
      <c r="M45" s="35" t="n">
        <v>1.99</v>
      </c>
      <c r="N45" s="36">
        <f>SUM(B45:M45)</f>
        <v/>
      </c>
      <c r="O45" s="37">
        <f>(SUMIF('YBHN Blank TB'!$R:$R,'YBHN HO P&amp;L'!$A45,'YBHN Blank TB'!C:C)+(SUMIF('YBHN HO TB'!$R:$R,'YBHN HO P&amp;L'!$A45,'YBHN HO TB'!C:C)))</f>
        <v/>
      </c>
      <c r="P45" s="37">
        <f>(SUMIF('YBHN Blank TB'!$R:$R,'YBHN HO P&amp;L'!$A45,'YBHN Blank TB'!D:D)+(SUMIF('YBHN HO TB'!$R:$R,'YBHN HO P&amp;L'!$A45,'YBHN HO TB'!D:D)))</f>
        <v/>
      </c>
      <c r="Q45" s="37">
        <f>(SUMIF('YBHN Blank TB'!$R:$R,'YBHN HO P&amp;L'!$A45,'YBHN Blank TB'!E:E)+(SUMIF('YBHN HO TB'!$R:$R,'YBHN HO P&amp;L'!$A45,'YBHN HO TB'!E:E)))</f>
        <v/>
      </c>
      <c r="R45" s="37">
        <f>(SUMIF('YBHN Blank TB'!$R:$R,'YBHN HO P&amp;L'!$A45,'YBHN Blank TB'!F:F)+(SUMIF('YBHN HO TB'!$R:$R,'YBHN HO P&amp;L'!$A45,'YBHN HO TB'!F:F)))</f>
        <v/>
      </c>
      <c r="S45" s="37">
        <f>(SUMIF('YBHN Blank TB'!$R:$R,'YBHN HO P&amp;L'!$A45,'YBHN Blank TB'!G:G)+(SUMIF('YBHN HO TB'!$R:$R,'YBHN HO P&amp;L'!$A45,'YBHN HO TB'!G:G)))</f>
        <v/>
      </c>
      <c r="T45" s="37">
        <f>(SUMIF('YBHN Blank TB'!$R:$R,'YBHN HO P&amp;L'!$A45,'YBHN Blank TB'!H:H)+(SUMIF('YBHN HO TB'!$R:$R,'YBHN HO P&amp;L'!$A45,'YBHN HO TB'!H:H)))</f>
        <v/>
      </c>
      <c r="U45" s="37">
        <f>(SUMIF('YBHN Blank TB'!$R:$R,'YBHN HO P&amp;L'!$A45,'YBHN Blank TB'!I:I)+(SUMIF('YBHN HO TB'!$R:$R,'YBHN HO P&amp;L'!$A45,'YBHN HO TB'!I:I)))</f>
        <v/>
      </c>
      <c r="V45" s="38" t="n"/>
      <c r="W45" s="38" t="n"/>
      <c r="X45" s="38" t="n"/>
      <c r="Y45" s="38" t="n"/>
      <c r="Z45" s="38" t="n"/>
      <c r="AA45" s="36">
        <f>SUM(O45:U45)</f>
        <v/>
      </c>
      <c r="AB45" s="36">
        <f>SUM(O45:Z45)</f>
        <v/>
      </c>
      <c r="AC45" s="38" t="n"/>
      <c r="AD45" s="38" t="n"/>
      <c r="AE45" s="38" t="n"/>
      <c r="AF45" s="38" t="n"/>
      <c r="AG45" s="38" t="n"/>
      <c r="AH45" s="38" t="n"/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(SUMIF('YBHN Blank TB'!$R:$R,'YBHN HO P&amp;L'!$A46,'YBHN Blank TB'!C:C)+(SUMIF('YBHN HO TB'!$R:$R,'YBHN HO P&amp;L'!$A46,'YBHN HO TB'!C:C)))</f>
        <v/>
      </c>
      <c r="P46" s="37">
        <f>(SUMIF('YBHN Blank TB'!$R:$R,'YBHN HO P&amp;L'!$A46,'YBHN Blank TB'!D:D)+(SUMIF('YBHN HO TB'!$R:$R,'YBHN HO P&amp;L'!$A46,'YBHN HO TB'!D:D)))</f>
        <v/>
      </c>
      <c r="Q46" s="37">
        <f>(SUMIF('YBHN Blank TB'!$R:$R,'YBHN HO P&amp;L'!$A46,'YBHN Blank TB'!E:E)+(SUMIF('YBHN HO TB'!$R:$R,'YBHN HO P&amp;L'!$A46,'YBHN HO TB'!E:E)))</f>
        <v/>
      </c>
      <c r="R46" s="37">
        <f>(SUMIF('YBHN Blank TB'!$R:$R,'YBHN HO P&amp;L'!$A46,'YBHN Blank TB'!F:F)+(SUMIF('YBHN HO TB'!$R:$R,'YBHN HO P&amp;L'!$A46,'YBHN HO TB'!F:F)))</f>
        <v/>
      </c>
      <c r="S46" s="37">
        <f>(SUMIF('YBHN Blank TB'!$R:$R,'YBHN HO P&amp;L'!$A46,'YBHN Blank TB'!G:G)+(SUMIF('YBHN HO TB'!$R:$R,'YBHN HO P&amp;L'!$A46,'YBHN HO TB'!G:G)))</f>
        <v/>
      </c>
      <c r="T46" s="37">
        <f>(SUMIF('YBHN Blank TB'!$R:$R,'YBHN HO P&amp;L'!$A46,'YBHN Blank TB'!H:H)+(SUMIF('YBHN HO TB'!$R:$R,'YBHN HO P&amp;L'!$A46,'YBHN HO TB'!H:H)))</f>
        <v/>
      </c>
      <c r="U46" s="37">
        <f>(SUMIF('YBHN Blank TB'!$R:$R,'YBHN HO P&amp;L'!$A46,'YBHN Blank TB'!I:I)+(SUMIF('YBHN HO TB'!$R:$R,'YBHN HO P&amp;L'!$A46,'YBHN HO TB'!I:I)))</f>
        <v/>
      </c>
      <c r="V46" s="38" t="n"/>
      <c r="W46" s="38" t="n"/>
      <c r="X46" s="38" t="n"/>
      <c r="Y46" s="38" t="n"/>
      <c r="Z46" s="38" t="n"/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2555.59</v>
      </c>
      <c r="C47" s="42" t="n">
        <v>2594.31</v>
      </c>
      <c r="D47" s="42" t="n">
        <v>2651.78</v>
      </c>
      <c r="E47" s="42" t="n">
        <v>2555.52</v>
      </c>
      <c r="F47" s="42" t="n">
        <v>2555.85</v>
      </c>
      <c r="G47" s="42" t="n">
        <v>2923.73</v>
      </c>
      <c r="H47" s="42" t="n">
        <v>2549.98</v>
      </c>
      <c r="I47" s="42" t="n">
        <v>2549.94</v>
      </c>
      <c r="J47" s="42" t="n">
        <v>2549.95</v>
      </c>
      <c r="K47" s="42" t="n">
        <v>549.84</v>
      </c>
      <c r="L47" s="42" t="n">
        <v>0</v>
      </c>
      <c r="M47" s="42" t="n">
        <v>-1207.58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 t="n"/>
      <c r="AD47" s="45" t="n"/>
      <c r="AE47" s="45" t="n"/>
      <c r="AF47" s="45" t="n"/>
      <c r="AG47" s="45" t="n"/>
      <c r="AH47" s="45" t="n"/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9641.529999999999</v>
      </c>
      <c r="C48" s="23" t="n">
        <v>4716.309999999999</v>
      </c>
      <c r="D48" s="23" t="n">
        <v>4241.450000000001</v>
      </c>
      <c r="E48" s="23" t="n">
        <v>3457.44</v>
      </c>
      <c r="F48" s="23" t="n">
        <v>4681.54</v>
      </c>
      <c r="G48" s="23" t="n">
        <v>6634</v>
      </c>
      <c r="H48" s="23" t="n">
        <v>9806.99</v>
      </c>
      <c r="I48" s="23" t="n">
        <v>5983.940000000001</v>
      </c>
      <c r="J48" s="23" t="n">
        <v>5450.98</v>
      </c>
      <c r="K48" s="23" t="n">
        <v>4671.64</v>
      </c>
      <c r="L48" s="23" t="n">
        <v>3846.66</v>
      </c>
      <c r="M48" s="23" t="n">
        <v>3082.98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 t="n"/>
      <c r="AD48" s="26" t="n"/>
      <c r="AE48" s="26" t="n"/>
      <c r="AF48" s="26" t="n"/>
      <c r="AG48" s="26" t="n"/>
      <c r="AH48" s="26" t="n"/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-9641.529999999999</v>
      </c>
      <c r="C50" s="55" t="n">
        <v>-4671.809999999999</v>
      </c>
      <c r="D50" s="55" t="n">
        <v>-4241.450000000001</v>
      </c>
      <c r="E50" s="55" t="n">
        <v>-3457.44</v>
      </c>
      <c r="F50" s="55" t="n">
        <v>-4681.54</v>
      </c>
      <c r="G50" s="55" t="n">
        <v>-6634</v>
      </c>
      <c r="H50" s="55" t="n">
        <v>-9806.99</v>
      </c>
      <c r="I50" s="55" t="n">
        <v>-5983.940000000001</v>
      </c>
      <c r="J50" s="55" t="n">
        <v>-5450.98</v>
      </c>
      <c r="K50" s="55" t="n">
        <v>-4671.64</v>
      </c>
      <c r="L50" s="55" t="n">
        <v>-3846.66</v>
      </c>
      <c r="M50" s="55" t="n">
        <v>-3082.98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(SUMIF('YBHN Blank TB'!$R:$R,'YBHN HO P&amp;L'!$A53,'YBHN Blank TB'!C:C)+(SUMIF('YBHN HO TB'!$R:$R,'YBHN HO P&amp;L'!$A53,'YBHN HO TB'!C:C)))</f>
        <v/>
      </c>
      <c r="P53" s="37">
        <f>(SUMIF('YBHN Blank TB'!$R:$R,'YBHN HO P&amp;L'!$A53,'YBHN Blank TB'!D:D)+(SUMIF('YBHN HO TB'!$R:$R,'YBHN HO P&amp;L'!$A53,'YBHN HO TB'!D:D)))</f>
        <v/>
      </c>
      <c r="Q53" s="37">
        <f>(SUMIF('YBHN Blank TB'!$R:$R,'YBHN HO P&amp;L'!$A53,'YBHN Blank TB'!E:E)+(SUMIF('YBHN HO TB'!$R:$R,'YBHN HO P&amp;L'!$A53,'YBHN HO TB'!E:E)))</f>
        <v/>
      </c>
      <c r="R53" s="37">
        <f>(SUMIF('YBHN Blank TB'!$R:$R,'YBHN HO P&amp;L'!$A53,'YBHN Blank TB'!F:F)+(SUMIF('YBHN HO TB'!$R:$R,'YBHN HO P&amp;L'!$A53,'YBHN HO TB'!F:F)))</f>
        <v/>
      </c>
      <c r="S53" s="37">
        <f>(SUMIF('YBHN Blank TB'!$R:$R,'YBHN HO P&amp;L'!$A53,'YBHN Blank TB'!G:G)+(SUMIF('YBHN HO TB'!$R:$R,'YBHN HO P&amp;L'!$A53,'YBHN HO TB'!G:G)))</f>
        <v/>
      </c>
      <c r="T53" s="37">
        <f>(SUMIF('YBHN Blank TB'!$R:$R,'YBHN HO P&amp;L'!$A53,'YBHN Blank TB'!H:H)+(SUMIF('YBHN HO TB'!$R:$R,'YBHN HO P&amp;L'!$A53,'YBHN HO TB'!H:H)))</f>
        <v/>
      </c>
      <c r="U53" s="37">
        <f>(SUMIF('YBHN Blank TB'!$R:$R,'YBHN HO P&amp;L'!$A53,'YBHN Blank TB'!I:I)+(SUMIF('YBHN HO TB'!$R:$R,'YBHN HO P&amp;L'!$A53,'YBHN HO TB'!I:I)))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(SUMIF('YBHN Blank TB'!$R:$R,'YBHN HO P&amp;L'!$A54,'YBHN Blank TB'!C:C)+(SUMIF('YBHN HO TB'!$R:$R,'YBHN HO P&amp;L'!$A54,'YBHN HO TB'!C:C)))</f>
        <v/>
      </c>
      <c r="P54" s="37">
        <f>(SUMIF('YBHN Blank TB'!$R:$R,'YBHN HO P&amp;L'!$A54,'YBHN Blank TB'!D:D)+(SUMIF('YBHN HO TB'!$R:$R,'YBHN HO P&amp;L'!$A54,'YBHN HO TB'!D:D)))</f>
        <v/>
      </c>
      <c r="Q54" s="37">
        <f>(SUMIF('YBHN Blank TB'!$R:$R,'YBHN HO P&amp;L'!$A54,'YBHN Blank TB'!E:E)+(SUMIF('YBHN HO TB'!$R:$R,'YBHN HO P&amp;L'!$A54,'YBHN HO TB'!E:E)))</f>
        <v/>
      </c>
      <c r="R54" s="37">
        <f>(SUMIF('YBHN Blank TB'!$R:$R,'YBHN HO P&amp;L'!$A54,'YBHN Blank TB'!F:F)+(SUMIF('YBHN HO TB'!$R:$R,'YBHN HO P&amp;L'!$A54,'YBHN HO TB'!F:F)))</f>
        <v/>
      </c>
      <c r="S54" s="37">
        <f>(SUMIF('YBHN Blank TB'!$R:$R,'YBHN HO P&amp;L'!$A54,'YBHN Blank TB'!G:G)+(SUMIF('YBHN HO TB'!$R:$R,'YBHN HO P&amp;L'!$A54,'YBHN HO TB'!G:G)))</f>
        <v/>
      </c>
      <c r="T54" s="37">
        <f>(SUMIF('YBHN Blank TB'!$R:$R,'YBHN HO P&amp;L'!$A54,'YBHN Blank TB'!H:H)+(SUMIF('YBHN HO TB'!$R:$R,'YBHN HO P&amp;L'!$A54,'YBHN HO TB'!H:H)))</f>
        <v/>
      </c>
      <c r="U54" s="37">
        <f>(SUMIF('YBHN Blank TB'!$R:$R,'YBHN HO P&amp;L'!$A54,'YBHN Blank TB'!I:I)+(SUMIF('YBHN HO TB'!$R:$R,'YBHN HO P&amp;L'!$A54,'YBHN HO TB'!I:I)))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(SUMIF('YBHN Blank TB'!$R:$R,'YBHN HO P&amp;L'!$A55,'YBHN Blank TB'!C:C)+(SUMIF('YBHN HO TB'!$R:$R,'YBHN HO P&amp;L'!$A55,'YBHN HO TB'!C:C)))</f>
        <v/>
      </c>
      <c r="P55" s="37">
        <f>(SUMIF('YBHN Blank TB'!$R:$R,'YBHN HO P&amp;L'!$A55,'YBHN Blank TB'!D:D)+(SUMIF('YBHN HO TB'!$R:$R,'YBHN HO P&amp;L'!$A55,'YBHN HO TB'!D:D)))</f>
        <v/>
      </c>
      <c r="Q55" s="37">
        <f>(SUMIF('YBHN Blank TB'!$R:$R,'YBHN HO P&amp;L'!$A55,'YBHN Blank TB'!E:E)+(SUMIF('YBHN HO TB'!$R:$R,'YBHN HO P&amp;L'!$A55,'YBHN HO TB'!E:E)))</f>
        <v/>
      </c>
      <c r="R55" s="37">
        <f>(SUMIF('YBHN Blank TB'!$R:$R,'YBHN HO P&amp;L'!$A55,'YBHN Blank TB'!F:F)+(SUMIF('YBHN HO TB'!$R:$R,'YBHN HO P&amp;L'!$A55,'YBHN HO TB'!F:F)))</f>
        <v/>
      </c>
      <c r="S55" s="37">
        <f>(SUMIF('YBHN Blank TB'!$R:$R,'YBHN HO P&amp;L'!$A55,'YBHN Blank TB'!G:G)+(SUMIF('YBHN HO TB'!$R:$R,'YBHN HO P&amp;L'!$A55,'YBHN HO TB'!G:G)))</f>
        <v/>
      </c>
      <c r="T55" s="37">
        <f>(SUMIF('YBHN Blank TB'!$R:$R,'YBHN HO P&amp;L'!$A55,'YBHN Blank TB'!H:H)+(SUMIF('YBHN HO TB'!$R:$R,'YBHN HO P&amp;L'!$A55,'YBHN HO TB'!H:H)))</f>
        <v/>
      </c>
      <c r="U55" s="37">
        <f>(SUMIF('YBHN Blank TB'!$R:$R,'YBHN HO P&amp;L'!$A55,'YBHN Blank TB'!I:I)+(SUMIF('YBHN HO TB'!$R:$R,'YBHN HO P&amp;L'!$A55,'YBHN HO TB'!I:I)))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(SUMIF('YBHN Blank TB'!$R:$R,'YBHN HO P&amp;L'!$A56,'YBHN Blank TB'!C:C)+(SUMIF('YBHN HO TB'!$R:$R,'YBHN HO P&amp;L'!$A56,'YBHN HO TB'!C:C)))</f>
        <v/>
      </c>
      <c r="P56" s="37">
        <f>(SUMIF('YBHN Blank TB'!$R:$R,'YBHN HO P&amp;L'!$A56,'YBHN Blank TB'!D:D)+(SUMIF('YBHN HO TB'!$R:$R,'YBHN HO P&amp;L'!$A56,'YBHN HO TB'!D:D)))</f>
        <v/>
      </c>
      <c r="Q56" s="37">
        <f>(SUMIF('YBHN Blank TB'!$R:$R,'YBHN HO P&amp;L'!$A56,'YBHN Blank TB'!E:E)+(SUMIF('YBHN HO TB'!$R:$R,'YBHN HO P&amp;L'!$A56,'YBHN HO TB'!E:E)))</f>
        <v/>
      </c>
      <c r="R56" s="37">
        <f>(SUMIF('YBHN Blank TB'!$R:$R,'YBHN HO P&amp;L'!$A56,'YBHN Blank TB'!F:F)+(SUMIF('YBHN HO TB'!$R:$R,'YBHN HO P&amp;L'!$A56,'YBHN HO TB'!F:F)))</f>
        <v/>
      </c>
      <c r="S56" s="37">
        <f>(SUMIF('YBHN Blank TB'!$R:$R,'YBHN HO P&amp;L'!$A56,'YBHN Blank TB'!G:G)+(SUMIF('YBHN HO TB'!$R:$R,'YBHN HO P&amp;L'!$A56,'YBHN HO TB'!G:G)))</f>
        <v/>
      </c>
      <c r="T56" s="37">
        <f>(SUMIF('YBHN Blank TB'!$R:$R,'YBHN HO P&amp;L'!$A56,'YBHN Blank TB'!H:H)+(SUMIF('YBHN HO TB'!$R:$R,'YBHN HO P&amp;L'!$A56,'YBHN HO TB'!H:H)))</f>
        <v/>
      </c>
      <c r="U56" s="37">
        <f>(SUMIF('YBHN Blank TB'!$R:$R,'YBHN HO P&amp;L'!$A56,'YBHN Blank TB'!I:I)+(SUMIF('YBHN HO TB'!$R:$R,'YBHN HO P&amp;L'!$A56,'YBHN HO TB'!I:I)))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0</v>
      </c>
      <c r="N57" s="36">
        <f>SUM(B57:M57)</f>
        <v/>
      </c>
      <c r="O57" s="37">
        <f>(SUMIF('YBHN Blank TB'!$R:$R,'YBHN HO P&amp;L'!$A57,'YBHN Blank TB'!C:C)+(SUMIF('YBHN HO TB'!$R:$R,'YBHN HO P&amp;L'!$A57,'YBHN HO TB'!C:C)))</f>
        <v/>
      </c>
      <c r="P57" s="37">
        <f>(SUMIF('YBHN Blank TB'!$R:$R,'YBHN HO P&amp;L'!$A57,'YBHN Blank TB'!D:D)+(SUMIF('YBHN HO TB'!$R:$R,'YBHN HO P&amp;L'!$A57,'YBHN HO TB'!D:D)))</f>
        <v/>
      </c>
      <c r="Q57" s="37">
        <f>(SUMIF('YBHN Blank TB'!$R:$R,'YBHN HO P&amp;L'!$A57,'YBHN Blank TB'!E:E)+(SUMIF('YBHN HO TB'!$R:$R,'YBHN HO P&amp;L'!$A57,'YBHN HO TB'!E:E)))</f>
        <v/>
      </c>
      <c r="R57" s="37">
        <f>(SUMIF('YBHN Blank TB'!$R:$R,'YBHN HO P&amp;L'!$A57,'YBHN Blank TB'!F:F)+(SUMIF('YBHN HO TB'!$R:$R,'YBHN HO P&amp;L'!$A57,'YBHN HO TB'!F:F)))</f>
        <v/>
      </c>
      <c r="S57" s="37">
        <f>(SUMIF('YBHN Blank TB'!$R:$R,'YBHN HO P&amp;L'!$A57,'YBHN Blank TB'!G:G)+(SUMIF('YBHN HO TB'!$R:$R,'YBHN HO P&amp;L'!$A57,'YBHN HO TB'!G:G)))</f>
        <v/>
      </c>
      <c r="T57" s="37">
        <f>(SUMIF('YBHN Blank TB'!$R:$R,'YBHN HO P&amp;L'!$A57,'YBHN Blank TB'!H:H)+(SUMIF('YBHN HO TB'!$R:$R,'YBHN HO P&amp;L'!$A57,'YBHN HO TB'!H:H)))</f>
        <v/>
      </c>
      <c r="U57" s="37">
        <f>(SUMIF('YBHN Blank TB'!$R:$R,'YBHN HO P&amp;L'!$A57,'YBHN Blank TB'!I:I)+(SUMIF('YBHN HO TB'!$R:$R,'YBHN HO P&amp;L'!$A57,'YBHN HO TB'!I:I)))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 t="n"/>
      <c r="AD57" s="38" t="n"/>
      <c r="AE57" s="38" t="n"/>
      <c r="AF57" s="38" t="n"/>
      <c r="AG57" s="38" t="n"/>
      <c r="AH57" s="38" t="n"/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(SUMIF('YBHN Blank TB'!$R:$R,'YBHN HO P&amp;L'!$A58,'YBHN Blank TB'!C:C)+(SUMIF('YBHN HO TB'!$R:$R,'YBHN HO P&amp;L'!$A58,'YBHN HO TB'!C:C)))</f>
        <v/>
      </c>
      <c r="P58" s="37">
        <f>(SUMIF('YBHN Blank TB'!$R:$R,'YBHN HO P&amp;L'!$A58,'YBHN Blank TB'!D:D)+(SUMIF('YBHN HO TB'!$R:$R,'YBHN HO P&amp;L'!$A58,'YBHN HO TB'!D:D)))</f>
        <v/>
      </c>
      <c r="Q58" s="37">
        <f>(SUMIF('YBHN Blank TB'!$R:$R,'YBHN HO P&amp;L'!$A58,'YBHN Blank TB'!E:E)+(SUMIF('YBHN HO TB'!$R:$R,'YBHN HO P&amp;L'!$A58,'YBHN HO TB'!E:E)))</f>
        <v/>
      </c>
      <c r="R58" s="37">
        <f>(SUMIF('YBHN Blank TB'!$R:$R,'YBHN HO P&amp;L'!$A58,'YBHN Blank TB'!F:F)+(SUMIF('YBHN HO TB'!$R:$R,'YBHN HO P&amp;L'!$A58,'YBHN HO TB'!F:F)))</f>
        <v/>
      </c>
      <c r="S58" s="37">
        <f>(SUMIF('YBHN Blank TB'!$R:$R,'YBHN HO P&amp;L'!$A58,'YBHN Blank TB'!G:G)+(SUMIF('YBHN HO TB'!$R:$R,'YBHN HO P&amp;L'!$A58,'YBHN HO TB'!G:G)))</f>
        <v/>
      </c>
      <c r="T58" s="37">
        <f>(SUMIF('YBHN Blank TB'!$R:$R,'YBHN HO P&amp;L'!$A58,'YBHN Blank TB'!H:H)+(SUMIF('YBHN HO TB'!$R:$R,'YBHN HO P&amp;L'!$A58,'YBHN HO TB'!H:H)))</f>
        <v/>
      </c>
      <c r="U58" s="37">
        <f>(SUMIF('YBHN Blank TB'!$R:$R,'YBHN HO P&amp;L'!$A58,'YBHN Blank TB'!I:I)+(SUMIF('YBHN HO TB'!$R:$R,'YBHN HO P&amp;L'!$A58,'YBHN HO TB'!I:I)))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0</v>
      </c>
      <c r="C59" s="35" t="n">
        <v>0</v>
      </c>
      <c r="D59" s="35" t="n">
        <v>0</v>
      </c>
      <c r="E59" s="35" t="n">
        <v>0</v>
      </c>
      <c r="F59" s="35" t="n">
        <v>0</v>
      </c>
      <c r="G59" s="35" t="n">
        <v>0</v>
      </c>
      <c r="H59" s="35" t="n">
        <v>0</v>
      </c>
      <c r="I59" s="35" t="n">
        <v>0</v>
      </c>
      <c r="J59" s="35" t="n">
        <v>0</v>
      </c>
      <c r="K59" s="35" t="n">
        <v>0</v>
      </c>
      <c r="L59" s="35" t="n">
        <v>0</v>
      </c>
      <c r="M59" s="35" t="n">
        <v>0</v>
      </c>
      <c r="N59" s="36">
        <f>SUM(B59:M59)</f>
        <v/>
      </c>
      <c r="O59" s="37">
        <f>(SUMIF('YBHN Blank TB'!$R:$R,'YBHN HO P&amp;L'!$A59,'YBHN Blank TB'!C:C)+(SUMIF('YBHN HO TB'!$R:$R,'YBHN HO P&amp;L'!$A59,'YBHN HO TB'!C:C)))</f>
        <v/>
      </c>
      <c r="P59" s="37">
        <f>(SUMIF('YBHN Blank TB'!$R:$R,'YBHN HO P&amp;L'!$A59,'YBHN Blank TB'!D:D)+(SUMIF('YBHN HO TB'!$R:$R,'YBHN HO P&amp;L'!$A59,'YBHN HO TB'!D:D)))</f>
        <v/>
      </c>
      <c r="Q59" s="37">
        <f>(SUMIF('YBHN Blank TB'!$R:$R,'YBHN HO P&amp;L'!$A59,'YBHN Blank TB'!E:E)+(SUMIF('YBHN HO TB'!$R:$R,'YBHN HO P&amp;L'!$A59,'YBHN HO TB'!E:E)))</f>
        <v/>
      </c>
      <c r="R59" s="37">
        <f>(SUMIF('YBHN Blank TB'!$R:$R,'YBHN HO P&amp;L'!$A59,'YBHN Blank TB'!F:F)+(SUMIF('YBHN HO TB'!$R:$R,'YBHN HO P&amp;L'!$A59,'YBHN HO TB'!F:F)))</f>
        <v/>
      </c>
      <c r="S59" s="37">
        <f>(SUMIF('YBHN Blank TB'!$R:$R,'YBHN HO P&amp;L'!$A59,'YBHN Blank TB'!G:G)+(SUMIF('YBHN HO TB'!$R:$R,'YBHN HO P&amp;L'!$A59,'YBHN HO TB'!G:G)))</f>
        <v/>
      </c>
      <c r="T59" s="37">
        <f>(SUMIF('YBHN Blank TB'!$R:$R,'YBHN HO P&amp;L'!$A59,'YBHN Blank TB'!H:H)+(SUMIF('YBHN HO TB'!$R:$R,'YBHN HO P&amp;L'!$A59,'YBHN HO TB'!H:H)))</f>
        <v/>
      </c>
      <c r="U59" s="37">
        <f>(SUMIF('YBHN Blank TB'!$R:$R,'YBHN HO P&amp;L'!$A59,'YBHN Blank TB'!I:I)+(SUMIF('YBHN HO TB'!$R:$R,'YBHN HO P&amp;L'!$A59,'YBHN HO TB'!I:I)))</f>
        <v/>
      </c>
      <c r="V59" s="38" t="n"/>
      <c r="W59" s="38" t="n"/>
      <c r="X59" s="38" t="n"/>
      <c r="Y59" s="38" t="n"/>
      <c r="Z59" s="38" t="n"/>
      <c r="AA59" s="36">
        <f>SUM(O59:U59)</f>
        <v/>
      </c>
      <c r="AB59" s="36">
        <f>SUM(O59:Z59)</f>
        <v/>
      </c>
      <c r="AC59" s="38" t="n"/>
      <c r="AD59" s="38" t="n"/>
      <c r="AE59" s="38" t="n"/>
      <c r="AF59" s="38" t="n"/>
      <c r="AG59" s="38" t="n"/>
      <c r="AH59" s="38" t="n"/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1830.97</v>
      </c>
      <c r="C60" s="35" t="n">
        <v>458.41</v>
      </c>
      <c r="D60" s="35" t="n">
        <v>256.59</v>
      </c>
      <c r="E60" s="35" t="n">
        <v>385.3100000000001</v>
      </c>
      <c r="F60" s="35" t="n">
        <v>206.21</v>
      </c>
      <c r="G60" s="35" t="n">
        <v>108.78</v>
      </c>
      <c r="H60" s="35" t="n">
        <v>259.42</v>
      </c>
      <c r="I60" s="35" t="n">
        <v>188.7</v>
      </c>
      <c r="J60" s="35" t="n">
        <v>247.71</v>
      </c>
      <c r="K60" s="35" t="n">
        <v>308.29</v>
      </c>
      <c r="L60" s="35" t="n">
        <v>237.44</v>
      </c>
      <c r="M60" s="35" t="n">
        <v>53.14</v>
      </c>
      <c r="N60" s="36">
        <f>SUM(B60:M60)</f>
        <v/>
      </c>
      <c r="O60" s="37">
        <f>(SUMIF('YBHN Blank TB'!$R:$R,'YBHN HO P&amp;L'!$A60,'YBHN Blank TB'!C:C)+(SUMIF('YBHN HO TB'!$R:$R,'YBHN HO P&amp;L'!$A60,'YBHN HO TB'!C:C)))</f>
        <v/>
      </c>
      <c r="P60" s="37">
        <f>(SUMIF('YBHN Blank TB'!$R:$R,'YBHN HO P&amp;L'!$A60,'YBHN Blank TB'!D:D)+(SUMIF('YBHN HO TB'!$R:$R,'YBHN HO P&amp;L'!$A60,'YBHN HO TB'!D:D)))</f>
        <v/>
      </c>
      <c r="Q60" s="37">
        <f>(SUMIF('YBHN Blank TB'!$R:$R,'YBHN HO P&amp;L'!$A60,'YBHN Blank TB'!E:E)+(SUMIF('YBHN HO TB'!$R:$R,'YBHN HO P&amp;L'!$A60,'YBHN HO TB'!E:E)))</f>
        <v/>
      </c>
      <c r="R60" s="37">
        <f>(SUMIF('YBHN Blank TB'!$R:$R,'YBHN HO P&amp;L'!$A60,'YBHN Blank TB'!F:F)+(SUMIF('YBHN HO TB'!$R:$R,'YBHN HO P&amp;L'!$A60,'YBHN HO TB'!F:F)))</f>
        <v/>
      </c>
      <c r="S60" s="37">
        <f>(SUMIF('YBHN Blank TB'!$R:$R,'YBHN HO P&amp;L'!$A60,'YBHN Blank TB'!G:G)+(SUMIF('YBHN HO TB'!$R:$R,'YBHN HO P&amp;L'!$A60,'YBHN HO TB'!G:G)))</f>
        <v/>
      </c>
      <c r="T60" s="37">
        <f>(SUMIF('YBHN Blank TB'!$R:$R,'YBHN HO P&amp;L'!$A60,'YBHN Blank TB'!H:H)+(SUMIF('YBHN HO TB'!$R:$R,'YBHN HO P&amp;L'!$A60,'YBHN HO TB'!H:H)))</f>
        <v/>
      </c>
      <c r="U60" s="37">
        <f>(SUMIF('YBHN Blank TB'!$R:$R,'YBHN HO P&amp;L'!$A60,'YBHN Blank TB'!I:I)+(SUMIF('YBHN HO TB'!$R:$R,'YBHN HO P&amp;L'!$A60,'YBHN HO TB'!I:I)))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-1.71</v>
      </c>
      <c r="I61" s="35" t="n">
        <v>0</v>
      </c>
      <c r="J61" s="35" t="n">
        <v>0</v>
      </c>
      <c r="K61" s="35" t="n">
        <v>0</v>
      </c>
      <c r="L61" s="35" t="n">
        <v>0</v>
      </c>
      <c r="M61" s="35" t="n">
        <v>0</v>
      </c>
      <c r="N61" s="36">
        <f>SUM(B61:M61)</f>
        <v/>
      </c>
      <c r="O61" s="37">
        <f>(SUMIF('YBHN Blank TB'!$R:$R,'YBHN HO P&amp;L'!$A61,'YBHN Blank TB'!C:C)+(SUMIF('YBHN HO TB'!$R:$R,'YBHN HO P&amp;L'!$A61,'YBHN HO TB'!C:C)))</f>
        <v/>
      </c>
      <c r="P61" s="37">
        <f>(SUMIF('YBHN Blank TB'!$R:$R,'YBHN HO P&amp;L'!$A61,'YBHN Blank TB'!D:D)+(SUMIF('YBHN HO TB'!$R:$R,'YBHN HO P&amp;L'!$A61,'YBHN HO TB'!D:D)))</f>
        <v/>
      </c>
      <c r="Q61" s="37">
        <f>(SUMIF('YBHN Blank TB'!$R:$R,'YBHN HO P&amp;L'!$A61,'YBHN Blank TB'!E:E)+(SUMIF('YBHN HO TB'!$R:$R,'YBHN HO P&amp;L'!$A61,'YBHN HO TB'!E:E)))</f>
        <v/>
      </c>
      <c r="R61" s="37">
        <f>(SUMIF('YBHN Blank TB'!$R:$R,'YBHN HO P&amp;L'!$A61,'YBHN Blank TB'!F:F)+(SUMIF('YBHN HO TB'!$R:$R,'YBHN HO P&amp;L'!$A61,'YBHN HO TB'!F:F)))</f>
        <v/>
      </c>
      <c r="S61" s="37">
        <f>(SUMIF('YBHN Blank TB'!$R:$R,'YBHN HO P&amp;L'!$A61,'YBHN Blank TB'!G:G)+(SUMIF('YBHN HO TB'!$R:$R,'YBHN HO P&amp;L'!$A61,'YBHN HO TB'!G:G)))</f>
        <v/>
      </c>
      <c r="T61" s="37">
        <f>(SUMIF('YBHN Blank TB'!$R:$R,'YBHN HO P&amp;L'!$A61,'YBHN Blank TB'!H:H)+(SUMIF('YBHN HO TB'!$R:$R,'YBHN HO P&amp;L'!$A61,'YBHN HO TB'!H:H)))</f>
        <v/>
      </c>
      <c r="U61" s="37">
        <f>(SUMIF('YBHN Blank TB'!$R:$R,'YBHN HO P&amp;L'!$A61,'YBHN Blank TB'!I:I)+(SUMIF('YBHN HO TB'!$R:$R,'YBHN HO P&amp;L'!$A61,'YBHN HO TB'!I:I)))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697.5</v>
      </c>
      <c r="K62" s="35" t="n">
        <v>0</v>
      </c>
      <c r="L62" s="35" t="n">
        <v>0</v>
      </c>
      <c r="M62" s="35" t="n">
        <v>20</v>
      </c>
      <c r="N62" s="36">
        <f>SUM(B62:M62)</f>
        <v/>
      </c>
      <c r="O62" s="37">
        <f>(SUMIF('YBHN Blank TB'!$R:$R,'YBHN HO P&amp;L'!$A62,'YBHN Blank TB'!C:C)+(SUMIF('YBHN HO TB'!$R:$R,'YBHN HO P&amp;L'!$A62,'YBHN HO TB'!C:C)))</f>
        <v/>
      </c>
      <c r="P62" s="37">
        <f>(SUMIF('YBHN Blank TB'!$R:$R,'YBHN HO P&amp;L'!$A62,'YBHN Blank TB'!D:D)+(SUMIF('YBHN HO TB'!$R:$R,'YBHN HO P&amp;L'!$A62,'YBHN HO TB'!D:D)))</f>
        <v/>
      </c>
      <c r="Q62" s="37">
        <f>(SUMIF('YBHN Blank TB'!$R:$R,'YBHN HO P&amp;L'!$A62,'YBHN Blank TB'!E:E)+(SUMIF('YBHN HO TB'!$R:$R,'YBHN HO P&amp;L'!$A62,'YBHN HO TB'!E:E)))</f>
        <v/>
      </c>
      <c r="R62" s="37">
        <f>(SUMIF('YBHN Blank TB'!$R:$R,'YBHN HO P&amp;L'!$A62,'YBHN Blank TB'!F:F)+(SUMIF('YBHN HO TB'!$R:$R,'YBHN HO P&amp;L'!$A62,'YBHN HO TB'!F:F)))</f>
        <v/>
      </c>
      <c r="S62" s="37">
        <f>(SUMIF('YBHN Blank TB'!$R:$R,'YBHN HO P&amp;L'!$A62,'YBHN Blank TB'!G:G)+(SUMIF('YBHN HO TB'!$R:$R,'YBHN HO P&amp;L'!$A62,'YBHN HO TB'!G:G)))</f>
        <v/>
      </c>
      <c r="T62" s="37">
        <f>(SUMIF('YBHN Blank TB'!$R:$R,'YBHN HO P&amp;L'!$A62,'YBHN Blank TB'!H:H)+(SUMIF('YBHN HO TB'!$R:$R,'YBHN HO P&amp;L'!$A62,'YBHN HO TB'!H:H)))</f>
        <v/>
      </c>
      <c r="U62" s="37">
        <f>(SUMIF('YBHN Blank TB'!$R:$R,'YBHN HO P&amp;L'!$A62,'YBHN Blank TB'!I:I)+(SUMIF('YBHN HO TB'!$R:$R,'YBHN HO P&amp;L'!$A62,'YBHN HO TB'!I:I)))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(SUMIF('YBHN Blank TB'!$R:$R,'YBHN HO P&amp;L'!$A63,'YBHN Blank TB'!C:C)+(SUMIF('YBHN HO TB'!$R:$R,'YBHN HO P&amp;L'!$A63,'YBHN HO TB'!C:C)))</f>
        <v/>
      </c>
      <c r="P63" s="37">
        <f>(SUMIF('YBHN Blank TB'!$R:$R,'YBHN HO P&amp;L'!$A63,'YBHN Blank TB'!D:D)+(SUMIF('YBHN HO TB'!$R:$R,'YBHN HO P&amp;L'!$A63,'YBHN HO TB'!D:D)))</f>
        <v/>
      </c>
      <c r="Q63" s="37">
        <f>(SUMIF('YBHN Blank TB'!$R:$R,'YBHN HO P&amp;L'!$A63,'YBHN Blank TB'!E:E)+(SUMIF('YBHN HO TB'!$R:$R,'YBHN HO P&amp;L'!$A63,'YBHN HO TB'!E:E)))</f>
        <v/>
      </c>
      <c r="R63" s="37">
        <f>(SUMIF('YBHN Blank TB'!$R:$R,'YBHN HO P&amp;L'!$A63,'YBHN Blank TB'!F:F)+(SUMIF('YBHN HO TB'!$R:$R,'YBHN HO P&amp;L'!$A63,'YBHN HO TB'!F:F)))</f>
        <v/>
      </c>
      <c r="S63" s="37">
        <f>(SUMIF('YBHN Blank TB'!$R:$R,'YBHN HO P&amp;L'!$A63,'YBHN Blank TB'!G:G)+(SUMIF('YBHN HO TB'!$R:$R,'YBHN HO P&amp;L'!$A63,'YBHN HO TB'!G:G)))</f>
        <v/>
      </c>
      <c r="T63" s="37">
        <f>(SUMIF('YBHN Blank TB'!$R:$R,'YBHN HO P&amp;L'!$A63,'YBHN Blank TB'!H:H)+(SUMIF('YBHN HO TB'!$R:$R,'YBHN HO P&amp;L'!$A63,'YBHN HO TB'!H:H)))</f>
        <v/>
      </c>
      <c r="U63" s="37">
        <f>(SUMIF('YBHN Blank TB'!$R:$R,'YBHN HO P&amp;L'!$A63,'YBHN Blank TB'!I:I)+(SUMIF('YBHN HO TB'!$R:$R,'YBHN HO P&amp;L'!$A63,'YBHN HO TB'!I:I)))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(SUMIF('YBHN Blank TB'!$R:$R,'YBHN HO P&amp;L'!$A64,'YBHN Blank TB'!C:C)+(SUMIF('YBHN HO TB'!$R:$R,'YBHN HO P&amp;L'!$A64,'YBHN HO TB'!C:C)))</f>
        <v/>
      </c>
      <c r="P64" s="37">
        <f>(SUMIF('YBHN Blank TB'!$R:$R,'YBHN HO P&amp;L'!$A64,'YBHN Blank TB'!D:D)+(SUMIF('YBHN HO TB'!$R:$R,'YBHN HO P&amp;L'!$A64,'YBHN HO TB'!D:D)))</f>
        <v/>
      </c>
      <c r="Q64" s="37">
        <f>(SUMIF('YBHN Blank TB'!$R:$R,'YBHN HO P&amp;L'!$A64,'YBHN Blank TB'!E:E)+(SUMIF('YBHN HO TB'!$R:$R,'YBHN HO P&amp;L'!$A64,'YBHN HO TB'!E:E)))</f>
        <v/>
      </c>
      <c r="R64" s="37">
        <f>(SUMIF('YBHN Blank TB'!$R:$R,'YBHN HO P&amp;L'!$A64,'YBHN Blank TB'!F:F)+(SUMIF('YBHN HO TB'!$R:$R,'YBHN HO P&amp;L'!$A64,'YBHN HO TB'!F:F)))</f>
        <v/>
      </c>
      <c r="S64" s="37">
        <f>(SUMIF('YBHN Blank TB'!$R:$R,'YBHN HO P&amp;L'!$A64,'YBHN Blank TB'!G:G)+(SUMIF('YBHN HO TB'!$R:$R,'YBHN HO P&amp;L'!$A64,'YBHN HO TB'!G:G)))</f>
        <v/>
      </c>
      <c r="T64" s="37">
        <f>(SUMIF('YBHN Blank TB'!$R:$R,'YBHN HO P&amp;L'!$A64,'YBHN Blank TB'!H:H)+(SUMIF('YBHN HO TB'!$R:$R,'YBHN HO P&amp;L'!$A64,'YBHN HO TB'!H:H)))</f>
        <v/>
      </c>
      <c r="U64" s="37">
        <f>(SUMIF('YBHN Blank TB'!$R:$R,'YBHN HO P&amp;L'!$A64,'YBHN Blank TB'!I:I)+(SUMIF('YBHN HO TB'!$R:$R,'YBHN HO P&amp;L'!$A64,'YBHN HO TB'!I:I)))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30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(SUMIF('YBHN Blank TB'!$R:$R,'YBHN HO P&amp;L'!$A65,'YBHN Blank TB'!C:C)+(SUMIF('YBHN HO TB'!$R:$R,'YBHN HO P&amp;L'!$A65,'YBHN HO TB'!C:C)))</f>
        <v/>
      </c>
      <c r="P65" s="37">
        <f>(SUMIF('YBHN Blank TB'!$R:$R,'YBHN HO P&amp;L'!$A65,'YBHN Blank TB'!D:D)+(SUMIF('YBHN HO TB'!$R:$R,'YBHN HO P&amp;L'!$A65,'YBHN HO TB'!D:D)))</f>
        <v/>
      </c>
      <c r="Q65" s="37">
        <f>(SUMIF('YBHN Blank TB'!$R:$R,'YBHN HO P&amp;L'!$A65,'YBHN Blank TB'!E:E)+(SUMIF('YBHN HO TB'!$R:$R,'YBHN HO P&amp;L'!$A65,'YBHN HO TB'!E:E)))</f>
        <v/>
      </c>
      <c r="R65" s="37">
        <f>(SUMIF('YBHN Blank TB'!$R:$R,'YBHN HO P&amp;L'!$A65,'YBHN Blank TB'!F:F)+(SUMIF('YBHN HO TB'!$R:$R,'YBHN HO P&amp;L'!$A65,'YBHN HO TB'!F:F)))</f>
        <v/>
      </c>
      <c r="S65" s="37">
        <f>(SUMIF('YBHN Blank TB'!$R:$R,'YBHN HO P&amp;L'!$A65,'YBHN Blank TB'!G:G)+(SUMIF('YBHN HO TB'!$R:$R,'YBHN HO P&amp;L'!$A65,'YBHN HO TB'!G:G)))</f>
        <v/>
      </c>
      <c r="T65" s="37">
        <f>(SUMIF('YBHN Blank TB'!$R:$R,'YBHN HO P&amp;L'!$A65,'YBHN Blank TB'!H:H)+(SUMIF('YBHN HO TB'!$R:$R,'YBHN HO P&amp;L'!$A65,'YBHN HO TB'!H:H)))</f>
        <v/>
      </c>
      <c r="U65" s="37">
        <f>(SUMIF('YBHN Blank TB'!$R:$R,'YBHN HO P&amp;L'!$A65,'YBHN Blank TB'!I:I)+(SUMIF('YBHN HO TB'!$R:$R,'YBHN HO P&amp;L'!$A65,'YBHN HO TB'!I:I)))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(SUMIF('YBHN Blank TB'!$R:$R,'YBHN HO P&amp;L'!$A66,'YBHN Blank TB'!C:C)+(SUMIF('YBHN HO TB'!$R:$R,'YBHN HO P&amp;L'!$A66,'YBHN HO TB'!C:C)))</f>
        <v/>
      </c>
      <c r="P66" s="37">
        <f>(SUMIF('YBHN Blank TB'!$R:$R,'YBHN HO P&amp;L'!$A66,'YBHN Blank TB'!D:D)+(SUMIF('YBHN HO TB'!$R:$R,'YBHN HO P&amp;L'!$A66,'YBHN HO TB'!D:D)))</f>
        <v/>
      </c>
      <c r="Q66" s="37">
        <f>(SUMIF('YBHN Blank TB'!$R:$R,'YBHN HO P&amp;L'!$A66,'YBHN Blank TB'!E:E)+(SUMIF('YBHN HO TB'!$R:$R,'YBHN HO P&amp;L'!$A66,'YBHN HO TB'!E:E)))</f>
        <v/>
      </c>
      <c r="R66" s="37">
        <f>(SUMIF('YBHN Blank TB'!$R:$R,'YBHN HO P&amp;L'!$A66,'YBHN Blank TB'!F:F)+(SUMIF('YBHN HO TB'!$R:$R,'YBHN HO P&amp;L'!$A66,'YBHN HO TB'!F:F)))</f>
        <v/>
      </c>
      <c r="S66" s="37">
        <f>(SUMIF('YBHN Blank TB'!$R:$R,'YBHN HO P&amp;L'!$A66,'YBHN Blank TB'!G:G)+(SUMIF('YBHN HO TB'!$R:$R,'YBHN HO P&amp;L'!$A66,'YBHN HO TB'!G:G)))</f>
        <v/>
      </c>
      <c r="T66" s="37">
        <f>(SUMIF('YBHN Blank TB'!$R:$R,'YBHN HO P&amp;L'!$A66,'YBHN Blank TB'!H:H)+(SUMIF('YBHN HO TB'!$R:$R,'YBHN HO P&amp;L'!$A66,'YBHN HO TB'!H:H)))</f>
        <v/>
      </c>
      <c r="U66" s="37">
        <f>(SUMIF('YBHN Blank TB'!$R:$R,'YBHN HO P&amp;L'!$A66,'YBHN Blank TB'!I:I)+(SUMIF('YBHN HO TB'!$R:$R,'YBHN HO P&amp;L'!$A66,'YBHN HO TB'!I:I)))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1220.4</v>
      </c>
      <c r="F67" s="35" t="n">
        <v>0</v>
      </c>
      <c r="G67" s="35" t="n">
        <v>0</v>
      </c>
      <c r="H67" s="35" t="n">
        <v>62.55</v>
      </c>
      <c r="I67" s="35" t="n">
        <v>62.55</v>
      </c>
      <c r="J67" s="35" t="n">
        <v>62.55</v>
      </c>
      <c r="K67" s="35" t="n">
        <v>62.55</v>
      </c>
      <c r="L67" s="35" t="n">
        <v>62.55</v>
      </c>
      <c r="M67" s="35" t="n">
        <v>1002.15</v>
      </c>
      <c r="N67" s="36">
        <f>SUM(B67:M67)</f>
        <v/>
      </c>
      <c r="O67" s="37">
        <f>(SUMIF('YBHN Blank TB'!$R:$R,'YBHN HO P&amp;L'!$A67,'YBHN Blank TB'!C:C)+(SUMIF('YBHN HO TB'!$R:$R,'YBHN HO P&amp;L'!$A67,'YBHN HO TB'!C:C)))</f>
        <v/>
      </c>
      <c r="P67" s="37">
        <f>(SUMIF('YBHN Blank TB'!$R:$R,'YBHN HO P&amp;L'!$A67,'YBHN Blank TB'!D:D)+(SUMIF('YBHN HO TB'!$R:$R,'YBHN HO P&amp;L'!$A67,'YBHN HO TB'!D:D)))</f>
        <v/>
      </c>
      <c r="Q67" s="37">
        <f>(SUMIF('YBHN Blank TB'!$R:$R,'YBHN HO P&amp;L'!$A67,'YBHN Blank TB'!E:E)+(SUMIF('YBHN HO TB'!$R:$R,'YBHN HO P&amp;L'!$A67,'YBHN HO TB'!E:E)))</f>
        <v/>
      </c>
      <c r="R67" s="37">
        <f>(SUMIF('YBHN Blank TB'!$R:$R,'YBHN HO P&amp;L'!$A67,'YBHN Blank TB'!F:F)+(SUMIF('YBHN HO TB'!$R:$R,'YBHN HO P&amp;L'!$A67,'YBHN HO TB'!F:F)))</f>
        <v/>
      </c>
      <c r="S67" s="37">
        <f>(SUMIF('YBHN Blank TB'!$R:$R,'YBHN HO P&amp;L'!$A67,'YBHN Blank TB'!G:G)+(SUMIF('YBHN HO TB'!$R:$R,'YBHN HO P&amp;L'!$A67,'YBHN HO TB'!G:G)))</f>
        <v/>
      </c>
      <c r="T67" s="37">
        <f>(SUMIF('YBHN Blank TB'!$R:$R,'YBHN HO P&amp;L'!$A67,'YBHN Blank TB'!H:H)+(SUMIF('YBHN HO TB'!$R:$R,'YBHN HO P&amp;L'!$A67,'YBHN HO TB'!H:H)))</f>
        <v/>
      </c>
      <c r="U67" s="37">
        <f>(SUMIF('YBHN Blank TB'!$R:$R,'YBHN HO P&amp;L'!$A67,'YBHN Blank TB'!I:I)+(SUMIF('YBHN HO TB'!$R:$R,'YBHN HO P&amp;L'!$A67,'YBHN HO TB'!I:I)))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26.95</v>
      </c>
      <c r="C68" s="35" t="n">
        <v>29.75</v>
      </c>
      <c r="D68" s="35" t="n">
        <v>23.45</v>
      </c>
      <c r="E68" s="35" t="n">
        <v>28.7</v>
      </c>
      <c r="F68" s="35" t="n">
        <v>25.2</v>
      </c>
      <c r="G68" s="35" t="n">
        <v>24.15</v>
      </c>
      <c r="H68" s="35" t="n">
        <v>24.85</v>
      </c>
      <c r="I68" s="35" t="n">
        <v>23.8</v>
      </c>
      <c r="J68" s="35" t="n">
        <v>17.85</v>
      </c>
      <c r="K68" s="35" t="n">
        <v>20.3</v>
      </c>
      <c r="L68" s="35" t="n">
        <v>21</v>
      </c>
      <c r="M68" s="35" t="n">
        <v>19.95</v>
      </c>
      <c r="N68" s="36">
        <f>SUM(B68:M68)</f>
        <v/>
      </c>
      <c r="O68" s="37">
        <f>(SUMIF('YBHN Blank TB'!$R:$R,'YBHN HO P&amp;L'!$A68,'YBHN Blank TB'!C:C)+(SUMIF('YBHN HO TB'!$R:$R,'YBHN HO P&amp;L'!$A68,'YBHN HO TB'!C:C)))</f>
        <v/>
      </c>
      <c r="P68" s="37">
        <f>(SUMIF('YBHN Blank TB'!$R:$R,'YBHN HO P&amp;L'!$A68,'YBHN Blank TB'!D:D)+(SUMIF('YBHN HO TB'!$R:$R,'YBHN HO P&amp;L'!$A68,'YBHN HO TB'!D:D)))</f>
        <v/>
      </c>
      <c r="Q68" s="37">
        <f>(SUMIF('YBHN Blank TB'!$R:$R,'YBHN HO P&amp;L'!$A68,'YBHN Blank TB'!E:E)+(SUMIF('YBHN HO TB'!$R:$R,'YBHN HO P&amp;L'!$A68,'YBHN HO TB'!E:E)))</f>
        <v/>
      </c>
      <c r="R68" s="37">
        <f>(SUMIF('YBHN Blank TB'!$R:$R,'YBHN HO P&amp;L'!$A68,'YBHN Blank TB'!F:F)+(SUMIF('YBHN HO TB'!$R:$R,'YBHN HO P&amp;L'!$A68,'YBHN HO TB'!F:F)))</f>
        <v/>
      </c>
      <c r="S68" s="37">
        <f>(SUMIF('YBHN Blank TB'!$R:$R,'YBHN HO P&amp;L'!$A68,'YBHN Blank TB'!G:G)+(SUMIF('YBHN HO TB'!$R:$R,'YBHN HO P&amp;L'!$A68,'YBHN HO TB'!G:G)))</f>
        <v/>
      </c>
      <c r="T68" s="37">
        <f>(SUMIF('YBHN Blank TB'!$R:$R,'YBHN HO P&amp;L'!$A68,'YBHN Blank TB'!H:H)+(SUMIF('YBHN HO TB'!$R:$R,'YBHN HO P&amp;L'!$A68,'YBHN HO TB'!H:H)))</f>
        <v/>
      </c>
      <c r="U68" s="37">
        <f>(SUMIF('YBHN Blank TB'!$R:$R,'YBHN HO P&amp;L'!$A68,'YBHN Blank TB'!I:I)+(SUMIF('YBHN HO TB'!$R:$R,'YBHN HO P&amp;L'!$A68,'YBHN HO TB'!I:I)))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1857.92</v>
      </c>
      <c r="C69" s="42" t="n">
        <v>518.1600000000001</v>
      </c>
      <c r="D69" s="42" t="n">
        <v>280.04</v>
      </c>
      <c r="E69" s="42" t="n">
        <v>1634.41</v>
      </c>
      <c r="F69" s="42" t="n">
        <v>231.41</v>
      </c>
      <c r="G69" s="42" t="n">
        <v>132.93</v>
      </c>
      <c r="H69" s="42" t="n">
        <v>345.1100000000001</v>
      </c>
      <c r="I69" s="42" t="n">
        <v>275.05</v>
      </c>
      <c r="J69" s="42" t="n">
        <v>1025.61</v>
      </c>
      <c r="K69" s="42" t="n">
        <v>391.14</v>
      </c>
      <c r="L69" s="42" t="n">
        <v>320.99</v>
      </c>
      <c r="M69" s="42" t="n">
        <v>1095.24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 t="n"/>
      <c r="AD69" s="45" t="n"/>
      <c r="AE69" s="45" t="n"/>
      <c r="AF69" s="45" t="n"/>
      <c r="AG69" s="45" t="n"/>
      <c r="AH69" s="45" t="n"/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-11499.45</v>
      </c>
      <c r="C70" s="55" t="n">
        <v>-5189.969999999999</v>
      </c>
      <c r="D70" s="55" t="n">
        <v>-4521.490000000001</v>
      </c>
      <c r="E70" s="55" t="n">
        <v>-5091.85</v>
      </c>
      <c r="F70" s="55" t="n">
        <v>-4912.95</v>
      </c>
      <c r="G70" s="55" t="n">
        <v>-6766.93</v>
      </c>
      <c r="H70" s="55" t="n">
        <v>-10152.1</v>
      </c>
      <c r="I70" s="55" t="n">
        <v>-6258.990000000001</v>
      </c>
      <c r="J70" s="55" t="n">
        <v>-6476.589999999999</v>
      </c>
      <c r="K70" s="55" t="n">
        <v>-5062.780000000001</v>
      </c>
      <c r="L70" s="55" t="n">
        <v>-4167.65</v>
      </c>
      <c r="M70" s="55" t="n">
        <v>-4178.22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54" t="n"/>
      <c r="B71" s="55" t="n"/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5" t="n"/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  <c r="Z71" s="55" t="n"/>
      <c r="AA71" s="55" t="n"/>
      <c r="AB71" s="55" t="n"/>
      <c r="AC71" s="55" t="n"/>
      <c r="AD71" s="55" t="n"/>
      <c r="AE71" s="55" t="n"/>
      <c r="AF71" s="55" t="n"/>
      <c r="AG71" s="55" t="n"/>
      <c r="AH71" s="55" t="n"/>
      <c r="AI71" s="8" t="n"/>
      <c r="AJ71" s="55" t="n"/>
      <c r="AK71" s="55" t="n"/>
      <c r="AL71" s="55" t="n"/>
      <c r="AM71" s="55" t="n"/>
      <c r="AN71" s="55" t="n"/>
      <c r="AO71" s="55" t="n"/>
      <c r="AP71" s="55" t="n"/>
    </row>
    <row r="72">
      <c r="A72" s="28" t="n"/>
      <c r="B72" s="56" t="n"/>
      <c r="C72" s="56" t="n"/>
      <c r="D72" s="56" t="n"/>
      <c r="E72" s="56" t="n"/>
      <c r="F72" s="56" t="n"/>
      <c r="G72" s="56" t="n"/>
      <c r="H72" s="56" t="n"/>
      <c r="I72" s="56" t="n"/>
      <c r="J72" s="56" t="n"/>
      <c r="K72" s="56" t="n"/>
      <c r="L72" s="56" t="n"/>
      <c r="M72" s="56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6" t="n"/>
      <c r="X72" s="56" t="n"/>
      <c r="Y72" s="56" t="n"/>
      <c r="Z72" s="56" t="n"/>
      <c r="AA72" s="56">
        <f>SUM(O72:T72)</f>
        <v/>
      </c>
      <c r="AB72" s="56" t="n"/>
      <c r="AC72" s="56" t="n"/>
      <c r="AD72" s="56" t="n"/>
      <c r="AE72" s="56" t="n"/>
      <c r="AF72" s="56" t="n"/>
      <c r="AG72" s="56" t="n"/>
      <c r="AH72" s="56" t="n"/>
      <c r="AI72" s="8" t="n"/>
      <c r="AJ72" s="56" t="n"/>
      <c r="AK72" s="56" t="n"/>
      <c r="AL72" s="56" t="n"/>
      <c r="AM72" s="56" t="n"/>
      <c r="AN72" s="56" t="n"/>
      <c r="AO72" s="56" t="n"/>
      <c r="AP72" s="56" t="n"/>
    </row>
    <row r="73">
      <c r="A73" s="28" t="inlineStr">
        <is>
          <t>Borrowing Costs</t>
        </is>
      </c>
      <c r="B73" s="56" t="n"/>
      <c r="C73" s="56" t="n"/>
      <c r="D73" s="56" t="n"/>
      <c r="E73" s="56" t="n"/>
      <c r="F73" s="56" t="n"/>
      <c r="G73" s="56" t="n"/>
      <c r="H73" s="56" t="n"/>
      <c r="I73" s="56" t="n"/>
      <c r="J73" s="56" t="n"/>
      <c r="K73" s="56" t="n"/>
      <c r="L73" s="56" t="n"/>
      <c r="M73" s="56" t="n"/>
      <c r="N73" s="56" t="n"/>
      <c r="O73" s="56" t="n">
        <v>0</v>
      </c>
      <c r="P73" s="56" t="n">
        <v>0</v>
      </c>
      <c r="Q73" s="56" t="n">
        <v>0</v>
      </c>
      <c r="R73" s="56" t="n">
        <v>0</v>
      </c>
      <c r="S73" s="56" t="n">
        <v>0</v>
      </c>
      <c r="T73" s="56" t="n">
        <v>0</v>
      </c>
      <c r="U73" s="56" t="n">
        <v>1</v>
      </c>
      <c r="V73" s="56" t="n">
        <v>0</v>
      </c>
      <c r="W73" s="56" t="n">
        <v>0</v>
      </c>
      <c r="X73" s="56" t="n">
        <v>0</v>
      </c>
      <c r="Y73" s="56" t="n">
        <v>0</v>
      </c>
      <c r="Z73" s="56" t="n">
        <v>0</v>
      </c>
      <c r="AA73" s="56" t="n"/>
      <c r="AB73" s="60" t="n">
        <v>0</v>
      </c>
      <c r="AC73" s="56" t="n"/>
      <c r="AD73" s="56" t="n"/>
      <c r="AE73" s="56" t="n"/>
      <c r="AF73" s="56" t="n"/>
      <c r="AG73" s="56" t="n"/>
      <c r="AH73" s="56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28" t="inlineStr">
        <is>
          <t>Depreciation</t>
        </is>
      </c>
      <c r="B74" s="56" t="n"/>
      <c r="C74" s="56" t="n"/>
      <c r="D74" s="56" t="n"/>
      <c r="E74" s="56" t="n"/>
      <c r="F74" s="56" t="n"/>
      <c r="G74" s="56" t="n"/>
      <c r="H74" s="56" t="n"/>
      <c r="I74" s="56" t="n"/>
      <c r="J74" s="56" t="n"/>
      <c r="K74" s="56" t="n"/>
      <c r="L74" s="56" t="n"/>
      <c r="M74" s="56" t="n"/>
      <c r="N74" s="56" t="n"/>
      <c r="O74" s="56" t="n">
        <v>579.4525</v>
      </c>
      <c r="P74" s="56" t="n">
        <v>579.4525</v>
      </c>
      <c r="Q74" s="56" t="n">
        <v>579.4525</v>
      </c>
      <c r="R74" s="56" t="n">
        <v>579.4525</v>
      </c>
      <c r="S74" s="56" t="n">
        <v>579.4525</v>
      </c>
      <c r="T74" s="56" t="n">
        <v>579.4525</v>
      </c>
      <c r="U74" s="56" t="n">
        <v>580.4525</v>
      </c>
      <c r="V74" s="56" t="n">
        <v>547.8125</v>
      </c>
      <c r="W74" s="56" t="n">
        <v>547.8125</v>
      </c>
      <c r="X74" s="56" t="n">
        <v>547.8125</v>
      </c>
      <c r="Y74" s="56" t="n">
        <v>547.8125</v>
      </c>
      <c r="Z74" s="56" t="n">
        <v>542.1725</v>
      </c>
      <c r="AA74" s="56" t="n"/>
      <c r="AB74" s="60" t="n">
        <v>102606.8643965906</v>
      </c>
      <c r="AC74" s="56" t="n"/>
      <c r="AD74" s="56" t="n"/>
      <c r="AE74" s="56" t="n"/>
      <c r="AF74" s="56" t="n"/>
      <c r="AG74" s="56" t="n"/>
      <c r="AH74" s="56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28" t="inlineStr">
        <is>
          <t>Amortisation</t>
        </is>
      </c>
      <c r="B75" s="56" t="n"/>
      <c r="C75" s="56" t="n"/>
      <c r="D75" s="56" t="n"/>
      <c r="E75" s="56" t="n"/>
      <c r="F75" s="56" t="n"/>
      <c r="G75" s="56" t="n"/>
      <c r="H75" s="56" t="n"/>
      <c r="I75" s="56" t="n"/>
      <c r="J75" s="56" t="n"/>
      <c r="K75" s="56" t="n"/>
      <c r="L75" s="56" t="n"/>
      <c r="M75" s="56" t="n"/>
      <c r="N75" s="56" t="n"/>
      <c r="O75" s="56" t="n">
        <v>0</v>
      </c>
      <c r="P75" s="56" t="n">
        <v>0</v>
      </c>
      <c r="Q75" s="56" t="n">
        <v>0</v>
      </c>
      <c r="R75" s="56" t="n">
        <v>0</v>
      </c>
      <c r="S75" s="56" t="n">
        <v>0</v>
      </c>
      <c r="T75" s="56" t="n">
        <v>0</v>
      </c>
      <c r="U75" s="56" t="n">
        <v>1</v>
      </c>
      <c r="V75" s="56" t="n">
        <v>0</v>
      </c>
      <c r="W75" s="56" t="n">
        <v>0</v>
      </c>
      <c r="X75" s="56" t="n">
        <v>0</v>
      </c>
      <c r="Y75" s="56" t="n">
        <v>0</v>
      </c>
      <c r="Z75" s="56" t="n">
        <v>0</v>
      </c>
      <c r="AA75" s="56" t="n"/>
      <c r="AB75" s="60" t="n">
        <v>0</v>
      </c>
      <c r="AC75" s="56" t="n"/>
      <c r="AD75" s="56" t="n"/>
      <c r="AE75" s="56" t="n"/>
      <c r="AF75" s="56" t="n"/>
      <c r="AG75" s="56" t="n"/>
      <c r="AH75" s="56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8" t="n"/>
      <c r="AP75" s="8" t="n"/>
    </row>
    <row r="76">
      <c r="A76" s="28" t="inlineStr">
        <is>
          <t>Profit Before Tax</t>
        </is>
      </c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>
        <f>O70-O74</f>
        <v/>
      </c>
      <c r="P76" s="56">
        <f>P70-P74</f>
        <v/>
      </c>
      <c r="Q76" s="56">
        <f>Q70-Q74</f>
        <v/>
      </c>
      <c r="R76" s="56">
        <f>R70-R74</f>
        <v/>
      </c>
      <c r="S76" s="56">
        <f>S70-S74</f>
        <v/>
      </c>
      <c r="T76" s="56">
        <f>T70-T74</f>
        <v/>
      </c>
      <c r="U76" s="56">
        <f>U70-U74</f>
        <v/>
      </c>
      <c r="V76" s="56">
        <f>V70-V74</f>
        <v/>
      </c>
      <c r="W76" s="56">
        <f>W70-W74</f>
        <v/>
      </c>
      <c r="X76" s="56">
        <f>X70-X74</f>
        <v/>
      </c>
      <c r="Y76" s="56">
        <f>Y70-Y74</f>
        <v/>
      </c>
      <c r="Z76" s="56">
        <f>Z70-Z74</f>
        <v/>
      </c>
      <c r="AA76" s="56" t="n"/>
      <c r="AB76" s="56">
        <f>AB60-AB74</f>
        <v/>
      </c>
      <c r="AC76" s="56" t="n"/>
      <c r="AD76" s="56" t="n"/>
      <c r="AE76" s="56" t="n"/>
      <c r="AF76" s="56" t="n"/>
      <c r="AG76" s="56" t="n"/>
      <c r="AH76" s="56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 ht="15.75" customHeight="1">
      <c r="A77" s="82" t="inlineStr">
        <is>
          <t>Corp Tax Due</t>
        </is>
      </c>
      <c r="B77" s="72" t="n"/>
      <c r="C77" s="72" t="n"/>
      <c r="D77" s="72" t="n"/>
      <c r="E77" s="72" t="n"/>
      <c r="F77" s="72" t="n"/>
      <c r="G77" s="72" t="n"/>
      <c r="H77" s="72" t="n"/>
      <c r="I77" s="72" t="n"/>
      <c r="J77" s="72" t="n"/>
      <c r="K77" s="72" t="n"/>
      <c r="L77" s="72" t="n"/>
      <c r="M77" s="72" t="n"/>
      <c r="N77" s="72" t="n"/>
      <c r="O77" s="72">
        <f>O76*0.25</f>
        <v/>
      </c>
      <c r="P77" s="72">
        <f>P76*0.25</f>
        <v/>
      </c>
      <c r="Q77" s="72">
        <f>Q76*0.25</f>
        <v/>
      </c>
      <c r="R77" s="72">
        <f>R76*0.25</f>
        <v/>
      </c>
      <c r="S77" s="72">
        <f>S76*0.25</f>
        <v/>
      </c>
      <c r="T77" s="72">
        <f>T76*0.25</f>
        <v/>
      </c>
      <c r="U77" s="72">
        <f>U76*0.25</f>
        <v/>
      </c>
      <c r="V77" s="72">
        <f>V76*0.25</f>
        <v/>
      </c>
      <c r="W77" s="72">
        <f>W76*0.25</f>
        <v/>
      </c>
      <c r="X77" s="72">
        <f>X76*0.25</f>
        <v/>
      </c>
      <c r="Y77" s="72">
        <f>Y76*0.25</f>
        <v/>
      </c>
      <c r="Z77" s="72">
        <f>Z76*0.25</f>
        <v/>
      </c>
      <c r="AA77" s="72" t="n"/>
      <c r="AB77" s="72">
        <f>AB76*0.25</f>
        <v/>
      </c>
      <c r="AC77" s="72" t="n"/>
      <c r="AD77" s="72" t="n"/>
      <c r="AE77" s="72" t="n"/>
      <c r="AF77" s="72" t="n"/>
      <c r="AG77" s="72" t="n"/>
      <c r="AH77" s="72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 ht="15.75" customHeight="1">
      <c r="A78" s="22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60">
        <f>SUM(B78:M78)</f>
        <v/>
      </c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60">
        <f>SUM(O78:T78)</f>
        <v/>
      </c>
      <c r="AB78" s="56" t="n"/>
      <c r="AC78" s="8" t="n"/>
      <c r="AD78" s="8" t="n"/>
      <c r="AE78" s="8" t="n"/>
      <c r="AF78" s="8" t="n"/>
      <c r="AG78" s="8" t="n"/>
      <c r="AH78" s="8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34" t="inlineStr">
        <is>
          <t>Direct - Sales</t>
        </is>
      </c>
      <c r="B79" s="18" t="n">
        <v>0</v>
      </c>
      <c r="C79" s="18" t="n">
        <v>44.5</v>
      </c>
      <c r="D79" s="18" t="n">
        <v>0</v>
      </c>
      <c r="E79" s="18" t="n">
        <v>0</v>
      </c>
      <c r="F79" s="18" t="n">
        <v>0</v>
      </c>
      <c r="G79" s="18" t="n">
        <v>0</v>
      </c>
      <c r="H79" s="18" t="n">
        <v>0</v>
      </c>
      <c r="I79" s="18" t="n">
        <v>0</v>
      </c>
      <c r="J79" s="18" t="n">
        <v>0</v>
      </c>
      <c r="K79" s="18" t="n">
        <v>0</v>
      </c>
      <c r="L79" s="18" t="n">
        <v>0</v>
      </c>
      <c r="M79" s="18" t="n"/>
      <c r="N79" s="8" t="n"/>
      <c r="O79" s="60">
        <f>-SUMIF('YBHN Blank TB'!$T:$T,'YBHN HO P&amp;L'!$A79,'YBHN Blank TB'!C:C)-SUMIF('YBHN HO TB'!$T:$T,'YBHN HO P&amp;L'!$A79,'YBHN HO TB'!C:C)</f>
        <v/>
      </c>
      <c r="P79" s="60">
        <f>-SUMIF('YBHN Blank TB'!$T:$T,'YBHN HO P&amp;L'!$A79,'YBHN Blank TB'!D:D)-SUMIF('YBHN HO TB'!$T:$T,'YBHN HO P&amp;L'!$A79,'YBHN HO TB'!D:D)</f>
        <v/>
      </c>
      <c r="Q79" s="60">
        <f>-SUMIF('YBHN Blank TB'!$T:$T,'YBHN HO P&amp;L'!$A79,'YBHN Blank TB'!E:E)-SUMIF('YBHN HO TB'!$T:$T,'YBHN HO P&amp;L'!$A79,'YBHN HO TB'!E:E)</f>
        <v/>
      </c>
      <c r="R79" s="60">
        <f>-SUMIF('YBHN Blank TB'!$T:$T,'YBHN HO P&amp;L'!$A79,'YBHN Blank TB'!F:F)-SUMIF('YBHN HO TB'!$T:$T,'YBHN HO P&amp;L'!$A79,'YBHN HO TB'!F:F)</f>
        <v/>
      </c>
      <c r="S79" s="60">
        <f>-SUMIF('YBHN Blank TB'!$T:$T,'YBHN HO P&amp;L'!$A79,'YBHN Blank TB'!G:G)-SUMIF('YBHN HO TB'!$T:$T,'YBHN HO P&amp;L'!$A79,'YBHN HO TB'!G:G)</f>
        <v/>
      </c>
      <c r="T79" s="60">
        <f>-SUMIF('YBHN Blank TB'!$T:$T,'YBHN HO P&amp;L'!$A79,'YBHN Blank TB'!H:H)-SUMIF('YBHN HO TB'!$T:$T,'YBHN HO P&amp;L'!$A79,'YBHN HO TB'!H:H)</f>
        <v/>
      </c>
      <c r="U79" s="60">
        <f>-SUMIF('YBHN Blank TB'!$T:$T,'YBHN HO P&amp;L'!$A79,'YBHN Blank TB'!I:I)-SUMIF('YBHN HO TB'!$T:$T,'YBHN HO P&amp;L'!$A79,'YBHN HO TB'!I:I)</f>
        <v/>
      </c>
      <c r="V79" s="60">
        <f>-SUMIF('YBHN Blank TB'!$T:$T,'YBHN HO P&amp;L'!$A79,'YBHN Blank TB'!J:J)-SUMIF('YBHN HO TB'!$T:$T,'YBHN HO P&amp;L'!$A79,'YBHN HO TB'!J:J)</f>
        <v/>
      </c>
      <c r="W79" s="60">
        <f>-SUMIF('YBHN Blank TB'!$T:$T,'YBHN HO P&amp;L'!$A79,'YBHN Blank TB'!K:K)-SUMIF('YBHN HO TB'!$T:$T,'YBHN HO P&amp;L'!$A79,'YBHN HO TB'!K:K)</f>
        <v/>
      </c>
      <c r="X79" s="60">
        <f>-SUMIF('YBHN Blank TB'!$T:$T,'YBHN HO P&amp;L'!$A79,'YBHN Blank TB'!L:L)-SUMIF('YBHN HO TB'!$T:$T,'YBHN HO P&amp;L'!$A79,'YBHN HO TB'!L:L)</f>
        <v/>
      </c>
      <c r="Y79" s="60">
        <f>-SUMIF('YBHN Blank TB'!$T:$T,'YBHN HO P&amp;L'!$A79,'YBHN Blank TB'!M:M)-SUMIF('YBHN HO TB'!$T:$T,'YBHN HO P&amp;L'!$A79,'YBHN HO TB'!M:M)</f>
        <v/>
      </c>
      <c r="Z79" s="60">
        <f>-SUMIF('YBHN Blank TB'!$T:$T,'YBHN HO P&amp;L'!$A79,'YBHN Blank TB'!N:N)-SUMIF('YBHN HO TB'!$T:$T,'YBHN HO P&amp;L'!$A79,'YBHN HO TB'!N:N)</f>
        <v/>
      </c>
      <c r="AA79" s="60">
        <f>SUM(O79:T79)</f>
        <v/>
      </c>
      <c r="AB79" s="56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>
      <c r="A80" s="60" t="inlineStr">
        <is>
          <t>Direct - Staff Cost</t>
        </is>
      </c>
      <c r="B80" s="60" t="n">
        <v>-7085.94</v>
      </c>
      <c r="C80" s="60" t="n">
        <v>-2122</v>
      </c>
      <c r="D80" s="60" t="n">
        <v>-1589.67</v>
      </c>
      <c r="E80" s="60" t="n">
        <v>-797.4400000000001</v>
      </c>
      <c r="F80" s="60" t="n">
        <v>-2125.69</v>
      </c>
      <c r="G80" s="60" t="n">
        <v>-3710.27</v>
      </c>
      <c r="H80" s="60" t="n">
        <v>-7240.57</v>
      </c>
      <c r="I80" s="60" t="n">
        <v>-3434</v>
      </c>
      <c r="J80" s="60" t="n">
        <v>-2901.03</v>
      </c>
      <c r="K80" s="60" t="n">
        <v>-4121.8</v>
      </c>
      <c r="L80" s="60" t="n">
        <v>-3846.66</v>
      </c>
      <c r="M80" s="8" t="n"/>
      <c r="N80" s="8" t="n"/>
      <c r="O80" s="60">
        <f>-SUMIF('YBHN Blank TB'!$T:$T,'YBHN HO P&amp;L'!$A80,'YBHN Blank TB'!C:C)-SUMIF('YBHN HO TB'!$T:$T,'YBHN HO P&amp;L'!$A80,'YBHN HO TB'!C:C)</f>
        <v/>
      </c>
      <c r="P80" s="60">
        <f>-SUMIF('YBHN Blank TB'!$T:$T,'YBHN HO P&amp;L'!$A80,'YBHN Blank TB'!D:D)-SUMIF('YBHN HO TB'!$T:$T,'YBHN HO P&amp;L'!$A80,'YBHN HO TB'!D:D)</f>
        <v/>
      </c>
      <c r="Q80" s="60">
        <f>-SUMIF('YBHN Blank TB'!$T:$T,'YBHN HO P&amp;L'!$A80,'YBHN Blank TB'!E:E)-SUMIF('YBHN HO TB'!$T:$T,'YBHN HO P&amp;L'!$A80,'YBHN HO TB'!E:E)</f>
        <v/>
      </c>
      <c r="R80" s="60">
        <f>-SUMIF('YBHN Blank TB'!$T:$T,'YBHN HO P&amp;L'!$A80,'YBHN Blank TB'!F:F)-SUMIF('YBHN HO TB'!$T:$T,'YBHN HO P&amp;L'!$A80,'YBHN HO TB'!F:F)</f>
        <v/>
      </c>
      <c r="S80" s="60">
        <f>-SUMIF('YBHN Blank TB'!$T:$T,'YBHN HO P&amp;L'!$A80,'YBHN Blank TB'!G:G)-SUMIF('YBHN HO TB'!$T:$T,'YBHN HO P&amp;L'!$A80,'YBHN HO TB'!G:G)</f>
        <v/>
      </c>
      <c r="T80" s="60">
        <f>-SUMIF('YBHN Blank TB'!$T:$T,'YBHN HO P&amp;L'!$A80,'YBHN Blank TB'!H:H)-SUMIF('YBHN HO TB'!$T:$T,'YBHN HO P&amp;L'!$A80,'YBHN HO TB'!H:H)</f>
        <v/>
      </c>
      <c r="U80" s="60">
        <f>-SUMIF('YBHN Blank TB'!$T:$T,'YBHN HO P&amp;L'!$A80,'YBHN Blank TB'!I:I)-SUMIF('YBHN HO TB'!$T:$T,'YBHN HO P&amp;L'!$A80,'YBHN HO TB'!I:I)</f>
        <v/>
      </c>
      <c r="V80" s="60">
        <f>-SUMIF('YBHN Blank TB'!$T:$T,'YBHN HO P&amp;L'!$A80,'YBHN Blank TB'!J:J)-SUMIF('YBHN HO TB'!$T:$T,'YBHN HO P&amp;L'!$A80,'YBHN HO TB'!J:J)</f>
        <v/>
      </c>
      <c r="W80" s="60">
        <f>-SUMIF('YBHN Blank TB'!$T:$T,'YBHN HO P&amp;L'!$A80,'YBHN Blank TB'!K:K)-SUMIF('YBHN HO TB'!$T:$T,'YBHN HO P&amp;L'!$A80,'YBHN HO TB'!K:K)</f>
        <v/>
      </c>
      <c r="X80" s="60">
        <f>-SUMIF('YBHN Blank TB'!$T:$T,'YBHN HO P&amp;L'!$A80,'YBHN Blank TB'!L:L)-SUMIF('YBHN HO TB'!$T:$T,'YBHN HO P&amp;L'!$A80,'YBHN HO TB'!L:L)</f>
        <v/>
      </c>
      <c r="Y80" s="60">
        <f>-SUMIF('YBHN Blank TB'!$T:$T,'YBHN HO P&amp;L'!$A80,'YBHN Blank TB'!M:M)-SUMIF('YBHN HO TB'!$T:$T,'YBHN HO P&amp;L'!$A80,'YBHN HO TB'!M:M)</f>
        <v/>
      </c>
      <c r="Z80" s="60">
        <f>-SUMIF('YBHN Blank TB'!$T:$T,'YBHN HO P&amp;L'!$A80,'YBHN Blank TB'!N:N)-SUMIF('YBHN HO TB'!$T:$T,'YBHN HO P&amp;L'!$A80,'YBHN HO TB'!N:N)</f>
        <v/>
      </c>
      <c r="AA80" s="60">
        <f>SUM(O80:T80)</f>
        <v/>
      </c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60" t="inlineStr">
        <is>
          <t>Direct - Childcare Cost</t>
        </is>
      </c>
      <c r="B81" s="60" t="n">
        <v>0</v>
      </c>
      <c r="C81" s="60" t="n">
        <v>0</v>
      </c>
      <c r="D81" s="60" t="n">
        <v>0</v>
      </c>
      <c r="E81" s="60" t="n">
        <v>-104.48</v>
      </c>
      <c r="F81" s="60" t="n">
        <v>0</v>
      </c>
      <c r="G81" s="60" t="n">
        <v>0</v>
      </c>
      <c r="H81" s="60" t="n">
        <v>-16.44</v>
      </c>
      <c r="I81" s="60" t="n">
        <v>0</v>
      </c>
      <c r="J81" s="60" t="n">
        <v>0</v>
      </c>
      <c r="K81" s="60" t="n">
        <v>0</v>
      </c>
      <c r="L81" s="60" t="n">
        <v>0</v>
      </c>
      <c r="M81" s="8" t="n"/>
      <c r="N81" s="8" t="n"/>
      <c r="O81" s="60">
        <f>-SUMIF('YBHN Blank TB'!$T:$T,'YBHN HO P&amp;L'!$A81,'YBHN Blank TB'!C:C)-SUMIF('YBHN HO TB'!$T:$T,'YBHN HO P&amp;L'!$A81,'YBHN HO TB'!C:C)</f>
        <v/>
      </c>
      <c r="P81" s="60">
        <f>-SUMIF('YBHN Blank TB'!$T:$T,'YBHN HO P&amp;L'!$A81,'YBHN Blank TB'!D:D)-SUMIF('YBHN HO TB'!$T:$T,'YBHN HO P&amp;L'!$A81,'YBHN HO TB'!D:D)</f>
        <v/>
      </c>
      <c r="Q81" s="60">
        <f>-SUMIF('YBHN Blank TB'!$T:$T,'YBHN HO P&amp;L'!$A81,'YBHN Blank TB'!E:E)-SUMIF('YBHN HO TB'!$T:$T,'YBHN HO P&amp;L'!$A81,'YBHN HO TB'!E:E)</f>
        <v/>
      </c>
      <c r="R81" s="60">
        <f>-SUMIF('YBHN Blank TB'!$T:$T,'YBHN HO P&amp;L'!$A81,'YBHN Blank TB'!F:F)-SUMIF('YBHN HO TB'!$T:$T,'YBHN HO P&amp;L'!$A81,'YBHN HO TB'!F:F)</f>
        <v/>
      </c>
      <c r="S81" s="60">
        <f>-SUMIF('YBHN Blank TB'!$T:$T,'YBHN HO P&amp;L'!$A81,'YBHN Blank TB'!G:G)-SUMIF('YBHN HO TB'!$T:$T,'YBHN HO P&amp;L'!$A81,'YBHN HO TB'!G:G)</f>
        <v/>
      </c>
      <c r="T81" s="60">
        <f>-SUMIF('YBHN Blank TB'!$T:$T,'YBHN HO P&amp;L'!$A81,'YBHN Blank TB'!H:H)-SUMIF('YBHN HO TB'!$T:$T,'YBHN HO P&amp;L'!$A81,'YBHN HO TB'!H:H)</f>
        <v/>
      </c>
      <c r="U81" s="60">
        <f>-SUMIF('YBHN Blank TB'!$T:$T,'YBHN HO P&amp;L'!$A81,'YBHN Blank TB'!I:I)-SUMIF('YBHN HO TB'!$T:$T,'YBHN HO P&amp;L'!$A81,'YBHN HO TB'!I:I)</f>
        <v/>
      </c>
      <c r="V81" s="60">
        <f>-SUMIF('YBHN Blank TB'!$T:$T,'YBHN HO P&amp;L'!$A81,'YBHN Blank TB'!J:J)-SUMIF('YBHN HO TB'!$T:$T,'YBHN HO P&amp;L'!$A81,'YBHN HO TB'!J:J)</f>
        <v/>
      </c>
      <c r="W81" s="60">
        <f>-SUMIF('YBHN Blank TB'!$T:$T,'YBHN HO P&amp;L'!$A81,'YBHN Blank TB'!K:K)-SUMIF('YBHN HO TB'!$T:$T,'YBHN HO P&amp;L'!$A81,'YBHN HO TB'!K:K)</f>
        <v/>
      </c>
      <c r="X81" s="60">
        <f>-SUMIF('YBHN Blank TB'!$T:$T,'YBHN HO P&amp;L'!$A81,'YBHN Blank TB'!L:L)-SUMIF('YBHN HO TB'!$T:$T,'YBHN HO P&amp;L'!$A81,'YBHN HO TB'!L:L)</f>
        <v/>
      </c>
      <c r="Y81" s="60">
        <f>-SUMIF('YBHN Blank TB'!$T:$T,'YBHN HO P&amp;L'!$A81,'YBHN Blank TB'!M:M)-SUMIF('YBHN HO TB'!$T:$T,'YBHN HO P&amp;L'!$A81,'YBHN HO TB'!M:M)</f>
        <v/>
      </c>
      <c r="Z81" s="60">
        <f>-SUMIF('YBHN Blank TB'!$T:$T,'YBHN HO P&amp;L'!$A81,'YBHN Blank TB'!N:N)-SUMIF('YBHN HO TB'!$T:$T,'YBHN HO P&amp;L'!$A81,'YBHN HO TB'!N:N)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60" t="inlineStr">
        <is>
          <t>Direct - Premises &amp; Admin</t>
        </is>
      </c>
      <c r="B82" s="18" t="n">
        <v>-2555.59</v>
      </c>
      <c r="C82" s="18" t="n">
        <v>-2594.31</v>
      </c>
      <c r="D82" s="18" t="n">
        <v>-2651.78</v>
      </c>
      <c r="E82" s="18" t="n">
        <v>-2555.52</v>
      </c>
      <c r="F82" s="18" t="n">
        <v>-2555.85</v>
      </c>
      <c r="G82" s="18" t="n">
        <v>-2923.73</v>
      </c>
      <c r="H82" s="18" t="n">
        <v>-2549.98</v>
      </c>
      <c r="I82" s="18" t="n">
        <v>-2549.94</v>
      </c>
      <c r="J82" s="18" t="n">
        <v>-2549.95</v>
      </c>
      <c r="K82" s="18" t="n">
        <v>-549.84</v>
      </c>
      <c r="L82" s="18" t="n">
        <v>0</v>
      </c>
      <c r="M82" s="18" t="n"/>
      <c r="N82" s="8" t="n"/>
      <c r="O82" s="60">
        <f>-SUMIF('YBHN Blank TB'!$T:$T,'YBHN HO P&amp;L'!$A82,'YBHN Blank TB'!C:C)-SUMIF('YBHN HO TB'!$T:$T,'YBHN HO P&amp;L'!$A82,'YBHN HO TB'!C:C)</f>
        <v/>
      </c>
      <c r="P82" s="60">
        <f>-SUMIF('YBHN Blank TB'!$T:$T,'YBHN HO P&amp;L'!$A82,'YBHN Blank TB'!D:D)-SUMIF('YBHN HO TB'!$T:$T,'YBHN HO P&amp;L'!$A82,'YBHN HO TB'!D:D)</f>
        <v/>
      </c>
      <c r="Q82" s="60">
        <f>-SUMIF('YBHN Blank TB'!$T:$T,'YBHN HO P&amp;L'!$A82,'YBHN Blank TB'!E:E)-SUMIF('YBHN HO TB'!$T:$T,'YBHN HO P&amp;L'!$A82,'YBHN HO TB'!E:E)</f>
        <v/>
      </c>
      <c r="R82" s="60">
        <f>-SUMIF('YBHN Blank TB'!$T:$T,'YBHN HO P&amp;L'!$A82,'YBHN Blank TB'!F:F)-SUMIF('YBHN HO TB'!$T:$T,'YBHN HO P&amp;L'!$A82,'YBHN HO TB'!F:F)</f>
        <v/>
      </c>
      <c r="S82" s="60">
        <f>-SUMIF('YBHN Blank TB'!$T:$T,'YBHN HO P&amp;L'!$A82,'YBHN Blank TB'!G:G)-SUMIF('YBHN HO TB'!$T:$T,'YBHN HO P&amp;L'!$A82,'YBHN HO TB'!G:G)</f>
        <v/>
      </c>
      <c r="T82" s="60">
        <f>-SUMIF('YBHN Blank TB'!$T:$T,'YBHN HO P&amp;L'!$A82,'YBHN Blank TB'!H:H)-SUMIF('YBHN HO TB'!$T:$T,'YBHN HO P&amp;L'!$A82,'YBHN HO TB'!H:H)</f>
        <v/>
      </c>
      <c r="U82" s="60">
        <f>-SUMIF('YBHN Blank TB'!$T:$T,'YBHN HO P&amp;L'!$A82,'YBHN Blank TB'!I:I)-SUMIF('YBHN HO TB'!$T:$T,'YBHN HO P&amp;L'!$A82,'YBHN HO TB'!I:I)</f>
        <v/>
      </c>
      <c r="V82" s="60">
        <f>-SUMIF('YBHN Blank TB'!$T:$T,'YBHN HO P&amp;L'!$A82,'YBHN Blank TB'!J:J)-SUMIF('YBHN HO TB'!$T:$T,'YBHN HO P&amp;L'!$A82,'YBHN HO TB'!J:J)</f>
        <v/>
      </c>
      <c r="W82" s="60">
        <f>-SUMIF('YBHN Blank TB'!$T:$T,'YBHN HO P&amp;L'!$A82,'YBHN Blank TB'!K:K)-SUMIF('YBHN HO TB'!$T:$T,'YBHN HO P&amp;L'!$A82,'YBHN HO TB'!K:K)</f>
        <v/>
      </c>
      <c r="X82" s="60">
        <f>-SUMIF('YBHN Blank TB'!$T:$T,'YBHN HO P&amp;L'!$A82,'YBHN Blank TB'!L:L)-SUMIF('YBHN HO TB'!$T:$T,'YBHN HO P&amp;L'!$A82,'YBHN HO TB'!L:L)</f>
        <v/>
      </c>
      <c r="Y82" s="60">
        <f>-SUMIF('YBHN Blank TB'!$T:$T,'YBHN HO P&amp;L'!$A82,'YBHN Blank TB'!M:M)-SUMIF('YBHN HO TB'!$T:$T,'YBHN HO P&amp;L'!$A82,'YBHN HO TB'!M:M)</f>
        <v/>
      </c>
      <c r="Z82" s="60">
        <f>-SUMIF('YBHN Blank TB'!$T:$T,'YBHN HO P&amp;L'!$A82,'YBHN Blank TB'!N:N)-SUMIF('YBHN HO TB'!$T:$T,'YBHN HO P&amp;L'!$A82,'YBHN HO TB'!N:N)</f>
        <v/>
      </c>
      <c r="AA82" s="60">
        <f>SUM(O82:T82)</f>
        <v/>
      </c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60" t="inlineStr">
        <is>
          <t>In-Direct - Staff Cost</t>
        </is>
      </c>
      <c r="B83" s="60" t="n">
        <v>0</v>
      </c>
      <c r="C83" s="60" t="n">
        <v>0</v>
      </c>
      <c r="D83" s="60" t="n">
        <v>0</v>
      </c>
      <c r="E83" s="60" t="n">
        <v>0</v>
      </c>
      <c r="F83" s="60" t="n">
        <v>0</v>
      </c>
      <c r="G83" s="60" t="n">
        <v>0</v>
      </c>
      <c r="H83" s="60" t="n">
        <v>0</v>
      </c>
      <c r="I83" s="60" t="n">
        <v>0</v>
      </c>
      <c r="J83" s="60" t="n">
        <v>0</v>
      </c>
      <c r="K83" s="60" t="n">
        <v>0</v>
      </c>
      <c r="L83" s="60" t="n">
        <v>0</v>
      </c>
      <c r="M83" s="8" t="n"/>
      <c r="N83" s="8" t="n"/>
      <c r="O83" s="60">
        <f>-SUMIF('YBHN Blank TB'!$T:$T,'YBHN HO P&amp;L'!$A83,'YBHN Blank TB'!C:C)-SUMIF('YBHN HO TB'!$T:$T,'YBHN HO P&amp;L'!$A83,'YBHN HO TB'!C:C)</f>
        <v/>
      </c>
      <c r="P83" s="60">
        <f>-SUMIF('YBHN Blank TB'!$T:$T,'YBHN HO P&amp;L'!$A83,'YBHN Blank TB'!D:D)-SUMIF('YBHN HO TB'!$T:$T,'YBHN HO P&amp;L'!$A83,'YBHN HO TB'!D:D)</f>
        <v/>
      </c>
      <c r="Q83" s="60">
        <f>-SUMIF('YBHN Blank TB'!$T:$T,'YBHN HO P&amp;L'!$A83,'YBHN Blank TB'!E:E)-SUMIF('YBHN HO TB'!$T:$T,'YBHN HO P&amp;L'!$A83,'YBHN HO TB'!E:E)</f>
        <v/>
      </c>
      <c r="R83" s="60">
        <f>-SUMIF('YBHN Blank TB'!$T:$T,'YBHN HO P&amp;L'!$A83,'YBHN Blank TB'!F:F)-SUMIF('YBHN HO TB'!$T:$T,'YBHN HO P&amp;L'!$A83,'YBHN HO TB'!F:F)</f>
        <v/>
      </c>
      <c r="S83" s="60">
        <f>-SUMIF('YBHN Blank TB'!$T:$T,'YBHN HO P&amp;L'!$A83,'YBHN Blank TB'!G:G)-SUMIF('YBHN HO TB'!$T:$T,'YBHN HO P&amp;L'!$A83,'YBHN HO TB'!G:G)</f>
        <v/>
      </c>
      <c r="T83" s="60">
        <f>-SUMIF('YBHN Blank TB'!$T:$T,'YBHN HO P&amp;L'!$A83,'YBHN Blank TB'!H:H)-SUMIF('YBHN HO TB'!$T:$T,'YBHN HO P&amp;L'!$A83,'YBHN HO TB'!H:H)</f>
        <v/>
      </c>
      <c r="U83" s="60">
        <f>-SUMIF('YBHN Blank TB'!$T:$T,'YBHN HO P&amp;L'!$A83,'YBHN Blank TB'!I:I)-SUMIF('YBHN HO TB'!$T:$T,'YBHN HO P&amp;L'!$A83,'YBHN HO TB'!I:I)</f>
        <v/>
      </c>
      <c r="V83" s="60">
        <f>-SUMIF('YBHN Blank TB'!$T:$T,'YBHN HO P&amp;L'!$A83,'YBHN Blank TB'!J:J)-SUMIF('YBHN HO TB'!$T:$T,'YBHN HO P&amp;L'!$A83,'YBHN HO TB'!J:J)</f>
        <v/>
      </c>
      <c r="W83" s="60">
        <f>-SUMIF('YBHN Blank TB'!$T:$T,'YBHN HO P&amp;L'!$A83,'YBHN Blank TB'!K:K)-SUMIF('YBHN HO TB'!$T:$T,'YBHN HO P&amp;L'!$A83,'YBHN HO TB'!K:K)</f>
        <v/>
      </c>
      <c r="X83" s="60">
        <f>-SUMIF('YBHN Blank TB'!$T:$T,'YBHN HO P&amp;L'!$A83,'YBHN Blank TB'!L:L)-SUMIF('YBHN HO TB'!$T:$T,'YBHN HO P&amp;L'!$A83,'YBHN HO TB'!L:L)</f>
        <v/>
      </c>
      <c r="Y83" s="60">
        <f>-SUMIF('YBHN Blank TB'!$T:$T,'YBHN HO P&amp;L'!$A83,'YBHN Blank TB'!M:M)-SUMIF('YBHN HO TB'!$T:$T,'YBHN HO P&amp;L'!$A83,'YBHN HO TB'!M:M)</f>
        <v/>
      </c>
      <c r="Z83" s="60">
        <f>-SUMIF('YBHN Blank TB'!$T:$T,'YBHN HO P&amp;L'!$A83,'YBHN Blank TB'!N:N)-SUMIF('YBHN HO TB'!$T:$T,'YBHN HO P&amp;L'!$A83,'YBHN HO TB'!N:N)</f>
        <v/>
      </c>
      <c r="AA83" s="60">
        <f>SUM(O83:T83)</f>
        <v/>
      </c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60" t="inlineStr">
        <is>
          <t>In-Direct - Overheads</t>
        </is>
      </c>
      <c r="B84" s="60" t="n">
        <v>-1857.92</v>
      </c>
      <c r="C84" s="60" t="n">
        <v>-518.1600000000001</v>
      </c>
      <c r="D84" s="60" t="n">
        <v>-280.04</v>
      </c>
      <c r="E84" s="60" t="n">
        <v>-1634.41</v>
      </c>
      <c r="F84" s="60" t="n">
        <v>-231.41</v>
      </c>
      <c r="G84" s="60" t="n">
        <v>-132.93</v>
      </c>
      <c r="H84" s="60" t="n">
        <v>-345.11</v>
      </c>
      <c r="I84" s="60" t="n">
        <v>-275.05</v>
      </c>
      <c r="J84" s="60" t="n">
        <v>-1025.61</v>
      </c>
      <c r="K84" s="60" t="n">
        <v>-391.14</v>
      </c>
      <c r="L84" s="60" t="n">
        <v>-320.99</v>
      </c>
      <c r="M84" s="8" t="n"/>
      <c r="N84" s="8" t="n"/>
      <c r="O84" s="60">
        <f>-SUMIF('YBHN Blank TB'!$T:$T,'YBHN HO P&amp;L'!$A84,'YBHN Blank TB'!C:C)-SUMIF('YBHN HO TB'!$T:$T,'YBHN HO P&amp;L'!$A84,'YBHN HO TB'!C:C)</f>
        <v/>
      </c>
      <c r="P84" s="60">
        <f>-SUMIF('YBHN Blank TB'!$T:$T,'YBHN HO P&amp;L'!$A84,'YBHN Blank TB'!D:D)-SUMIF('YBHN HO TB'!$T:$T,'YBHN HO P&amp;L'!$A84,'YBHN HO TB'!D:D)</f>
        <v/>
      </c>
      <c r="Q84" s="60">
        <f>-SUMIF('YBHN Blank TB'!$T:$T,'YBHN HO P&amp;L'!$A84,'YBHN Blank TB'!E:E)-SUMIF('YBHN HO TB'!$T:$T,'YBHN HO P&amp;L'!$A84,'YBHN HO TB'!E:E)</f>
        <v/>
      </c>
      <c r="R84" s="60">
        <f>-SUMIF('YBHN Blank TB'!$T:$T,'YBHN HO P&amp;L'!$A84,'YBHN Blank TB'!F:F)-SUMIF('YBHN HO TB'!$T:$T,'YBHN HO P&amp;L'!$A84,'YBHN HO TB'!F:F)</f>
        <v/>
      </c>
      <c r="S84" s="60">
        <f>-SUMIF('YBHN Blank TB'!$T:$T,'YBHN HO P&amp;L'!$A84,'YBHN Blank TB'!G:G)-SUMIF('YBHN HO TB'!$T:$T,'YBHN HO P&amp;L'!$A84,'YBHN HO TB'!G:G)</f>
        <v/>
      </c>
      <c r="T84" s="60">
        <f>-SUMIF('YBHN Blank TB'!$T:$T,'YBHN HO P&amp;L'!$A84,'YBHN Blank TB'!H:H)-SUMIF('YBHN HO TB'!$T:$T,'YBHN HO P&amp;L'!$A84,'YBHN HO TB'!H:H)</f>
        <v/>
      </c>
      <c r="U84" s="60">
        <f>-SUMIF('YBHN Blank TB'!$T:$T,'YBHN HO P&amp;L'!$A84,'YBHN Blank TB'!I:I)-SUMIF('YBHN HO TB'!$T:$T,'YBHN HO P&amp;L'!$A84,'YBHN HO TB'!I:I)</f>
        <v/>
      </c>
      <c r="V84" s="60">
        <f>-SUMIF('YBHN Blank TB'!$T:$T,'YBHN HO P&amp;L'!$A84,'YBHN Blank TB'!J:J)-SUMIF('YBHN HO TB'!$T:$T,'YBHN HO P&amp;L'!$A84,'YBHN HO TB'!J:J)</f>
        <v/>
      </c>
      <c r="W84" s="60">
        <f>-SUMIF('YBHN Blank TB'!$T:$T,'YBHN HO P&amp;L'!$A84,'YBHN Blank TB'!K:K)-SUMIF('YBHN HO TB'!$T:$T,'YBHN HO P&amp;L'!$A84,'YBHN HO TB'!K:K)</f>
        <v/>
      </c>
      <c r="X84" s="60">
        <f>-SUMIF('YBHN Blank TB'!$T:$T,'YBHN HO P&amp;L'!$A84,'YBHN Blank TB'!L:L)-SUMIF('YBHN HO TB'!$T:$T,'YBHN HO P&amp;L'!$A84,'YBHN HO TB'!L:L)</f>
        <v/>
      </c>
      <c r="Y84" s="60">
        <f>-SUMIF('YBHN Blank TB'!$T:$T,'YBHN HO P&amp;L'!$A84,'YBHN Blank TB'!M:M)-SUMIF('YBHN HO TB'!$T:$T,'YBHN HO P&amp;L'!$A84,'YBHN HO TB'!M:M)</f>
        <v/>
      </c>
      <c r="Z84" s="60">
        <f>-SUMIF('YBHN Blank TB'!$T:$T,'YBHN HO P&amp;L'!$A84,'YBHN Blank TB'!N:N)-SUMIF('YBHN HO TB'!$T:$T,'YBHN HO P&amp;L'!$A84,'YBHN HO TB'!N:N)</f>
        <v/>
      </c>
      <c r="AA84" s="60">
        <f>SUM(O84:T84)</f>
        <v/>
      </c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 ht="15.75" customHeight="1">
      <c r="A85" s="8" t="n"/>
      <c r="B85" s="67" t="n">
        <v>-11499.45</v>
      </c>
      <c r="C85" s="67" t="n">
        <v>-5189.969999999999</v>
      </c>
      <c r="D85" s="67" t="n">
        <v>-4521.490000000001</v>
      </c>
      <c r="E85" s="67" t="n">
        <v>-5091.85</v>
      </c>
      <c r="F85" s="67" t="n">
        <v>-4912.95</v>
      </c>
      <c r="G85" s="67" t="n">
        <v>-6766.93</v>
      </c>
      <c r="H85" s="67" t="n">
        <v>-10152.1</v>
      </c>
      <c r="I85" s="67" t="n">
        <v>-6258.990000000001</v>
      </c>
      <c r="J85" s="67" t="n">
        <v>-6476.59</v>
      </c>
      <c r="K85" s="67" t="n">
        <v>-5062.780000000001</v>
      </c>
      <c r="L85" s="67" t="n">
        <v>-4167.65</v>
      </c>
      <c r="M85" s="18" t="n"/>
      <c r="N85" s="8" t="n"/>
      <c r="O85" s="64">
        <f>SUM(O79:O84)</f>
        <v/>
      </c>
      <c r="P85" s="64">
        <f>SUM(P79:P84)</f>
        <v/>
      </c>
      <c r="Q85" s="64">
        <f>SUM(Q79:Q84)</f>
        <v/>
      </c>
      <c r="R85" s="64">
        <f>SUM(R79:R84)</f>
        <v/>
      </c>
      <c r="S85" s="64">
        <f>SUM(S79:S84)</f>
        <v/>
      </c>
      <c r="T85" s="64">
        <f>SUM(T79:T84)</f>
        <v/>
      </c>
      <c r="U85" s="64">
        <f>SUM(U79:U84)</f>
        <v/>
      </c>
      <c r="V85" s="64">
        <f>SUM(V79:V84)</f>
        <v/>
      </c>
      <c r="W85" s="64">
        <f>SUM(W79:W84)</f>
        <v/>
      </c>
      <c r="X85" s="64">
        <f>SUM(X79:X84)</f>
        <v/>
      </c>
      <c r="Y85" s="64">
        <f>SUM(Y79:Y84)</f>
        <v/>
      </c>
      <c r="Z85" s="64">
        <f>SUM(Z79:Z84)</f>
        <v/>
      </c>
      <c r="AA85" s="60">
        <f>SUM(O85:T85)</f>
        <v/>
      </c>
      <c r="AB85" s="8" t="n"/>
      <c r="AC85" s="64" t="n"/>
      <c r="AD85" s="64" t="n"/>
      <c r="AE85" s="64" t="n"/>
      <c r="AF85" s="64" t="n"/>
      <c r="AG85" s="64" t="n"/>
      <c r="AH85" s="64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 ht="15.75" customHeight="1">
      <c r="A86" s="8" t="n"/>
      <c r="B86" s="18" t="n">
        <v>0</v>
      </c>
      <c r="C86" s="18" t="n">
        <v>0</v>
      </c>
      <c r="D86" s="18" t="n">
        <v>0</v>
      </c>
      <c r="E86" s="18" t="n">
        <v>0</v>
      </c>
      <c r="F86" s="18" t="n">
        <v>0</v>
      </c>
      <c r="G86" s="18" t="n">
        <v>0</v>
      </c>
      <c r="H86" s="18" t="n">
        <v>0</v>
      </c>
      <c r="I86" s="18" t="n">
        <v>0</v>
      </c>
      <c r="J86" s="18" t="n">
        <v>0</v>
      </c>
      <c r="K86" s="18" t="n">
        <v>0</v>
      </c>
      <c r="L86" s="18" t="n">
        <v>0</v>
      </c>
      <c r="M86" s="18" t="n">
        <v>-4178.22</v>
      </c>
      <c r="N86" s="8" t="n"/>
      <c r="O86" s="60">
        <f>+O70-O85</f>
        <v/>
      </c>
      <c r="P86" s="60">
        <f>+P70-P85</f>
        <v/>
      </c>
      <c r="Q86" s="60">
        <f>+Q70-Q85</f>
        <v/>
      </c>
      <c r="R86" s="60">
        <f>+R70-R85</f>
        <v/>
      </c>
      <c r="S86" s="60">
        <f>+S70-S85</f>
        <v/>
      </c>
      <c r="T86" s="60">
        <f>+T70-T85</f>
        <v/>
      </c>
      <c r="U86" s="60">
        <f>+U70-U85</f>
        <v/>
      </c>
      <c r="V86" s="60">
        <f>+V70-V85</f>
        <v/>
      </c>
      <c r="W86" s="60">
        <f>+W70-W85</f>
        <v/>
      </c>
      <c r="X86" s="60">
        <f>+X70-X85</f>
        <v/>
      </c>
      <c r="Y86" s="60">
        <f>+Y70-Y85</f>
        <v/>
      </c>
      <c r="Z86" s="60">
        <f>+Z70-Z85</f>
        <v/>
      </c>
      <c r="AA86" s="60">
        <f>SUM(O86:T86)</f>
        <v/>
      </c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  <c r="M87" s="1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60">
        <f>SUM(O87:T87)</f>
        <v/>
      </c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8" t="n"/>
      <c r="B88" s="18" t="n">
        <v>-26.95000000000073</v>
      </c>
      <c r="C88" s="18" t="n">
        <v>-29.75</v>
      </c>
      <c r="D88" s="18" t="n">
        <v>-23.44999999999982</v>
      </c>
      <c r="E88" s="18" t="n">
        <v>-28.70000000000073</v>
      </c>
      <c r="F88" s="18" t="n">
        <v>-25.19999999999982</v>
      </c>
      <c r="G88" s="18" t="n">
        <v>-24.15000000000146</v>
      </c>
      <c r="H88" s="18" t="n">
        <v>-24.85000000000036</v>
      </c>
      <c r="I88" s="18" t="n">
        <v>-23.80000000000018</v>
      </c>
      <c r="J88" s="18" t="n">
        <v>-17.85000000000036</v>
      </c>
      <c r="K88" s="18" t="n">
        <v>-20.30000000000109</v>
      </c>
      <c r="L88" s="18" t="n">
        <v>-20.99999999999909</v>
      </c>
      <c r="M88" s="18" t="n">
        <v>4158.27</v>
      </c>
      <c r="N88" s="8" t="n"/>
      <c r="O88" s="60">
        <f>O85+O89</f>
        <v/>
      </c>
      <c r="P88" s="60">
        <f>P85+P89</f>
        <v/>
      </c>
      <c r="Q88" s="60">
        <f>Q85+Q89</f>
        <v/>
      </c>
      <c r="R88" s="60">
        <f>R85+R89</f>
        <v/>
      </c>
      <c r="S88" s="60">
        <f>S85+S89</f>
        <v/>
      </c>
      <c r="T88" s="60">
        <f>T85+T89</f>
        <v/>
      </c>
      <c r="U88" s="60">
        <f>U85+U89</f>
        <v/>
      </c>
      <c r="V88" s="60">
        <f>V85+V89</f>
        <v/>
      </c>
      <c r="W88" s="60">
        <f>W85+W89</f>
        <v/>
      </c>
      <c r="X88" s="60">
        <f>X85+X89</f>
        <v/>
      </c>
      <c r="Y88" s="60">
        <f>Y85+Y89</f>
        <v/>
      </c>
      <c r="Z88" s="60">
        <f>Z85+Z89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8" t="n"/>
      <c r="B89" s="18" t="n">
        <v>11472.5</v>
      </c>
      <c r="C89" s="18" t="n">
        <v>5160.219999999999</v>
      </c>
      <c r="D89" s="18" t="n">
        <v>4498.040000000001</v>
      </c>
      <c r="E89" s="18" t="n">
        <v>5063.15</v>
      </c>
      <c r="F89" s="18" t="n">
        <v>4887.75</v>
      </c>
      <c r="G89" s="18" t="n">
        <v>6742.779999999999</v>
      </c>
      <c r="H89" s="18" t="n">
        <v>10127.25</v>
      </c>
      <c r="I89" s="18" t="n">
        <v>6235.190000000001</v>
      </c>
      <c r="J89" s="18" t="n">
        <v>6458.74</v>
      </c>
      <c r="K89" s="18" t="n">
        <v>5042.48</v>
      </c>
      <c r="L89" s="18" t="n">
        <v>4146.650000000001</v>
      </c>
      <c r="M89" s="18" t="n">
        <v>4158.27</v>
      </c>
      <c r="N89" s="8" t="n"/>
      <c r="O89" s="60">
        <f>SUM('YBHN Blank TB'!C2:C36)+SUM('YBHN HO TB'!C2:C43)</f>
        <v/>
      </c>
      <c r="P89" s="60">
        <f>SUM('YBHN Blank TB'!D2:D36)+SUM('YBHN HO TB'!D2:D43)</f>
        <v/>
      </c>
      <c r="Q89" s="60">
        <f>SUM('YBHN Blank TB'!E2:E36)+SUM('YBHN HO TB'!E2:E43)</f>
        <v/>
      </c>
      <c r="R89" s="60">
        <f>SUM('YBHN Blank TB'!F2:F36)+SUM('YBHN HO TB'!F2:F43)</f>
        <v/>
      </c>
      <c r="S89" s="60">
        <f>SUM('YBHN Blank TB'!G2:G36)+SUM('YBHN HO TB'!G2:G43)</f>
        <v/>
      </c>
      <c r="T89" s="60">
        <f>SUM('YBHN Blank TB'!H2:H36)+SUM('YBHN HO TB'!H2:H43)</f>
        <v/>
      </c>
      <c r="U89" s="60">
        <f>SUM('YBHN Blank TB'!I2:I36)+SUM('YBHN HO TB'!I2:I43)</f>
        <v/>
      </c>
      <c r="V89" s="60">
        <f>SUM('YBHN Blank TB'!J2:J36)+SUM('YBHN HO TB'!J2:J43)</f>
        <v/>
      </c>
      <c r="W89" s="60">
        <f>SUM('YBHN Blank TB'!K2:K36)+SUM('YBHN HO TB'!K2:K43)</f>
        <v/>
      </c>
      <c r="X89" s="60">
        <f>SUM('YBHN Blank TB'!L2:L36)+SUM('YBHN HO TB'!L2:L43)</f>
        <v/>
      </c>
      <c r="Y89" s="60">
        <f>SUM('YBHN Blank TB'!M2:M36)+SUM('YBHN HO TB'!M2:M43)</f>
        <v/>
      </c>
      <c r="Z89" s="60">
        <f>SUM('YBHN Blank TB'!N2:N36)+SUM('YBHN HO TB'!N2:N43)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140625" customWidth="1" min="28" max="28"/>
    <col width="13.28515625" customWidth="1" min="29" max="29"/>
    <col width="11.710937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YBN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8" t="n"/>
      <c r="AJ1" s="9" t="inlineStr">
        <is>
          <t>Q1</t>
        </is>
      </c>
      <c r="AK1" s="9" t="inlineStr">
        <is>
          <t>Q2</t>
        </is>
      </c>
      <c r="AL1" s="9" t="inlineStr">
        <is>
          <t>Q3</t>
        </is>
      </c>
      <c r="AM1" s="10" t="inlineStr">
        <is>
          <t>Q4</t>
        </is>
      </c>
      <c r="AN1" s="10" t="n"/>
      <c r="AO1" s="9" t="inlineStr">
        <is>
          <t>FY27 Q1</t>
        </is>
      </c>
      <c r="AP1" s="9" t="inlineStr">
        <is>
          <t>FY27 Q2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6" t="inlineStr">
        <is>
          <t xml:space="preserve">12 Month Rolling Total </t>
        </is>
      </c>
      <c r="AN2" s="17" t="n"/>
      <c r="AO2" s="15" t="inlineStr">
        <is>
          <t xml:space="preserve">12 Month Rolling Total </t>
        </is>
      </c>
      <c r="AP2" s="15" t="inlineStr">
        <is>
          <t xml:space="preserve">13 Month Rolling Total 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0</v>
      </c>
      <c r="C8" s="35" t="n">
        <v>0</v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 t="n">
        <v>0</v>
      </c>
      <c r="J8" s="35" t="n">
        <v>0</v>
      </c>
      <c r="K8" s="35" t="n">
        <v>0</v>
      </c>
      <c r="L8" s="35" t="n">
        <v>0</v>
      </c>
      <c r="M8" s="35" t="n">
        <v>0</v>
      </c>
      <c r="N8" s="36">
        <f>SUM(B8:M8)</f>
        <v/>
      </c>
      <c r="O8" s="37">
        <f>-(SUMIF('YBN Blank TB'!$R:$R,'YBN HO P&amp;L'!$A8,'YBN Blank TB'!C:C)+(SUMIF('YBN HO TB'!$R:$R,'YBN HO P&amp;L'!$A8,'YBN HO TB'!C:C)))</f>
        <v/>
      </c>
      <c r="P8" s="37">
        <f>-(SUMIF('YBN Blank TB'!$R:$R,'YBN HO P&amp;L'!$A8,'YBN Blank TB'!D:D)+(SUMIF('YBN HO TB'!$R:$R,'YBN HO P&amp;L'!$A8,'YBN HO TB'!D:D)))</f>
        <v/>
      </c>
      <c r="Q8" s="37">
        <f>-(SUMIF('YBN Blank TB'!$R:$R,'YBN HO P&amp;L'!$A8,'YBN Blank TB'!E:E)+(SUMIF('YBN HO TB'!$R:$R,'YBN HO P&amp;L'!$A8,'YBN HO TB'!E:E)))</f>
        <v/>
      </c>
      <c r="R8" s="37">
        <f>-(SUMIF('YBN Blank TB'!$R:$R,'YBN HO P&amp;L'!$A8,'YBN Blank TB'!F:F)+(SUMIF('YBN HO TB'!$R:$R,'YBN HO P&amp;L'!$A8,'YBN HO TB'!F:F)))</f>
        <v/>
      </c>
      <c r="S8" s="37">
        <f>-(SUMIF('YBN Blank TB'!$R:$R,'YBN HO P&amp;L'!$A8,'YBN Blank TB'!G:G)+(SUMIF('YBN HO TB'!$R:$R,'YBN HO P&amp;L'!$A8,'YBN HO TB'!G:G)))</f>
        <v/>
      </c>
      <c r="T8" s="37">
        <f>-(SUMIF('YBN Blank TB'!$R:$R,'YBN HO P&amp;L'!$A8,'YBN Blank TB'!H:H)+(SUMIF('YBN HO TB'!$R:$R,'YBN HO P&amp;L'!$A8,'YBN HO TB'!H:H)))</f>
        <v/>
      </c>
      <c r="U8" s="37">
        <f>-(SUMIF('YBN Blank TB'!$R:$R,'YBN HO P&amp;L'!$A8,'YBN Blank TB'!I:I)+(SUMIF('YBN HO TB'!$R:$R,'YBN HO P&amp;L'!$A8,'YBN HO TB'!I:I)))</f>
        <v/>
      </c>
      <c r="V8" s="38" t="n"/>
      <c r="W8" s="38" t="n"/>
      <c r="X8" s="38" t="n"/>
      <c r="Y8" s="38" t="n"/>
      <c r="Z8" s="38" t="n"/>
      <c r="AA8" s="36">
        <f>SUM(O8:U8)</f>
        <v/>
      </c>
      <c r="AB8" s="36">
        <f>SUM(O8:Z8)</f>
        <v/>
      </c>
      <c r="AC8" s="38" t="n"/>
      <c r="AD8" s="38" t="n"/>
      <c r="AE8" s="38" t="n"/>
      <c r="AF8" s="38" t="n"/>
      <c r="AG8" s="38" t="n"/>
      <c r="AH8" s="38" t="n"/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9">
        <f>SUM(N8:Z8)-$N8</f>
        <v/>
      </c>
      <c r="AN8" s="40" t="n"/>
      <c r="AO8" s="36">
        <f>SUM(AC8:AE8)+SUM(R8:Z8)</f>
        <v/>
      </c>
      <c r="AP8" s="36">
        <f>SUM(AC8:AH8)+SUM(U8:Z8)</f>
        <v/>
      </c>
    </row>
    <row r="9">
      <c r="A9" s="34" t="inlineStr">
        <is>
          <t>EEEF Embeded</t>
        </is>
      </c>
      <c r="B9" s="35" t="n">
        <v>0</v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  <c r="H9" s="35" t="n">
        <v>0</v>
      </c>
      <c r="I9" s="35" t="n">
        <v>0</v>
      </c>
      <c r="J9" s="35" t="n">
        <v>0</v>
      </c>
      <c r="K9" s="35" t="n">
        <v>0</v>
      </c>
      <c r="L9" s="35" t="n">
        <v>0</v>
      </c>
      <c r="M9" s="35" t="n">
        <v>0</v>
      </c>
      <c r="N9" s="36">
        <f>SUM(B9:M9)</f>
        <v/>
      </c>
      <c r="O9" s="37">
        <f>-(SUMIF('YBN Blank TB'!$R:$R,'YBN HO P&amp;L'!$A9,'YBN Blank TB'!C:C)+(SUMIF('YBN HO TB'!$R:$R,'YBN HO P&amp;L'!$A9,'YBN HO TB'!C:C)))</f>
        <v/>
      </c>
      <c r="P9" s="37">
        <f>-(SUMIF('YBN Blank TB'!$R:$R,'YBN HO P&amp;L'!$A9,'YBN Blank TB'!D:D)+(SUMIF('YBN HO TB'!$R:$R,'YBN HO P&amp;L'!$A9,'YBN HO TB'!D:D)))</f>
        <v/>
      </c>
      <c r="Q9" s="37">
        <f>-(SUMIF('YBN Blank TB'!$R:$R,'YBN HO P&amp;L'!$A9,'YBN Blank TB'!E:E)+(SUMIF('YBN HO TB'!$R:$R,'YBN HO P&amp;L'!$A9,'YBN HO TB'!E:E)))</f>
        <v/>
      </c>
      <c r="R9" s="37">
        <f>-(SUMIF('YBN Blank TB'!$R:$R,'YBN HO P&amp;L'!$A9,'YBN Blank TB'!F:F)+(SUMIF('YBN HO TB'!$R:$R,'YBN HO P&amp;L'!$A9,'YBN HO TB'!F:F)))</f>
        <v/>
      </c>
      <c r="S9" s="37">
        <f>-(SUMIF('YBN Blank TB'!$R:$R,'YBN HO P&amp;L'!$A9,'YBN Blank TB'!G:G)+(SUMIF('YBN HO TB'!$R:$R,'YBN HO P&amp;L'!$A9,'YBN HO TB'!G:G)))</f>
        <v/>
      </c>
      <c r="T9" s="37">
        <f>-(SUMIF('YBN Blank TB'!$R:$R,'YBN HO P&amp;L'!$A9,'YBN Blank TB'!H:H)+(SUMIF('YBN HO TB'!$R:$R,'YBN HO P&amp;L'!$A9,'YBN HO TB'!H:H)))</f>
        <v/>
      </c>
      <c r="U9" s="37">
        <f>-(SUMIF('YBN Blank TB'!$R:$R,'YBN HO P&amp;L'!$A9,'YBN Blank TB'!I:I)+(SUMIF('YBN HO TB'!$R:$R,'YBN HO P&amp;L'!$A9,'YBN HO TB'!I:I)))</f>
        <v/>
      </c>
      <c r="V9" s="38" t="n"/>
      <c r="W9" s="38" t="n"/>
      <c r="X9" s="38" t="n"/>
      <c r="Y9" s="38" t="n"/>
      <c r="Z9" s="38" t="n"/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9">
        <f>SUM(N9:Z9)-$N9</f>
        <v/>
      </c>
      <c r="AN9" s="40" t="n"/>
      <c r="AO9" s="36">
        <f>SUM(AC9:AE9)+SUM(R9:Z9)</f>
        <v/>
      </c>
      <c r="AP9" s="36">
        <f>SUM(AC9:AH9)+SUM(U9:Z9)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-(SUMIF('YBN Blank TB'!$R:$R,'YBN HO P&amp;L'!$A10,'YBN Blank TB'!C:C)+(SUMIF('YBN HO TB'!$R:$R,'YBN HO P&amp;L'!$A10,'YBN HO TB'!C:C)))</f>
        <v/>
      </c>
      <c r="P10" s="37">
        <f>-(SUMIF('YBN Blank TB'!$R:$R,'YBN HO P&amp;L'!$A10,'YBN Blank TB'!D:D)+(SUMIF('YBN HO TB'!$R:$R,'YBN HO P&amp;L'!$A10,'YBN HO TB'!D:D)))</f>
        <v/>
      </c>
      <c r="Q10" s="37">
        <f>-(SUMIF('YBN Blank TB'!$R:$R,'YBN HO P&amp;L'!$A10,'YBN Blank TB'!E:E)+(SUMIF('YBN HO TB'!$R:$R,'YBN HO P&amp;L'!$A10,'YBN HO TB'!E:E)))</f>
        <v/>
      </c>
      <c r="R10" s="37">
        <f>-(SUMIF('YBN Blank TB'!$R:$R,'YBN HO P&amp;L'!$A10,'YBN Blank TB'!F:F)+(SUMIF('YBN HO TB'!$R:$R,'YBN HO P&amp;L'!$A10,'YBN HO TB'!F:F)))</f>
        <v/>
      </c>
      <c r="S10" s="37">
        <f>-(SUMIF('YBN Blank TB'!$R:$R,'YBN HO P&amp;L'!$A10,'YBN Blank TB'!G:G)+(SUMIF('YBN HO TB'!$R:$R,'YBN HO P&amp;L'!$A10,'YBN HO TB'!G:G)))</f>
        <v/>
      </c>
      <c r="T10" s="37">
        <f>-(SUMIF('YBN Blank TB'!$R:$R,'YBN HO P&amp;L'!$A10,'YBN Blank TB'!H:H)+(SUMIF('YBN HO TB'!$R:$R,'YBN HO P&amp;L'!$A10,'YBN HO TB'!H:H)))</f>
        <v/>
      </c>
      <c r="U10" s="37">
        <f>-(SUMIF('YBN Blank TB'!$R:$R,'YBN HO P&amp;L'!$A10,'YBN Blank TB'!I:I)+(SUMIF('YBN HO TB'!$R:$R,'YBN HO P&amp;L'!$A10,'YBN HO TB'!I:I)))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9">
        <f>SUM(N10:Z10)-$N10</f>
        <v/>
      </c>
      <c r="AN10" s="40" t="n"/>
      <c r="AO10" s="36">
        <f>SUM(AC10:AE10)+SUM(R10:Z10)</f>
        <v/>
      </c>
      <c r="AP10" s="36">
        <f>SUM(AC10:AH10)+SUM(U10:Z10)</f>
        <v/>
      </c>
    </row>
    <row r="11" ht="15.75" customHeight="1">
      <c r="A11" s="41" t="inlineStr">
        <is>
          <t>Total Income</t>
        </is>
      </c>
      <c r="B11" s="42" t="n">
        <v>0</v>
      </c>
      <c r="C11" s="42" t="n">
        <v>0</v>
      </c>
      <c r="D11" s="42" t="n">
        <v>0</v>
      </c>
      <c r="E11" s="42" t="n">
        <v>0</v>
      </c>
      <c r="F11" s="42" t="n">
        <v>0</v>
      </c>
      <c r="G11" s="42" t="n">
        <v>0</v>
      </c>
      <c r="H11" s="42" t="n">
        <v>0</v>
      </c>
      <c r="I11" s="42" t="n">
        <v>0</v>
      </c>
      <c r="J11" s="42" t="n">
        <v>0</v>
      </c>
      <c r="K11" s="42" t="n">
        <v>0</v>
      </c>
      <c r="L11" s="42" t="n">
        <v>0</v>
      </c>
      <c r="M11" s="42" t="n">
        <v>0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 t="n"/>
      <c r="AD11" s="45" t="n"/>
      <c r="AE11" s="45" t="n"/>
      <c r="AF11" s="45" t="n"/>
      <c r="AG11" s="45" t="n"/>
      <c r="AH11" s="45" t="n"/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43">
        <f>SUM(AO8:AO10)</f>
        <v/>
      </c>
      <c r="AP11" s="4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8" t="n"/>
      <c r="AJ12" s="36">
        <f>SUM(E12:Q12)-$N12</f>
        <v/>
      </c>
      <c r="AK12" s="36">
        <f>SUM(H12:T12)-$N12</f>
        <v/>
      </c>
      <c r="AL12" s="36">
        <f>SUM(K12:W12)-$N12</f>
        <v/>
      </c>
      <c r="AM12" s="39">
        <f>SUM(N12:Z12)-$N12</f>
        <v/>
      </c>
      <c r="AN12" s="40" t="n"/>
      <c r="AO12" s="36">
        <f>SUM(I12:U12)-$N12</f>
        <v/>
      </c>
      <c r="AP12" s="36">
        <f>SUM(J12:V12)-$N12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 t="n"/>
      <c r="AD13" s="47" t="n"/>
      <c r="AE13" s="47" t="n"/>
      <c r="AF13" s="47" t="n"/>
      <c r="AG13" s="47" t="n"/>
      <c r="AH13" s="47" t="n"/>
      <c r="AI13" s="48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8" t="n"/>
      <c r="AJ15" s="36">
        <f>SUM(E15:Q15)-$N15</f>
        <v/>
      </c>
      <c r="AK15" s="36">
        <f>SUM(H15:T15)-$N15</f>
        <v/>
      </c>
      <c r="AL15" s="36">
        <f>SUM(K15:W15)-$N15</f>
        <v/>
      </c>
      <c r="AM15" s="39">
        <f>SUM(N15:Z15)-$N15</f>
        <v/>
      </c>
      <c r="AN15" s="40" t="n"/>
      <c r="AO15" s="36">
        <f>SUM(I15:U15)-$N15</f>
        <v/>
      </c>
      <c r="AP15" s="36">
        <f>SUM(J15:V15)-$N15</f>
        <v/>
      </c>
    </row>
    <row r="16">
      <c r="A16" s="34" t="inlineStr">
        <is>
          <t>Nursery Salaries</t>
        </is>
      </c>
      <c r="B16" s="35" t="n">
        <v>0</v>
      </c>
      <c r="C16" s="35" t="n">
        <v>0</v>
      </c>
      <c r="D16" s="35" t="n">
        <v>0</v>
      </c>
      <c r="E16" s="35" t="n">
        <v>0</v>
      </c>
      <c r="F16" s="35" t="n">
        <v>0</v>
      </c>
      <c r="G16" s="35" t="n">
        <v>0</v>
      </c>
      <c r="H16" s="35" t="n">
        <v>0</v>
      </c>
      <c r="I16" s="35" t="n">
        <v>0</v>
      </c>
      <c r="J16" s="35" t="n">
        <v>0</v>
      </c>
      <c r="K16" s="35" t="n">
        <v>0</v>
      </c>
      <c r="L16" s="35" t="n">
        <v>0</v>
      </c>
      <c r="M16" s="35" t="n">
        <v>0</v>
      </c>
      <c r="N16" s="36">
        <f>SUM(B16:M16)</f>
        <v/>
      </c>
      <c r="O16" s="37">
        <f>(SUMIF('YBN Blank TB'!$R:$R,'YBN HO P&amp;L'!$A16,'YBN Blank TB'!C:C)+(SUMIF('YBN HO TB'!$R:$R,'YBN HO P&amp;L'!$A16,'YBN HO TB'!C:C)))</f>
        <v/>
      </c>
      <c r="P16" s="37">
        <f>(SUMIF('YBN Blank TB'!$R:$R,'YBN HO P&amp;L'!$A16,'YBN Blank TB'!D:D)+(SUMIF('YBN HO TB'!$R:$R,'YBN HO P&amp;L'!$A16,'YBN HO TB'!D:D)))</f>
        <v/>
      </c>
      <c r="Q16" s="37">
        <f>(SUMIF('YBN Blank TB'!$R:$R,'YBN HO P&amp;L'!$A16,'YBN Blank TB'!E:E)+(SUMIF('YBN HO TB'!$R:$R,'YBN HO P&amp;L'!$A16,'YBN HO TB'!E:E)))</f>
        <v/>
      </c>
      <c r="R16" s="37">
        <f>(SUMIF('YBN Blank TB'!$R:$R,'YBN HO P&amp;L'!$A16,'YBN Blank TB'!F:F)+(SUMIF('YBN HO TB'!$R:$R,'YBN HO P&amp;L'!$A16,'YBN HO TB'!F:F)))</f>
        <v/>
      </c>
      <c r="S16" s="37">
        <f>(SUMIF('YBN Blank TB'!$R:$R,'YBN HO P&amp;L'!$A16,'YBN Blank TB'!G:G)+(SUMIF('YBN HO TB'!$R:$R,'YBN HO P&amp;L'!$A16,'YBN HO TB'!G:G)))</f>
        <v/>
      </c>
      <c r="T16" s="37">
        <f>(SUMIF('YBN Blank TB'!$R:$R,'YBN HO P&amp;L'!$A16,'YBN Blank TB'!H:H)+(SUMIF('YBN HO TB'!$R:$R,'YBN HO P&amp;L'!$A16,'YBN HO TB'!H:H)))</f>
        <v/>
      </c>
      <c r="U16" s="37">
        <f>(SUMIF('YBN Blank TB'!$R:$R,'YBN HO P&amp;L'!$A16,'YBN Blank TB'!I:I)+(SUMIF('YBN HO TB'!$R:$R,'YBN HO P&amp;L'!$A16,'YBN HO TB'!I:I)))</f>
        <v/>
      </c>
      <c r="V16" s="38" t="n"/>
      <c r="W16" s="38" t="n"/>
      <c r="X16" s="38" t="n"/>
      <c r="Y16" s="38" t="n"/>
      <c r="Z16" s="38" t="n"/>
      <c r="AA16" s="36">
        <f>SUM(O16:U16)</f>
        <v/>
      </c>
      <c r="AB16" s="36">
        <f>SUM(O16:Z16)</f>
        <v/>
      </c>
      <c r="AC16" s="38" t="n"/>
      <c r="AD16" s="38" t="n"/>
      <c r="AE16" s="38" t="n"/>
      <c r="AF16" s="38" t="n"/>
      <c r="AG16" s="38" t="n"/>
      <c r="AH16" s="38" t="n"/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9">
        <f>SUM(N16:Z16)-$N16</f>
        <v/>
      </c>
      <c r="AN16" s="40" t="n"/>
      <c r="AO16" s="36">
        <f>SUM(AC16:AE16)+SUM(R16:Z16)</f>
        <v/>
      </c>
      <c r="AP16" s="36">
        <f>SUM(AC16:AH16)+SUM(U16:Z16)</f>
        <v/>
      </c>
    </row>
    <row r="17">
      <c r="A17" s="34" t="inlineStr">
        <is>
          <t>Nursery NI</t>
        </is>
      </c>
      <c r="B17" s="35" t="n">
        <v>0</v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0</v>
      </c>
      <c r="K17" s="35" t="n">
        <v>0</v>
      </c>
      <c r="L17" s="35" t="n">
        <v>0</v>
      </c>
      <c r="M17" s="35" t="n">
        <v>0</v>
      </c>
      <c r="N17" s="36">
        <f>SUM(B17:M17)</f>
        <v/>
      </c>
      <c r="O17" s="37">
        <f>(SUMIF('YBN Blank TB'!$R:$R,'YBN HO P&amp;L'!$A17,'YBN Blank TB'!C:C)+(SUMIF('YBN HO TB'!$R:$R,'YBN HO P&amp;L'!$A17,'YBN HO TB'!C:C)))</f>
        <v/>
      </c>
      <c r="P17" s="37">
        <f>(SUMIF('YBN Blank TB'!$R:$R,'YBN HO P&amp;L'!$A17,'YBN Blank TB'!D:D)+(SUMIF('YBN HO TB'!$R:$R,'YBN HO P&amp;L'!$A17,'YBN HO TB'!D:D)))</f>
        <v/>
      </c>
      <c r="Q17" s="37">
        <f>(SUMIF('YBN Blank TB'!$R:$R,'YBN HO P&amp;L'!$A17,'YBN Blank TB'!E:E)+(SUMIF('YBN HO TB'!$R:$R,'YBN HO P&amp;L'!$A17,'YBN HO TB'!E:E)))</f>
        <v/>
      </c>
      <c r="R17" s="37">
        <f>(SUMIF('YBN Blank TB'!$R:$R,'YBN HO P&amp;L'!$A17,'YBN Blank TB'!F:F)+(SUMIF('YBN HO TB'!$R:$R,'YBN HO P&amp;L'!$A17,'YBN HO TB'!F:F)))</f>
        <v/>
      </c>
      <c r="S17" s="37">
        <f>(SUMIF('YBN Blank TB'!$R:$R,'YBN HO P&amp;L'!$A17,'YBN Blank TB'!G:G)+(SUMIF('YBN HO TB'!$R:$R,'YBN HO P&amp;L'!$A17,'YBN HO TB'!G:G)))</f>
        <v/>
      </c>
      <c r="T17" s="37">
        <f>(SUMIF('YBN Blank TB'!$R:$R,'YBN HO P&amp;L'!$A17,'YBN Blank TB'!H:H)+(SUMIF('YBN HO TB'!$R:$R,'YBN HO P&amp;L'!$A17,'YBN HO TB'!H:H)))</f>
        <v/>
      </c>
      <c r="U17" s="37">
        <f>(SUMIF('YBN Blank TB'!$R:$R,'YBN HO P&amp;L'!$A17,'YBN Blank TB'!I:I)+(SUMIF('YBN HO TB'!$R:$R,'YBN HO P&amp;L'!$A17,'YBN HO TB'!I:I)))</f>
        <v/>
      </c>
      <c r="V17" s="38" t="n"/>
      <c r="W17" s="38" t="n"/>
      <c r="X17" s="38" t="n"/>
      <c r="Y17" s="38" t="n"/>
      <c r="Z17" s="38" t="n"/>
      <c r="AA17" s="36">
        <f>SUM(O17:U17)</f>
        <v/>
      </c>
      <c r="AB17" s="36">
        <f>SUM(O17:Z17)</f>
        <v/>
      </c>
      <c r="AC17" s="38" t="n"/>
      <c r="AD17" s="38" t="n"/>
      <c r="AE17" s="38" t="n"/>
      <c r="AF17" s="38" t="n"/>
      <c r="AG17" s="38" t="n"/>
      <c r="AH17" s="38" t="n"/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9">
        <f>SUM(N17:Z17)-$N17</f>
        <v/>
      </c>
      <c r="AN17" s="40" t="n"/>
      <c r="AO17" s="36">
        <f>SUM(AC17:AE17)+SUM(R17:Z17)</f>
        <v/>
      </c>
      <c r="AP17" s="36">
        <f>SUM(AC17:AH17)+SUM(U17:Z17)</f>
        <v/>
      </c>
    </row>
    <row r="18">
      <c r="A18" s="34" t="inlineStr">
        <is>
          <t>Nursery Pension</t>
        </is>
      </c>
      <c r="B18" s="35" t="n">
        <v>0</v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  <c r="H18" s="35" t="n">
        <v>0</v>
      </c>
      <c r="I18" s="35" t="n">
        <v>0</v>
      </c>
      <c r="J18" s="35" t="n">
        <v>0</v>
      </c>
      <c r="K18" s="35" t="n">
        <v>0</v>
      </c>
      <c r="L18" s="35" t="n">
        <v>0</v>
      </c>
      <c r="M18" s="35" t="n">
        <v>0</v>
      </c>
      <c r="N18" s="36">
        <f>SUM(B18:M18)</f>
        <v/>
      </c>
      <c r="O18" s="37">
        <f>(SUMIF('YBN Blank TB'!$R:$R,'YBN HO P&amp;L'!$A18,'YBN Blank TB'!C:C)+(SUMIF('YBN HO TB'!$R:$R,'YBN HO P&amp;L'!$A18,'YBN HO TB'!C:C)))</f>
        <v/>
      </c>
      <c r="P18" s="37">
        <f>(SUMIF('YBN Blank TB'!$R:$R,'YBN HO P&amp;L'!$A18,'YBN Blank TB'!D:D)+(SUMIF('YBN HO TB'!$R:$R,'YBN HO P&amp;L'!$A18,'YBN HO TB'!D:D)))</f>
        <v/>
      </c>
      <c r="Q18" s="37">
        <f>(SUMIF('YBN Blank TB'!$R:$R,'YBN HO P&amp;L'!$A18,'YBN Blank TB'!E:E)+(SUMIF('YBN HO TB'!$R:$R,'YBN HO P&amp;L'!$A18,'YBN HO TB'!E:E)))</f>
        <v/>
      </c>
      <c r="R18" s="37">
        <f>(SUMIF('YBN Blank TB'!$R:$R,'YBN HO P&amp;L'!$A18,'YBN Blank TB'!F:F)+(SUMIF('YBN HO TB'!$R:$R,'YBN HO P&amp;L'!$A18,'YBN HO TB'!F:F)))</f>
        <v/>
      </c>
      <c r="S18" s="37">
        <f>(SUMIF('YBN Blank TB'!$R:$R,'YBN HO P&amp;L'!$A18,'YBN Blank TB'!G:G)+(SUMIF('YBN HO TB'!$R:$R,'YBN HO P&amp;L'!$A18,'YBN HO TB'!G:G)))</f>
        <v/>
      </c>
      <c r="T18" s="37">
        <f>(SUMIF('YBN Blank TB'!$R:$R,'YBN HO P&amp;L'!$A18,'YBN Blank TB'!H:H)+(SUMIF('YBN HO TB'!$R:$R,'YBN HO P&amp;L'!$A18,'YBN HO TB'!H:H)))</f>
        <v/>
      </c>
      <c r="U18" s="37">
        <f>(SUMIF('YBN Blank TB'!$R:$R,'YBN HO P&amp;L'!$A18,'YBN Blank TB'!I:I)+(SUMIF('YBN HO TB'!$R:$R,'YBN HO P&amp;L'!$A18,'YBN HO TB'!I:I)))</f>
        <v/>
      </c>
      <c r="V18" s="38" t="n"/>
      <c r="W18" s="38" t="n"/>
      <c r="X18" s="38" t="n"/>
      <c r="Y18" s="38" t="n"/>
      <c r="Z18" s="38" t="n"/>
      <c r="AA18" s="36">
        <f>SUM(O18:U18)</f>
        <v/>
      </c>
      <c r="AB18" s="36">
        <f>SUM(O18:Z18)</f>
        <v/>
      </c>
      <c r="AC18" s="38" t="n"/>
      <c r="AD18" s="38" t="n"/>
      <c r="AE18" s="38" t="n"/>
      <c r="AF18" s="38" t="n"/>
      <c r="AG18" s="38" t="n"/>
      <c r="AH18" s="38" t="n"/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9">
        <f>SUM(N18:Z18)-$N18</f>
        <v/>
      </c>
      <c r="AN18" s="40" t="n"/>
      <c r="AO18" s="36">
        <f>SUM(AC18:AE18)+SUM(R18:Z18)</f>
        <v/>
      </c>
      <c r="AP18" s="36">
        <f>SUM(AC18:AH18)+SUM(U18:Z18)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0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0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>
        <f>(SUMIF('YBN Blank TB'!$R:$R,'YBN HO P&amp;L'!$A19,'YBN Blank TB'!C:C)+(SUMIF('YBN HO TB'!$R:$R,'YBN HO P&amp;L'!$A19,'YBN HO TB'!C:C)))</f>
        <v/>
      </c>
      <c r="P19" s="37">
        <f>(SUMIF('YBN Blank TB'!$R:$R,'YBN HO P&amp;L'!$A19,'YBN Blank TB'!D:D)+(SUMIF('YBN HO TB'!$R:$R,'YBN HO P&amp;L'!$A19,'YBN HO TB'!D:D)))</f>
        <v/>
      </c>
      <c r="Q19" s="37">
        <f>(SUMIF('YBN Blank TB'!$R:$R,'YBN HO P&amp;L'!$A19,'YBN Blank TB'!E:E)+(SUMIF('YBN HO TB'!$R:$R,'YBN HO P&amp;L'!$A19,'YBN HO TB'!E:E)))</f>
        <v/>
      </c>
      <c r="R19" s="37">
        <f>(SUMIF('YBN Blank TB'!$R:$R,'YBN HO P&amp;L'!$A19,'YBN Blank TB'!F:F)+(SUMIF('YBN HO TB'!$R:$R,'YBN HO P&amp;L'!$A19,'YBN HO TB'!F:F)))</f>
        <v/>
      </c>
      <c r="S19" s="37">
        <f>(SUMIF('YBN Blank TB'!$R:$R,'YBN HO P&amp;L'!$A19,'YBN Blank TB'!G:G)+(SUMIF('YBN HO TB'!$R:$R,'YBN HO P&amp;L'!$A19,'YBN HO TB'!G:G)))</f>
        <v/>
      </c>
      <c r="T19" s="37">
        <f>(SUMIF('YBN Blank TB'!$R:$R,'YBN HO P&amp;L'!$A19,'YBN Blank TB'!H:H)+(SUMIF('YBN HO TB'!$R:$R,'YBN HO P&amp;L'!$A19,'YBN HO TB'!H:H)))</f>
        <v/>
      </c>
      <c r="U19" s="37">
        <f>(SUMIF('YBN Blank TB'!$R:$R,'YBN HO P&amp;L'!$A19,'YBN Blank TB'!I:I)+(SUMIF('YBN HO TB'!$R:$R,'YBN HO P&amp;L'!$A19,'YBN HO TB'!I:I)))</f>
        <v/>
      </c>
      <c r="V19" s="38" t="n"/>
      <c r="W19" s="38" t="n"/>
      <c r="X19" s="38" t="n"/>
      <c r="Y19" s="38" t="n"/>
      <c r="Z19" s="38" t="n"/>
      <c r="AA19" s="36">
        <f>SUM(O19:U19)</f>
        <v/>
      </c>
      <c r="AB19" s="36">
        <f>SUM(O19:Z19)</f>
        <v/>
      </c>
      <c r="AC19" s="38" t="n"/>
      <c r="AD19" s="38" t="n"/>
      <c r="AE19" s="38" t="n"/>
      <c r="AF19" s="38" t="n"/>
      <c r="AG19" s="38" t="n"/>
      <c r="AH19" s="38" t="n"/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9">
        <f>SUM(N19:Z19)-$N19</f>
        <v/>
      </c>
      <c r="AN19" s="40" t="n"/>
      <c r="AO19" s="36">
        <f>SUM(AC19:AE19)+SUM(R19:Z19)</f>
        <v/>
      </c>
      <c r="AP19" s="36">
        <f>SUM(AC19:AH19)+SUM(U19:Z19)</f>
        <v/>
      </c>
    </row>
    <row r="20">
      <c r="A20" s="34" t="inlineStr">
        <is>
          <t>Training</t>
        </is>
      </c>
      <c r="B20" s="35" t="n">
        <v>0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0</v>
      </c>
      <c r="H20" s="35" t="n">
        <v>0</v>
      </c>
      <c r="I20" s="35" t="n">
        <v>0</v>
      </c>
      <c r="J20" s="35" t="n">
        <v>0</v>
      </c>
      <c r="K20" s="35" t="n">
        <v>0</v>
      </c>
      <c r="L20" s="35" t="n">
        <v>0</v>
      </c>
      <c r="M20" s="35" t="n">
        <v>0</v>
      </c>
      <c r="N20" s="36">
        <f>SUM(B20:M20)</f>
        <v/>
      </c>
      <c r="O20" s="37">
        <f>(SUMIF('YBN Blank TB'!$R:$R,'YBN HO P&amp;L'!$A20,'YBN Blank TB'!C:C)+(SUMIF('YBN HO TB'!$R:$R,'YBN HO P&amp;L'!$A20,'YBN HO TB'!C:C)))</f>
        <v/>
      </c>
      <c r="P20" s="37">
        <f>(SUMIF('YBN Blank TB'!$R:$R,'YBN HO P&amp;L'!$A20,'YBN Blank TB'!D:D)+(SUMIF('YBN HO TB'!$R:$R,'YBN HO P&amp;L'!$A20,'YBN HO TB'!D:D)))</f>
        <v/>
      </c>
      <c r="Q20" s="37">
        <f>(SUMIF('YBN Blank TB'!$R:$R,'YBN HO P&amp;L'!$A20,'YBN Blank TB'!E:E)+(SUMIF('YBN HO TB'!$R:$R,'YBN HO P&amp;L'!$A20,'YBN HO TB'!E:E)))</f>
        <v/>
      </c>
      <c r="R20" s="37">
        <f>(SUMIF('YBN Blank TB'!$R:$R,'YBN HO P&amp;L'!$A20,'YBN Blank TB'!F:F)+(SUMIF('YBN HO TB'!$R:$R,'YBN HO P&amp;L'!$A20,'YBN HO TB'!F:F)))</f>
        <v/>
      </c>
      <c r="S20" s="37">
        <f>(SUMIF('YBN Blank TB'!$R:$R,'YBN HO P&amp;L'!$A20,'YBN Blank TB'!G:G)+(SUMIF('YBN HO TB'!$R:$R,'YBN HO P&amp;L'!$A20,'YBN HO TB'!G:G)))</f>
        <v/>
      </c>
      <c r="T20" s="37">
        <f>(SUMIF('YBN Blank TB'!$R:$R,'YBN HO P&amp;L'!$A20,'YBN Blank TB'!H:H)+(SUMIF('YBN HO TB'!$R:$R,'YBN HO P&amp;L'!$A20,'YBN HO TB'!H:H)))</f>
        <v/>
      </c>
      <c r="U20" s="37">
        <f>(SUMIF('YBN Blank TB'!$R:$R,'YBN HO P&amp;L'!$A20,'YBN Blank TB'!I:I)+(SUMIF('YBN HO TB'!$R:$R,'YBN HO P&amp;L'!$A20,'YBN HO TB'!I:I)))</f>
        <v/>
      </c>
      <c r="V20" s="38" t="n"/>
      <c r="W20" s="38" t="n"/>
      <c r="X20" s="38" t="n"/>
      <c r="Y20" s="38" t="n"/>
      <c r="Z20" s="38" t="n"/>
      <c r="AA20" s="36">
        <f>SUM(O20:U20)</f>
        <v/>
      </c>
      <c r="AB20" s="36">
        <f>SUM(O20:Z20)</f>
        <v/>
      </c>
      <c r="AC20" s="38" t="n"/>
      <c r="AD20" s="38" t="n"/>
      <c r="AE20" s="38" t="n"/>
      <c r="AF20" s="38" t="n"/>
      <c r="AG20" s="38" t="n"/>
      <c r="AH20" s="38" t="n"/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9">
        <f>SUM(N20:Z20)-$N20</f>
        <v/>
      </c>
      <c r="AN20" s="40" t="n"/>
      <c r="AO20" s="36">
        <f>SUM(AC20:AE20)+SUM(R20:Z20)</f>
        <v/>
      </c>
      <c r="AP20" s="36">
        <f>SUM(AC20:AH20)+SUM(U20:Z20)</f>
        <v/>
      </c>
    </row>
    <row r="21">
      <c r="A21" s="34" t="inlineStr">
        <is>
          <t>Staff Welfare</t>
        </is>
      </c>
      <c r="B21" s="35" t="n">
        <v>0</v>
      </c>
      <c r="C21" s="35" t="n">
        <v>0</v>
      </c>
      <c r="D21" s="35" t="n">
        <v>0</v>
      </c>
      <c r="E21" s="35" t="n">
        <v>0</v>
      </c>
      <c r="F21" s="35" t="n">
        <v>0</v>
      </c>
      <c r="G21" s="35" t="n">
        <v>0</v>
      </c>
      <c r="H21" s="35" t="n">
        <v>0</v>
      </c>
      <c r="I21" s="35" t="n">
        <v>0</v>
      </c>
      <c r="J21" s="35" t="n">
        <v>0</v>
      </c>
      <c r="K21" s="35" t="n">
        <v>0</v>
      </c>
      <c r="L21" s="35" t="n">
        <v>0</v>
      </c>
      <c r="M21" s="35" t="n">
        <v>0</v>
      </c>
      <c r="N21" s="36">
        <f>SUM(B21:M21)</f>
        <v/>
      </c>
      <c r="O21" s="37">
        <f>(SUMIF('YBN Blank TB'!$R:$R,'YBN HO P&amp;L'!$A21,'YBN Blank TB'!C:C)+(SUMIF('YBN HO TB'!$R:$R,'YBN HO P&amp;L'!$A21,'YBN HO TB'!C:C)))</f>
        <v/>
      </c>
      <c r="P21" s="37">
        <f>(SUMIF('YBN Blank TB'!$R:$R,'YBN HO P&amp;L'!$A21,'YBN Blank TB'!D:D)+(SUMIF('YBN HO TB'!$R:$R,'YBN HO P&amp;L'!$A21,'YBN HO TB'!D:D)))</f>
        <v/>
      </c>
      <c r="Q21" s="37">
        <f>(SUMIF('YBN Blank TB'!$R:$R,'YBN HO P&amp;L'!$A21,'YBN Blank TB'!E:E)+(SUMIF('YBN HO TB'!$R:$R,'YBN HO P&amp;L'!$A21,'YBN HO TB'!E:E)))</f>
        <v/>
      </c>
      <c r="R21" s="37">
        <f>(SUMIF('YBN Blank TB'!$R:$R,'YBN HO P&amp;L'!$A21,'YBN Blank TB'!F:F)+(SUMIF('YBN HO TB'!$R:$R,'YBN HO P&amp;L'!$A21,'YBN HO TB'!F:F)))</f>
        <v/>
      </c>
      <c r="S21" s="37">
        <f>(SUMIF('YBN Blank TB'!$R:$R,'YBN HO P&amp;L'!$A21,'YBN Blank TB'!G:G)+(SUMIF('YBN HO TB'!$R:$R,'YBN HO P&amp;L'!$A21,'YBN HO TB'!G:G)))</f>
        <v/>
      </c>
      <c r="T21" s="37">
        <f>(SUMIF('YBN Blank TB'!$R:$R,'YBN HO P&amp;L'!$A21,'YBN Blank TB'!H:H)+(SUMIF('YBN HO TB'!$R:$R,'YBN HO P&amp;L'!$A21,'YBN HO TB'!H:H)))</f>
        <v/>
      </c>
      <c r="U21" s="37">
        <f>(SUMIF('YBN Blank TB'!$R:$R,'YBN HO P&amp;L'!$A21,'YBN Blank TB'!I:I)+(SUMIF('YBN HO TB'!$R:$R,'YBN HO P&amp;L'!$A21,'YBN HO TB'!I:I)))</f>
        <v/>
      </c>
      <c r="V21" s="38" t="n"/>
      <c r="W21" s="38" t="n"/>
      <c r="X21" s="38" t="n"/>
      <c r="Y21" s="38" t="n"/>
      <c r="Z21" s="38" t="n"/>
      <c r="AA21" s="36">
        <f>SUM(O21:U21)</f>
        <v/>
      </c>
      <c r="AB21" s="36">
        <f>SUM(O21:Z21)</f>
        <v/>
      </c>
      <c r="AC21" s="38" t="n"/>
      <c r="AD21" s="38" t="n"/>
      <c r="AE21" s="38" t="n"/>
      <c r="AF21" s="38" t="n"/>
      <c r="AG21" s="38" t="n"/>
      <c r="AH21" s="38" t="n"/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9">
        <f>SUM(N21:Z21)-$N21</f>
        <v/>
      </c>
      <c r="AN21" s="40" t="n"/>
      <c r="AO21" s="36">
        <f>SUM(AC21:AE21)+SUM(R21:Z21)</f>
        <v/>
      </c>
      <c r="AP21" s="36">
        <f>SUM(AC21:AH21)+SUM(U21:Z21)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(SUMIF('YBN Blank TB'!$R:$R,'YBN HO P&amp;L'!$A22,'YBN Blank TB'!C:C)+(SUMIF('YBN HO TB'!$R:$R,'YBN HO P&amp;L'!$A22,'YBN HO TB'!C:C)))</f>
        <v/>
      </c>
      <c r="P22" s="37">
        <f>(SUMIF('YBN Blank TB'!$R:$R,'YBN HO P&amp;L'!$A22,'YBN Blank TB'!D:D)+(SUMIF('YBN HO TB'!$R:$R,'YBN HO P&amp;L'!$A22,'YBN HO TB'!D:D)))</f>
        <v/>
      </c>
      <c r="Q22" s="37">
        <f>(SUMIF('YBN Blank TB'!$R:$R,'YBN HO P&amp;L'!$A22,'YBN Blank TB'!E:E)+(SUMIF('YBN HO TB'!$R:$R,'YBN HO P&amp;L'!$A22,'YBN HO TB'!E:E)))</f>
        <v/>
      </c>
      <c r="R22" s="37">
        <f>(SUMIF('YBN Blank TB'!$R:$R,'YBN HO P&amp;L'!$A22,'YBN Blank TB'!F:F)+(SUMIF('YBN HO TB'!$R:$R,'YBN HO P&amp;L'!$A22,'YBN HO TB'!F:F)))</f>
        <v/>
      </c>
      <c r="S22" s="37">
        <f>(SUMIF('YBN Blank TB'!$R:$R,'YBN HO P&amp;L'!$A22,'YBN Blank TB'!G:G)+(SUMIF('YBN HO TB'!$R:$R,'YBN HO P&amp;L'!$A22,'YBN HO TB'!G:G)))</f>
        <v/>
      </c>
      <c r="T22" s="37">
        <f>(SUMIF('YBN Blank TB'!$R:$R,'YBN HO P&amp;L'!$A22,'YBN Blank TB'!H:H)+(SUMIF('YBN HO TB'!$R:$R,'YBN HO P&amp;L'!$A22,'YBN HO TB'!H:H)))</f>
        <v/>
      </c>
      <c r="U22" s="37">
        <f>(SUMIF('YBN Blank TB'!$R:$R,'YBN HO P&amp;L'!$A22,'YBN Blank TB'!I:I)+(SUMIF('YBN HO TB'!$R:$R,'YBN HO P&amp;L'!$A22,'YBN HO TB'!I:I)))</f>
        <v/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9">
        <f>SUM(N22:Z22)-$N22</f>
        <v/>
      </c>
      <c r="AN22" s="40" t="n"/>
      <c r="AO22" s="36">
        <f>SUM(AC22:AE22)+SUM(R22:Z22)</f>
        <v/>
      </c>
      <c r="AP22" s="36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>
        <f>(SUMIF('YBN Blank TB'!$R:$R,'YBN HO P&amp;L'!$A23,'YBN Blank TB'!C:C)+(SUMIF('YBN HO TB'!$R:$R,'YBN HO P&amp;L'!$A23,'YBN HO TB'!C:C)))</f>
        <v/>
      </c>
      <c r="P23" s="37">
        <f>(SUMIF('YBN Blank TB'!$R:$R,'YBN HO P&amp;L'!$A23,'YBN Blank TB'!D:D)+(SUMIF('YBN HO TB'!$R:$R,'YBN HO P&amp;L'!$A23,'YBN HO TB'!D:D)))</f>
        <v/>
      </c>
      <c r="Q23" s="37">
        <f>(SUMIF('YBN Blank TB'!$R:$R,'YBN HO P&amp;L'!$A23,'YBN Blank TB'!E:E)+(SUMIF('YBN HO TB'!$R:$R,'YBN HO P&amp;L'!$A23,'YBN HO TB'!E:E)))</f>
        <v/>
      </c>
      <c r="R23" s="37">
        <f>(SUMIF('YBN Blank TB'!$R:$R,'YBN HO P&amp;L'!$A23,'YBN Blank TB'!F:F)+(SUMIF('YBN HO TB'!$R:$R,'YBN HO P&amp;L'!$A23,'YBN HO TB'!F:F)))</f>
        <v/>
      </c>
      <c r="S23" s="37">
        <f>(SUMIF('YBN Blank TB'!$R:$R,'YBN HO P&amp;L'!$A23,'YBN Blank TB'!G:G)+(SUMIF('YBN HO TB'!$R:$R,'YBN HO P&amp;L'!$A23,'YBN HO TB'!G:G)))</f>
        <v/>
      </c>
      <c r="T23" s="37">
        <f>(SUMIF('YBN Blank TB'!$R:$R,'YBN HO P&amp;L'!$A23,'YBN Blank TB'!H:H)+(SUMIF('YBN HO TB'!$R:$R,'YBN HO P&amp;L'!$A23,'YBN HO TB'!H:H)))</f>
        <v/>
      </c>
      <c r="U23" s="37">
        <f>(SUMIF('YBN Blank TB'!$R:$R,'YBN HO P&amp;L'!$A23,'YBN Blank TB'!I:I)+(SUMIF('YBN HO TB'!$R:$R,'YBN HO P&amp;L'!$A23,'YBN HO TB'!I:I)))</f>
        <v/>
      </c>
      <c r="V23" s="38" t="n"/>
      <c r="W23" s="38" t="n"/>
      <c r="X23" s="38" t="n"/>
      <c r="Y23" s="38" t="n"/>
      <c r="Z23" s="38" t="n"/>
      <c r="AA23" s="36">
        <f>SUM(O23:U23)</f>
        <v/>
      </c>
      <c r="AB23" s="36">
        <f>SUM(O23:Z23)</f>
        <v/>
      </c>
      <c r="AC23" s="38" t="n"/>
      <c r="AD23" s="38" t="n"/>
      <c r="AE23" s="38" t="n"/>
      <c r="AF23" s="38" t="n"/>
      <c r="AG23" s="38" t="n"/>
      <c r="AH23" s="38" t="n"/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9">
        <f>SUM(N23:Z23)-$N23</f>
        <v/>
      </c>
      <c r="AN23" s="40" t="n"/>
      <c r="AO23" s="36">
        <f>SUM(AC23:AE23)+SUM(R23:Z23)</f>
        <v/>
      </c>
      <c r="AP23" s="36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(SUMIF('YBN Blank TB'!$R:$R,'YBN HO P&amp;L'!$A24,'YBN Blank TB'!C:C)+(SUMIF('YBN HO TB'!$R:$R,'YBN HO P&amp;L'!$A24,'YBN HO TB'!C:C)))</f>
        <v/>
      </c>
      <c r="P24" s="37">
        <f>(SUMIF('YBN Blank TB'!$R:$R,'YBN HO P&amp;L'!$A24,'YBN Blank TB'!D:D)+(SUMIF('YBN HO TB'!$R:$R,'YBN HO P&amp;L'!$A24,'YBN HO TB'!D:D)))</f>
        <v/>
      </c>
      <c r="Q24" s="37">
        <f>(SUMIF('YBN Blank TB'!$R:$R,'YBN HO P&amp;L'!$A24,'YBN Blank TB'!E:E)+(SUMIF('YBN HO TB'!$R:$R,'YBN HO P&amp;L'!$A24,'YBN HO TB'!E:E)))</f>
        <v/>
      </c>
      <c r="R24" s="37">
        <f>(SUMIF('YBN Blank TB'!$R:$R,'YBN HO P&amp;L'!$A24,'YBN Blank TB'!F:F)+(SUMIF('YBN HO TB'!$R:$R,'YBN HO P&amp;L'!$A24,'YBN HO TB'!F:F)))</f>
        <v/>
      </c>
      <c r="S24" s="37">
        <f>(SUMIF('YBN Blank TB'!$R:$R,'YBN HO P&amp;L'!$A24,'YBN Blank TB'!G:G)+(SUMIF('YBN HO TB'!$R:$R,'YBN HO P&amp;L'!$A24,'YBN HO TB'!G:G)))</f>
        <v/>
      </c>
      <c r="T24" s="37">
        <f>(SUMIF('YBN Blank TB'!$R:$R,'YBN HO P&amp;L'!$A24,'YBN Blank TB'!H:H)+(SUMIF('YBN HO TB'!$R:$R,'YBN HO P&amp;L'!$A24,'YBN HO TB'!H:H)))</f>
        <v/>
      </c>
      <c r="U24" s="37">
        <f>(SUMIF('YBN Blank TB'!$R:$R,'YBN HO P&amp;L'!$A24,'YBN Blank TB'!I:I)+(SUMIF('YBN HO TB'!$R:$R,'YBN HO P&amp;L'!$A24,'YBN HO TB'!I:I)))</f>
        <v/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9">
        <f>SUM(N24:Z24)-$N24</f>
        <v/>
      </c>
      <c r="AN24" s="40" t="n"/>
      <c r="AO24" s="36">
        <f>SUM(AC24:AE24)+SUM(R24:Z24)</f>
        <v/>
      </c>
      <c r="AP24" s="36">
        <f>SUM(AC24:AH24)+SUM(U24:Z24)</f>
        <v/>
      </c>
    </row>
    <row r="25" ht="15.75" customHeight="1">
      <c r="A25" s="41" t="inlineStr">
        <is>
          <t>Total Personnel</t>
        </is>
      </c>
      <c r="B25" s="42" t="n">
        <v>0</v>
      </c>
      <c r="C25" s="42" t="n">
        <v>0</v>
      </c>
      <c r="D25" s="42" t="n">
        <v>0</v>
      </c>
      <c r="E25" s="42" t="n">
        <v>0</v>
      </c>
      <c r="F25" s="42" t="n">
        <v>0</v>
      </c>
      <c r="G25" s="42" t="n">
        <v>0</v>
      </c>
      <c r="H25" s="42" t="n">
        <v>0</v>
      </c>
      <c r="I25" s="42" t="n">
        <v>0</v>
      </c>
      <c r="J25" s="42" t="n">
        <v>0</v>
      </c>
      <c r="K25" s="42" t="n">
        <v>0</v>
      </c>
      <c r="L25" s="42" t="n">
        <v>0</v>
      </c>
      <c r="M25" s="42" t="n">
        <v>0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 t="n"/>
      <c r="AD25" s="45" t="n"/>
      <c r="AE25" s="45" t="n"/>
      <c r="AF25" s="45" t="n"/>
      <c r="AG25" s="45" t="n"/>
      <c r="AH25" s="45" t="n"/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43">
        <f>SUM(AO16:AO24)</f>
        <v/>
      </c>
      <c r="AP25" s="4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8" t="n"/>
      <c r="AJ26" s="36">
        <f>SUM(E26:Q26)-$N26</f>
        <v/>
      </c>
      <c r="AK26" s="36">
        <f>SUM(H26:T26)-$N26</f>
        <v/>
      </c>
      <c r="AL26" s="36">
        <f>SUM(K26:W26)-$N26</f>
        <v/>
      </c>
      <c r="AM26" s="39">
        <f>SUM(N26:Z26)-$N26</f>
        <v/>
      </c>
      <c r="AN26" s="40" t="n"/>
      <c r="AO26" s="36">
        <f>SUM(I26:U26)-$N26</f>
        <v/>
      </c>
      <c r="AP26" s="36">
        <f>SUM(J26:V26)-$N26</f>
        <v/>
      </c>
    </row>
    <row r="27">
      <c r="A27" s="34" t="inlineStr">
        <is>
          <t>Catering Costs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  <c r="H27" s="35" t="n">
        <v>0</v>
      </c>
      <c r="I27" s="35" t="n">
        <v>0</v>
      </c>
      <c r="J27" s="35" t="n">
        <v>0</v>
      </c>
      <c r="K27" s="35" t="n">
        <v>0</v>
      </c>
      <c r="L27" s="35" t="n">
        <v>0</v>
      </c>
      <c r="M27" s="35" t="n">
        <v>0</v>
      </c>
      <c r="N27" s="36">
        <f>SUM(B27:M27)</f>
        <v/>
      </c>
      <c r="O27" s="37">
        <f>(SUMIF('YBN Blank TB'!$R:$R,'YBN HO P&amp;L'!$A27,'YBN Blank TB'!C:C)+(SUMIF('YBN HO TB'!$R:$R,'YBN HO P&amp;L'!$A27,'YBN HO TB'!C:C)))</f>
        <v/>
      </c>
      <c r="P27" s="37">
        <f>(SUMIF('YBN Blank TB'!$R:$R,'YBN HO P&amp;L'!$A27,'YBN Blank TB'!D:D)+(SUMIF('YBN HO TB'!$R:$R,'YBN HO P&amp;L'!$A27,'YBN HO TB'!D:D)))</f>
        <v/>
      </c>
      <c r="Q27" s="37">
        <f>(SUMIF('YBN Blank TB'!$R:$R,'YBN HO P&amp;L'!$A27,'YBN Blank TB'!E:E)+(SUMIF('YBN HO TB'!$R:$R,'YBN HO P&amp;L'!$A27,'YBN HO TB'!E:E)))</f>
        <v/>
      </c>
      <c r="R27" s="37">
        <f>(SUMIF('YBN Blank TB'!$R:$R,'YBN HO P&amp;L'!$A27,'YBN Blank TB'!F:F)+(SUMIF('YBN HO TB'!$R:$R,'YBN HO P&amp;L'!$A27,'YBN HO TB'!F:F)))</f>
        <v/>
      </c>
      <c r="S27" s="37">
        <f>(SUMIF('YBN Blank TB'!$R:$R,'YBN HO P&amp;L'!$A27,'YBN Blank TB'!G:G)+(SUMIF('YBN HO TB'!$R:$R,'YBN HO P&amp;L'!$A27,'YBN HO TB'!G:G)))</f>
        <v/>
      </c>
      <c r="T27" s="37">
        <f>(SUMIF('YBN Blank TB'!$R:$R,'YBN HO P&amp;L'!$A27,'YBN Blank TB'!H:H)+(SUMIF('YBN HO TB'!$R:$R,'YBN HO P&amp;L'!$A27,'YBN HO TB'!H:H)))</f>
        <v/>
      </c>
      <c r="U27" s="37">
        <f>(SUMIF('YBN Blank TB'!$R:$R,'YBN HO P&amp;L'!$A27,'YBN Blank TB'!I:I)+(SUMIF('YBN HO TB'!$R:$R,'YBN HO P&amp;L'!$A27,'YBN HO TB'!I:I)))</f>
        <v/>
      </c>
      <c r="V27" s="38" t="n"/>
      <c r="W27" s="38" t="n"/>
      <c r="X27" s="38" t="n"/>
      <c r="Y27" s="38" t="n"/>
      <c r="Z27" s="38" t="n"/>
      <c r="AA27" s="36">
        <f>SUM(O27:U27)</f>
        <v/>
      </c>
      <c r="AB27" s="36">
        <f>SUM(O27:Z27)</f>
        <v/>
      </c>
      <c r="AC27" s="38" t="n"/>
      <c r="AD27" s="38" t="n"/>
      <c r="AE27" s="38" t="n"/>
      <c r="AF27" s="38" t="n"/>
      <c r="AG27" s="38" t="n"/>
      <c r="AH27" s="38" t="n"/>
      <c r="AI27" s="8" t="n"/>
      <c r="AJ27" s="36">
        <f>SUM(E27:Q27)-$N27</f>
        <v/>
      </c>
      <c r="AK27" s="36">
        <f>SUM(H27:T27)-$N27</f>
        <v/>
      </c>
      <c r="AL27" s="36">
        <f>SUM(K27:W27)-$N27</f>
        <v/>
      </c>
      <c r="AM27" s="39">
        <f>SUM(N27:Z27)-$N27</f>
        <v/>
      </c>
      <c r="AN27" s="40" t="n"/>
      <c r="AO27" s="36">
        <f>SUM(AC27:AE27)+SUM(R27:Z27)</f>
        <v/>
      </c>
      <c r="AP27" s="36">
        <f>SUM(AC27:AH27)+SUM(U27:Z27)</f>
        <v/>
      </c>
    </row>
    <row r="28">
      <c r="A28" s="34" t="inlineStr">
        <is>
          <t>Toys and Games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5" t="n">
        <v>0</v>
      </c>
      <c r="I28" s="35" t="n">
        <v>0</v>
      </c>
      <c r="J28" s="35" t="n">
        <v>0</v>
      </c>
      <c r="K28" s="35" t="n">
        <v>0</v>
      </c>
      <c r="L28" s="35" t="n">
        <v>0</v>
      </c>
      <c r="M28" s="35" t="n">
        <v>0</v>
      </c>
      <c r="N28" s="36">
        <f>SUM(B28:M28)</f>
        <v/>
      </c>
      <c r="O28" s="37">
        <f>(SUMIF('YBN Blank TB'!$R:$R,'YBN HO P&amp;L'!$A28,'YBN Blank TB'!C:C)+(SUMIF('YBN HO TB'!$R:$R,'YBN HO P&amp;L'!$A28,'YBN HO TB'!C:C)))</f>
        <v/>
      </c>
      <c r="P28" s="37">
        <f>(SUMIF('YBN Blank TB'!$R:$R,'YBN HO P&amp;L'!$A28,'YBN Blank TB'!D:D)+(SUMIF('YBN HO TB'!$R:$R,'YBN HO P&amp;L'!$A28,'YBN HO TB'!D:D)))</f>
        <v/>
      </c>
      <c r="Q28" s="37">
        <f>(SUMIF('YBN Blank TB'!$R:$R,'YBN HO P&amp;L'!$A28,'YBN Blank TB'!E:E)+(SUMIF('YBN HO TB'!$R:$R,'YBN HO P&amp;L'!$A28,'YBN HO TB'!E:E)))</f>
        <v/>
      </c>
      <c r="R28" s="37">
        <f>(SUMIF('YBN Blank TB'!$R:$R,'YBN HO P&amp;L'!$A28,'YBN Blank TB'!F:F)+(SUMIF('YBN HO TB'!$R:$R,'YBN HO P&amp;L'!$A28,'YBN HO TB'!F:F)))</f>
        <v/>
      </c>
      <c r="S28" s="37">
        <f>(SUMIF('YBN Blank TB'!$R:$R,'YBN HO P&amp;L'!$A28,'YBN Blank TB'!G:G)+(SUMIF('YBN HO TB'!$R:$R,'YBN HO P&amp;L'!$A28,'YBN HO TB'!G:G)))</f>
        <v/>
      </c>
      <c r="T28" s="37">
        <f>(SUMIF('YBN Blank TB'!$R:$R,'YBN HO P&amp;L'!$A28,'YBN Blank TB'!H:H)+(SUMIF('YBN HO TB'!$R:$R,'YBN HO P&amp;L'!$A28,'YBN HO TB'!H:H)))</f>
        <v/>
      </c>
      <c r="U28" s="37">
        <f>(SUMIF('YBN Blank TB'!$R:$R,'YBN HO P&amp;L'!$A28,'YBN Blank TB'!I:I)+(SUMIF('YBN HO TB'!$R:$R,'YBN HO P&amp;L'!$A28,'YBN HO TB'!I:I)))</f>
        <v/>
      </c>
      <c r="V28" s="38" t="n"/>
      <c r="W28" s="38" t="n"/>
      <c r="X28" s="38" t="n"/>
      <c r="Y28" s="38" t="n"/>
      <c r="Z28" s="38" t="n"/>
      <c r="AA28" s="36">
        <f>SUM(O28:U28)</f>
        <v/>
      </c>
      <c r="AB28" s="36">
        <f>SUM(O28:Z28)</f>
        <v/>
      </c>
      <c r="AC28" s="38" t="n"/>
      <c r="AD28" s="38" t="n"/>
      <c r="AE28" s="38" t="n"/>
      <c r="AF28" s="38" t="n"/>
      <c r="AG28" s="38" t="n"/>
      <c r="AH28" s="38" t="n"/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9">
        <f>SUM(N28:Z28)-$N28</f>
        <v/>
      </c>
      <c r="AN28" s="40" t="n"/>
      <c r="AO28" s="36">
        <f>SUM(AC28:AE28)+SUM(R28:Z28)</f>
        <v/>
      </c>
      <c r="AP28" s="36">
        <f>SUM(AC28:AH28)+SUM(U28:Z28)</f>
        <v/>
      </c>
    </row>
    <row r="29">
      <c r="A29" s="34" t="inlineStr">
        <is>
          <t>Art Materials</t>
        </is>
      </c>
      <c r="B29" s="35" t="n">
        <v>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5" t="n">
        <v>0</v>
      </c>
      <c r="J29" s="35" t="n">
        <v>0</v>
      </c>
      <c r="K29" s="35" t="n">
        <v>0</v>
      </c>
      <c r="L29" s="35" t="n">
        <v>45</v>
      </c>
      <c r="M29" s="35" t="n">
        <v>0</v>
      </c>
      <c r="N29" s="36">
        <f>SUM(B29:M29)</f>
        <v/>
      </c>
      <c r="O29" s="37">
        <f>(SUMIF('YBN Blank TB'!$R:$R,'YBN HO P&amp;L'!$A29,'YBN Blank TB'!C:C)+(SUMIF('YBN HO TB'!$R:$R,'YBN HO P&amp;L'!$A29,'YBN HO TB'!C:C)))</f>
        <v/>
      </c>
      <c r="P29" s="37">
        <f>(SUMIF('YBN Blank TB'!$R:$R,'YBN HO P&amp;L'!$A29,'YBN Blank TB'!D:D)+(SUMIF('YBN HO TB'!$R:$R,'YBN HO P&amp;L'!$A29,'YBN HO TB'!D:D)))</f>
        <v/>
      </c>
      <c r="Q29" s="37">
        <f>(SUMIF('YBN Blank TB'!$R:$R,'YBN HO P&amp;L'!$A29,'YBN Blank TB'!E:E)+(SUMIF('YBN HO TB'!$R:$R,'YBN HO P&amp;L'!$A29,'YBN HO TB'!E:E)))</f>
        <v/>
      </c>
      <c r="R29" s="37">
        <f>(SUMIF('YBN Blank TB'!$R:$R,'YBN HO P&amp;L'!$A29,'YBN Blank TB'!F:F)+(SUMIF('YBN HO TB'!$R:$R,'YBN HO P&amp;L'!$A29,'YBN HO TB'!F:F)))</f>
        <v/>
      </c>
      <c r="S29" s="37">
        <f>(SUMIF('YBN Blank TB'!$R:$R,'YBN HO P&amp;L'!$A29,'YBN Blank TB'!G:G)+(SUMIF('YBN HO TB'!$R:$R,'YBN HO P&amp;L'!$A29,'YBN HO TB'!G:G)))</f>
        <v/>
      </c>
      <c r="T29" s="37">
        <f>(SUMIF('YBN Blank TB'!$R:$R,'YBN HO P&amp;L'!$A29,'YBN Blank TB'!H:H)+(SUMIF('YBN HO TB'!$R:$R,'YBN HO P&amp;L'!$A29,'YBN HO TB'!H:H)))</f>
        <v/>
      </c>
      <c r="U29" s="37">
        <f>(SUMIF('YBN Blank TB'!$R:$R,'YBN HO P&amp;L'!$A29,'YBN Blank TB'!I:I)+(SUMIF('YBN HO TB'!$R:$R,'YBN HO P&amp;L'!$A29,'YBN HO TB'!I:I)))</f>
        <v/>
      </c>
      <c r="V29" s="38" t="n"/>
      <c r="W29" s="38" t="n"/>
      <c r="X29" s="38" t="n"/>
      <c r="Y29" s="38" t="n"/>
      <c r="Z29" s="38" t="n"/>
      <c r="AA29" s="36">
        <f>SUM(O29:U29)</f>
        <v/>
      </c>
      <c r="AB29" s="36">
        <f>SUM(O29:Z29)</f>
        <v/>
      </c>
      <c r="AC29" s="38" t="n"/>
      <c r="AD29" s="38" t="n"/>
      <c r="AE29" s="38" t="n"/>
      <c r="AF29" s="38" t="n"/>
      <c r="AG29" s="38" t="n"/>
      <c r="AH29" s="38" t="n"/>
      <c r="AI29" s="8" t="n"/>
      <c r="AJ29" s="36">
        <f>SUM(E29:Q29)-$N29</f>
        <v/>
      </c>
      <c r="AK29" s="36">
        <f>SUM(H29:T29)-$N29</f>
        <v/>
      </c>
      <c r="AL29" s="36">
        <f>SUM(K29:W29)-$N29</f>
        <v/>
      </c>
      <c r="AM29" s="39">
        <f>SUM(N29:Z29)-$N29</f>
        <v/>
      </c>
      <c r="AN29" s="40" t="n"/>
      <c r="AO29" s="36">
        <f>SUM(AC29:AE29)+SUM(R29:Z29)</f>
        <v/>
      </c>
      <c r="AP29" s="36">
        <f>SUM(AC29:AH29)+SUM(U29:Z29)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(SUMIF('YBN Blank TB'!$R:$R,'YBN HO P&amp;L'!$A30,'YBN Blank TB'!C:C)+(SUMIF('YBN HO TB'!$R:$R,'YBN HO P&amp;L'!$A30,'YBN HO TB'!C:C)))</f>
        <v/>
      </c>
      <c r="P30" s="37">
        <f>(SUMIF('YBN Blank TB'!$R:$R,'YBN HO P&amp;L'!$A30,'YBN Blank TB'!D:D)+(SUMIF('YBN HO TB'!$R:$R,'YBN HO P&amp;L'!$A30,'YBN HO TB'!D:D)))</f>
        <v/>
      </c>
      <c r="Q30" s="37">
        <f>(SUMIF('YBN Blank TB'!$R:$R,'YBN HO P&amp;L'!$A30,'YBN Blank TB'!E:E)+(SUMIF('YBN HO TB'!$R:$R,'YBN HO P&amp;L'!$A30,'YBN HO TB'!E:E)))</f>
        <v/>
      </c>
      <c r="R30" s="37">
        <f>(SUMIF('YBN Blank TB'!$R:$R,'YBN HO P&amp;L'!$A30,'YBN Blank TB'!F:F)+(SUMIF('YBN HO TB'!$R:$R,'YBN HO P&amp;L'!$A30,'YBN HO TB'!F:F)))</f>
        <v/>
      </c>
      <c r="S30" s="37">
        <f>(SUMIF('YBN Blank TB'!$R:$R,'YBN HO P&amp;L'!$A30,'YBN Blank TB'!G:G)+(SUMIF('YBN HO TB'!$R:$R,'YBN HO P&amp;L'!$A30,'YBN HO TB'!G:G)))</f>
        <v/>
      </c>
      <c r="T30" s="37">
        <f>(SUMIF('YBN Blank TB'!$R:$R,'YBN HO P&amp;L'!$A30,'YBN Blank TB'!H:H)+(SUMIF('YBN HO TB'!$R:$R,'YBN HO P&amp;L'!$A30,'YBN HO TB'!H:H)))</f>
        <v/>
      </c>
      <c r="U30" s="37">
        <f>(SUMIF('YBN Blank TB'!$R:$R,'YBN HO P&amp;L'!$A30,'YBN Blank TB'!I:I)+(SUMIF('YBN HO TB'!$R:$R,'YBN HO P&amp;L'!$A30,'YBN HO TB'!I:I)))</f>
        <v/>
      </c>
      <c r="V30" s="38" t="n"/>
      <c r="W30" s="38" t="n"/>
      <c r="X30" s="38" t="n"/>
      <c r="Y30" s="38" t="n"/>
      <c r="Z30" s="38" t="n"/>
      <c r="AA30" s="36">
        <f>SUM(O30:U30)</f>
        <v/>
      </c>
      <c r="AB30" s="36">
        <f>SUM(O30:Z30)</f>
        <v/>
      </c>
      <c r="AC30" s="38" t="n"/>
      <c r="AD30" s="38" t="n"/>
      <c r="AE30" s="38" t="n"/>
      <c r="AF30" s="38" t="n"/>
      <c r="AG30" s="38" t="n"/>
      <c r="AH30" s="38" t="n"/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9">
        <f>SUM(N30:Z30)-$N30</f>
        <v/>
      </c>
      <c r="AN30" s="40" t="n"/>
      <c r="AO30" s="36">
        <f>SUM(AC30:AE30)+SUM(R30:Z30)</f>
        <v/>
      </c>
      <c r="AP30" s="36">
        <f>SUM(AC30:AH30)+SUM(U30:Z30)</f>
        <v/>
      </c>
    </row>
    <row r="31">
      <c r="A31" s="34" t="inlineStr">
        <is>
          <t>Nursery Equipment</t>
        </is>
      </c>
      <c r="B31" s="35" t="n">
        <v>0</v>
      </c>
      <c r="C31" s="35" t="n">
        <v>0</v>
      </c>
      <c r="D31" s="35" t="n">
        <v>0</v>
      </c>
      <c r="E31" s="35" t="n">
        <v>0</v>
      </c>
      <c r="F31" s="35" t="n">
        <v>0</v>
      </c>
      <c r="G31" s="35" t="n">
        <v>0</v>
      </c>
      <c r="H31" s="35" t="n">
        <v>0</v>
      </c>
      <c r="I31" s="35" t="n">
        <v>0</v>
      </c>
      <c r="J31" s="35" t="n">
        <v>0</v>
      </c>
      <c r="K31" s="35" t="n">
        <v>0</v>
      </c>
      <c r="L31" s="35" t="n">
        <v>0</v>
      </c>
      <c r="M31" s="35" t="n">
        <v>0</v>
      </c>
      <c r="N31" s="36">
        <f>SUM(B31:M31)</f>
        <v/>
      </c>
      <c r="O31" s="37">
        <f>(SUMIF('YBN Blank TB'!$R:$R,'YBN HO P&amp;L'!$A31,'YBN Blank TB'!C:C)+(SUMIF('YBN HO TB'!$R:$R,'YBN HO P&amp;L'!$A31,'YBN HO TB'!C:C)))</f>
        <v/>
      </c>
      <c r="P31" s="37">
        <f>(SUMIF('YBN Blank TB'!$R:$R,'YBN HO P&amp;L'!$A31,'YBN Blank TB'!D:D)+(SUMIF('YBN HO TB'!$R:$R,'YBN HO P&amp;L'!$A31,'YBN HO TB'!D:D)))</f>
        <v/>
      </c>
      <c r="Q31" s="37">
        <f>(SUMIF('YBN Blank TB'!$R:$R,'YBN HO P&amp;L'!$A31,'YBN Blank TB'!E:E)+(SUMIF('YBN HO TB'!$R:$R,'YBN HO P&amp;L'!$A31,'YBN HO TB'!E:E)))</f>
        <v/>
      </c>
      <c r="R31" s="37">
        <f>(SUMIF('YBN Blank TB'!$R:$R,'YBN HO P&amp;L'!$A31,'YBN Blank TB'!F:F)+(SUMIF('YBN HO TB'!$R:$R,'YBN HO P&amp;L'!$A31,'YBN HO TB'!F:F)))</f>
        <v/>
      </c>
      <c r="S31" s="37">
        <f>(SUMIF('YBN Blank TB'!$R:$R,'YBN HO P&amp;L'!$A31,'YBN Blank TB'!G:G)+(SUMIF('YBN HO TB'!$R:$R,'YBN HO P&amp;L'!$A31,'YBN HO TB'!G:G)))</f>
        <v/>
      </c>
      <c r="T31" s="37">
        <f>(SUMIF('YBN Blank TB'!$R:$R,'YBN HO P&amp;L'!$A31,'YBN Blank TB'!H:H)+(SUMIF('YBN HO TB'!$R:$R,'YBN HO P&amp;L'!$A31,'YBN HO TB'!H:H)))</f>
        <v/>
      </c>
      <c r="U31" s="37">
        <f>(SUMIF('YBN Blank TB'!$R:$R,'YBN HO P&amp;L'!$A31,'YBN Blank TB'!I:I)+(SUMIF('YBN HO TB'!$R:$R,'YBN HO P&amp;L'!$A31,'YBN HO TB'!I:I)))</f>
        <v/>
      </c>
      <c r="V31" s="38" t="n"/>
      <c r="W31" s="38" t="n"/>
      <c r="X31" s="38" t="n"/>
      <c r="Y31" s="38" t="n"/>
      <c r="Z31" s="38" t="n"/>
      <c r="AA31" s="36">
        <f>SUM(O31:U31)</f>
        <v/>
      </c>
      <c r="AB31" s="36">
        <f>SUM(O31:Z31)</f>
        <v/>
      </c>
      <c r="AC31" s="38" t="n"/>
      <c r="AD31" s="38" t="n"/>
      <c r="AE31" s="38" t="n"/>
      <c r="AF31" s="38" t="n"/>
      <c r="AG31" s="38" t="n"/>
      <c r="AH31" s="38" t="n"/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9">
        <f>SUM(N31:Z31)-$N31</f>
        <v/>
      </c>
      <c r="AN31" s="40" t="n"/>
      <c r="AO31" s="36">
        <f>SUM(AC31:AE31)+SUM(R31:Z31)</f>
        <v/>
      </c>
      <c r="AP31" s="36">
        <f>SUM(AC31:AH31)+SUM(U31:Z31)</f>
        <v/>
      </c>
    </row>
    <row r="32">
      <c r="A32" s="34" t="inlineStr">
        <is>
          <t>Nursery Consumables</t>
        </is>
      </c>
      <c r="B32" s="35" t="n">
        <v>0</v>
      </c>
      <c r="C32" s="35" t="n">
        <v>0</v>
      </c>
      <c r="D32" s="35" t="n">
        <v>0</v>
      </c>
      <c r="E32" s="35" t="n">
        <v>0</v>
      </c>
      <c r="F32" s="35" t="n">
        <v>0</v>
      </c>
      <c r="G32" s="35" t="n">
        <v>0</v>
      </c>
      <c r="H32" s="35" t="n">
        <v>0</v>
      </c>
      <c r="I32" s="35" t="n">
        <v>0</v>
      </c>
      <c r="J32" s="35" t="n">
        <v>0</v>
      </c>
      <c r="K32" s="35" t="n">
        <v>0</v>
      </c>
      <c r="L32" s="35" t="n">
        <v>0</v>
      </c>
      <c r="M32" s="35" t="n">
        <v>0</v>
      </c>
      <c r="N32" s="36">
        <f>SUM(B32:M32)</f>
        <v/>
      </c>
      <c r="O32" s="37">
        <f>(SUMIF('YBN Blank TB'!$R:$R,'YBN HO P&amp;L'!$A32,'YBN Blank TB'!C:C)+(SUMIF('YBN HO TB'!$R:$R,'YBN HO P&amp;L'!$A32,'YBN HO TB'!C:C)))</f>
        <v/>
      </c>
      <c r="P32" s="37">
        <f>(SUMIF('YBN Blank TB'!$R:$R,'YBN HO P&amp;L'!$A32,'YBN Blank TB'!D:D)+(SUMIF('YBN HO TB'!$R:$R,'YBN HO P&amp;L'!$A32,'YBN HO TB'!D:D)))</f>
        <v/>
      </c>
      <c r="Q32" s="37">
        <f>(SUMIF('YBN Blank TB'!$R:$R,'YBN HO P&amp;L'!$A32,'YBN Blank TB'!E:E)+(SUMIF('YBN HO TB'!$R:$R,'YBN HO P&amp;L'!$A32,'YBN HO TB'!E:E)))</f>
        <v/>
      </c>
      <c r="R32" s="37">
        <f>(SUMIF('YBN Blank TB'!$R:$R,'YBN HO P&amp;L'!$A32,'YBN Blank TB'!F:F)+(SUMIF('YBN HO TB'!$R:$R,'YBN HO P&amp;L'!$A32,'YBN HO TB'!F:F)))</f>
        <v/>
      </c>
      <c r="S32" s="37">
        <f>(SUMIF('YBN Blank TB'!$R:$R,'YBN HO P&amp;L'!$A32,'YBN Blank TB'!G:G)+(SUMIF('YBN HO TB'!$R:$R,'YBN HO P&amp;L'!$A32,'YBN HO TB'!G:G)))</f>
        <v/>
      </c>
      <c r="T32" s="37">
        <f>(SUMIF('YBN Blank TB'!$R:$R,'YBN HO P&amp;L'!$A32,'YBN Blank TB'!H:H)+(SUMIF('YBN HO TB'!$R:$R,'YBN HO P&amp;L'!$A32,'YBN HO TB'!H:H)))</f>
        <v/>
      </c>
      <c r="U32" s="37">
        <f>(SUMIF('YBN Blank TB'!$R:$R,'YBN HO P&amp;L'!$A32,'YBN Blank TB'!I:I)+(SUMIF('YBN HO TB'!$R:$R,'YBN HO P&amp;L'!$A32,'YBN HO TB'!I:I)))</f>
        <v/>
      </c>
      <c r="V32" s="38" t="n"/>
      <c r="W32" s="38" t="n"/>
      <c r="X32" s="38" t="n"/>
      <c r="Y32" s="38" t="n"/>
      <c r="Z32" s="38" t="n"/>
      <c r="AA32" s="36">
        <f>SUM(O32:U32)</f>
        <v/>
      </c>
      <c r="AB32" s="36">
        <f>SUM(O32:Z32)</f>
        <v/>
      </c>
      <c r="AC32" s="38" t="n"/>
      <c r="AD32" s="38" t="n"/>
      <c r="AE32" s="38" t="n"/>
      <c r="AF32" s="38" t="n"/>
      <c r="AG32" s="38" t="n"/>
      <c r="AH32" s="38" t="n"/>
      <c r="AI32" s="8" t="n"/>
      <c r="AJ32" s="36">
        <f>SUM(E32:Q32)-$N32</f>
        <v/>
      </c>
      <c r="AK32" s="36">
        <f>SUM(H32:T32)-$N32</f>
        <v/>
      </c>
      <c r="AL32" s="36">
        <f>SUM(K32:W32)-$N32</f>
        <v/>
      </c>
      <c r="AM32" s="39">
        <f>SUM(N32:Z32)-$N32</f>
        <v/>
      </c>
      <c r="AN32" s="40" t="n"/>
      <c r="AO32" s="36">
        <f>SUM(AC32:AE32)+SUM(R32:Z32)</f>
        <v/>
      </c>
      <c r="AP32" s="36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(SUMIF('YBN Blank TB'!$R:$R,'YBN HO P&amp;L'!$A33,'YBN Blank TB'!C:C)+(SUMIF('YBN HO TB'!$R:$R,'YBN HO P&amp;L'!$A33,'YBN HO TB'!C:C)))</f>
        <v/>
      </c>
      <c r="P33" s="37">
        <f>(SUMIF('YBN Blank TB'!$R:$R,'YBN HO P&amp;L'!$A33,'YBN Blank TB'!D:D)+(SUMIF('YBN HO TB'!$R:$R,'YBN HO P&amp;L'!$A33,'YBN HO TB'!D:D)))</f>
        <v/>
      </c>
      <c r="Q33" s="37">
        <f>(SUMIF('YBN Blank TB'!$R:$R,'YBN HO P&amp;L'!$A33,'YBN Blank TB'!E:E)+(SUMIF('YBN HO TB'!$R:$R,'YBN HO P&amp;L'!$A33,'YBN HO TB'!E:E)))</f>
        <v/>
      </c>
      <c r="R33" s="37">
        <f>(SUMIF('YBN Blank TB'!$R:$R,'YBN HO P&amp;L'!$A33,'YBN Blank TB'!F:F)+(SUMIF('YBN HO TB'!$R:$R,'YBN HO P&amp;L'!$A33,'YBN HO TB'!F:F)))</f>
        <v/>
      </c>
      <c r="S33" s="37">
        <f>(SUMIF('YBN Blank TB'!$R:$R,'YBN HO P&amp;L'!$A33,'YBN Blank TB'!G:G)+(SUMIF('YBN HO TB'!$R:$R,'YBN HO P&amp;L'!$A33,'YBN HO TB'!G:G)))</f>
        <v/>
      </c>
      <c r="T33" s="37">
        <f>(SUMIF('YBN Blank TB'!$R:$R,'YBN HO P&amp;L'!$A33,'YBN Blank TB'!H:H)+(SUMIF('YBN HO TB'!$R:$R,'YBN HO P&amp;L'!$A33,'YBN HO TB'!H:H)))</f>
        <v/>
      </c>
      <c r="U33" s="37">
        <f>(SUMIF('YBN Blank TB'!$R:$R,'YBN HO P&amp;L'!$A33,'YBN Blank TB'!I:I)+(SUMIF('YBN HO TB'!$R:$R,'YBN HO P&amp;L'!$A33,'YBN HO TB'!I:I)))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9">
        <f>SUM(N33:Z33)-$N33</f>
        <v/>
      </c>
      <c r="AN33" s="40" t="n"/>
      <c r="AO33" s="36">
        <f>SUM(AC33:AE33)+SUM(R33:Z33)</f>
        <v/>
      </c>
      <c r="AP33" s="36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0</v>
      </c>
      <c r="C34" s="42" t="n">
        <v>0</v>
      </c>
      <c r="D34" s="42" t="n">
        <v>0</v>
      </c>
      <c r="E34" s="42" t="n">
        <v>0</v>
      </c>
      <c r="F34" s="42" t="n">
        <v>0</v>
      </c>
      <c r="G34" s="42" t="n">
        <v>0</v>
      </c>
      <c r="H34" s="42" t="n">
        <v>0</v>
      </c>
      <c r="I34" s="42" t="n">
        <v>0</v>
      </c>
      <c r="J34" s="42" t="n">
        <v>0</v>
      </c>
      <c r="K34" s="42" t="n">
        <v>0</v>
      </c>
      <c r="L34" s="42" t="n">
        <v>45</v>
      </c>
      <c r="M34" s="42" t="n">
        <v>0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 t="n"/>
      <c r="AD34" s="45" t="n"/>
      <c r="AE34" s="45" t="n"/>
      <c r="AF34" s="45" t="n"/>
      <c r="AG34" s="45" t="n"/>
      <c r="AH34" s="45" t="n"/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43">
        <f>SUM(AO27:AO33)</f>
        <v/>
      </c>
      <c r="AP34" s="4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8" t="n"/>
      <c r="AJ35" s="36">
        <f>SUM(E35:Q35)-$N35</f>
        <v/>
      </c>
      <c r="AK35" s="36">
        <f>SUM(H35:T35)-$N35</f>
        <v/>
      </c>
      <c r="AL35" s="36">
        <f>SUM(K35:W35)-$N35</f>
        <v/>
      </c>
      <c r="AM35" s="39">
        <f>SUM(N35:Z35)-$N35</f>
        <v/>
      </c>
      <c r="AN35" s="40" t="n"/>
      <c r="AO35" s="36">
        <f>SUM(I35:U35)-$N35</f>
        <v/>
      </c>
      <c r="AP35" s="36">
        <f>SUM(J35:V35)-$N35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(SUMIF('YBN Blank TB'!$R:$R,'YBN HO P&amp;L'!$A36,'YBN Blank TB'!C:C)+(SUMIF('YBN HO TB'!$R:$R,'YBN HO P&amp;L'!$A36,'YBN HO TB'!C:C)))</f>
        <v/>
      </c>
      <c r="P36" s="37">
        <f>(SUMIF('YBN Blank TB'!$R:$R,'YBN HO P&amp;L'!$A36,'YBN Blank TB'!D:D)+(SUMIF('YBN HO TB'!$R:$R,'YBN HO P&amp;L'!$A36,'YBN HO TB'!D:D)))</f>
        <v/>
      </c>
      <c r="Q36" s="37">
        <f>(SUMIF('YBN Blank TB'!$R:$R,'YBN HO P&amp;L'!$A36,'YBN Blank TB'!E:E)+(SUMIF('YBN HO TB'!$R:$R,'YBN HO P&amp;L'!$A36,'YBN HO TB'!E:E)))</f>
        <v/>
      </c>
      <c r="R36" s="37">
        <f>(SUMIF('YBN Blank TB'!$R:$R,'YBN HO P&amp;L'!$A36,'YBN Blank TB'!F:F)+(SUMIF('YBN HO TB'!$R:$R,'YBN HO P&amp;L'!$A36,'YBN HO TB'!F:F)))</f>
        <v/>
      </c>
      <c r="S36" s="37">
        <f>(SUMIF('YBN Blank TB'!$R:$R,'YBN HO P&amp;L'!$A36,'YBN Blank TB'!G:G)+(SUMIF('YBN HO TB'!$R:$R,'YBN HO P&amp;L'!$A36,'YBN HO TB'!G:G)))</f>
        <v/>
      </c>
      <c r="T36" s="37">
        <f>(SUMIF('YBN Blank TB'!$R:$R,'YBN HO P&amp;L'!$A36,'YBN Blank TB'!H:H)+(SUMIF('YBN HO TB'!$R:$R,'YBN HO P&amp;L'!$A36,'YBN HO TB'!H:H)))</f>
        <v/>
      </c>
      <c r="U36" s="37">
        <f>(SUMIF('YBN Blank TB'!$R:$R,'YBN HO P&amp;L'!$A36,'YBN Blank TB'!I:I)+(SUMIF('YBN HO TB'!$R:$R,'YBN HO P&amp;L'!$A36,'YBN HO TB'!I:I)))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9">
        <f>SUM(N36:Z36)-$N36</f>
        <v/>
      </c>
      <c r="AN36" s="40" t="n"/>
      <c r="AO36" s="36">
        <f>SUM(AC36:AE36)+SUM(R36:Z36)</f>
        <v/>
      </c>
      <c r="AP36" s="36">
        <f>SUM(AC36:AH36)+SUM(U36:Z36)</f>
        <v/>
      </c>
    </row>
    <row r="37">
      <c r="A37" s="34" t="inlineStr">
        <is>
          <t>Business Rates</t>
        </is>
      </c>
      <c r="B37" s="35" t="n">
        <v>0</v>
      </c>
      <c r="C37" s="35" t="n">
        <v>0</v>
      </c>
      <c r="D37" s="35" t="n">
        <v>0</v>
      </c>
      <c r="E37" s="35" t="n">
        <v>0</v>
      </c>
      <c r="F37" s="35" t="n">
        <v>0</v>
      </c>
      <c r="G37" s="35" t="n">
        <v>0</v>
      </c>
      <c r="H37" s="35" t="n">
        <v>0</v>
      </c>
      <c r="I37" s="35" t="n">
        <v>0</v>
      </c>
      <c r="J37" s="35" t="n">
        <v>0</v>
      </c>
      <c r="K37" s="35" t="n">
        <v>0</v>
      </c>
      <c r="L37" s="35" t="n">
        <v>0</v>
      </c>
      <c r="M37" s="35" t="n">
        <v>0</v>
      </c>
      <c r="N37" s="36">
        <f>SUM(B37:M37)</f>
        <v/>
      </c>
      <c r="O37" s="37">
        <f>(SUMIF('YBN Blank TB'!$R:$R,'YBN HO P&amp;L'!$A37,'YBN Blank TB'!C:C)+(SUMIF('YBN HO TB'!$R:$R,'YBN HO P&amp;L'!$A37,'YBN HO TB'!C:C)))</f>
        <v/>
      </c>
      <c r="P37" s="37">
        <f>(SUMIF('YBN Blank TB'!$R:$R,'YBN HO P&amp;L'!$A37,'YBN Blank TB'!D:D)+(SUMIF('YBN HO TB'!$R:$R,'YBN HO P&amp;L'!$A37,'YBN HO TB'!D:D)))</f>
        <v/>
      </c>
      <c r="Q37" s="37">
        <f>(SUMIF('YBN Blank TB'!$R:$R,'YBN HO P&amp;L'!$A37,'YBN Blank TB'!E:E)+(SUMIF('YBN HO TB'!$R:$R,'YBN HO P&amp;L'!$A37,'YBN HO TB'!E:E)))</f>
        <v/>
      </c>
      <c r="R37" s="37">
        <f>(SUMIF('YBN Blank TB'!$R:$R,'YBN HO P&amp;L'!$A37,'YBN Blank TB'!F:F)+(SUMIF('YBN HO TB'!$R:$R,'YBN HO P&amp;L'!$A37,'YBN HO TB'!F:F)))</f>
        <v/>
      </c>
      <c r="S37" s="37">
        <f>(SUMIF('YBN Blank TB'!$R:$R,'YBN HO P&amp;L'!$A37,'YBN Blank TB'!G:G)+(SUMIF('YBN HO TB'!$R:$R,'YBN HO P&amp;L'!$A37,'YBN HO TB'!G:G)))</f>
        <v/>
      </c>
      <c r="T37" s="37">
        <f>(SUMIF('YBN Blank TB'!$R:$R,'YBN HO P&amp;L'!$A37,'YBN Blank TB'!H:H)+(SUMIF('YBN HO TB'!$R:$R,'YBN HO P&amp;L'!$A37,'YBN HO TB'!H:H)))</f>
        <v/>
      </c>
      <c r="U37" s="37">
        <f>(SUMIF('YBN Blank TB'!$R:$R,'YBN HO P&amp;L'!$A37,'YBN Blank TB'!I:I)+(SUMIF('YBN HO TB'!$R:$R,'YBN HO P&amp;L'!$A37,'YBN HO TB'!I:I)))</f>
        <v/>
      </c>
      <c r="V37" s="38" t="n"/>
      <c r="W37" s="38" t="n"/>
      <c r="X37" s="38" t="n"/>
      <c r="Y37" s="38" t="n"/>
      <c r="Z37" s="38" t="n"/>
      <c r="AA37" s="36">
        <f>SUM(O37:U37)</f>
        <v/>
      </c>
      <c r="AB37" s="36">
        <f>SUM(O37:Z37)</f>
        <v/>
      </c>
      <c r="AC37" s="38" t="n"/>
      <c r="AD37" s="38" t="n"/>
      <c r="AE37" s="38" t="n"/>
      <c r="AF37" s="38" t="n"/>
      <c r="AG37" s="38" t="n"/>
      <c r="AH37" s="38" t="n"/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9">
        <f>SUM(N37:Z37)-$N37</f>
        <v/>
      </c>
      <c r="AN37" s="40" t="n"/>
      <c r="AO37" s="36">
        <f>SUM(AC37:AE37)+SUM(R37:Z37)</f>
        <v/>
      </c>
      <c r="AP37" s="36">
        <f>SUM(AC37:AH37)+SUM(U37:Z37)</f>
        <v/>
      </c>
    </row>
    <row r="38">
      <c r="A38" s="34" t="inlineStr">
        <is>
          <t>Utilities</t>
        </is>
      </c>
      <c r="B38" s="35" t="n">
        <v>0</v>
      </c>
      <c r="C38" s="35" t="n">
        <v>0</v>
      </c>
      <c r="D38" s="35" t="n">
        <v>0</v>
      </c>
      <c r="E38" s="35" t="n">
        <v>0</v>
      </c>
      <c r="F38" s="35" t="n">
        <v>0</v>
      </c>
      <c r="G38" s="35" t="n">
        <v>0</v>
      </c>
      <c r="H38" s="35" t="n">
        <v>0</v>
      </c>
      <c r="I38" s="35" t="n">
        <v>0</v>
      </c>
      <c r="J38" s="35" t="n">
        <v>0</v>
      </c>
      <c r="K38" s="35" t="n">
        <v>0</v>
      </c>
      <c r="L38" s="35" t="n">
        <v>0</v>
      </c>
      <c r="M38" s="35" t="n">
        <v>0</v>
      </c>
      <c r="N38" s="36">
        <f>SUM(B38:M38)</f>
        <v/>
      </c>
      <c r="O38" s="37">
        <f>(SUMIF('YBN Blank TB'!$R:$R,'YBN HO P&amp;L'!$A38,'YBN Blank TB'!C:C)+(SUMIF('YBN HO TB'!$R:$R,'YBN HO P&amp;L'!$A38,'YBN HO TB'!C:C)))</f>
        <v/>
      </c>
      <c r="P38" s="37">
        <f>(SUMIF('YBN Blank TB'!$R:$R,'YBN HO P&amp;L'!$A38,'YBN Blank TB'!D:D)+(SUMIF('YBN HO TB'!$R:$R,'YBN HO P&amp;L'!$A38,'YBN HO TB'!D:D)))</f>
        <v/>
      </c>
      <c r="Q38" s="37">
        <f>(SUMIF('YBN Blank TB'!$R:$R,'YBN HO P&amp;L'!$A38,'YBN Blank TB'!E:E)+(SUMIF('YBN HO TB'!$R:$R,'YBN HO P&amp;L'!$A38,'YBN HO TB'!E:E)))</f>
        <v/>
      </c>
      <c r="R38" s="37">
        <f>(SUMIF('YBN Blank TB'!$R:$R,'YBN HO P&amp;L'!$A38,'YBN Blank TB'!F:F)+(SUMIF('YBN HO TB'!$R:$R,'YBN HO P&amp;L'!$A38,'YBN HO TB'!F:F)))</f>
        <v/>
      </c>
      <c r="S38" s="37">
        <f>(SUMIF('YBN Blank TB'!$R:$R,'YBN HO P&amp;L'!$A38,'YBN Blank TB'!G:G)+(SUMIF('YBN HO TB'!$R:$R,'YBN HO P&amp;L'!$A38,'YBN HO TB'!G:G)))</f>
        <v/>
      </c>
      <c r="T38" s="37">
        <f>(SUMIF('YBN Blank TB'!$R:$R,'YBN HO P&amp;L'!$A38,'YBN Blank TB'!H:H)+(SUMIF('YBN HO TB'!$R:$R,'YBN HO P&amp;L'!$A38,'YBN HO TB'!H:H)))</f>
        <v/>
      </c>
      <c r="U38" s="37">
        <f>(SUMIF('YBN Blank TB'!$R:$R,'YBN HO P&amp;L'!$A38,'YBN Blank TB'!I:I)+(SUMIF('YBN HO TB'!$R:$R,'YBN HO P&amp;L'!$A38,'YBN HO TB'!I:I)))</f>
        <v/>
      </c>
      <c r="V38" s="38" t="n"/>
      <c r="W38" s="38" t="n"/>
      <c r="X38" s="38" t="n"/>
      <c r="Y38" s="38" t="n"/>
      <c r="Z38" s="38" t="n"/>
      <c r="AA38" s="36">
        <f>SUM(O38:U38)</f>
        <v/>
      </c>
      <c r="AB38" s="36">
        <f>SUM(O38:Z38)</f>
        <v/>
      </c>
      <c r="AC38" s="38" t="n"/>
      <c r="AD38" s="38" t="n"/>
      <c r="AE38" s="38" t="n"/>
      <c r="AF38" s="38" t="n"/>
      <c r="AG38" s="38" t="n"/>
      <c r="AH38" s="38" t="n"/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9">
        <f>SUM(N38:Z38)-$N38</f>
        <v/>
      </c>
      <c r="AN38" s="40" t="n"/>
      <c r="AO38" s="36">
        <f>SUM(AC38:AE38)+SUM(R38:Z38)</f>
        <v/>
      </c>
      <c r="AP38" s="36">
        <f>SUM(AC38:AH38)+SUM(U38:Z38)</f>
        <v/>
      </c>
    </row>
    <row r="39">
      <c r="A39" s="34" t="inlineStr">
        <is>
          <t>Repairs &amp; Maintenance</t>
        </is>
      </c>
      <c r="B39" s="35" t="n">
        <v>0</v>
      </c>
      <c r="C39" s="35" t="n">
        <v>0</v>
      </c>
      <c r="D39" s="35" t="n">
        <v>0</v>
      </c>
      <c r="E39" s="35" t="n">
        <v>0</v>
      </c>
      <c r="F39" s="35" t="n">
        <v>71.98</v>
      </c>
      <c r="G39" s="35" t="n">
        <v>0</v>
      </c>
      <c r="H39" s="35" t="n">
        <v>0</v>
      </c>
      <c r="I39" s="35" t="n">
        <v>0</v>
      </c>
      <c r="J39" s="35" t="n">
        <v>0</v>
      </c>
      <c r="K39" s="35" t="n">
        <v>0</v>
      </c>
      <c r="L39" s="35" t="n">
        <v>0</v>
      </c>
      <c r="M39" s="35" t="n">
        <v>0</v>
      </c>
      <c r="N39" s="36">
        <f>SUM(B39:M39)</f>
        <v/>
      </c>
      <c r="O39" s="37">
        <f>(SUMIF('YBN Blank TB'!$R:$R,'YBN HO P&amp;L'!$A39,'YBN Blank TB'!C:C)+(SUMIF('YBN HO TB'!$R:$R,'YBN HO P&amp;L'!$A39,'YBN HO TB'!C:C)))</f>
        <v/>
      </c>
      <c r="P39" s="37">
        <f>(SUMIF('YBN Blank TB'!$R:$R,'YBN HO P&amp;L'!$A39,'YBN Blank TB'!D:D)+(SUMIF('YBN HO TB'!$R:$R,'YBN HO P&amp;L'!$A39,'YBN HO TB'!D:D)))</f>
        <v/>
      </c>
      <c r="Q39" s="37">
        <f>(SUMIF('YBN Blank TB'!$R:$R,'YBN HO P&amp;L'!$A39,'YBN Blank TB'!E:E)+(SUMIF('YBN HO TB'!$R:$R,'YBN HO P&amp;L'!$A39,'YBN HO TB'!E:E)))</f>
        <v/>
      </c>
      <c r="R39" s="37">
        <f>(SUMIF('YBN Blank TB'!$R:$R,'YBN HO P&amp;L'!$A39,'YBN Blank TB'!F:F)+(SUMIF('YBN HO TB'!$R:$R,'YBN HO P&amp;L'!$A39,'YBN HO TB'!F:F)))</f>
        <v/>
      </c>
      <c r="S39" s="37">
        <f>(SUMIF('YBN Blank TB'!$R:$R,'YBN HO P&amp;L'!$A39,'YBN Blank TB'!G:G)+(SUMIF('YBN HO TB'!$R:$R,'YBN HO P&amp;L'!$A39,'YBN HO TB'!G:G)))</f>
        <v/>
      </c>
      <c r="T39" s="37">
        <f>(SUMIF('YBN Blank TB'!$R:$R,'YBN HO P&amp;L'!$A39,'YBN Blank TB'!H:H)+(SUMIF('YBN HO TB'!$R:$R,'YBN HO P&amp;L'!$A39,'YBN HO TB'!H:H)))</f>
        <v/>
      </c>
      <c r="U39" s="37">
        <f>(SUMIF('YBN Blank TB'!$R:$R,'YBN HO P&amp;L'!$A39,'YBN Blank TB'!I:I)+(SUMIF('YBN HO TB'!$R:$R,'YBN HO P&amp;L'!$A39,'YBN HO TB'!I:I)))</f>
        <v/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9">
        <f>SUM(N39:Z39)-$N39</f>
        <v/>
      </c>
      <c r="AN39" s="40" t="n"/>
      <c r="AO39" s="36">
        <f>SUM(AC39:AE39)+SUM(R39:Z39)</f>
        <v/>
      </c>
      <c r="AP39" s="36">
        <f>SUM(AC39:AH39)+SUM(U39:Z39)</f>
        <v/>
      </c>
    </row>
    <row r="40">
      <c r="A40" s="34" t="inlineStr">
        <is>
          <t>Cleaning</t>
        </is>
      </c>
      <c r="B40" s="35" t="n">
        <v>0</v>
      </c>
      <c r="C40" s="35" t="n">
        <v>0</v>
      </c>
      <c r="D40" s="35" t="n">
        <v>0</v>
      </c>
      <c r="E40" s="35" t="n">
        <v>0</v>
      </c>
      <c r="F40" s="35" t="n">
        <v>0</v>
      </c>
      <c r="G40" s="35" t="n">
        <v>0</v>
      </c>
      <c r="H40" s="35" t="n">
        <v>0</v>
      </c>
      <c r="I40" s="35" t="n">
        <v>0</v>
      </c>
      <c r="J40" s="35" t="n">
        <v>0</v>
      </c>
      <c r="K40" s="35" t="n">
        <v>0</v>
      </c>
      <c r="L40" s="35" t="n">
        <v>0</v>
      </c>
      <c r="M40" s="35" t="n">
        <v>0</v>
      </c>
      <c r="N40" s="36">
        <f>SUM(B40:M40)</f>
        <v/>
      </c>
      <c r="O40" s="37">
        <f>(SUMIF('YBN Blank TB'!$R:$R,'YBN HO P&amp;L'!$A40,'YBN Blank TB'!C:C)+(SUMIF('YBN HO TB'!$R:$R,'YBN HO P&amp;L'!$A40,'YBN HO TB'!C:C)))</f>
        <v/>
      </c>
      <c r="P40" s="37">
        <f>(SUMIF('YBN Blank TB'!$R:$R,'YBN HO P&amp;L'!$A40,'YBN Blank TB'!D:D)+(SUMIF('YBN HO TB'!$R:$R,'YBN HO P&amp;L'!$A40,'YBN HO TB'!D:D)))</f>
        <v/>
      </c>
      <c r="Q40" s="37">
        <f>(SUMIF('YBN Blank TB'!$R:$R,'YBN HO P&amp;L'!$A40,'YBN Blank TB'!E:E)+(SUMIF('YBN HO TB'!$R:$R,'YBN HO P&amp;L'!$A40,'YBN HO TB'!E:E)))</f>
        <v/>
      </c>
      <c r="R40" s="37">
        <f>(SUMIF('YBN Blank TB'!$R:$R,'YBN HO P&amp;L'!$A40,'YBN Blank TB'!F:F)+(SUMIF('YBN HO TB'!$R:$R,'YBN HO P&amp;L'!$A40,'YBN HO TB'!F:F)))</f>
        <v/>
      </c>
      <c r="S40" s="37">
        <f>(SUMIF('YBN Blank TB'!$R:$R,'YBN HO P&amp;L'!$A40,'YBN Blank TB'!G:G)+(SUMIF('YBN HO TB'!$R:$R,'YBN HO P&amp;L'!$A40,'YBN HO TB'!G:G)))</f>
        <v/>
      </c>
      <c r="T40" s="37">
        <f>(SUMIF('YBN Blank TB'!$R:$R,'YBN HO P&amp;L'!$A40,'YBN Blank TB'!H:H)+(SUMIF('YBN HO TB'!$R:$R,'YBN HO P&amp;L'!$A40,'YBN HO TB'!H:H)))</f>
        <v/>
      </c>
      <c r="U40" s="37">
        <f>(SUMIF('YBN Blank TB'!$R:$R,'YBN HO P&amp;L'!$A40,'YBN Blank TB'!I:I)+(SUMIF('YBN HO TB'!$R:$R,'YBN HO P&amp;L'!$A40,'YBN HO TB'!I:I)))</f>
        <v/>
      </c>
      <c r="V40" s="38" t="n"/>
      <c r="W40" s="38" t="n"/>
      <c r="X40" s="38" t="n"/>
      <c r="Y40" s="38" t="n"/>
      <c r="Z40" s="38" t="n"/>
      <c r="AA40" s="36">
        <f>SUM(O40:U40)</f>
        <v/>
      </c>
      <c r="AB40" s="36">
        <f>SUM(O40:Z40)</f>
        <v/>
      </c>
      <c r="AC40" s="38" t="n"/>
      <c r="AD40" s="38" t="n"/>
      <c r="AE40" s="38" t="n"/>
      <c r="AF40" s="38" t="n"/>
      <c r="AG40" s="38" t="n"/>
      <c r="AH40" s="38" t="n"/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9">
        <f>SUM(N40:Z40)-$N40</f>
        <v/>
      </c>
      <c r="AN40" s="40" t="n"/>
      <c r="AO40" s="36">
        <f>SUM(AC40:AE40)+SUM(R40:Z40)</f>
        <v/>
      </c>
      <c r="AP40" s="36">
        <f>SUM(AC40:AH40)+SUM(U40:Z40)</f>
        <v/>
      </c>
    </row>
    <row r="41">
      <c r="A41" s="34" t="inlineStr">
        <is>
          <t>Waste Disposal</t>
        </is>
      </c>
      <c r="B41" s="35" t="n">
        <v>0</v>
      </c>
      <c r="C41" s="35" t="n">
        <v>0</v>
      </c>
      <c r="D41" s="35" t="n">
        <v>0</v>
      </c>
      <c r="E41" s="35" t="n">
        <v>0</v>
      </c>
      <c r="F41" s="35" t="n">
        <v>0</v>
      </c>
      <c r="G41" s="35" t="n">
        <v>0</v>
      </c>
      <c r="H41" s="35" t="n">
        <v>0</v>
      </c>
      <c r="I41" s="35" t="n">
        <v>0</v>
      </c>
      <c r="J41" s="35" t="n">
        <v>0</v>
      </c>
      <c r="K41" s="35" t="n">
        <v>0</v>
      </c>
      <c r="L41" s="35" t="n">
        <v>0</v>
      </c>
      <c r="M41" s="35" t="n">
        <v>0</v>
      </c>
      <c r="N41" s="36">
        <f>SUM(B41:M41)</f>
        <v/>
      </c>
      <c r="O41" s="37">
        <f>(SUMIF('YBN Blank TB'!$R:$R,'YBN HO P&amp;L'!$A41,'YBN Blank TB'!C:C)+(SUMIF('YBN HO TB'!$R:$R,'YBN HO P&amp;L'!$A41,'YBN HO TB'!C:C)))</f>
        <v/>
      </c>
      <c r="P41" s="37">
        <f>(SUMIF('YBN Blank TB'!$R:$R,'YBN HO P&amp;L'!$A41,'YBN Blank TB'!D:D)+(SUMIF('YBN HO TB'!$R:$R,'YBN HO P&amp;L'!$A41,'YBN HO TB'!D:D)))</f>
        <v/>
      </c>
      <c r="Q41" s="37">
        <f>(SUMIF('YBN Blank TB'!$R:$R,'YBN HO P&amp;L'!$A41,'YBN Blank TB'!E:E)+(SUMIF('YBN HO TB'!$R:$R,'YBN HO P&amp;L'!$A41,'YBN HO TB'!E:E)))</f>
        <v/>
      </c>
      <c r="R41" s="37">
        <f>(SUMIF('YBN Blank TB'!$R:$R,'YBN HO P&amp;L'!$A41,'YBN Blank TB'!F:F)+(SUMIF('YBN HO TB'!$R:$R,'YBN HO P&amp;L'!$A41,'YBN HO TB'!F:F)))</f>
        <v/>
      </c>
      <c r="S41" s="37">
        <f>(SUMIF('YBN Blank TB'!$R:$R,'YBN HO P&amp;L'!$A41,'YBN Blank TB'!G:G)+(SUMIF('YBN HO TB'!$R:$R,'YBN HO P&amp;L'!$A41,'YBN HO TB'!G:G)))</f>
        <v/>
      </c>
      <c r="T41" s="37">
        <f>(SUMIF('YBN Blank TB'!$R:$R,'YBN HO P&amp;L'!$A41,'YBN Blank TB'!H:H)+(SUMIF('YBN HO TB'!$R:$R,'YBN HO P&amp;L'!$A41,'YBN HO TB'!H:H)))</f>
        <v/>
      </c>
      <c r="U41" s="37">
        <f>(SUMIF('YBN Blank TB'!$R:$R,'YBN HO P&amp;L'!$A41,'YBN Blank TB'!I:I)+(SUMIF('YBN HO TB'!$R:$R,'YBN HO P&amp;L'!$A41,'YBN HO TB'!I:I)))</f>
        <v/>
      </c>
      <c r="V41" s="38" t="n"/>
      <c r="W41" s="38" t="n"/>
      <c r="X41" s="38" t="n"/>
      <c r="Y41" s="38" t="n"/>
      <c r="Z41" s="38" t="n"/>
      <c r="AA41" s="36">
        <f>SUM(O41:U41)</f>
        <v/>
      </c>
      <c r="AB41" s="36">
        <f>SUM(O41:Z41)</f>
        <v/>
      </c>
      <c r="AC41" s="38" t="n"/>
      <c r="AD41" s="38" t="n"/>
      <c r="AE41" s="38" t="n"/>
      <c r="AF41" s="38" t="n"/>
      <c r="AG41" s="38" t="n"/>
      <c r="AH41" s="38" t="n"/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9">
        <f>SUM(N41:Z41)-$N41</f>
        <v/>
      </c>
      <c r="AN41" s="40" t="n"/>
      <c r="AO41" s="36">
        <f>SUM(AC41:AE41)+SUM(R41:Z41)</f>
        <v/>
      </c>
      <c r="AP41" s="36">
        <f>SUM(AC41:AH41)+SUM(U41:Z41)</f>
        <v/>
      </c>
    </row>
    <row r="42">
      <c r="A42" s="34" t="inlineStr">
        <is>
          <t>Postage/Printing/Stationery</t>
        </is>
      </c>
      <c r="B42" s="35" t="n">
        <v>0</v>
      </c>
      <c r="C42" s="35" t="n">
        <v>0</v>
      </c>
      <c r="D42" s="35" t="n">
        <v>0</v>
      </c>
      <c r="E42" s="35" t="n">
        <v>0</v>
      </c>
      <c r="F42" s="35" t="n">
        <v>0</v>
      </c>
      <c r="G42" s="35" t="n">
        <v>0</v>
      </c>
      <c r="H42" s="35" t="n">
        <v>0</v>
      </c>
      <c r="I42" s="35" t="n">
        <v>0</v>
      </c>
      <c r="J42" s="35" t="n">
        <v>0</v>
      </c>
      <c r="K42" s="35" t="n">
        <v>0</v>
      </c>
      <c r="L42" s="35" t="n">
        <v>0</v>
      </c>
      <c r="M42" s="35" t="n">
        <v>0</v>
      </c>
      <c r="N42" s="36">
        <f>SUM(B42:M42)</f>
        <v/>
      </c>
      <c r="O42" s="37">
        <f>(SUMIF('YBN Blank TB'!$R:$R,'YBN HO P&amp;L'!$A42,'YBN Blank TB'!C:C)+(SUMIF('YBN HO TB'!$R:$R,'YBN HO P&amp;L'!$A42,'YBN HO TB'!C:C)))</f>
        <v/>
      </c>
      <c r="P42" s="37">
        <f>(SUMIF('YBN Blank TB'!$R:$R,'YBN HO P&amp;L'!$A42,'YBN Blank TB'!D:D)+(SUMIF('YBN HO TB'!$R:$R,'YBN HO P&amp;L'!$A42,'YBN HO TB'!D:D)))</f>
        <v/>
      </c>
      <c r="Q42" s="37">
        <f>(SUMIF('YBN Blank TB'!$R:$R,'YBN HO P&amp;L'!$A42,'YBN Blank TB'!E:E)+(SUMIF('YBN HO TB'!$R:$R,'YBN HO P&amp;L'!$A42,'YBN HO TB'!E:E)))</f>
        <v/>
      </c>
      <c r="R42" s="37">
        <f>(SUMIF('YBN Blank TB'!$R:$R,'YBN HO P&amp;L'!$A42,'YBN Blank TB'!F:F)+(SUMIF('YBN HO TB'!$R:$R,'YBN HO P&amp;L'!$A42,'YBN HO TB'!F:F)))</f>
        <v/>
      </c>
      <c r="S42" s="37">
        <f>(SUMIF('YBN Blank TB'!$R:$R,'YBN HO P&amp;L'!$A42,'YBN Blank TB'!G:G)+(SUMIF('YBN HO TB'!$R:$R,'YBN HO P&amp;L'!$A42,'YBN HO TB'!G:G)))</f>
        <v/>
      </c>
      <c r="T42" s="37">
        <f>(SUMIF('YBN Blank TB'!$R:$R,'YBN HO P&amp;L'!$A42,'YBN Blank TB'!H:H)+(SUMIF('YBN HO TB'!$R:$R,'YBN HO P&amp;L'!$A42,'YBN HO TB'!H:H)))</f>
        <v/>
      </c>
      <c r="U42" s="37">
        <f>(SUMIF('YBN Blank TB'!$R:$R,'YBN HO P&amp;L'!$A42,'YBN Blank TB'!I:I)+(SUMIF('YBN HO TB'!$R:$R,'YBN HO P&amp;L'!$A42,'YBN HO TB'!I:I)))</f>
        <v/>
      </c>
      <c r="V42" s="38" t="n"/>
      <c r="W42" s="38" t="n"/>
      <c r="X42" s="38" t="n"/>
      <c r="Y42" s="38" t="n"/>
      <c r="Z42" s="38" t="n"/>
      <c r="AA42" s="36">
        <f>SUM(O42:U42)</f>
        <v/>
      </c>
      <c r="AB42" s="36">
        <f>SUM(O42:Z42)</f>
        <v/>
      </c>
      <c r="AC42" s="38" t="n"/>
      <c r="AD42" s="38" t="n"/>
      <c r="AE42" s="38" t="n"/>
      <c r="AF42" s="38" t="n"/>
      <c r="AG42" s="38" t="n"/>
      <c r="AH42" s="38" t="n"/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9">
        <f>SUM(N42:Z42)-$N42</f>
        <v/>
      </c>
      <c r="AN42" s="40" t="n"/>
      <c r="AO42" s="36">
        <f>SUM(AC42:AE42)+SUM(R42:Z42)</f>
        <v/>
      </c>
      <c r="AP42" s="36">
        <f>SUM(AC42:AH42)+SUM(U42:Z42)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(SUMIF('YBN Blank TB'!$R:$R,'YBN HO P&amp;L'!$A43,'YBN Blank TB'!C:C)+(SUMIF('YBN HO TB'!$R:$R,'YBN HO P&amp;L'!$A43,'YBN HO TB'!C:C)))</f>
        <v/>
      </c>
      <c r="P43" s="37">
        <f>(SUMIF('YBN Blank TB'!$R:$R,'YBN HO P&amp;L'!$A43,'YBN Blank TB'!D:D)+(SUMIF('YBN HO TB'!$R:$R,'YBN HO P&amp;L'!$A43,'YBN HO TB'!D:D)))</f>
        <v/>
      </c>
      <c r="Q43" s="37">
        <f>(SUMIF('YBN Blank TB'!$R:$R,'YBN HO P&amp;L'!$A43,'YBN Blank TB'!E:E)+(SUMIF('YBN HO TB'!$R:$R,'YBN HO P&amp;L'!$A43,'YBN HO TB'!E:E)))</f>
        <v/>
      </c>
      <c r="R43" s="37">
        <f>(SUMIF('YBN Blank TB'!$R:$R,'YBN HO P&amp;L'!$A43,'YBN Blank TB'!F:F)+(SUMIF('YBN HO TB'!$R:$R,'YBN HO P&amp;L'!$A43,'YBN HO TB'!F:F)))</f>
        <v/>
      </c>
      <c r="S43" s="37">
        <f>(SUMIF('YBN Blank TB'!$R:$R,'YBN HO P&amp;L'!$A43,'YBN Blank TB'!G:G)+(SUMIF('YBN HO TB'!$R:$R,'YBN HO P&amp;L'!$A43,'YBN HO TB'!G:G)))</f>
        <v/>
      </c>
      <c r="T43" s="37">
        <f>(SUMIF('YBN Blank TB'!$R:$R,'YBN HO P&amp;L'!$A43,'YBN Blank TB'!H:H)+(SUMIF('YBN HO TB'!$R:$R,'YBN HO P&amp;L'!$A43,'YBN HO TB'!H:H)))</f>
        <v/>
      </c>
      <c r="U43" s="37">
        <f>(SUMIF('YBN Blank TB'!$R:$R,'YBN HO P&amp;L'!$A43,'YBN Blank TB'!I:I)+(SUMIF('YBN HO TB'!$R:$R,'YBN HO P&amp;L'!$A43,'YBN HO TB'!I:I)))</f>
        <v/>
      </c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9">
        <f>SUM(N43:Z43)-$N43</f>
        <v/>
      </c>
      <c r="AN43" s="40" t="n"/>
      <c r="AO43" s="36">
        <f>SUM(AC43:AE43)+SUM(R43:Z43)</f>
        <v/>
      </c>
      <c r="AP43" s="36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(SUMIF('YBN Blank TB'!$R:$R,'YBN HO P&amp;L'!$A44,'YBN Blank TB'!C:C)+(SUMIF('YBN HO TB'!$R:$R,'YBN HO P&amp;L'!$A44,'YBN HO TB'!C:C)))</f>
        <v/>
      </c>
      <c r="P44" s="37">
        <f>(SUMIF('YBN Blank TB'!$R:$R,'YBN HO P&amp;L'!$A44,'YBN Blank TB'!D:D)+(SUMIF('YBN HO TB'!$R:$R,'YBN HO P&amp;L'!$A44,'YBN HO TB'!D:D)))</f>
        <v/>
      </c>
      <c r="Q44" s="37">
        <f>(SUMIF('YBN Blank TB'!$R:$R,'YBN HO P&amp;L'!$A44,'YBN Blank TB'!E:E)+(SUMIF('YBN HO TB'!$R:$R,'YBN HO P&amp;L'!$A44,'YBN HO TB'!E:E)))</f>
        <v/>
      </c>
      <c r="R44" s="37">
        <f>(SUMIF('YBN Blank TB'!$R:$R,'YBN HO P&amp;L'!$A44,'YBN Blank TB'!F:F)+(SUMIF('YBN HO TB'!$R:$R,'YBN HO P&amp;L'!$A44,'YBN HO TB'!F:F)))</f>
        <v/>
      </c>
      <c r="S44" s="37">
        <f>(SUMIF('YBN Blank TB'!$R:$R,'YBN HO P&amp;L'!$A44,'YBN Blank TB'!G:G)+(SUMIF('YBN HO TB'!$R:$R,'YBN HO P&amp;L'!$A44,'YBN HO TB'!G:G)))</f>
        <v/>
      </c>
      <c r="T44" s="37">
        <f>(SUMIF('YBN Blank TB'!$R:$R,'YBN HO P&amp;L'!$A44,'YBN Blank TB'!H:H)+(SUMIF('YBN HO TB'!$R:$R,'YBN HO P&amp;L'!$A44,'YBN HO TB'!H:H)))</f>
        <v/>
      </c>
      <c r="U44" s="37">
        <f>(SUMIF('YBN Blank TB'!$R:$R,'YBN HO P&amp;L'!$A44,'YBN Blank TB'!I:I)+(SUMIF('YBN HO TB'!$R:$R,'YBN HO P&amp;L'!$A44,'YBN HO TB'!I:I)))</f>
        <v/>
      </c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9">
        <f>SUM(N44:Z44)-$N44</f>
        <v/>
      </c>
      <c r="AN44" s="40" t="n"/>
      <c r="AO44" s="36">
        <f>SUM(AC44:AE44)+SUM(R44:Z44)</f>
        <v/>
      </c>
      <c r="AP44" s="36">
        <f>SUM(AC44:AH44)+SUM(U44:Z44)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(SUMIF('YBN Blank TB'!$R:$R,'YBN HO P&amp;L'!$A45,'YBN Blank TB'!C:C)+(SUMIF('YBN HO TB'!$R:$R,'YBN HO P&amp;L'!$A45,'YBN HO TB'!C:C)))</f>
        <v/>
      </c>
      <c r="P45" s="37">
        <f>(SUMIF('YBN Blank TB'!$R:$R,'YBN HO P&amp;L'!$A45,'YBN Blank TB'!D:D)+(SUMIF('YBN HO TB'!$R:$R,'YBN HO P&amp;L'!$A45,'YBN HO TB'!D:D)))</f>
        <v/>
      </c>
      <c r="Q45" s="37">
        <f>(SUMIF('YBN Blank TB'!$R:$R,'YBN HO P&amp;L'!$A45,'YBN Blank TB'!E:E)+(SUMIF('YBN HO TB'!$R:$R,'YBN HO P&amp;L'!$A45,'YBN HO TB'!E:E)))</f>
        <v/>
      </c>
      <c r="R45" s="37">
        <f>(SUMIF('YBN Blank TB'!$R:$R,'YBN HO P&amp;L'!$A45,'YBN Blank TB'!F:F)+(SUMIF('YBN HO TB'!$R:$R,'YBN HO P&amp;L'!$A45,'YBN HO TB'!F:F)))</f>
        <v/>
      </c>
      <c r="S45" s="37">
        <f>(SUMIF('YBN Blank TB'!$R:$R,'YBN HO P&amp;L'!$A45,'YBN Blank TB'!G:G)+(SUMIF('YBN HO TB'!$R:$R,'YBN HO P&amp;L'!$A45,'YBN HO TB'!G:G)))</f>
        <v/>
      </c>
      <c r="T45" s="37">
        <f>(SUMIF('YBN Blank TB'!$R:$R,'YBN HO P&amp;L'!$A45,'YBN Blank TB'!H:H)+(SUMIF('YBN HO TB'!$R:$R,'YBN HO P&amp;L'!$A45,'YBN HO TB'!H:H)))</f>
        <v/>
      </c>
      <c r="U45" s="37">
        <f>(SUMIF('YBN Blank TB'!$R:$R,'YBN HO P&amp;L'!$A45,'YBN Blank TB'!I:I)+(SUMIF('YBN HO TB'!$R:$R,'YBN HO P&amp;L'!$A45,'YBN HO TB'!I:I)))</f>
        <v/>
      </c>
      <c r="V45" s="38" t="n"/>
      <c r="W45" s="38" t="n"/>
      <c r="X45" s="38" t="n"/>
      <c r="Y45" s="38" t="n"/>
      <c r="Z45" s="38" t="n"/>
      <c r="AA45" s="36">
        <f>SUM(O45:U45)</f>
        <v/>
      </c>
      <c r="AB45" s="36">
        <f>SUM(O45:Z45)</f>
        <v/>
      </c>
      <c r="AC45" s="38" t="n"/>
      <c r="AD45" s="38" t="n"/>
      <c r="AE45" s="38" t="n"/>
      <c r="AF45" s="38" t="n"/>
      <c r="AG45" s="38" t="n"/>
      <c r="AH45" s="38" t="n"/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9">
        <f>SUM(N45:Z45)-$N45</f>
        <v/>
      </c>
      <c r="AN45" s="40" t="n"/>
      <c r="AO45" s="36">
        <f>SUM(AC45:AE45)+SUM(R45:Z45)</f>
        <v/>
      </c>
      <c r="AP45" s="36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(SUMIF('YBN Blank TB'!$R:$R,'YBN HO P&amp;L'!$A46,'YBN Blank TB'!C:C)+(SUMIF('YBN HO TB'!$R:$R,'YBN HO P&amp;L'!$A46,'YBN HO TB'!C:C)))</f>
        <v/>
      </c>
      <c r="P46" s="37">
        <f>(SUMIF('YBN Blank TB'!$R:$R,'YBN HO P&amp;L'!$A46,'YBN Blank TB'!D:D)+(SUMIF('YBN HO TB'!$R:$R,'YBN HO P&amp;L'!$A46,'YBN HO TB'!D:D)))</f>
        <v/>
      </c>
      <c r="Q46" s="37">
        <f>(SUMIF('YBN Blank TB'!$R:$R,'YBN HO P&amp;L'!$A46,'YBN Blank TB'!E:E)+(SUMIF('YBN HO TB'!$R:$R,'YBN HO P&amp;L'!$A46,'YBN HO TB'!E:E)))</f>
        <v/>
      </c>
      <c r="R46" s="37">
        <f>(SUMIF('YBN Blank TB'!$R:$R,'YBN HO P&amp;L'!$A46,'YBN Blank TB'!F:F)+(SUMIF('YBN HO TB'!$R:$R,'YBN HO P&amp;L'!$A46,'YBN HO TB'!F:F)))</f>
        <v/>
      </c>
      <c r="S46" s="37">
        <f>(SUMIF('YBN Blank TB'!$R:$R,'YBN HO P&amp;L'!$A46,'YBN Blank TB'!G:G)+(SUMIF('YBN HO TB'!$R:$R,'YBN HO P&amp;L'!$A46,'YBN HO TB'!G:G)))</f>
        <v/>
      </c>
      <c r="T46" s="37">
        <f>(SUMIF('YBN Blank TB'!$R:$R,'YBN HO P&amp;L'!$A46,'YBN Blank TB'!H:H)+(SUMIF('YBN HO TB'!$R:$R,'YBN HO P&amp;L'!$A46,'YBN HO TB'!H:H)))</f>
        <v/>
      </c>
      <c r="U46" s="37">
        <f>(SUMIF('YBN Blank TB'!$R:$R,'YBN HO P&amp;L'!$A46,'YBN Blank TB'!I:I)+(SUMIF('YBN HO TB'!$R:$R,'YBN HO P&amp;L'!$A46,'YBN HO TB'!I:I)))</f>
        <v/>
      </c>
      <c r="V46" s="38" t="n"/>
      <c r="W46" s="38" t="n"/>
      <c r="X46" s="38" t="n"/>
      <c r="Y46" s="38" t="n"/>
      <c r="Z46" s="38" t="n"/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9">
        <f>SUM(N46:Z46)-$N46</f>
        <v/>
      </c>
      <c r="AN46" s="40" t="n"/>
      <c r="AO46" s="36">
        <f>SUM(AC46:AE46)+SUM(R46:Z46)</f>
        <v/>
      </c>
      <c r="AP46" s="36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0</v>
      </c>
      <c r="C47" s="42" t="n">
        <v>0</v>
      </c>
      <c r="D47" s="42" t="n">
        <v>0</v>
      </c>
      <c r="E47" s="42" t="n">
        <v>0</v>
      </c>
      <c r="F47" s="42" t="n">
        <v>71.98</v>
      </c>
      <c r="G47" s="42" t="n">
        <v>0</v>
      </c>
      <c r="H47" s="42" t="n">
        <v>0</v>
      </c>
      <c r="I47" s="42" t="n">
        <v>0</v>
      </c>
      <c r="J47" s="42" t="n">
        <v>0</v>
      </c>
      <c r="K47" s="42" t="n">
        <v>0</v>
      </c>
      <c r="L47" s="42" t="n">
        <v>0</v>
      </c>
      <c r="M47" s="42" t="n">
        <v>0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 t="n"/>
      <c r="AD47" s="45" t="n"/>
      <c r="AE47" s="45" t="n"/>
      <c r="AF47" s="45" t="n"/>
      <c r="AG47" s="45" t="n"/>
      <c r="AH47" s="45" t="n"/>
      <c r="AI47" s="8" t="n"/>
      <c r="AJ47" s="52">
        <f>SUM(E47:Q47)-$N47</f>
        <v/>
      </c>
      <c r="AK47" s="52">
        <f>SUM(H47:T47)-$N47</f>
        <v/>
      </c>
      <c r="AL47" s="52">
        <f>SUM(K47:W47)-$N47</f>
        <v/>
      </c>
      <c r="AM47" s="53">
        <f>SUM(N47:Z47)-$N47</f>
        <v/>
      </c>
      <c r="AN47" s="25" t="n"/>
      <c r="AO47" s="52">
        <f>SUM(AC47:AE47)+SUM(R47:Z47)</f>
        <v/>
      </c>
      <c r="AP47" s="52">
        <f>SUM(AC47:AH47)+SUM(U47:Z47)</f>
        <v/>
      </c>
    </row>
    <row r="48">
      <c r="A48" s="22" t="inlineStr">
        <is>
          <t>Total Direct Costs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71.98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45</v>
      </c>
      <c r="M48" s="23" t="n">
        <v>0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 t="n"/>
      <c r="AD48" s="26" t="n"/>
      <c r="AE48" s="26" t="n"/>
      <c r="AF48" s="26" t="n"/>
      <c r="AG48" s="26" t="n"/>
      <c r="AH48" s="26" t="n"/>
      <c r="AI48" s="8" t="n"/>
      <c r="AJ48" s="36">
        <f>AJ25+AJ34+AJ47</f>
        <v/>
      </c>
      <c r="AK48" s="36">
        <f>AK25+AK34+AK47</f>
        <v/>
      </c>
      <c r="AL48" s="36">
        <f>AL25+AL34+AL47</f>
        <v/>
      </c>
      <c r="AM48" s="36">
        <f>AM25+AM34+AM47</f>
        <v/>
      </c>
      <c r="AN48" s="40" t="n"/>
      <c r="AO48" s="36">
        <f>AO25+AO34+AO47</f>
        <v/>
      </c>
      <c r="AP48" s="36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0</v>
      </c>
      <c r="C50" s="55" t="n">
        <v>0</v>
      </c>
      <c r="D50" s="55" t="n">
        <v>0</v>
      </c>
      <c r="E50" s="55" t="n">
        <v>0</v>
      </c>
      <c r="F50" s="55" t="n">
        <v>-71.98</v>
      </c>
      <c r="G50" s="55" t="n">
        <v>0</v>
      </c>
      <c r="H50" s="55" t="n">
        <v>0</v>
      </c>
      <c r="I50" s="55" t="n">
        <v>0</v>
      </c>
      <c r="J50" s="55" t="n">
        <v>0</v>
      </c>
      <c r="K50" s="55" t="n">
        <v>0</v>
      </c>
      <c r="L50" s="55" t="n">
        <v>-45</v>
      </c>
      <c r="M50" s="55" t="n">
        <v>0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8" t="n"/>
      <c r="AJ50" s="55">
        <f>AJ11-AJ48</f>
        <v/>
      </c>
      <c r="AK50" s="55">
        <f>AK11-AK48</f>
        <v/>
      </c>
      <c r="AL50" s="55">
        <f>AL11-AL48</f>
        <v/>
      </c>
      <c r="AM50" s="55">
        <f>AM11-AM48</f>
        <v/>
      </c>
      <c r="AN50" s="56" t="n"/>
      <c r="AO50" s="55">
        <f>AO11-AO48</f>
        <v/>
      </c>
      <c r="AP50" s="55">
        <f>SUM(AC50:AN50)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8" t="n"/>
      <c r="AJ52" s="36">
        <f>SUM(E52:Q52)-$N52</f>
        <v/>
      </c>
      <c r="AK52" s="36">
        <f>SUM(H52:T52)-$N52</f>
        <v/>
      </c>
      <c r="AL52" s="36">
        <f>SUM(K52:W52)-$N52</f>
        <v/>
      </c>
      <c r="AM52" s="39">
        <f>SUM(N52:Z52)-$N52</f>
        <v/>
      </c>
      <c r="AN52" s="40" t="n"/>
      <c r="AO52" s="36">
        <f>SUM(I52:U52)-$N52</f>
        <v/>
      </c>
      <c r="AP52" s="36">
        <f>SUM(J52:V52)-$N52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(SUMIF('YBN Blank TB'!$R:$R,'YBN HO P&amp;L'!$A53,'YBN Blank TB'!C:C)+(SUMIF('YBN HO TB'!$R:$R,'YBN HO P&amp;L'!$A53,'YBN HO TB'!C:C)))</f>
        <v/>
      </c>
      <c r="P53" s="37">
        <f>(SUMIF('YBN Blank TB'!$R:$R,'YBN HO P&amp;L'!$A53,'YBN Blank TB'!D:D)+(SUMIF('YBN HO TB'!$R:$R,'YBN HO P&amp;L'!$A53,'YBN HO TB'!D:D)))</f>
        <v/>
      </c>
      <c r="Q53" s="37">
        <f>(SUMIF('YBN Blank TB'!$R:$R,'YBN HO P&amp;L'!$A53,'YBN Blank TB'!E:E)+(SUMIF('YBN HO TB'!$R:$R,'YBN HO P&amp;L'!$A53,'YBN HO TB'!E:E)))</f>
        <v/>
      </c>
      <c r="R53" s="37">
        <f>(SUMIF('YBN Blank TB'!$R:$R,'YBN HO P&amp;L'!$A53,'YBN Blank TB'!F:F)+(SUMIF('YBN HO TB'!$R:$R,'YBN HO P&amp;L'!$A53,'YBN HO TB'!F:F)))</f>
        <v/>
      </c>
      <c r="S53" s="37">
        <f>(SUMIF('YBN Blank TB'!$R:$R,'YBN HO P&amp;L'!$A53,'YBN Blank TB'!G:G)+(SUMIF('YBN HO TB'!$R:$R,'YBN HO P&amp;L'!$A53,'YBN HO TB'!G:G)))</f>
        <v/>
      </c>
      <c r="T53" s="37">
        <f>(SUMIF('YBN Blank TB'!$R:$R,'YBN HO P&amp;L'!$A53,'YBN Blank TB'!H:H)+(SUMIF('YBN HO TB'!$R:$R,'YBN HO P&amp;L'!$A53,'YBN HO TB'!H:H)))</f>
        <v/>
      </c>
      <c r="U53" s="37">
        <f>(SUMIF('YBN Blank TB'!$R:$R,'YBN HO P&amp;L'!$A53,'YBN Blank TB'!I:I)+(SUMIF('YBN HO TB'!$R:$R,'YBN HO P&amp;L'!$A53,'YBN HO TB'!I:I)))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9">
        <f>SUM(N53:Z53)-$N53</f>
        <v/>
      </c>
      <c r="AN53" s="40" t="n"/>
      <c r="AO53" s="36">
        <f>SUM(AC53:AE53)+SUM(R53:Z53)</f>
        <v/>
      </c>
      <c r="AP53" s="36">
        <f>SUM(AC53:AH53)+SUM(U53:Z53)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(SUMIF('YBN Blank TB'!$R:$R,'YBN HO P&amp;L'!$A54,'YBN Blank TB'!C:C)+(SUMIF('YBN HO TB'!$R:$R,'YBN HO P&amp;L'!$A54,'YBN HO TB'!C:C)))</f>
        <v/>
      </c>
      <c r="P54" s="37">
        <f>(SUMIF('YBN Blank TB'!$R:$R,'YBN HO P&amp;L'!$A54,'YBN Blank TB'!D:D)+(SUMIF('YBN HO TB'!$R:$R,'YBN HO P&amp;L'!$A54,'YBN HO TB'!D:D)))</f>
        <v/>
      </c>
      <c r="Q54" s="37">
        <f>(SUMIF('YBN Blank TB'!$R:$R,'YBN HO P&amp;L'!$A54,'YBN Blank TB'!E:E)+(SUMIF('YBN HO TB'!$R:$R,'YBN HO P&amp;L'!$A54,'YBN HO TB'!E:E)))</f>
        <v/>
      </c>
      <c r="R54" s="37">
        <f>(SUMIF('YBN Blank TB'!$R:$R,'YBN HO P&amp;L'!$A54,'YBN Blank TB'!F:F)+(SUMIF('YBN HO TB'!$R:$R,'YBN HO P&amp;L'!$A54,'YBN HO TB'!F:F)))</f>
        <v/>
      </c>
      <c r="S54" s="37">
        <f>(SUMIF('YBN Blank TB'!$R:$R,'YBN HO P&amp;L'!$A54,'YBN Blank TB'!G:G)+(SUMIF('YBN HO TB'!$R:$R,'YBN HO P&amp;L'!$A54,'YBN HO TB'!G:G)))</f>
        <v/>
      </c>
      <c r="T54" s="37">
        <f>(SUMIF('YBN Blank TB'!$R:$R,'YBN HO P&amp;L'!$A54,'YBN Blank TB'!H:H)+(SUMIF('YBN HO TB'!$R:$R,'YBN HO P&amp;L'!$A54,'YBN HO TB'!H:H)))</f>
        <v/>
      </c>
      <c r="U54" s="37">
        <f>(SUMIF('YBN Blank TB'!$R:$R,'YBN HO P&amp;L'!$A54,'YBN Blank TB'!I:I)+(SUMIF('YBN HO TB'!$R:$R,'YBN HO P&amp;L'!$A54,'YBN HO TB'!I:I)))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9">
        <f>SUM(N54:Z54)-$N54</f>
        <v/>
      </c>
      <c r="AN54" s="40" t="n"/>
      <c r="AO54" s="36">
        <f>SUM(AC54:AE54)+SUM(R54:Z54)</f>
        <v/>
      </c>
      <c r="AP54" s="36">
        <f>SUM(AC54:AH54)+SUM(U54:Z54)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(SUMIF('YBN Blank TB'!$R:$R,'YBN HO P&amp;L'!$A55,'YBN Blank TB'!C:C)+(SUMIF('YBN HO TB'!$R:$R,'YBN HO P&amp;L'!$A55,'YBN HO TB'!C:C)))</f>
        <v/>
      </c>
      <c r="P55" s="37">
        <f>(SUMIF('YBN Blank TB'!$R:$R,'YBN HO P&amp;L'!$A55,'YBN Blank TB'!D:D)+(SUMIF('YBN HO TB'!$R:$R,'YBN HO P&amp;L'!$A55,'YBN HO TB'!D:D)))</f>
        <v/>
      </c>
      <c r="Q55" s="37">
        <f>(SUMIF('YBN Blank TB'!$R:$R,'YBN HO P&amp;L'!$A55,'YBN Blank TB'!E:E)+(SUMIF('YBN HO TB'!$R:$R,'YBN HO P&amp;L'!$A55,'YBN HO TB'!E:E)))</f>
        <v/>
      </c>
      <c r="R55" s="37">
        <f>(SUMIF('YBN Blank TB'!$R:$R,'YBN HO P&amp;L'!$A55,'YBN Blank TB'!F:F)+(SUMIF('YBN HO TB'!$R:$R,'YBN HO P&amp;L'!$A55,'YBN HO TB'!F:F)))</f>
        <v/>
      </c>
      <c r="S55" s="37">
        <f>(SUMIF('YBN Blank TB'!$R:$R,'YBN HO P&amp;L'!$A55,'YBN Blank TB'!G:G)+(SUMIF('YBN HO TB'!$R:$R,'YBN HO P&amp;L'!$A55,'YBN HO TB'!G:G)))</f>
        <v/>
      </c>
      <c r="T55" s="37">
        <f>(SUMIF('YBN Blank TB'!$R:$R,'YBN HO P&amp;L'!$A55,'YBN Blank TB'!H:H)+(SUMIF('YBN HO TB'!$R:$R,'YBN HO P&amp;L'!$A55,'YBN HO TB'!H:H)))</f>
        <v/>
      </c>
      <c r="U55" s="37">
        <f>(SUMIF('YBN Blank TB'!$R:$R,'YBN HO P&amp;L'!$A55,'YBN Blank TB'!I:I)+(SUMIF('YBN HO TB'!$R:$R,'YBN HO P&amp;L'!$A55,'YBN HO TB'!I:I)))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9">
        <f>SUM(N55:Z55)-$N55</f>
        <v/>
      </c>
      <c r="AN55" s="40" t="n"/>
      <c r="AO55" s="36">
        <f>SUM(AC55:AE55)+SUM(R55:Z55)</f>
        <v/>
      </c>
      <c r="AP55" s="36">
        <f>SUM(AC55:AH55)+SUM(U55:Z55)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(SUMIF('YBN Blank TB'!$R:$R,'YBN HO P&amp;L'!$A56,'YBN Blank TB'!C:C)+(SUMIF('YBN HO TB'!$R:$R,'YBN HO P&amp;L'!$A56,'YBN HO TB'!C:C)))</f>
        <v/>
      </c>
      <c r="P56" s="37">
        <f>(SUMIF('YBN Blank TB'!$R:$R,'YBN HO P&amp;L'!$A56,'YBN Blank TB'!D:D)+(SUMIF('YBN HO TB'!$R:$R,'YBN HO P&amp;L'!$A56,'YBN HO TB'!D:D)))</f>
        <v/>
      </c>
      <c r="Q56" s="37">
        <f>(SUMIF('YBN Blank TB'!$R:$R,'YBN HO P&amp;L'!$A56,'YBN Blank TB'!E:E)+(SUMIF('YBN HO TB'!$R:$R,'YBN HO P&amp;L'!$A56,'YBN HO TB'!E:E)))</f>
        <v/>
      </c>
      <c r="R56" s="37">
        <f>(SUMIF('YBN Blank TB'!$R:$R,'YBN HO P&amp;L'!$A56,'YBN Blank TB'!F:F)+(SUMIF('YBN HO TB'!$R:$R,'YBN HO P&amp;L'!$A56,'YBN HO TB'!F:F)))</f>
        <v/>
      </c>
      <c r="S56" s="37">
        <f>(SUMIF('YBN Blank TB'!$R:$R,'YBN HO P&amp;L'!$A56,'YBN Blank TB'!G:G)+(SUMIF('YBN HO TB'!$R:$R,'YBN HO P&amp;L'!$A56,'YBN HO TB'!G:G)))</f>
        <v/>
      </c>
      <c r="T56" s="37">
        <f>(SUMIF('YBN Blank TB'!$R:$R,'YBN HO P&amp;L'!$A56,'YBN Blank TB'!H:H)+(SUMIF('YBN HO TB'!$R:$R,'YBN HO P&amp;L'!$A56,'YBN HO TB'!H:H)))</f>
        <v/>
      </c>
      <c r="U56" s="37">
        <f>(SUMIF('YBN Blank TB'!$R:$R,'YBN HO P&amp;L'!$A56,'YBN Blank TB'!I:I)+(SUMIF('YBN HO TB'!$R:$R,'YBN HO P&amp;L'!$A56,'YBN HO TB'!I:I)))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9">
        <f>SUM(N56:Z56)-$N56</f>
        <v/>
      </c>
      <c r="AN56" s="40" t="n"/>
      <c r="AO56" s="36">
        <f>SUM(AC56:AE56)+SUM(R56:Z56)</f>
        <v/>
      </c>
      <c r="AP56" s="36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0</v>
      </c>
      <c r="N57" s="36">
        <f>SUM(B57:M57)</f>
        <v/>
      </c>
      <c r="O57" s="37">
        <f>(SUMIF('YBN Blank TB'!$R:$R,'YBN HO P&amp;L'!$A57,'YBN Blank TB'!C:C)+(SUMIF('YBN HO TB'!$R:$R,'YBN HO P&amp;L'!$A57,'YBN HO TB'!C:C)))</f>
        <v/>
      </c>
      <c r="P57" s="37">
        <f>(SUMIF('YBN Blank TB'!$R:$R,'YBN HO P&amp;L'!$A57,'YBN Blank TB'!D:D)+(SUMIF('YBN HO TB'!$R:$R,'YBN HO P&amp;L'!$A57,'YBN HO TB'!D:D)))</f>
        <v/>
      </c>
      <c r="Q57" s="37">
        <f>(SUMIF('YBN Blank TB'!$R:$R,'YBN HO P&amp;L'!$A57,'YBN Blank TB'!E:E)+(SUMIF('YBN HO TB'!$R:$R,'YBN HO P&amp;L'!$A57,'YBN HO TB'!E:E)))</f>
        <v/>
      </c>
      <c r="R57" s="37">
        <f>(SUMIF('YBN Blank TB'!$R:$R,'YBN HO P&amp;L'!$A57,'YBN Blank TB'!F:F)+(SUMIF('YBN HO TB'!$R:$R,'YBN HO P&amp;L'!$A57,'YBN HO TB'!F:F)))</f>
        <v/>
      </c>
      <c r="S57" s="37">
        <f>(SUMIF('YBN Blank TB'!$R:$R,'YBN HO P&amp;L'!$A57,'YBN Blank TB'!G:G)+(SUMIF('YBN HO TB'!$R:$R,'YBN HO P&amp;L'!$A57,'YBN HO TB'!G:G)))</f>
        <v/>
      </c>
      <c r="T57" s="37">
        <f>(SUMIF('YBN Blank TB'!$R:$R,'YBN HO P&amp;L'!$A57,'YBN Blank TB'!H:H)+(SUMIF('YBN HO TB'!$R:$R,'YBN HO P&amp;L'!$A57,'YBN HO TB'!H:H)))</f>
        <v/>
      </c>
      <c r="U57" s="37">
        <f>(SUMIF('YBN Blank TB'!$R:$R,'YBN HO P&amp;L'!$A57,'YBN Blank TB'!I:I)+(SUMIF('YBN HO TB'!$R:$R,'YBN HO P&amp;L'!$A57,'YBN HO TB'!I:I)))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 t="n"/>
      <c r="AD57" s="38" t="n"/>
      <c r="AE57" s="38" t="n"/>
      <c r="AF57" s="38" t="n"/>
      <c r="AG57" s="38" t="n"/>
      <c r="AH57" s="38" t="n"/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9">
        <f>SUM(N57:Z57)-$N57</f>
        <v/>
      </c>
      <c r="AN57" s="40" t="n"/>
      <c r="AO57" s="36">
        <f>SUM(AC57:AE57)+SUM(R57:Z57)</f>
        <v/>
      </c>
      <c r="AP57" s="36">
        <f>SUM(AC57:AH57)+SUM(U57:Z57)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(SUMIF('YBN Blank TB'!$R:$R,'YBN HO P&amp;L'!$A58,'YBN Blank TB'!C:C)+(SUMIF('YBN HO TB'!$R:$R,'YBN HO P&amp;L'!$A58,'YBN HO TB'!C:C)))</f>
        <v/>
      </c>
      <c r="P58" s="37">
        <f>(SUMIF('YBN Blank TB'!$R:$R,'YBN HO P&amp;L'!$A58,'YBN Blank TB'!D:D)+(SUMIF('YBN HO TB'!$R:$R,'YBN HO P&amp;L'!$A58,'YBN HO TB'!D:D)))</f>
        <v/>
      </c>
      <c r="Q58" s="37">
        <f>(SUMIF('YBN Blank TB'!$R:$R,'YBN HO P&amp;L'!$A58,'YBN Blank TB'!E:E)+(SUMIF('YBN HO TB'!$R:$R,'YBN HO P&amp;L'!$A58,'YBN HO TB'!E:E)))</f>
        <v/>
      </c>
      <c r="R58" s="37">
        <f>(SUMIF('YBN Blank TB'!$R:$R,'YBN HO P&amp;L'!$A58,'YBN Blank TB'!F:F)+(SUMIF('YBN HO TB'!$R:$R,'YBN HO P&amp;L'!$A58,'YBN HO TB'!F:F)))</f>
        <v/>
      </c>
      <c r="S58" s="37">
        <f>(SUMIF('YBN Blank TB'!$R:$R,'YBN HO P&amp;L'!$A58,'YBN Blank TB'!G:G)+(SUMIF('YBN HO TB'!$R:$R,'YBN HO P&amp;L'!$A58,'YBN HO TB'!G:G)))</f>
        <v/>
      </c>
      <c r="T58" s="37">
        <f>(SUMIF('YBN Blank TB'!$R:$R,'YBN HO P&amp;L'!$A58,'YBN Blank TB'!H:H)+(SUMIF('YBN HO TB'!$R:$R,'YBN HO P&amp;L'!$A58,'YBN HO TB'!H:H)))</f>
        <v/>
      </c>
      <c r="U58" s="37">
        <f>(SUMIF('YBN Blank TB'!$R:$R,'YBN HO P&amp;L'!$A58,'YBN Blank TB'!I:I)+(SUMIF('YBN HO TB'!$R:$R,'YBN HO P&amp;L'!$A58,'YBN HO TB'!I:I)))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9">
        <f>SUM(N58:Z58)-$N58</f>
        <v/>
      </c>
      <c r="AN58" s="40" t="n"/>
      <c r="AO58" s="36">
        <f>SUM(AC58:AE58)+SUM(R58:Z58)</f>
        <v/>
      </c>
      <c r="AP58" s="36">
        <f>SUM(AC58:AH58)+SUM(U58:Z58)</f>
        <v/>
      </c>
    </row>
    <row r="59">
      <c r="A59" s="34" t="inlineStr">
        <is>
          <t>IT Support</t>
        </is>
      </c>
      <c r="B59" s="35" t="n">
        <v>0</v>
      </c>
      <c r="C59" s="35" t="n">
        <v>0</v>
      </c>
      <c r="D59" s="35" t="n">
        <v>0</v>
      </c>
      <c r="E59" s="35" t="n">
        <v>0</v>
      </c>
      <c r="F59" s="35" t="n">
        <v>0</v>
      </c>
      <c r="G59" s="35" t="n">
        <v>0</v>
      </c>
      <c r="H59" s="35" t="n">
        <v>0</v>
      </c>
      <c r="I59" s="35" t="n">
        <v>0</v>
      </c>
      <c r="J59" s="35" t="n">
        <v>0</v>
      </c>
      <c r="K59" s="35" t="n">
        <v>0</v>
      </c>
      <c r="L59" s="35" t="n">
        <v>0</v>
      </c>
      <c r="M59" s="35" t="n">
        <v>0</v>
      </c>
      <c r="N59" s="36">
        <f>SUM(B59:M59)</f>
        <v/>
      </c>
      <c r="O59" s="37">
        <f>(SUMIF('YBN Blank TB'!$R:$R,'YBN HO P&amp;L'!$A59,'YBN Blank TB'!C:C)+(SUMIF('YBN HO TB'!$R:$R,'YBN HO P&amp;L'!$A59,'YBN HO TB'!C:C)))</f>
        <v/>
      </c>
      <c r="P59" s="37">
        <f>(SUMIF('YBN Blank TB'!$R:$R,'YBN HO P&amp;L'!$A59,'YBN Blank TB'!D:D)+(SUMIF('YBN HO TB'!$R:$R,'YBN HO P&amp;L'!$A59,'YBN HO TB'!D:D)))</f>
        <v/>
      </c>
      <c r="Q59" s="37">
        <f>(SUMIF('YBN Blank TB'!$R:$R,'YBN HO P&amp;L'!$A59,'YBN Blank TB'!E:E)+(SUMIF('YBN HO TB'!$R:$R,'YBN HO P&amp;L'!$A59,'YBN HO TB'!E:E)))</f>
        <v/>
      </c>
      <c r="R59" s="37">
        <f>(SUMIF('YBN Blank TB'!$R:$R,'YBN HO P&amp;L'!$A59,'YBN Blank TB'!F:F)+(SUMIF('YBN HO TB'!$R:$R,'YBN HO P&amp;L'!$A59,'YBN HO TB'!F:F)))</f>
        <v/>
      </c>
      <c r="S59" s="37">
        <f>(SUMIF('YBN Blank TB'!$R:$R,'YBN HO P&amp;L'!$A59,'YBN Blank TB'!G:G)+(SUMIF('YBN HO TB'!$R:$R,'YBN HO P&amp;L'!$A59,'YBN HO TB'!G:G)))</f>
        <v/>
      </c>
      <c r="T59" s="37">
        <f>(SUMIF('YBN Blank TB'!$R:$R,'YBN HO P&amp;L'!$A59,'YBN Blank TB'!H:H)+(SUMIF('YBN HO TB'!$R:$R,'YBN HO P&amp;L'!$A59,'YBN HO TB'!H:H)))</f>
        <v/>
      </c>
      <c r="U59" s="37">
        <f>(SUMIF('YBN Blank TB'!$R:$R,'YBN HO P&amp;L'!$A59,'YBN Blank TB'!I:I)+(SUMIF('YBN HO TB'!$R:$R,'YBN HO P&amp;L'!$A59,'YBN HO TB'!I:I)))</f>
        <v/>
      </c>
      <c r="V59" s="38" t="n"/>
      <c r="W59" s="38" t="n"/>
      <c r="X59" s="38" t="n"/>
      <c r="Y59" s="38" t="n"/>
      <c r="Z59" s="38" t="n"/>
      <c r="AA59" s="36">
        <f>SUM(O59:U59)</f>
        <v/>
      </c>
      <c r="AB59" s="36">
        <f>SUM(O59:Z59)</f>
        <v/>
      </c>
      <c r="AC59" s="38" t="n"/>
      <c r="AD59" s="38" t="n"/>
      <c r="AE59" s="38" t="n"/>
      <c r="AF59" s="38" t="n"/>
      <c r="AG59" s="38" t="n"/>
      <c r="AH59" s="38" t="n"/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9">
        <f>SUM(N59:Z59)-$N59</f>
        <v/>
      </c>
      <c r="AN59" s="40" t="n"/>
      <c r="AO59" s="36">
        <f>SUM(AC59:AE59)+SUM(R59:Z59)</f>
        <v/>
      </c>
      <c r="AP59" s="36">
        <f>SUM(AC59:AH59)+SUM(U59:Z59)</f>
        <v/>
      </c>
    </row>
    <row r="60">
      <c r="A60" s="34" t="inlineStr">
        <is>
          <t>Fees &amp; Subscriptions</t>
        </is>
      </c>
      <c r="B60" s="35" t="n">
        <v>0</v>
      </c>
      <c r="C60" s="35" t="n">
        <v>0</v>
      </c>
      <c r="D60" s="35" t="n">
        <v>0</v>
      </c>
      <c r="E60" s="35" t="n">
        <v>0</v>
      </c>
      <c r="F60" s="35" t="n">
        <v>0</v>
      </c>
      <c r="G60" s="35" t="n">
        <v>0</v>
      </c>
      <c r="H60" s="35" t="n">
        <v>0</v>
      </c>
      <c r="I60" s="35" t="n">
        <v>0</v>
      </c>
      <c r="J60" s="35" t="n">
        <v>0</v>
      </c>
      <c r="K60" s="35" t="n">
        <v>0</v>
      </c>
      <c r="L60" s="35" t="n">
        <v>0</v>
      </c>
      <c r="M60" s="35" t="n">
        <v>0</v>
      </c>
      <c r="N60" s="36">
        <f>SUM(B60:M60)</f>
        <v/>
      </c>
      <c r="O60" s="37">
        <f>(SUMIF('YBN Blank TB'!$R:$R,'YBN HO P&amp;L'!$A60,'YBN Blank TB'!C:C)+(SUMIF('YBN HO TB'!$R:$R,'YBN HO P&amp;L'!$A60,'YBN HO TB'!C:C)))</f>
        <v/>
      </c>
      <c r="P60" s="37">
        <f>(SUMIF('YBN Blank TB'!$R:$R,'YBN HO P&amp;L'!$A60,'YBN Blank TB'!D:D)+(SUMIF('YBN HO TB'!$R:$R,'YBN HO P&amp;L'!$A60,'YBN HO TB'!D:D)))</f>
        <v/>
      </c>
      <c r="Q60" s="37">
        <f>(SUMIF('YBN Blank TB'!$R:$R,'YBN HO P&amp;L'!$A60,'YBN Blank TB'!E:E)+(SUMIF('YBN HO TB'!$R:$R,'YBN HO P&amp;L'!$A60,'YBN HO TB'!E:E)))</f>
        <v/>
      </c>
      <c r="R60" s="37">
        <f>(SUMIF('YBN Blank TB'!$R:$R,'YBN HO P&amp;L'!$A60,'YBN Blank TB'!F:F)+(SUMIF('YBN HO TB'!$R:$R,'YBN HO P&amp;L'!$A60,'YBN HO TB'!F:F)))</f>
        <v/>
      </c>
      <c r="S60" s="37">
        <f>(SUMIF('YBN Blank TB'!$R:$R,'YBN HO P&amp;L'!$A60,'YBN Blank TB'!G:G)+(SUMIF('YBN HO TB'!$R:$R,'YBN HO P&amp;L'!$A60,'YBN HO TB'!G:G)))</f>
        <v/>
      </c>
      <c r="T60" s="37">
        <f>(SUMIF('YBN Blank TB'!$R:$R,'YBN HO P&amp;L'!$A60,'YBN Blank TB'!H:H)+(SUMIF('YBN HO TB'!$R:$R,'YBN HO P&amp;L'!$A60,'YBN HO TB'!H:H)))</f>
        <v/>
      </c>
      <c r="U60" s="37">
        <f>(SUMIF('YBN Blank TB'!$R:$R,'YBN HO P&amp;L'!$A60,'YBN Blank TB'!I:I)+(SUMIF('YBN HO TB'!$R:$R,'YBN HO P&amp;L'!$A60,'YBN HO TB'!I:I)))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9">
        <f>SUM(N60:Z60)-$N60</f>
        <v/>
      </c>
      <c r="AN60" s="40" t="n"/>
      <c r="AO60" s="36">
        <f>SUM(AC60:AE60)+SUM(R60:Z60)</f>
        <v/>
      </c>
      <c r="AP60" s="36">
        <f>SUM(AC60:AH60)+SUM(U60:Z60)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-1.97</v>
      </c>
      <c r="I61" s="35" t="n">
        <v>0</v>
      </c>
      <c r="J61" s="35" t="n">
        <v>0</v>
      </c>
      <c r="K61" s="35" t="n">
        <v>0</v>
      </c>
      <c r="L61" s="35" t="n">
        <v>0</v>
      </c>
      <c r="M61" s="35" t="n">
        <v>0</v>
      </c>
      <c r="N61" s="36">
        <f>SUM(B61:M61)</f>
        <v/>
      </c>
      <c r="O61" s="37">
        <f>(SUMIF('YBN Blank TB'!$R:$R,'YBN HO P&amp;L'!$A61,'YBN Blank TB'!C:C)+(SUMIF('YBN HO TB'!$R:$R,'YBN HO P&amp;L'!$A61,'YBN HO TB'!C:C)))</f>
        <v/>
      </c>
      <c r="P61" s="37">
        <f>(SUMIF('YBN Blank TB'!$R:$R,'YBN HO P&amp;L'!$A61,'YBN Blank TB'!D:D)+(SUMIF('YBN HO TB'!$R:$R,'YBN HO P&amp;L'!$A61,'YBN HO TB'!D:D)))</f>
        <v/>
      </c>
      <c r="Q61" s="37">
        <f>(SUMIF('YBN Blank TB'!$R:$R,'YBN HO P&amp;L'!$A61,'YBN Blank TB'!E:E)+(SUMIF('YBN HO TB'!$R:$R,'YBN HO P&amp;L'!$A61,'YBN HO TB'!E:E)))</f>
        <v/>
      </c>
      <c r="R61" s="37">
        <f>(SUMIF('YBN Blank TB'!$R:$R,'YBN HO P&amp;L'!$A61,'YBN Blank TB'!F:F)+(SUMIF('YBN HO TB'!$R:$R,'YBN HO P&amp;L'!$A61,'YBN HO TB'!F:F)))</f>
        <v/>
      </c>
      <c r="S61" s="37">
        <f>(SUMIF('YBN Blank TB'!$R:$R,'YBN HO P&amp;L'!$A61,'YBN Blank TB'!G:G)+(SUMIF('YBN HO TB'!$R:$R,'YBN HO P&amp;L'!$A61,'YBN HO TB'!G:G)))</f>
        <v/>
      </c>
      <c r="T61" s="37">
        <f>(SUMIF('YBN Blank TB'!$R:$R,'YBN HO P&amp;L'!$A61,'YBN Blank TB'!H:H)+(SUMIF('YBN HO TB'!$R:$R,'YBN HO P&amp;L'!$A61,'YBN HO TB'!H:H)))</f>
        <v/>
      </c>
      <c r="U61" s="37">
        <f>(SUMIF('YBN Blank TB'!$R:$R,'YBN HO P&amp;L'!$A61,'YBN Blank TB'!I:I)+(SUMIF('YBN HO TB'!$R:$R,'YBN HO P&amp;L'!$A61,'YBN HO TB'!I:I)))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9">
        <f>SUM(N61:Z61)-$N61</f>
        <v/>
      </c>
      <c r="AN61" s="40" t="n"/>
      <c r="AO61" s="36">
        <f>SUM(AC61:AE61)+SUM(R61:Z61)</f>
        <v/>
      </c>
      <c r="AP61" s="36">
        <f>SUM(AC61:AH61)+SUM(U61:Z61)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>
        <f>(SUMIF('YBN Blank TB'!$R:$R,'YBN HO P&amp;L'!$A62,'YBN Blank TB'!C:C)+(SUMIF('YBN HO TB'!$R:$R,'YBN HO P&amp;L'!$A62,'YBN HO TB'!C:C)))</f>
        <v/>
      </c>
      <c r="P62" s="37">
        <f>(SUMIF('YBN Blank TB'!$R:$R,'YBN HO P&amp;L'!$A62,'YBN Blank TB'!D:D)+(SUMIF('YBN HO TB'!$R:$R,'YBN HO P&amp;L'!$A62,'YBN HO TB'!D:D)))</f>
        <v/>
      </c>
      <c r="Q62" s="37">
        <f>(SUMIF('YBN Blank TB'!$R:$R,'YBN HO P&amp;L'!$A62,'YBN Blank TB'!E:E)+(SUMIF('YBN HO TB'!$R:$R,'YBN HO P&amp;L'!$A62,'YBN HO TB'!E:E)))</f>
        <v/>
      </c>
      <c r="R62" s="37">
        <f>(SUMIF('YBN Blank TB'!$R:$R,'YBN HO P&amp;L'!$A62,'YBN Blank TB'!F:F)+(SUMIF('YBN HO TB'!$R:$R,'YBN HO P&amp;L'!$A62,'YBN HO TB'!F:F)))</f>
        <v/>
      </c>
      <c r="S62" s="37">
        <f>(SUMIF('YBN Blank TB'!$R:$R,'YBN HO P&amp;L'!$A62,'YBN Blank TB'!G:G)+(SUMIF('YBN HO TB'!$R:$R,'YBN HO P&amp;L'!$A62,'YBN HO TB'!G:G)))</f>
        <v/>
      </c>
      <c r="T62" s="37">
        <f>(SUMIF('YBN Blank TB'!$R:$R,'YBN HO P&amp;L'!$A62,'YBN Blank TB'!H:H)+(SUMIF('YBN HO TB'!$R:$R,'YBN HO P&amp;L'!$A62,'YBN HO TB'!H:H)))</f>
        <v/>
      </c>
      <c r="U62" s="37">
        <f>(SUMIF('YBN Blank TB'!$R:$R,'YBN HO P&amp;L'!$A62,'YBN Blank TB'!I:I)+(SUMIF('YBN HO TB'!$R:$R,'YBN HO P&amp;L'!$A62,'YBN HO TB'!I:I)))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9">
        <f>SUM(N62:Z62)-$N62</f>
        <v/>
      </c>
      <c r="AN62" s="40" t="n"/>
      <c r="AO62" s="36">
        <f>SUM(AC62:AE62)+SUM(R62:Z62)</f>
        <v/>
      </c>
      <c r="AP62" s="36">
        <f>SUM(AC62:AH62)+SUM(U62:Z62)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(SUMIF('YBN Blank TB'!$R:$R,'YBN HO P&amp;L'!$A63,'YBN Blank TB'!C:C)+(SUMIF('YBN HO TB'!$R:$R,'YBN HO P&amp;L'!$A63,'YBN HO TB'!C:C)))</f>
        <v/>
      </c>
      <c r="P63" s="37">
        <f>(SUMIF('YBN Blank TB'!$R:$R,'YBN HO P&amp;L'!$A63,'YBN Blank TB'!D:D)+(SUMIF('YBN HO TB'!$R:$R,'YBN HO P&amp;L'!$A63,'YBN HO TB'!D:D)))</f>
        <v/>
      </c>
      <c r="Q63" s="37">
        <f>(SUMIF('YBN Blank TB'!$R:$R,'YBN HO P&amp;L'!$A63,'YBN Blank TB'!E:E)+(SUMIF('YBN HO TB'!$R:$R,'YBN HO P&amp;L'!$A63,'YBN HO TB'!E:E)))</f>
        <v/>
      </c>
      <c r="R63" s="37">
        <f>(SUMIF('YBN Blank TB'!$R:$R,'YBN HO P&amp;L'!$A63,'YBN Blank TB'!F:F)+(SUMIF('YBN HO TB'!$R:$R,'YBN HO P&amp;L'!$A63,'YBN HO TB'!F:F)))</f>
        <v/>
      </c>
      <c r="S63" s="37">
        <f>(SUMIF('YBN Blank TB'!$R:$R,'YBN HO P&amp;L'!$A63,'YBN Blank TB'!G:G)+(SUMIF('YBN HO TB'!$R:$R,'YBN HO P&amp;L'!$A63,'YBN HO TB'!G:G)))</f>
        <v/>
      </c>
      <c r="T63" s="37">
        <f>(SUMIF('YBN Blank TB'!$R:$R,'YBN HO P&amp;L'!$A63,'YBN Blank TB'!H:H)+(SUMIF('YBN HO TB'!$R:$R,'YBN HO P&amp;L'!$A63,'YBN HO TB'!H:H)))</f>
        <v/>
      </c>
      <c r="U63" s="37">
        <f>(SUMIF('YBN Blank TB'!$R:$R,'YBN HO P&amp;L'!$A63,'YBN Blank TB'!I:I)+(SUMIF('YBN HO TB'!$R:$R,'YBN HO P&amp;L'!$A63,'YBN HO TB'!I:I)))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9">
        <f>SUM(N63:Z63)-$N63</f>
        <v/>
      </c>
      <c r="AN63" s="40" t="n"/>
      <c r="AO63" s="36">
        <f>SUM(AC63:AE63)+SUM(R63:Z63)</f>
        <v/>
      </c>
      <c r="AP63" s="36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(SUMIF('YBN Blank TB'!$R:$R,'YBN HO P&amp;L'!$A64,'YBN Blank TB'!C:C)+(SUMIF('YBN HO TB'!$R:$R,'YBN HO P&amp;L'!$A64,'YBN HO TB'!C:C)))</f>
        <v/>
      </c>
      <c r="P64" s="37">
        <f>(SUMIF('YBN Blank TB'!$R:$R,'YBN HO P&amp;L'!$A64,'YBN Blank TB'!D:D)+(SUMIF('YBN HO TB'!$R:$R,'YBN HO P&amp;L'!$A64,'YBN HO TB'!D:D)))</f>
        <v/>
      </c>
      <c r="Q64" s="37">
        <f>(SUMIF('YBN Blank TB'!$R:$R,'YBN HO P&amp;L'!$A64,'YBN Blank TB'!E:E)+(SUMIF('YBN HO TB'!$R:$R,'YBN HO P&amp;L'!$A64,'YBN HO TB'!E:E)))</f>
        <v/>
      </c>
      <c r="R64" s="37">
        <f>(SUMIF('YBN Blank TB'!$R:$R,'YBN HO P&amp;L'!$A64,'YBN Blank TB'!F:F)+(SUMIF('YBN HO TB'!$R:$R,'YBN HO P&amp;L'!$A64,'YBN HO TB'!F:F)))</f>
        <v/>
      </c>
      <c r="S64" s="37">
        <f>(SUMIF('YBN Blank TB'!$R:$R,'YBN HO P&amp;L'!$A64,'YBN Blank TB'!G:G)+(SUMIF('YBN HO TB'!$R:$R,'YBN HO P&amp;L'!$A64,'YBN HO TB'!G:G)))</f>
        <v/>
      </c>
      <c r="T64" s="37">
        <f>(SUMIF('YBN Blank TB'!$R:$R,'YBN HO P&amp;L'!$A64,'YBN Blank TB'!H:H)+(SUMIF('YBN HO TB'!$R:$R,'YBN HO P&amp;L'!$A64,'YBN HO TB'!H:H)))</f>
        <v/>
      </c>
      <c r="U64" s="37">
        <f>(SUMIF('YBN Blank TB'!$R:$R,'YBN HO P&amp;L'!$A64,'YBN Blank TB'!I:I)+(SUMIF('YBN HO TB'!$R:$R,'YBN HO P&amp;L'!$A64,'YBN HO TB'!I:I)))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9">
        <f>SUM(N64:Z64)-$N64</f>
        <v/>
      </c>
      <c r="AN64" s="40" t="n"/>
      <c r="AO64" s="36">
        <f>SUM(AC64:AE64)+SUM(R64:Z64)</f>
        <v/>
      </c>
      <c r="AP64" s="36">
        <f>SUM(AC64:AH64)+SUM(U64:Z64)</f>
        <v/>
      </c>
    </row>
    <row r="65">
      <c r="A65" s="34" t="inlineStr">
        <is>
          <t>Audit</t>
        </is>
      </c>
      <c r="B65" s="35" t="n">
        <v>0</v>
      </c>
      <c r="C65" s="35" t="n">
        <v>30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(SUMIF('YBN Blank TB'!$R:$R,'YBN HO P&amp;L'!$A65,'YBN Blank TB'!C:C)+(SUMIF('YBN HO TB'!$R:$R,'YBN HO P&amp;L'!$A65,'YBN HO TB'!C:C)))</f>
        <v/>
      </c>
      <c r="P65" s="37">
        <f>(SUMIF('YBN Blank TB'!$R:$R,'YBN HO P&amp;L'!$A65,'YBN Blank TB'!D:D)+(SUMIF('YBN HO TB'!$R:$R,'YBN HO P&amp;L'!$A65,'YBN HO TB'!D:D)))</f>
        <v/>
      </c>
      <c r="Q65" s="37">
        <f>(SUMIF('YBN Blank TB'!$R:$R,'YBN HO P&amp;L'!$A65,'YBN Blank TB'!E:E)+(SUMIF('YBN HO TB'!$R:$R,'YBN HO P&amp;L'!$A65,'YBN HO TB'!E:E)))</f>
        <v/>
      </c>
      <c r="R65" s="37">
        <f>(SUMIF('YBN Blank TB'!$R:$R,'YBN HO P&amp;L'!$A65,'YBN Blank TB'!F:F)+(SUMIF('YBN HO TB'!$R:$R,'YBN HO P&amp;L'!$A65,'YBN HO TB'!F:F)))</f>
        <v/>
      </c>
      <c r="S65" s="37">
        <f>(SUMIF('YBN Blank TB'!$R:$R,'YBN HO P&amp;L'!$A65,'YBN Blank TB'!G:G)+(SUMIF('YBN HO TB'!$R:$R,'YBN HO P&amp;L'!$A65,'YBN HO TB'!G:G)))</f>
        <v/>
      </c>
      <c r="T65" s="37">
        <f>(SUMIF('YBN Blank TB'!$R:$R,'YBN HO P&amp;L'!$A65,'YBN Blank TB'!H:H)+(SUMIF('YBN HO TB'!$R:$R,'YBN HO P&amp;L'!$A65,'YBN HO TB'!H:H)))</f>
        <v/>
      </c>
      <c r="U65" s="37">
        <f>(SUMIF('YBN Blank TB'!$R:$R,'YBN HO P&amp;L'!$A65,'YBN Blank TB'!I:I)+(SUMIF('YBN HO TB'!$R:$R,'YBN HO P&amp;L'!$A65,'YBN HO TB'!I:I)))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9">
        <f>SUM(N65:Z65)-$N65</f>
        <v/>
      </c>
      <c r="AN65" s="40" t="n"/>
      <c r="AO65" s="36">
        <f>SUM(AC65:AE65)+SUM(R65:Z65)</f>
        <v/>
      </c>
      <c r="AP65" s="36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(SUMIF('YBN Blank TB'!$R:$R,'YBN HO P&amp;L'!$A66,'YBN Blank TB'!C:C)+(SUMIF('YBN HO TB'!$R:$R,'YBN HO P&amp;L'!$A66,'YBN HO TB'!C:C)))</f>
        <v/>
      </c>
      <c r="P66" s="37">
        <f>(SUMIF('YBN Blank TB'!$R:$R,'YBN HO P&amp;L'!$A66,'YBN Blank TB'!D:D)+(SUMIF('YBN HO TB'!$R:$R,'YBN HO P&amp;L'!$A66,'YBN HO TB'!D:D)))</f>
        <v/>
      </c>
      <c r="Q66" s="37">
        <f>(SUMIF('YBN Blank TB'!$R:$R,'YBN HO P&amp;L'!$A66,'YBN Blank TB'!E:E)+(SUMIF('YBN HO TB'!$R:$R,'YBN HO P&amp;L'!$A66,'YBN HO TB'!E:E)))</f>
        <v/>
      </c>
      <c r="R66" s="37">
        <f>(SUMIF('YBN Blank TB'!$R:$R,'YBN HO P&amp;L'!$A66,'YBN Blank TB'!F:F)+(SUMIF('YBN HO TB'!$R:$R,'YBN HO P&amp;L'!$A66,'YBN HO TB'!F:F)))</f>
        <v/>
      </c>
      <c r="S66" s="37">
        <f>(SUMIF('YBN Blank TB'!$R:$R,'YBN HO P&amp;L'!$A66,'YBN Blank TB'!G:G)+(SUMIF('YBN HO TB'!$R:$R,'YBN HO P&amp;L'!$A66,'YBN HO TB'!G:G)))</f>
        <v/>
      </c>
      <c r="T66" s="37">
        <f>(SUMIF('YBN Blank TB'!$R:$R,'YBN HO P&amp;L'!$A66,'YBN Blank TB'!H:H)+(SUMIF('YBN HO TB'!$R:$R,'YBN HO P&amp;L'!$A66,'YBN HO TB'!H:H)))</f>
        <v/>
      </c>
      <c r="U66" s="37">
        <f>(SUMIF('YBN Blank TB'!$R:$R,'YBN HO P&amp;L'!$A66,'YBN Blank TB'!I:I)+(SUMIF('YBN HO TB'!$R:$R,'YBN HO P&amp;L'!$A66,'YBN HO TB'!I:I)))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9">
        <f>SUM(N66:Z66)-$N66</f>
        <v/>
      </c>
      <c r="AN66" s="40" t="n"/>
      <c r="AO66" s="36">
        <f>SUM(AC66:AE66)+SUM(R66:Z66)</f>
        <v/>
      </c>
      <c r="AP66" s="36">
        <f>SUM(AC66:AH66)+SUM(U66:Z66)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915.6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704.4</v>
      </c>
      <c r="N67" s="36">
        <f>SUM(B67:M67)</f>
        <v/>
      </c>
      <c r="O67" s="37">
        <f>(SUMIF('YBN Blank TB'!$R:$R,'YBN HO P&amp;L'!$A67,'YBN Blank TB'!C:C)+(SUMIF('YBN HO TB'!$R:$R,'YBN HO P&amp;L'!$A67,'YBN HO TB'!C:C)))</f>
        <v/>
      </c>
      <c r="P67" s="37">
        <f>(SUMIF('YBN Blank TB'!$R:$R,'YBN HO P&amp;L'!$A67,'YBN Blank TB'!D:D)+(SUMIF('YBN HO TB'!$R:$R,'YBN HO P&amp;L'!$A67,'YBN HO TB'!D:D)))</f>
        <v/>
      </c>
      <c r="Q67" s="37">
        <f>(SUMIF('YBN Blank TB'!$R:$R,'YBN HO P&amp;L'!$A67,'YBN Blank TB'!E:E)+(SUMIF('YBN HO TB'!$R:$R,'YBN HO P&amp;L'!$A67,'YBN HO TB'!E:E)))</f>
        <v/>
      </c>
      <c r="R67" s="37">
        <f>(SUMIF('YBN Blank TB'!$R:$R,'YBN HO P&amp;L'!$A67,'YBN Blank TB'!F:F)+(SUMIF('YBN HO TB'!$R:$R,'YBN HO P&amp;L'!$A67,'YBN HO TB'!F:F)))</f>
        <v/>
      </c>
      <c r="S67" s="37">
        <f>(SUMIF('YBN Blank TB'!$R:$R,'YBN HO P&amp;L'!$A67,'YBN Blank TB'!G:G)+(SUMIF('YBN HO TB'!$R:$R,'YBN HO P&amp;L'!$A67,'YBN HO TB'!G:G)))</f>
        <v/>
      </c>
      <c r="T67" s="37">
        <f>(SUMIF('YBN Blank TB'!$R:$R,'YBN HO P&amp;L'!$A67,'YBN Blank TB'!H:H)+(SUMIF('YBN HO TB'!$R:$R,'YBN HO P&amp;L'!$A67,'YBN HO TB'!H:H)))</f>
        <v/>
      </c>
      <c r="U67" s="37">
        <f>(SUMIF('YBN Blank TB'!$R:$R,'YBN HO P&amp;L'!$A67,'YBN Blank TB'!I:I)+(SUMIF('YBN HO TB'!$R:$R,'YBN HO P&amp;L'!$A67,'YBN HO TB'!I:I)))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9">
        <f>SUM(N67:Z67)-$N67</f>
        <v/>
      </c>
      <c r="AN67" s="40" t="n"/>
      <c r="AO67" s="36">
        <f>SUM(AC67:AE67)+SUM(R67:Z67)</f>
        <v/>
      </c>
      <c r="AP67" s="36">
        <f>SUM(AC67:AH67)+SUM(U67:Z67)</f>
        <v/>
      </c>
    </row>
    <row r="68" ht="15.75" customHeight="1">
      <c r="A68" s="34" t="inlineStr">
        <is>
          <t>Finance Costs</t>
        </is>
      </c>
      <c r="B68" s="35" t="n">
        <v>5.95</v>
      </c>
      <c r="C68" s="35" t="n">
        <v>9.800000000000001</v>
      </c>
      <c r="D68" s="35" t="n">
        <v>7</v>
      </c>
      <c r="E68" s="35" t="n">
        <v>7.7</v>
      </c>
      <c r="F68" s="35" t="n">
        <v>7</v>
      </c>
      <c r="G68" s="35" t="n">
        <v>5.95</v>
      </c>
      <c r="H68" s="35" t="n">
        <v>6.65</v>
      </c>
      <c r="I68" s="35" t="n">
        <v>7.35</v>
      </c>
      <c r="J68" s="35" t="n">
        <v>3.5</v>
      </c>
      <c r="K68" s="35" t="n">
        <v>5.25</v>
      </c>
      <c r="L68" s="35" t="n">
        <v>3.5</v>
      </c>
      <c r="M68" s="35" t="n">
        <v>3.85</v>
      </c>
      <c r="N68" s="36">
        <f>SUM(B68:M68)</f>
        <v/>
      </c>
      <c r="O68" s="37">
        <f>(SUMIF('YBN Blank TB'!$R:$R,'YBN HO P&amp;L'!$A68,'YBN Blank TB'!C:C)+(SUMIF('YBN HO TB'!$R:$R,'YBN HO P&amp;L'!$A68,'YBN HO TB'!C:C)))</f>
        <v/>
      </c>
      <c r="P68" s="37">
        <f>(SUMIF('YBN Blank TB'!$R:$R,'YBN HO P&amp;L'!$A68,'YBN Blank TB'!D:D)+(SUMIF('YBN HO TB'!$R:$R,'YBN HO P&amp;L'!$A68,'YBN HO TB'!D:D)))</f>
        <v/>
      </c>
      <c r="Q68" s="37">
        <f>(SUMIF('YBN Blank TB'!$R:$R,'YBN HO P&amp;L'!$A68,'YBN Blank TB'!E:E)+(SUMIF('YBN HO TB'!$R:$R,'YBN HO P&amp;L'!$A68,'YBN HO TB'!E:E)))</f>
        <v/>
      </c>
      <c r="R68" s="37">
        <f>(SUMIF('YBN Blank TB'!$R:$R,'YBN HO P&amp;L'!$A68,'YBN Blank TB'!F:F)+(SUMIF('YBN HO TB'!$R:$R,'YBN HO P&amp;L'!$A68,'YBN HO TB'!F:F)))</f>
        <v/>
      </c>
      <c r="S68" s="37">
        <f>(SUMIF('YBN Blank TB'!$R:$R,'YBN HO P&amp;L'!$A68,'YBN Blank TB'!G:G)+(SUMIF('YBN HO TB'!$R:$R,'YBN HO P&amp;L'!$A68,'YBN HO TB'!G:G)))</f>
        <v/>
      </c>
      <c r="T68" s="37">
        <f>(SUMIF('YBN Blank TB'!$R:$R,'YBN HO P&amp;L'!$A68,'YBN Blank TB'!H:H)+(SUMIF('YBN HO TB'!$R:$R,'YBN HO P&amp;L'!$A68,'YBN HO TB'!H:H)))</f>
        <v/>
      </c>
      <c r="U68" s="37">
        <f>(SUMIF('YBN Blank TB'!$R:$R,'YBN HO P&amp;L'!$A68,'YBN Blank TB'!I:I)+(SUMIF('YBN HO TB'!$R:$R,'YBN HO P&amp;L'!$A68,'YBN HO TB'!I:I)))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9">
        <f>SUM(N68:Z68)-$N68</f>
        <v/>
      </c>
      <c r="AN68" s="40" t="n"/>
      <c r="AO68" s="36">
        <f>SUM(AC68:AE68)+SUM(R68:Z68)</f>
        <v/>
      </c>
      <c r="AP68" s="36">
        <f>SUM(AC68:AH68)+SUM(U68:Z68)</f>
        <v/>
      </c>
    </row>
    <row r="69" ht="15.75" customHeight="1">
      <c r="A69" s="41" t="inlineStr">
        <is>
          <t>Total Overheads</t>
        </is>
      </c>
      <c r="B69" s="42" t="n">
        <v>5.95</v>
      </c>
      <c r="C69" s="42" t="n">
        <v>39.8</v>
      </c>
      <c r="D69" s="42" t="n">
        <v>7</v>
      </c>
      <c r="E69" s="42" t="n">
        <v>923.3000000000001</v>
      </c>
      <c r="F69" s="42" t="n">
        <v>7</v>
      </c>
      <c r="G69" s="42" t="n">
        <v>5.95</v>
      </c>
      <c r="H69" s="42" t="n">
        <v>4.680000000000001</v>
      </c>
      <c r="I69" s="42" t="n">
        <v>7.35</v>
      </c>
      <c r="J69" s="42" t="n">
        <v>3.5</v>
      </c>
      <c r="K69" s="42" t="n">
        <v>5.25</v>
      </c>
      <c r="L69" s="42" t="n">
        <v>3.5</v>
      </c>
      <c r="M69" s="42" t="n">
        <v>708.25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 t="n"/>
      <c r="AD69" s="45" t="n"/>
      <c r="AE69" s="45" t="n"/>
      <c r="AF69" s="45" t="n"/>
      <c r="AG69" s="45" t="n"/>
      <c r="AH69" s="45" t="n"/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43">
        <f>SUM(AO53:AO68)</f>
        <v/>
      </c>
      <c r="AP69" s="43">
        <f>SUM(AP53:AP68)</f>
        <v/>
      </c>
    </row>
    <row r="70">
      <c r="A70" s="54" t="inlineStr">
        <is>
          <t>EBITDA</t>
        </is>
      </c>
      <c r="B70" s="55" t="n">
        <v>-5.95</v>
      </c>
      <c r="C70" s="55" t="n">
        <v>-39.8</v>
      </c>
      <c r="D70" s="55" t="n">
        <v>-7</v>
      </c>
      <c r="E70" s="55" t="n">
        <v>-923.3000000000001</v>
      </c>
      <c r="F70" s="55" t="n">
        <v>-78.98</v>
      </c>
      <c r="G70" s="55" t="n">
        <v>-5.95</v>
      </c>
      <c r="H70" s="55" t="n">
        <v>-4.680000000000001</v>
      </c>
      <c r="I70" s="55" t="n">
        <v>-7.35</v>
      </c>
      <c r="J70" s="55" t="n">
        <v>-3.5</v>
      </c>
      <c r="K70" s="55" t="n">
        <v>-5.25</v>
      </c>
      <c r="L70" s="55" t="n">
        <v>-48.5</v>
      </c>
      <c r="M70" s="55" t="n">
        <v>-708.25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8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55">
        <f>AO50-AO69</f>
        <v/>
      </c>
      <c r="AP70" s="55">
        <f>AP50-AP69</f>
        <v/>
      </c>
    </row>
    <row r="71">
      <c r="A71" s="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40" t="n"/>
      <c r="AK72" s="40" t="n"/>
      <c r="AL72" s="40" t="n"/>
      <c r="AM72" s="40" t="n"/>
      <c r="AN72" s="40" t="n"/>
      <c r="AO72" s="40" t="n"/>
      <c r="AP72" s="40" t="n"/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8" t="n"/>
      <c r="AJ73" s="59" t="inlineStr">
        <is>
          <t>Model assumptions 2027:</t>
        </is>
      </c>
      <c r="AK73" s="8" t="n"/>
      <c r="AL73" s="8" t="n"/>
      <c r="AM73" s="8" t="n"/>
      <c r="AN73" s="40" t="n"/>
      <c r="AO73" s="40" t="n"/>
      <c r="AP73" s="40" t="n"/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40" t="n"/>
      <c r="AO74" s="40" t="n"/>
      <c r="AP74" s="40" t="n"/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40" t="n"/>
      <c r="AO75" s="40" t="n"/>
      <c r="AP75" s="40" t="n"/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40" t="n"/>
      <c r="AO76" s="40" t="n"/>
      <c r="AP76" s="40" t="n"/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40" t="n"/>
      <c r="AO77" s="40" t="n"/>
      <c r="AP77" s="40" t="n"/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-5.95</v>
      </c>
      <c r="C79" s="57" t="n">
        <v>-39.8</v>
      </c>
      <c r="D79" s="57" t="n">
        <v>-7</v>
      </c>
      <c r="E79" s="57" t="n">
        <v>-923.3000000000001</v>
      </c>
      <c r="F79" s="57" t="n">
        <v>-78.98</v>
      </c>
      <c r="G79" s="57" t="n">
        <v>-5.95</v>
      </c>
      <c r="H79" s="57" t="n">
        <v>-4.680000000000001</v>
      </c>
      <c r="I79" s="57" t="n">
        <v>-7.35</v>
      </c>
      <c r="J79" s="57" t="n">
        <v>-3.5</v>
      </c>
      <c r="K79" s="57" t="n">
        <v>-5.25</v>
      </c>
      <c r="L79" s="57" t="n">
        <v>-48.5</v>
      </c>
      <c r="M79" s="57" t="n">
        <v>-708.25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5">
        <f>U70+SUM(U73:U78)</f>
        <v/>
      </c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8" t="n"/>
      <c r="AJ79" s="56" t="n"/>
      <c r="AK79" s="56" t="n"/>
      <c r="AL79" s="56" t="n"/>
      <c r="AM79" s="56" t="n"/>
      <c r="AN79" s="56" t="n"/>
      <c r="AO79" s="56" t="n"/>
      <c r="AP79" s="56" t="n"/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34" t="inlineStr">
        <is>
          <t>Direct - Sales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0</v>
      </c>
      <c r="I82" s="18" t="n">
        <v>0</v>
      </c>
      <c r="J82" s="18" t="n">
        <v>0</v>
      </c>
      <c r="K82" s="18" t="n">
        <v>0</v>
      </c>
      <c r="L82" s="18" t="n">
        <v>0</v>
      </c>
      <c r="M82" s="18" t="n"/>
      <c r="N82" s="8" t="n"/>
      <c r="O82" s="60">
        <f>-SUMIF('YBN Blank TB'!$T:$T,'YBN HO P&amp;L'!$A82,'YBN Blank TB'!C:C)-SUMIF('YBN HO TB'!$T:$T,'YBN HO P&amp;L'!$A82,'YBN HO TB'!C:C)</f>
        <v/>
      </c>
      <c r="P82" s="60">
        <f>-SUMIF('YBN Blank TB'!$T:$T,'YBN HO P&amp;L'!$A82,'YBN Blank TB'!D:D)-SUMIF('YBN HO TB'!$T:$T,'YBN HO P&amp;L'!$A82,'YBN HO TB'!D:D)</f>
        <v/>
      </c>
      <c r="Q82" s="60">
        <f>-SUMIF('YBN Blank TB'!$T:$T,'YBN HO P&amp;L'!$A82,'YBN Blank TB'!E:E)-SUMIF('YBN HO TB'!$T:$T,'YBN HO P&amp;L'!$A82,'YBN HO TB'!E:E)</f>
        <v/>
      </c>
      <c r="R82" s="60">
        <f>-SUMIF('YBN Blank TB'!$T:$T,'YBN HO P&amp;L'!$A82,'YBN Blank TB'!F:F)-SUMIF('YBN HO TB'!$T:$T,'YBN HO P&amp;L'!$A82,'YBN HO TB'!F:F)</f>
        <v/>
      </c>
      <c r="S82" s="60">
        <f>-SUMIF('YBN Blank TB'!$T:$T,'YBN HO P&amp;L'!$A82,'YBN Blank TB'!G:G)-SUMIF('YBN HO TB'!$T:$T,'YBN HO P&amp;L'!$A82,'YBN HO TB'!G:G)</f>
        <v/>
      </c>
      <c r="T82" s="60">
        <f>-SUMIF('YBN Blank TB'!$T:$T,'YBN HO P&amp;L'!$A82,'YBN Blank TB'!H:H)-SUMIF('YBN HO TB'!$T:$T,'YBN HO P&amp;L'!$A82,'YBN HO TB'!H:H)</f>
        <v/>
      </c>
      <c r="U82" s="60">
        <f>-SUMIF('YBN Blank TB'!$T:$T,'YBN HO P&amp;L'!$A82,'YBN Blank TB'!I:I)-SUMIF('YBN HO TB'!$T:$T,'YBN HO P&amp;L'!$A82,'YBN HO TB'!I:I)</f>
        <v/>
      </c>
      <c r="V82" s="60">
        <f>-SUMIF('YBN Blank TB'!$T:$T,'YBN HO P&amp;L'!$A82,'YBN Blank TB'!J:J)-SUMIF('YBN HO TB'!$T:$T,'YBN HO P&amp;L'!$A82,'YBN HO TB'!J:J)</f>
        <v/>
      </c>
      <c r="W82" s="60">
        <f>-SUMIF('YBN Blank TB'!$T:$T,'YBN HO P&amp;L'!$A82,'YBN Blank TB'!K:K)-SUMIF('YBN HO TB'!$T:$T,'YBN HO P&amp;L'!$A82,'YBN HO TB'!K:K)</f>
        <v/>
      </c>
      <c r="X82" s="60">
        <f>-SUMIF('YBN Blank TB'!$T:$T,'YBN HO P&amp;L'!$A82,'YBN Blank TB'!L:L)-SUMIF('YBN HO TB'!$T:$T,'YBN HO P&amp;L'!$A82,'YBN HO TB'!L:L)</f>
        <v/>
      </c>
      <c r="Y82" s="60">
        <f>-SUMIF('YBN Blank TB'!$T:$T,'YBN HO P&amp;L'!$A82,'YBN Blank TB'!M:M)-SUMIF('YBN HO TB'!$T:$T,'YBN HO P&amp;L'!$A82,'YBN HO TB'!M:M)</f>
        <v/>
      </c>
      <c r="Z82" s="60">
        <f>-SUMIF('YBN Blank TB'!$T:$T,'YBN HO P&amp;L'!$A82,'YBN Blank TB'!N:N)-SUMIF('YBN HO TB'!$T:$T,'YBN HO P&amp;L'!$A82,'YBN HO TB'!N:N)</f>
        <v/>
      </c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60" t="inlineStr">
        <is>
          <t>Direct - Staff Cost</t>
        </is>
      </c>
      <c r="B83" s="60" t="n">
        <v>0</v>
      </c>
      <c r="C83" s="60" t="n">
        <v>0</v>
      </c>
      <c r="D83" s="60" t="n">
        <v>0</v>
      </c>
      <c r="E83" s="60" t="n">
        <v>0</v>
      </c>
      <c r="F83" s="60" t="n">
        <v>0</v>
      </c>
      <c r="G83" s="60" t="n">
        <v>0</v>
      </c>
      <c r="H83" s="60" t="n">
        <v>0</v>
      </c>
      <c r="I83" s="60" t="n">
        <v>0</v>
      </c>
      <c r="J83" s="60" t="n">
        <v>0</v>
      </c>
      <c r="K83" s="60" t="n">
        <v>0</v>
      </c>
      <c r="L83" s="60" t="n">
        <v>0</v>
      </c>
      <c r="M83" s="8" t="n"/>
      <c r="N83" s="8" t="n"/>
      <c r="O83" s="60">
        <f>-SUMIF('YBN Blank TB'!$T:$T,'YBN HO P&amp;L'!$A83,'YBN Blank TB'!C:C)-SUMIF('YBN HO TB'!$T:$T,'YBN HO P&amp;L'!$A83,'YBN HO TB'!C:C)</f>
        <v/>
      </c>
      <c r="P83" s="60">
        <f>-SUMIF('YBN Blank TB'!$T:$T,'YBN HO P&amp;L'!$A83,'YBN Blank TB'!D:D)-SUMIF('YBN HO TB'!$T:$T,'YBN HO P&amp;L'!$A83,'YBN HO TB'!D:D)</f>
        <v/>
      </c>
      <c r="Q83" s="60">
        <f>-SUMIF('YBN Blank TB'!$T:$T,'YBN HO P&amp;L'!$A83,'YBN Blank TB'!E:E)-SUMIF('YBN HO TB'!$T:$T,'YBN HO P&amp;L'!$A83,'YBN HO TB'!E:E)</f>
        <v/>
      </c>
      <c r="R83" s="60">
        <f>-SUMIF('YBN Blank TB'!$T:$T,'YBN HO P&amp;L'!$A83,'YBN Blank TB'!F:F)-SUMIF('YBN HO TB'!$T:$T,'YBN HO P&amp;L'!$A83,'YBN HO TB'!F:F)</f>
        <v/>
      </c>
      <c r="S83" s="60">
        <f>-SUMIF('YBN Blank TB'!$T:$T,'YBN HO P&amp;L'!$A83,'YBN Blank TB'!G:G)-SUMIF('YBN HO TB'!$T:$T,'YBN HO P&amp;L'!$A83,'YBN HO TB'!G:G)</f>
        <v/>
      </c>
      <c r="T83" s="60">
        <f>-SUMIF('YBN Blank TB'!$T:$T,'YBN HO P&amp;L'!$A83,'YBN Blank TB'!H:H)-SUMIF('YBN HO TB'!$T:$T,'YBN HO P&amp;L'!$A83,'YBN HO TB'!H:H)</f>
        <v/>
      </c>
      <c r="U83" s="60">
        <f>-SUMIF('YBN Blank TB'!$T:$T,'YBN HO P&amp;L'!$A83,'YBN Blank TB'!I:I)-SUMIF('YBN HO TB'!$T:$T,'YBN HO P&amp;L'!$A83,'YBN HO TB'!I:I)</f>
        <v/>
      </c>
      <c r="V83" s="60">
        <f>-SUMIF('YBN Blank TB'!$T:$T,'YBN HO P&amp;L'!$A83,'YBN Blank TB'!J:J)-SUMIF('YBN HO TB'!$T:$T,'YBN HO P&amp;L'!$A83,'YBN HO TB'!J:J)</f>
        <v/>
      </c>
      <c r="W83" s="60">
        <f>-SUMIF('YBN Blank TB'!$T:$T,'YBN HO P&amp;L'!$A83,'YBN Blank TB'!K:K)-SUMIF('YBN HO TB'!$T:$T,'YBN HO P&amp;L'!$A83,'YBN HO TB'!K:K)</f>
        <v/>
      </c>
      <c r="X83" s="60">
        <f>-SUMIF('YBN Blank TB'!$T:$T,'YBN HO P&amp;L'!$A83,'YBN Blank TB'!L:L)-SUMIF('YBN HO TB'!$T:$T,'YBN HO P&amp;L'!$A83,'YBN HO TB'!L:L)</f>
        <v/>
      </c>
      <c r="Y83" s="60">
        <f>-SUMIF('YBN Blank TB'!$T:$T,'YBN HO P&amp;L'!$A83,'YBN Blank TB'!M:M)-SUMIF('YBN HO TB'!$T:$T,'YBN HO P&amp;L'!$A83,'YBN HO TB'!M:M)</f>
        <v/>
      </c>
      <c r="Z83" s="60">
        <f>-SUMIF('YBN Blank TB'!$T:$T,'YBN HO P&amp;L'!$A83,'YBN Blank TB'!N:N)-SUMIF('YBN HO TB'!$T:$T,'YBN HO P&amp;L'!$A83,'YBN HO TB'!N:N)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60" t="inlineStr">
        <is>
          <t>Direct - Childcare Cost</t>
        </is>
      </c>
      <c r="B84" s="60" t="n">
        <v>0</v>
      </c>
      <c r="C84" s="60" t="n">
        <v>0</v>
      </c>
      <c r="D84" s="60" t="n">
        <v>0</v>
      </c>
      <c r="E84" s="60" t="n">
        <v>0</v>
      </c>
      <c r="F84" s="60" t="n">
        <v>0</v>
      </c>
      <c r="G84" s="60" t="n">
        <v>0</v>
      </c>
      <c r="H84" s="60" t="n">
        <v>0</v>
      </c>
      <c r="I84" s="60" t="n">
        <v>0</v>
      </c>
      <c r="J84" s="60" t="n">
        <v>0</v>
      </c>
      <c r="K84" s="60" t="n">
        <v>0</v>
      </c>
      <c r="L84" s="60" t="n">
        <v>-45</v>
      </c>
      <c r="M84" s="8" t="n"/>
      <c r="N84" s="8" t="n"/>
      <c r="O84" s="60">
        <f>-SUMIF('YBN Blank TB'!$T:$T,'YBN HO P&amp;L'!$A84,'YBN Blank TB'!C:C)-SUMIF('YBN HO TB'!$T:$T,'YBN HO P&amp;L'!$A84,'YBN HO TB'!C:C)</f>
        <v/>
      </c>
      <c r="P84" s="60">
        <f>-SUMIF('YBN Blank TB'!$T:$T,'YBN HO P&amp;L'!$A84,'YBN Blank TB'!D:D)-SUMIF('YBN HO TB'!$T:$T,'YBN HO P&amp;L'!$A84,'YBN HO TB'!D:D)</f>
        <v/>
      </c>
      <c r="Q84" s="60">
        <f>-SUMIF('YBN Blank TB'!$T:$T,'YBN HO P&amp;L'!$A84,'YBN Blank TB'!E:E)-SUMIF('YBN HO TB'!$T:$T,'YBN HO P&amp;L'!$A84,'YBN HO TB'!E:E)</f>
        <v/>
      </c>
      <c r="R84" s="60">
        <f>-SUMIF('YBN Blank TB'!$T:$T,'YBN HO P&amp;L'!$A84,'YBN Blank TB'!F:F)-SUMIF('YBN HO TB'!$T:$T,'YBN HO P&amp;L'!$A84,'YBN HO TB'!F:F)</f>
        <v/>
      </c>
      <c r="S84" s="60">
        <f>-SUMIF('YBN Blank TB'!$T:$T,'YBN HO P&amp;L'!$A84,'YBN Blank TB'!G:G)-SUMIF('YBN HO TB'!$T:$T,'YBN HO P&amp;L'!$A84,'YBN HO TB'!G:G)</f>
        <v/>
      </c>
      <c r="T84" s="60">
        <f>-SUMIF('YBN Blank TB'!$T:$T,'YBN HO P&amp;L'!$A84,'YBN Blank TB'!H:H)-SUMIF('YBN HO TB'!$T:$T,'YBN HO P&amp;L'!$A84,'YBN HO TB'!H:H)</f>
        <v/>
      </c>
      <c r="U84" s="60">
        <f>-SUMIF('YBN Blank TB'!$T:$T,'YBN HO P&amp;L'!$A84,'YBN Blank TB'!I:I)-SUMIF('YBN HO TB'!$T:$T,'YBN HO P&amp;L'!$A84,'YBN HO TB'!I:I)</f>
        <v/>
      </c>
      <c r="V84" s="60">
        <f>-SUMIF('YBN Blank TB'!$T:$T,'YBN HO P&amp;L'!$A84,'YBN Blank TB'!J:J)-SUMIF('YBN HO TB'!$T:$T,'YBN HO P&amp;L'!$A84,'YBN HO TB'!J:J)</f>
        <v/>
      </c>
      <c r="W84" s="60">
        <f>-SUMIF('YBN Blank TB'!$T:$T,'YBN HO P&amp;L'!$A84,'YBN Blank TB'!K:K)-SUMIF('YBN HO TB'!$T:$T,'YBN HO P&amp;L'!$A84,'YBN HO TB'!K:K)</f>
        <v/>
      </c>
      <c r="X84" s="60">
        <f>-SUMIF('YBN Blank TB'!$T:$T,'YBN HO P&amp;L'!$A84,'YBN Blank TB'!L:L)-SUMIF('YBN HO TB'!$T:$T,'YBN HO P&amp;L'!$A84,'YBN HO TB'!L:L)</f>
        <v/>
      </c>
      <c r="Y84" s="60">
        <f>-SUMIF('YBN Blank TB'!$T:$T,'YBN HO P&amp;L'!$A84,'YBN Blank TB'!M:M)-SUMIF('YBN HO TB'!$T:$T,'YBN HO P&amp;L'!$A84,'YBN HO TB'!M:M)</f>
        <v/>
      </c>
      <c r="Z84" s="60">
        <f>-SUMIF('YBN Blank TB'!$T:$T,'YBN HO P&amp;L'!$A84,'YBN Blank TB'!N:N)-SUMIF('YBN HO TB'!$T:$T,'YBN HO P&amp;L'!$A84,'YBN HO TB'!N:N)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60" t="inlineStr">
        <is>
          <t>Direct - Premises &amp; Admin</t>
        </is>
      </c>
      <c r="B85" s="18" t="n">
        <v>0</v>
      </c>
      <c r="C85" s="18" t="n">
        <v>0</v>
      </c>
      <c r="D85" s="18" t="n">
        <v>0</v>
      </c>
      <c r="E85" s="18" t="n">
        <v>0</v>
      </c>
      <c r="F85" s="18" t="n">
        <v>-71.98</v>
      </c>
      <c r="G85" s="18" t="n">
        <v>0</v>
      </c>
      <c r="H85" s="18" t="n">
        <v>0</v>
      </c>
      <c r="I85" s="18" t="n">
        <v>0</v>
      </c>
      <c r="J85" s="18" t="n">
        <v>0</v>
      </c>
      <c r="K85" s="18" t="n">
        <v>0</v>
      </c>
      <c r="L85" s="18" t="n">
        <v>0</v>
      </c>
      <c r="M85" s="18" t="n"/>
      <c r="N85" s="8" t="n"/>
      <c r="O85" s="60">
        <f>-SUMIF('YBN Blank TB'!$T:$T,'YBN HO P&amp;L'!$A85,'YBN Blank TB'!C:C)-SUMIF('YBN HO TB'!$T:$T,'YBN HO P&amp;L'!$A85,'YBN HO TB'!C:C)</f>
        <v/>
      </c>
      <c r="P85" s="60">
        <f>-SUMIF('YBN Blank TB'!$T:$T,'YBN HO P&amp;L'!$A85,'YBN Blank TB'!D:D)-SUMIF('YBN HO TB'!$T:$T,'YBN HO P&amp;L'!$A85,'YBN HO TB'!D:D)</f>
        <v/>
      </c>
      <c r="Q85" s="60">
        <f>-SUMIF('YBN Blank TB'!$T:$T,'YBN HO P&amp;L'!$A85,'YBN Blank TB'!E:E)-SUMIF('YBN HO TB'!$T:$T,'YBN HO P&amp;L'!$A85,'YBN HO TB'!E:E)</f>
        <v/>
      </c>
      <c r="R85" s="60">
        <f>-SUMIF('YBN Blank TB'!$T:$T,'YBN HO P&amp;L'!$A85,'YBN Blank TB'!F:F)-SUMIF('YBN HO TB'!$T:$T,'YBN HO P&amp;L'!$A85,'YBN HO TB'!F:F)</f>
        <v/>
      </c>
      <c r="S85" s="60">
        <f>-SUMIF('YBN Blank TB'!$T:$T,'YBN HO P&amp;L'!$A85,'YBN Blank TB'!G:G)-SUMIF('YBN HO TB'!$T:$T,'YBN HO P&amp;L'!$A85,'YBN HO TB'!G:G)</f>
        <v/>
      </c>
      <c r="T85" s="60">
        <f>-SUMIF('YBN Blank TB'!$T:$T,'YBN HO P&amp;L'!$A85,'YBN Blank TB'!H:H)-SUMIF('YBN HO TB'!$T:$T,'YBN HO P&amp;L'!$A85,'YBN HO TB'!H:H)</f>
        <v/>
      </c>
      <c r="U85" s="60">
        <f>-SUMIF('YBN Blank TB'!$T:$T,'YBN HO P&amp;L'!$A85,'YBN Blank TB'!I:I)-SUMIF('YBN HO TB'!$T:$T,'YBN HO P&amp;L'!$A85,'YBN HO TB'!I:I)</f>
        <v/>
      </c>
      <c r="V85" s="60">
        <f>-SUMIF('YBN Blank TB'!$T:$T,'YBN HO P&amp;L'!$A85,'YBN Blank TB'!J:J)-SUMIF('YBN HO TB'!$T:$T,'YBN HO P&amp;L'!$A85,'YBN HO TB'!J:J)</f>
        <v/>
      </c>
      <c r="W85" s="60">
        <f>-SUMIF('YBN Blank TB'!$T:$T,'YBN HO P&amp;L'!$A85,'YBN Blank TB'!K:K)-SUMIF('YBN HO TB'!$T:$T,'YBN HO P&amp;L'!$A85,'YBN HO TB'!K:K)</f>
        <v/>
      </c>
      <c r="X85" s="60">
        <f>-SUMIF('YBN Blank TB'!$T:$T,'YBN HO P&amp;L'!$A85,'YBN Blank TB'!L:L)-SUMIF('YBN HO TB'!$T:$T,'YBN HO P&amp;L'!$A85,'YBN HO TB'!L:L)</f>
        <v/>
      </c>
      <c r="Y85" s="60">
        <f>-SUMIF('YBN Blank TB'!$T:$T,'YBN HO P&amp;L'!$A85,'YBN Blank TB'!M:M)-SUMIF('YBN HO TB'!$T:$T,'YBN HO P&amp;L'!$A85,'YBN HO TB'!M:M)</f>
        <v/>
      </c>
      <c r="Z85" s="60">
        <f>-SUMIF('YBN Blank TB'!$T:$T,'YBN HO P&amp;L'!$A85,'YBN Blank TB'!N:N)-SUMIF('YBN HO TB'!$T:$T,'YBN HO P&amp;L'!$A85,'YBN HO TB'!N:N)</f>
        <v/>
      </c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In-Direct - Staff Cost</t>
        </is>
      </c>
      <c r="B86" s="60" t="n">
        <v>0</v>
      </c>
      <c r="C86" s="60" t="n">
        <v>0</v>
      </c>
      <c r="D86" s="60" t="n">
        <v>0</v>
      </c>
      <c r="E86" s="60" t="n">
        <v>0</v>
      </c>
      <c r="F86" s="60" t="n">
        <v>0</v>
      </c>
      <c r="G86" s="60" t="n">
        <v>0</v>
      </c>
      <c r="H86" s="60" t="n">
        <v>0</v>
      </c>
      <c r="I86" s="60" t="n">
        <v>0</v>
      </c>
      <c r="J86" s="60" t="n">
        <v>0</v>
      </c>
      <c r="K86" s="60" t="n">
        <v>0</v>
      </c>
      <c r="L86" s="60" t="n">
        <v>0</v>
      </c>
      <c r="M86" s="8" t="n"/>
      <c r="N86" s="8" t="n"/>
      <c r="O86" s="60">
        <f>-SUMIF('YBN Blank TB'!$T:$T,'YBN HO P&amp;L'!$A86,'YBN Blank TB'!C:C)-SUMIF('YBN HO TB'!$T:$T,'YBN HO P&amp;L'!$A86,'YBN HO TB'!C:C)</f>
        <v/>
      </c>
      <c r="P86" s="60">
        <f>-SUMIF('YBN Blank TB'!$T:$T,'YBN HO P&amp;L'!$A86,'YBN Blank TB'!D:D)-SUMIF('YBN HO TB'!$T:$T,'YBN HO P&amp;L'!$A86,'YBN HO TB'!D:D)</f>
        <v/>
      </c>
      <c r="Q86" s="60">
        <f>-SUMIF('YBN Blank TB'!$T:$T,'YBN HO P&amp;L'!$A86,'YBN Blank TB'!E:E)-SUMIF('YBN HO TB'!$T:$T,'YBN HO P&amp;L'!$A86,'YBN HO TB'!E:E)</f>
        <v/>
      </c>
      <c r="R86" s="60">
        <f>-SUMIF('YBN Blank TB'!$T:$T,'YBN HO P&amp;L'!$A86,'YBN Blank TB'!F:F)-SUMIF('YBN HO TB'!$T:$T,'YBN HO P&amp;L'!$A86,'YBN HO TB'!F:F)</f>
        <v/>
      </c>
      <c r="S86" s="60">
        <f>-SUMIF('YBN Blank TB'!$T:$T,'YBN HO P&amp;L'!$A86,'YBN Blank TB'!G:G)-SUMIF('YBN HO TB'!$T:$T,'YBN HO P&amp;L'!$A86,'YBN HO TB'!G:G)</f>
        <v/>
      </c>
      <c r="T86" s="60">
        <f>-SUMIF('YBN Blank TB'!$T:$T,'YBN HO P&amp;L'!$A86,'YBN Blank TB'!H:H)-SUMIF('YBN HO TB'!$T:$T,'YBN HO P&amp;L'!$A86,'YBN HO TB'!H:H)</f>
        <v/>
      </c>
      <c r="U86" s="60">
        <f>-SUMIF('YBN Blank TB'!$T:$T,'YBN HO P&amp;L'!$A86,'YBN Blank TB'!I:I)-SUMIF('YBN HO TB'!$T:$T,'YBN HO P&amp;L'!$A86,'YBN HO TB'!I:I)</f>
        <v/>
      </c>
      <c r="V86" s="60">
        <f>-SUMIF('YBN Blank TB'!$T:$T,'YBN HO P&amp;L'!$A86,'YBN Blank TB'!J:J)-SUMIF('YBN HO TB'!$T:$T,'YBN HO P&amp;L'!$A86,'YBN HO TB'!J:J)</f>
        <v/>
      </c>
      <c r="W86" s="60">
        <f>-SUMIF('YBN Blank TB'!$T:$T,'YBN HO P&amp;L'!$A86,'YBN Blank TB'!K:K)-SUMIF('YBN HO TB'!$T:$T,'YBN HO P&amp;L'!$A86,'YBN HO TB'!K:K)</f>
        <v/>
      </c>
      <c r="X86" s="60">
        <f>-SUMIF('YBN Blank TB'!$T:$T,'YBN HO P&amp;L'!$A86,'YBN Blank TB'!L:L)-SUMIF('YBN HO TB'!$T:$T,'YBN HO P&amp;L'!$A86,'YBN HO TB'!L:L)</f>
        <v/>
      </c>
      <c r="Y86" s="60">
        <f>-SUMIF('YBN Blank TB'!$T:$T,'YBN HO P&amp;L'!$A86,'YBN Blank TB'!M:M)-SUMIF('YBN HO TB'!$T:$T,'YBN HO P&amp;L'!$A86,'YBN HO TB'!M:M)</f>
        <v/>
      </c>
      <c r="Z86" s="60">
        <f>-SUMIF('YBN Blank TB'!$T:$T,'YBN HO P&amp;L'!$A86,'YBN Blank TB'!N:N)-SUMIF('YBN HO TB'!$T:$T,'YBN HO P&amp;L'!$A86,'YBN HO TB'!N:N)</f>
        <v/>
      </c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In-Direct - Overheads</t>
        </is>
      </c>
      <c r="B87" s="60" t="n">
        <v>-5.95</v>
      </c>
      <c r="C87" s="60" t="n">
        <v>-39.8</v>
      </c>
      <c r="D87" s="60" t="n">
        <v>-7</v>
      </c>
      <c r="E87" s="60" t="n">
        <v>-923.3000000000001</v>
      </c>
      <c r="F87" s="60" t="n">
        <v>-7</v>
      </c>
      <c r="G87" s="60" t="n">
        <v>-5.95</v>
      </c>
      <c r="H87" s="60" t="n">
        <v>-4.680000000000001</v>
      </c>
      <c r="I87" s="60" t="n">
        <v>-7.35</v>
      </c>
      <c r="J87" s="60" t="n">
        <v>-3.5</v>
      </c>
      <c r="K87" s="60" t="n">
        <v>-5.25</v>
      </c>
      <c r="L87" s="60" t="n">
        <v>-3.5</v>
      </c>
      <c r="M87" s="8" t="n"/>
      <c r="N87" s="8" t="n"/>
      <c r="O87" s="60">
        <f>-SUMIF('YBN Blank TB'!$T:$T,'YBN HO P&amp;L'!$A87,'YBN Blank TB'!C:C)-SUMIF('YBN HO TB'!$T:$T,'YBN HO P&amp;L'!$A87,'YBN HO TB'!C:C)</f>
        <v/>
      </c>
      <c r="P87" s="60">
        <f>-SUMIF('YBN Blank TB'!$T:$T,'YBN HO P&amp;L'!$A87,'YBN Blank TB'!D:D)-SUMIF('YBN HO TB'!$T:$T,'YBN HO P&amp;L'!$A87,'YBN HO TB'!D:D)</f>
        <v/>
      </c>
      <c r="Q87" s="60">
        <f>-SUMIF('YBN Blank TB'!$T:$T,'YBN HO P&amp;L'!$A87,'YBN Blank TB'!E:E)-SUMIF('YBN HO TB'!$T:$T,'YBN HO P&amp;L'!$A87,'YBN HO TB'!E:E)</f>
        <v/>
      </c>
      <c r="R87" s="60">
        <f>-SUMIF('YBN Blank TB'!$T:$T,'YBN HO P&amp;L'!$A87,'YBN Blank TB'!F:F)-SUMIF('YBN HO TB'!$T:$T,'YBN HO P&amp;L'!$A87,'YBN HO TB'!F:F)</f>
        <v/>
      </c>
      <c r="S87" s="60">
        <f>-SUMIF('YBN Blank TB'!$T:$T,'YBN HO P&amp;L'!$A87,'YBN Blank TB'!G:G)-SUMIF('YBN HO TB'!$T:$T,'YBN HO P&amp;L'!$A87,'YBN HO TB'!G:G)</f>
        <v/>
      </c>
      <c r="T87" s="60">
        <f>-SUMIF('YBN Blank TB'!$T:$T,'YBN HO P&amp;L'!$A87,'YBN Blank TB'!H:H)-SUMIF('YBN HO TB'!$T:$T,'YBN HO P&amp;L'!$A87,'YBN HO TB'!H:H)</f>
        <v/>
      </c>
      <c r="U87" s="60">
        <f>-SUMIF('YBN Blank TB'!$T:$T,'YBN HO P&amp;L'!$A87,'YBN Blank TB'!I:I)-SUMIF('YBN HO TB'!$T:$T,'YBN HO P&amp;L'!$A87,'YBN HO TB'!I:I)</f>
        <v/>
      </c>
      <c r="V87" s="60">
        <f>-SUMIF('YBN Blank TB'!$T:$T,'YBN HO P&amp;L'!$A87,'YBN Blank TB'!J:J)-SUMIF('YBN HO TB'!$T:$T,'YBN HO P&amp;L'!$A87,'YBN HO TB'!J:J)</f>
        <v/>
      </c>
      <c r="W87" s="60">
        <f>-SUMIF('YBN Blank TB'!$T:$T,'YBN HO P&amp;L'!$A87,'YBN Blank TB'!K:K)-SUMIF('YBN HO TB'!$T:$T,'YBN HO P&amp;L'!$A87,'YBN HO TB'!K:K)</f>
        <v/>
      </c>
      <c r="X87" s="60">
        <f>-SUMIF('YBN Blank TB'!$T:$T,'YBN HO P&amp;L'!$A87,'YBN Blank TB'!L:L)-SUMIF('YBN HO TB'!$T:$T,'YBN HO P&amp;L'!$A87,'YBN HO TB'!L:L)</f>
        <v/>
      </c>
      <c r="Y87" s="60">
        <f>-SUMIF('YBN Blank TB'!$T:$T,'YBN HO P&amp;L'!$A87,'YBN Blank TB'!M:M)-SUMIF('YBN HO TB'!$T:$T,'YBN HO P&amp;L'!$A87,'YBN HO TB'!M:M)</f>
        <v/>
      </c>
      <c r="Z87" s="60">
        <f>-SUMIF('YBN Blank TB'!$T:$T,'YBN HO P&amp;L'!$A87,'YBN Blank TB'!N:N)-SUMIF('YBN HO TB'!$T:$T,'YBN HO P&amp;L'!$A87,'YBN HO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 ht="15.75" customHeight="1">
      <c r="A88" s="8" t="n"/>
      <c r="B88" s="67" t="n">
        <v>-5.95</v>
      </c>
      <c r="C88" s="67" t="n">
        <v>-39.8</v>
      </c>
      <c r="D88" s="67" t="n">
        <v>-7</v>
      </c>
      <c r="E88" s="67" t="n">
        <v>-923.3000000000001</v>
      </c>
      <c r="F88" s="67" t="n">
        <v>-78.98</v>
      </c>
      <c r="G88" s="67" t="n">
        <v>-5.95</v>
      </c>
      <c r="H88" s="67" t="n">
        <v>-4.680000000000001</v>
      </c>
      <c r="I88" s="67" t="n">
        <v>-7.35</v>
      </c>
      <c r="J88" s="67" t="n">
        <v>-3.5</v>
      </c>
      <c r="K88" s="67" t="n">
        <v>-5.25</v>
      </c>
      <c r="L88" s="67" t="n">
        <v>-48.5</v>
      </c>
      <c r="M88" s="18" t="n"/>
      <c r="N88" s="8" t="n"/>
      <c r="O88" s="64">
        <f>SUM(O82:O87)</f>
        <v/>
      </c>
      <c r="P88" s="64">
        <f>SUM(P82:P87)</f>
        <v/>
      </c>
      <c r="Q88" s="64">
        <f>SUM(Q82:Q87)</f>
        <v/>
      </c>
      <c r="R88" s="64">
        <f>SUM(R82:R87)</f>
        <v/>
      </c>
      <c r="S88" s="64">
        <f>SUM(S82:S87)</f>
        <v/>
      </c>
      <c r="T88" s="64">
        <f>SUM(T82:T87)</f>
        <v/>
      </c>
      <c r="U88" s="64">
        <f>SUM(U82:U87)</f>
        <v/>
      </c>
      <c r="V88" s="64">
        <f>SUM(V82:V87)</f>
        <v/>
      </c>
      <c r="W88" s="64">
        <f>SUM(W82:W87)</f>
        <v/>
      </c>
      <c r="X88" s="64">
        <f>SUM(X82:X87)</f>
        <v/>
      </c>
      <c r="Y88" s="64">
        <f>SUM(Y82:Y87)</f>
        <v/>
      </c>
      <c r="Z88" s="64">
        <f>SUM(Z82:Z87)</f>
        <v/>
      </c>
      <c r="AA88" s="8" t="n"/>
      <c r="AB88" s="8" t="n"/>
      <c r="AC88" s="64" t="n"/>
      <c r="AD88" s="64" t="n"/>
      <c r="AE88" s="64" t="n"/>
      <c r="AF88" s="64" t="n"/>
      <c r="AG88" s="64" t="n"/>
      <c r="AH88" s="64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 ht="15.75" customHeight="1">
      <c r="A89" s="8" t="n"/>
      <c r="B89" s="18" t="n">
        <v>0</v>
      </c>
      <c r="C89" s="18" t="n">
        <v>0</v>
      </c>
      <c r="D89" s="18" t="n">
        <v>0</v>
      </c>
      <c r="E89" s="18" t="n">
        <v>0</v>
      </c>
      <c r="F89" s="18" t="n">
        <v>0</v>
      </c>
      <c r="G89" s="18" t="n">
        <v>0</v>
      </c>
      <c r="H89" s="18" t="n">
        <v>0</v>
      </c>
      <c r="I89" s="18" t="n">
        <v>0</v>
      </c>
      <c r="J89" s="18" t="n">
        <v>0</v>
      </c>
      <c r="K89" s="18" t="n">
        <v>0</v>
      </c>
      <c r="L89" s="18" t="n">
        <v>0</v>
      </c>
      <c r="M89" s="18" t="n">
        <v>-708.25</v>
      </c>
      <c r="N89" s="8" t="n"/>
      <c r="O89" s="60">
        <f>+O70-O88</f>
        <v/>
      </c>
      <c r="P89" s="60">
        <f>+P70-P88</f>
        <v/>
      </c>
      <c r="Q89" s="60">
        <f>+Q70-Q88</f>
        <v/>
      </c>
      <c r="R89" s="60">
        <f>+R70-R88</f>
        <v/>
      </c>
      <c r="S89" s="60">
        <f>+S70-S88</f>
        <v/>
      </c>
      <c r="T89" s="60">
        <f>+T70-T88</f>
        <v/>
      </c>
      <c r="U89" s="60">
        <f>+U70-U88</f>
        <v/>
      </c>
      <c r="V89" s="60">
        <f>+V70-V88</f>
        <v/>
      </c>
      <c r="W89" s="60">
        <f>+W70-W88</f>
        <v/>
      </c>
      <c r="X89" s="60">
        <f>+X70-X88</f>
        <v/>
      </c>
      <c r="Y89" s="60">
        <f>+Y70-Y88</f>
        <v/>
      </c>
      <c r="Z89" s="60">
        <f>+Z70-Z88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708.25</v>
      </c>
      <c r="N91" s="8" t="n"/>
      <c r="O91" s="60">
        <f>O88+O92</f>
        <v/>
      </c>
      <c r="P91" s="60">
        <f>P88+P92</f>
        <v/>
      </c>
      <c r="Q91" s="60">
        <f>Q88+Q92</f>
        <v/>
      </c>
      <c r="R91" s="60">
        <f>R88+R92</f>
        <v/>
      </c>
      <c r="S91" s="60">
        <f>S88+S92</f>
        <v/>
      </c>
      <c r="T91" s="60">
        <f>T88+T92</f>
        <v/>
      </c>
      <c r="U91" s="60">
        <f>U88+U92</f>
        <v/>
      </c>
      <c r="V91" s="60">
        <f>V88+V92</f>
        <v/>
      </c>
      <c r="W91" s="60">
        <f>W88+W92</f>
        <v/>
      </c>
      <c r="X91" s="60">
        <f>X88+X92</f>
        <v/>
      </c>
      <c r="Y91" s="60">
        <f>Y88+Y92</f>
        <v/>
      </c>
      <c r="Z91" s="60">
        <f>Z88+Z92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>
        <v>5.95</v>
      </c>
      <c r="C92" s="18" t="n">
        <v>39.8</v>
      </c>
      <c r="D92" s="18" t="n">
        <v>7</v>
      </c>
      <c r="E92" s="18" t="n">
        <v>923.3000000000001</v>
      </c>
      <c r="F92" s="18" t="n">
        <v>78.98</v>
      </c>
      <c r="G92" s="18" t="n">
        <v>5.95</v>
      </c>
      <c r="H92" s="18" t="n">
        <v>4.680000000000001</v>
      </c>
      <c r="I92" s="18" t="n">
        <v>7.35</v>
      </c>
      <c r="J92" s="18" t="n">
        <v>3.5</v>
      </c>
      <c r="K92" s="18" t="n">
        <v>5.25</v>
      </c>
      <c r="L92" s="18" t="n">
        <v>48.5</v>
      </c>
      <c r="M92" s="18" t="n">
        <v>708.25</v>
      </c>
      <c r="N92" s="8" t="n"/>
      <c r="O92" s="60">
        <f>SUM('YBN Blank TB'!C2:C36)+SUM('YBN HO TB'!C2:C43)</f>
        <v/>
      </c>
      <c r="P92" s="60">
        <f>SUM('YBN Blank TB'!D2:D36)+SUM('YBN HO TB'!D2:D43)</f>
        <v/>
      </c>
      <c r="Q92" s="60">
        <f>SUM('YBN Blank TB'!E2:E36)+SUM('YBN HO TB'!E2:E43)</f>
        <v/>
      </c>
      <c r="R92" s="60">
        <f>SUM('YBN Blank TB'!F2:F36)+SUM('YBN HO TB'!F2:F43)</f>
        <v/>
      </c>
      <c r="S92" s="60">
        <f>SUM('YBN Blank TB'!G2:G36)+SUM('YBN HO TB'!G2:G43)</f>
        <v/>
      </c>
      <c r="T92" s="60">
        <f>SUM('YBN Blank TB'!H2:H36)+SUM('YBN HO TB'!H2:H43)</f>
        <v/>
      </c>
      <c r="U92" s="60">
        <f>SUM('YBN Blank TB'!I2:I36)+SUM('YBN HO TB'!I2:I43)</f>
        <v/>
      </c>
      <c r="V92" s="60">
        <f>SUM('YBN Blank TB'!J2:J36)+SUM('YBN HO TB'!J2:J43)</f>
        <v/>
      </c>
      <c r="W92" s="60">
        <f>SUM('YBN Blank TB'!K2:K36)+SUM('YBN HO TB'!K2:K43)</f>
        <v/>
      </c>
      <c r="X92" s="60">
        <f>SUM('YBN Blank TB'!L2:L36)+SUM('YBN HO TB'!L2:L43)</f>
        <v/>
      </c>
      <c r="Y92" s="60">
        <f>SUM('YBN Blank TB'!M2:M36)+SUM('YBN HO TB'!M2:M43)</f>
        <v/>
      </c>
      <c r="Z92" s="60">
        <f>SUM('YBN Blank TB'!N2:N36)+SUM('YBN HO TB'!N2:N43)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3.5703125" customWidth="1" min="2" max="2"/>
    <col width="11" customWidth="1" min="3" max="3"/>
    <col width="12" customWidth="1" min="4" max="4"/>
    <col width="11.5703125" customWidth="1" min="5" max="5"/>
    <col width="11.140625" customWidth="1" min="6" max="6"/>
    <col width="12" customWidth="1" min="7" max="7"/>
    <col width="11" customWidth="1" min="9" max="9"/>
    <col width="11.7109375" customWidth="1" min="10" max="10"/>
    <col width="11" customWidth="1" min="11" max="11"/>
    <col width="12" customWidth="1" min="12" max="12"/>
    <col width="18.28515625" customWidth="1" min="14" max="14"/>
    <col width="13.7109375" customWidth="1" min="15" max="15"/>
    <col width="12.85546875" customWidth="1" min="22" max="22"/>
    <col width="11.7109375" customWidth="1" min="23" max="23"/>
    <col width="12.85546875" customWidth="1" min="26" max="26"/>
    <col width="14.28515625" customWidth="1" min="27" max="27"/>
    <col width="14.42578125" customWidth="1" min="28" max="28"/>
    <col width="12.85546875" customWidth="1" min="30" max="30"/>
    <col width="11.7109375" customWidth="1" min="35" max="35"/>
    <col width="14.85546875" customWidth="1" min="36" max="36"/>
    <col width="15.28515625" customWidth="1" min="37" max="37"/>
    <col width="14.42578125" customWidth="1" min="38" max="38"/>
    <col width="14.85546875" customWidth="1" min="39" max="39"/>
    <col width="5.7109375" customWidth="1" min="40" max="40"/>
    <col width="14.8554687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Group Totals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83" t="n"/>
      <c r="W1" s="83" t="n"/>
      <c r="X1" s="83" t="n"/>
      <c r="Y1" s="83" t="n"/>
      <c r="Z1" s="83" t="n"/>
      <c r="AA1" s="6" t="n"/>
      <c r="AB1" s="6" t="n"/>
      <c r="AC1" s="84" t="n">
        <v>2027</v>
      </c>
      <c r="AD1" s="83" t="inlineStr">
        <is>
          <t>NOT COMPLETED - STRETCHED FUNDING INCOMING- NEEDS REVIEW</t>
        </is>
      </c>
      <c r="AE1" s="83" t="n"/>
      <c r="AF1" s="83" t="n"/>
      <c r="AG1" s="83" t="n"/>
      <c r="AH1" s="83" t="n"/>
      <c r="AI1" s="8" t="n"/>
      <c r="AJ1" s="85" t="inlineStr">
        <is>
          <t>Q1</t>
        </is>
      </c>
      <c r="AK1" s="86" t="inlineStr">
        <is>
          <t>Q2</t>
        </is>
      </c>
      <c r="AL1" s="86" t="inlineStr">
        <is>
          <t>Q3</t>
        </is>
      </c>
      <c r="AM1" s="85" t="inlineStr">
        <is>
          <t>Q4</t>
        </is>
      </c>
      <c r="AN1" s="10" t="n"/>
      <c r="AO1" s="87" t="inlineStr">
        <is>
          <t>FY27 Q1</t>
        </is>
      </c>
      <c r="AP1" s="87" t="inlineStr">
        <is>
          <t>FY27 Q2</t>
        </is>
      </c>
    </row>
    <row r="2" ht="30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8" t="n"/>
      <c r="AJ2" s="15" t="inlineStr">
        <is>
          <t xml:space="preserve">12 Month Rolling Total </t>
        </is>
      </c>
      <c r="AK2" s="15" t="inlineStr">
        <is>
          <t xml:space="preserve">12 Month Rolling Total </t>
        </is>
      </c>
      <c r="AL2" s="15" t="inlineStr">
        <is>
          <t xml:space="preserve">12 Month Rolling Total </t>
        </is>
      </c>
      <c r="AM2" s="15" t="inlineStr">
        <is>
          <t xml:space="preserve">12 Month Rolling Total </t>
        </is>
      </c>
      <c r="AN2" s="17" t="n"/>
      <c r="AO2" s="88" t="inlineStr">
        <is>
          <t xml:space="preserve">12 Month Rolling Total </t>
        </is>
      </c>
      <c r="AP2" s="88" t="inlineStr">
        <is>
          <t xml:space="preserve">13 Month Rolling Total </t>
        </is>
      </c>
    </row>
    <row r="3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19" t="n"/>
      <c r="AN3" s="8" t="n"/>
      <c r="AO3" s="89" t="n"/>
      <c r="AP3" s="89" t="n"/>
    </row>
    <row r="4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4" t="n"/>
      <c r="AN4" s="25" t="n"/>
      <c r="AO4" s="90" t="n"/>
      <c r="AP4" s="90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4" t="n"/>
      <c r="AN5" s="25" t="n"/>
      <c r="AO5" s="90" t="n"/>
      <c r="AP5" s="90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0" t="n"/>
      <c r="AN6" s="31" t="n"/>
      <c r="AO6" s="91" t="n"/>
      <c r="AP6" s="91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4" t="n"/>
      <c r="AN7" s="25" t="n"/>
      <c r="AO7" s="90" t="n"/>
      <c r="AP7" s="90" t="n"/>
    </row>
    <row r="8">
      <c r="A8" s="34" t="inlineStr">
        <is>
          <t>Fee Income Regular</t>
        </is>
      </c>
      <c r="B8" s="35" t="n">
        <v>647715.77</v>
      </c>
      <c r="C8" s="35" t="n">
        <v>594448.1800000001</v>
      </c>
      <c r="D8" s="35" t="n">
        <v>695801.55</v>
      </c>
      <c r="E8" s="35" t="n">
        <v>784658.2799999998</v>
      </c>
      <c r="F8" s="35" t="n">
        <v>675656.28</v>
      </c>
      <c r="G8" s="35" t="n">
        <v>654597.29</v>
      </c>
      <c r="H8" s="35" t="n">
        <v>849228.45</v>
      </c>
      <c r="I8" s="35" t="n">
        <v>716505.1899999999</v>
      </c>
      <c r="J8" s="35" t="n">
        <v>551179.66</v>
      </c>
      <c r="K8" s="35" t="n">
        <v>547817.34</v>
      </c>
      <c r="L8" s="35" t="n">
        <v>484059.63</v>
      </c>
      <c r="M8" s="35" t="n">
        <v>655079.4399999999</v>
      </c>
      <c r="N8" s="36">
        <f>SUM(B8:M8)</f>
        <v/>
      </c>
      <c r="O8" s="37">
        <f>-SUMIF('Group TB '!$R:$R,'GROUP TOTALS MONTHLY P&amp;L'!$A8,'Group TB '!C:C)</f>
        <v/>
      </c>
      <c r="P8" s="37">
        <f>-SUMIF('Group TB '!$R:$R,'GROUP TOTALS MONTHLY P&amp;L'!$A8,'Group TB '!D:D)</f>
        <v/>
      </c>
      <c r="Q8" s="37">
        <f>-SUMIF('Group TB '!$R:$R,'GROUP TOTALS MONTHLY P&amp;L'!$A8,'Group TB '!E:E)</f>
        <v/>
      </c>
      <c r="R8" s="37">
        <f>-SUMIF('Group TB '!$R:$R,'GROUP TOTALS MONTHLY P&amp;L'!$A8,'Group TB '!F:F)</f>
        <v/>
      </c>
      <c r="S8" s="37">
        <f>-SUMIF('Group TB '!$R:$R,'GROUP TOTALS MONTHLY P&amp;L'!$A8,'Group TB '!G:G)</f>
        <v/>
      </c>
      <c r="T8" s="37">
        <f>-SUMIF('Group TB '!$R:$R,'GROUP TOTALS MONTHLY P&amp;L'!$A8,'Group TB '!H:H)</f>
        <v/>
      </c>
      <c r="U8" s="37">
        <f>-SUMIF('Group TB '!$R:$R,'GROUP TOTALS MONTHLY P&amp;L'!$A8,'Group TB '!I:I)</f>
        <v/>
      </c>
      <c r="V8" s="38">
        <f>'KNL GROUP P&amp;L'!V8+'CCL GROUP P&amp;L'!V8+'YBHN GROUP P&amp;L'!V8+'YBN Group P&amp;L'!V8+'HAB P&amp;L'!V8+'Moe2 P&amp;L'!V8</f>
        <v/>
      </c>
      <c r="W8" s="38">
        <f>'KNL GROUP P&amp;L'!W8+'CCL GROUP P&amp;L'!W8+'YBHN GROUP P&amp;L'!W8+'YBN Group P&amp;L'!W8+'HAB P&amp;L'!W8+'Moe2 P&amp;L'!W8</f>
        <v/>
      </c>
      <c r="X8" s="38">
        <f>'KNL GROUP P&amp;L'!X8+'CCL GROUP P&amp;L'!X8+'YBHN GROUP P&amp;L'!X8+'YBN Group P&amp;L'!X8+'HAB P&amp;L'!X8+'Moe2 P&amp;L'!X8</f>
        <v/>
      </c>
      <c r="Y8" s="38">
        <f>'KNL GROUP P&amp;L'!Y8+'CCL GROUP P&amp;L'!Y8+'YBHN GROUP P&amp;L'!Y8+'YBN Group P&amp;L'!Y8+'HAB P&amp;L'!Y8+'Moe2 P&amp;L'!Y8</f>
        <v/>
      </c>
      <c r="Z8" s="38">
        <f>'KNL GROUP P&amp;L'!Z8+'CCL GROUP P&amp;L'!Z8+'YBHN GROUP P&amp;L'!Z8+'YBN Group P&amp;L'!Z8+'HAB P&amp;L'!Z8+'Moe2 P&amp;L'!Z8</f>
        <v/>
      </c>
      <c r="AA8" s="36">
        <f>SUM(O8:U8)</f>
        <v/>
      </c>
      <c r="AB8" s="36">
        <f>SUM(O8:Z8)</f>
        <v/>
      </c>
      <c r="AC8" s="38">
        <f>'KNL GROUP P&amp;L'!AC8+'CCL GROUP P&amp;L'!AC8+'YBHN GROUP P&amp;L'!AC8+'YBN Group P&amp;L'!AC8+'HAB P&amp;L'!AC8+'Moe2 P&amp;L'!AC8</f>
        <v/>
      </c>
      <c r="AD8" s="38">
        <f>'KNL GROUP P&amp;L'!AD8+'CCL GROUP P&amp;L'!AD8+'YBHN GROUP P&amp;L'!AD8+'YBN Group P&amp;L'!AD8+'HAB P&amp;L'!AD8+'Moe2 P&amp;L'!AD8</f>
        <v/>
      </c>
      <c r="AE8" s="38">
        <f>'KNL GROUP P&amp;L'!AE8+'CCL GROUP P&amp;L'!AE8+'YBHN GROUP P&amp;L'!AE8+'YBN Group P&amp;L'!AE8+'HAB P&amp;L'!AE8+'Moe2 P&amp;L'!AE8</f>
        <v/>
      </c>
      <c r="AF8" s="38">
        <f>'KNL GROUP P&amp;L'!AF8+'CCL GROUP P&amp;L'!AF8+'YBHN GROUP P&amp;L'!AF8+'YBN Group P&amp;L'!AF8+'HAB P&amp;L'!AF8+'Moe2 P&amp;L'!AF8</f>
        <v/>
      </c>
      <c r="AG8" s="38">
        <f>'KNL GROUP P&amp;L'!AG8+'CCL GROUP P&amp;L'!AG8+'YBHN GROUP P&amp;L'!AG8+'YBN Group P&amp;L'!AG8+'HAB P&amp;L'!AG8+'Moe2 P&amp;L'!AG8</f>
        <v/>
      </c>
      <c r="AH8" s="38">
        <f>'KNL GROUP P&amp;L'!AH8+'CCL GROUP P&amp;L'!AH8+'YBHN GROUP P&amp;L'!AH8+'YBN Group P&amp;L'!AH8+'HAB P&amp;L'!AH8+'Moe2 P&amp;L'!AH8</f>
        <v/>
      </c>
      <c r="AI8" s="8" t="n"/>
      <c r="AJ8" s="36">
        <f>SUM(E8:Q8)-$N8</f>
        <v/>
      </c>
      <c r="AK8" s="36">
        <f>SUM(H8:T8)-$N8</f>
        <v/>
      </c>
      <c r="AL8" s="36">
        <f>SUM(K8:W8)-$N8</f>
        <v/>
      </c>
      <c r="AM8" s="36">
        <f>SUM(N8:Z8)-$N8</f>
        <v/>
      </c>
      <c r="AN8" s="40" t="n"/>
      <c r="AO8" s="92">
        <f>SUM(AC8:AE8)+SUM(R8:Z8)</f>
        <v/>
      </c>
      <c r="AP8" s="92">
        <f>SUM(AC8:AH8)+SUM(U8:Z8)</f>
        <v/>
      </c>
    </row>
    <row r="9">
      <c r="A9" s="34" t="inlineStr">
        <is>
          <t>EEEF Embeded</t>
        </is>
      </c>
      <c r="B9" s="35" t="n">
        <v>212506</v>
      </c>
      <c r="C9" s="35" t="n">
        <v>307925.86</v>
      </c>
      <c r="D9" s="35" t="n">
        <v>375959.43</v>
      </c>
      <c r="E9" s="35" t="n">
        <v>178590.14</v>
      </c>
      <c r="F9" s="35" t="n">
        <v>178590.06</v>
      </c>
      <c r="G9" s="35" t="n">
        <v>323527.77</v>
      </c>
      <c r="H9" s="35" t="n">
        <v>437878.41</v>
      </c>
      <c r="I9" s="35" t="n">
        <v>0</v>
      </c>
      <c r="J9" s="35" t="n">
        <v>209701.09</v>
      </c>
      <c r="K9" s="35" t="n">
        <v>247373.69</v>
      </c>
      <c r="L9" s="35" t="n">
        <v>461711.13</v>
      </c>
      <c r="M9" s="35" t="n">
        <v>507534.39</v>
      </c>
      <c r="N9" s="36">
        <f>SUM(B9:M9)</f>
        <v/>
      </c>
      <c r="O9" s="37">
        <f>-SUMIF('Group TB '!$R:$R,'GROUP TOTALS MONTHLY P&amp;L'!$A9,'Group TB '!C:C)</f>
        <v/>
      </c>
      <c r="P9" s="37">
        <f>-SUMIF('Group TB '!$R:$R,'GROUP TOTALS MONTHLY P&amp;L'!$A9,'Group TB '!D:D)</f>
        <v/>
      </c>
      <c r="Q9" s="37">
        <f>-SUMIF('Group TB '!$R:$R,'GROUP TOTALS MONTHLY P&amp;L'!$A9,'Group TB '!E:E)</f>
        <v/>
      </c>
      <c r="R9" s="37">
        <f>-SUMIF('Group TB '!$R:$R,'GROUP TOTALS MONTHLY P&amp;L'!$A9,'Group TB '!F:F)</f>
        <v/>
      </c>
      <c r="S9" s="37">
        <f>-SUMIF('Group TB '!$R:$R,'GROUP TOTALS MONTHLY P&amp;L'!$A9,'Group TB '!G:G)</f>
        <v/>
      </c>
      <c r="T9" s="37">
        <f>-SUMIF('Group TB '!$R:$R,'GROUP TOTALS MONTHLY P&amp;L'!$A9,'Group TB '!H:H)</f>
        <v/>
      </c>
      <c r="U9" s="37">
        <f>-SUMIF('Group TB '!$R:$R,'GROUP TOTALS MONTHLY P&amp;L'!$A9,'Group TB '!I:I)</f>
        <v/>
      </c>
      <c r="V9" s="38">
        <f>'KNL GROUP P&amp;L'!V9+'CCL GROUP P&amp;L'!V9+'YBHN GROUP P&amp;L'!V9+'YBN Group P&amp;L'!V9+'HAB P&amp;L'!V9+'Moe2 P&amp;L'!V9</f>
        <v/>
      </c>
      <c r="W9" s="38">
        <f>'KNL GROUP P&amp;L'!W9+'CCL GROUP P&amp;L'!W9+'YBHN GROUP P&amp;L'!W9+'YBN Group P&amp;L'!W9+'HAB P&amp;L'!W9+'Moe2 P&amp;L'!W9</f>
        <v/>
      </c>
      <c r="X9" s="38">
        <f>'KNL GROUP P&amp;L'!X9+'CCL GROUP P&amp;L'!X9+'YBHN GROUP P&amp;L'!X9+'YBN Group P&amp;L'!X9+'HAB P&amp;L'!X9+'Moe2 P&amp;L'!X9</f>
        <v/>
      </c>
      <c r="Y9" s="38">
        <f>'KNL GROUP P&amp;L'!Y9+'CCL GROUP P&amp;L'!Y9+'YBHN GROUP P&amp;L'!Y9+'YBN Group P&amp;L'!Y9+'HAB P&amp;L'!Y9+'Moe2 P&amp;L'!Y9</f>
        <v/>
      </c>
      <c r="Z9" s="38">
        <f>'KNL GROUP P&amp;L'!Z9+'CCL GROUP P&amp;L'!Z9+'YBHN GROUP P&amp;L'!Z9+'YBN Group P&amp;L'!Z9+'HAB P&amp;L'!Z9+'Moe2 P&amp;L'!Z9</f>
        <v/>
      </c>
      <c r="AA9" s="36">
        <f>SUM(O9:U9)</f>
        <v/>
      </c>
      <c r="AB9" s="36">
        <f>SUM(O9:Z9)</f>
        <v/>
      </c>
      <c r="AC9" s="38">
        <f>'KNL GROUP P&amp;L'!AC9+'CCL GROUP P&amp;L'!AC9+'YBHN GROUP P&amp;L'!AC9+'YBN Group P&amp;L'!AC9+'HAB P&amp;L'!AC9+'Moe2 P&amp;L'!AC9</f>
        <v/>
      </c>
      <c r="AD9" s="38">
        <f>'KNL GROUP P&amp;L'!AD9+'CCL GROUP P&amp;L'!AD9+'YBHN GROUP P&amp;L'!AD9+'YBN Group P&amp;L'!AD9+'HAB P&amp;L'!AD9+'Moe2 P&amp;L'!AD9</f>
        <v/>
      </c>
      <c r="AE9" s="38">
        <f>'KNL GROUP P&amp;L'!AE9+'CCL GROUP P&amp;L'!AE9+'YBHN GROUP P&amp;L'!AE9+'YBN Group P&amp;L'!AE9+'HAB P&amp;L'!AE9+'Moe2 P&amp;L'!AE9</f>
        <v/>
      </c>
      <c r="AF9" s="38">
        <f>'KNL GROUP P&amp;L'!AF9+'CCL GROUP P&amp;L'!AF9+'YBHN GROUP P&amp;L'!AF9+'YBN Group P&amp;L'!AF9+'HAB P&amp;L'!AF9+'Moe2 P&amp;L'!AF9</f>
        <v/>
      </c>
      <c r="AG9" s="38">
        <f>'KNL GROUP P&amp;L'!AG9+'CCL GROUP P&amp;L'!AG9+'YBHN GROUP P&amp;L'!AG9+'YBN Group P&amp;L'!AG9+'HAB P&amp;L'!AG9+'Moe2 P&amp;L'!AG9</f>
        <v/>
      </c>
      <c r="AH9" s="38">
        <f>'KNL GROUP P&amp;L'!AH9+'CCL GROUP P&amp;L'!AH9+'YBHN GROUP P&amp;L'!AH9+'YBN Group P&amp;L'!AH9+'HAB P&amp;L'!AH9+'Moe2 P&amp;L'!AH9</f>
        <v/>
      </c>
      <c r="AI9" s="8" t="n"/>
      <c r="AJ9" s="36">
        <f>SUM(E9:Q9)-$N9</f>
        <v/>
      </c>
      <c r="AK9" s="36">
        <f>SUM(H9:T9)-$N9</f>
        <v/>
      </c>
      <c r="AL9" s="36">
        <f>SUM(K9:W9)-$N9</f>
        <v/>
      </c>
      <c r="AM9" s="36">
        <f>SUM(N9:Z9)-$N9</f>
        <v/>
      </c>
      <c r="AN9" s="40" t="n"/>
      <c r="AO9" s="92">
        <f>SUM(AC9:AE9)+SUM(R9:Z9)</f>
        <v/>
      </c>
      <c r="AP9" s="92">
        <f>SUM(AC9:AH9)+SUM(U9:Z9)</f>
        <v/>
      </c>
    </row>
    <row r="10" ht="15.75" customHeight="1">
      <c r="A10" s="34" t="inlineStr">
        <is>
          <t>Other Income</t>
        </is>
      </c>
      <c r="B10" s="35" t="n">
        <v>2306.25</v>
      </c>
      <c r="C10" s="35" t="n">
        <v>950</v>
      </c>
      <c r="D10" s="35" t="n">
        <v>1785</v>
      </c>
      <c r="E10" s="35" t="n">
        <v>2573.34</v>
      </c>
      <c r="F10" s="35" t="n">
        <v>1650</v>
      </c>
      <c r="G10" s="35" t="n">
        <v>3786.01</v>
      </c>
      <c r="H10" s="35" t="n">
        <v>2072.69</v>
      </c>
      <c r="I10" s="35" t="n">
        <v>48269.93</v>
      </c>
      <c r="J10" s="35" t="n">
        <v>2050.57</v>
      </c>
      <c r="K10" s="35" t="n">
        <v>1175</v>
      </c>
      <c r="L10" s="35" t="n">
        <v>1780.24</v>
      </c>
      <c r="M10" s="35" t="n">
        <v>5624.13</v>
      </c>
      <c r="N10" s="36">
        <f>SUM(B10:M10)</f>
        <v/>
      </c>
      <c r="O10" s="37">
        <f>-SUMIF('Group TB '!$R:$R,'GROUP TOTALS MONTHLY P&amp;L'!$A10,'Group TB '!C:C)</f>
        <v/>
      </c>
      <c r="P10" s="37">
        <f>-SUMIF('Group TB '!$R:$R,'GROUP TOTALS MONTHLY P&amp;L'!$A10,'Group TB '!D:D)</f>
        <v/>
      </c>
      <c r="Q10" s="37">
        <f>-SUMIF('Group TB '!$R:$R,'GROUP TOTALS MONTHLY P&amp;L'!$A10,'Group TB '!E:E)</f>
        <v/>
      </c>
      <c r="R10" s="37">
        <f>-SUMIF('Group TB '!$R:$R,'GROUP TOTALS MONTHLY P&amp;L'!$A10,'Group TB '!F:F)</f>
        <v/>
      </c>
      <c r="S10" s="37">
        <f>-SUMIF('Group TB '!$R:$R,'GROUP TOTALS MONTHLY P&amp;L'!$A10,'Group TB '!G:G)</f>
        <v/>
      </c>
      <c r="T10" s="37">
        <f>-SUMIF('Group TB '!$R:$R,'GROUP TOTALS MONTHLY P&amp;L'!$A10,'Group TB '!H:H)</f>
        <v/>
      </c>
      <c r="U10" s="37">
        <f>-SUMIF('Group TB '!$R:$R,'GROUP TOTALS MONTHLY P&amp;L'!$A10,'Group TB '!I:I)</f>
        <v/>
      </c>
      <c r="V10" s="38">
        <f>'KNL GROUP P&amp;L'!V10+'CCL GROUP P&amp;L'!V10+'YBHN GROUP P&amp;L'!V10+'YBN Group P&amp;L'!V10+'HAB P&amp;L'!V10+'Moe2 P&amp;L'!V10</f>
        <v/>
      </c>
      <c r="W10" s="38">
        <f>'KNL GROUP P&amp;L'!W10+'CCL GROUP P&amp;L'!W10+'YBHN GROUP P&amp;L'!W10+'YBN Group P&amp;L'!W10+'HAB P&amp;L'!W10+'Moe2 P&amp;L'!W10</f>
        <v/>
      </c>
      <c r="X10" s="38">
        <f>'KNL GROUP P&amp;L'!X10+'CCL GROUP P&amp;L'!X10+'YBHN GROUP P&amp;L'!X10+'YBN Group P&amp;L'!X10+'HAB P&amp;L'!X10+'Moe2 P&amp;L'!X10</f>
        <v/>
      </c>
      <c r="Y10" s="38">
        <f>'KNL GROUP P&amp;L'!Y10+'CCL GROUP P&amp;L'!Y10+'YBHN GROUP P&amp;L'!Y10+'YBN Group P&amp;L'!Y10+'HAB P&amp;L'!Y10+'Moe2 P&amp;L'!Y10</f>
        <v/>
      </c>
      <c r="Z10" s="38">
        <f>'KNL GROUP P&amp;L'!Z10+'CCL GROUP P&amp;L'!Z10+'YBHN GROUP P&amp;L'!Z10+'YBN Group P&amp;L'!Z10+'HAB P&amp;L'!Z10+'Moe2 P&amp;L'!Z10</f>
        <v/>
      </c>
      <c r="AA10" s="36">
        <f>SUM(O10:U10)</f>
        <v/>
      </c>
      <c r="AB10" s="36">
        <f>SUM(O10:Z10)</f>
        <v/>
      </c>
      <c r="AC10" s="38">
        <f>'KNL GROUP P&amp;L'!AC10+'CCL GROUP P&amp;L'!AC10+'YBHN GROUP P&amp;L'!AC10+'YBN Group P&amp;L'!AC10+'HAB P&amp;L'!AC10+'Moe2 P&amp;L'!AC10</f>
        <v/>
      </c>
      <c r="AD10" s="38">
        <f>'KNL GROUP P&amp;L'!AD10+'CCL GROUP P&amp;L'!AD10+'YBHN GROUP P&amp;L'!AD10+'YBN Group P&amp;L'!AD10+'HAB P&amp;L'!AD10+'Moe2 P&amp;L'!AD10</f>
        <v/>
      </c>
      <c r="AE10" s="38">
        <f>'KNL GROUP P&amp;L'!AE10+'CCL GROUP P&amp;L'!AE10+'YBHN GROUP P&amp;L'!AE10+'YBN Group P&amp;L'!AE10+'HAB P&amp;L'!AE10+'Moe2 P&amp;L'!AE10</f>
        <v/>
      </c>
      <c r="AF10" s="38">
        <f>'KNL GROUP P&amp;L'!AF10+'CCL GROUP P&amp;L'!AF10+'YBHN GROUP P&amp;L'!AF10+'YBN Group P&amp;L'!AF10+'HAB P&amp;L'!AF10+'Moe2 P&amp;L'!AF10</f>
        <v/>
      </c>
      <c r="AG10" s="38">
        <f>'KNL GROUP P&amp;L'!AG10+'CCL GROUP P&amp;L'!AG10+'YBHN GROUP P&amp;L'!AG10+'YBN Group P&amp;L'!AG10+'HAB P&amp;L'!AG10+'Moe2 P&amp;L'!AG10</f>
        <v/>
      </c>
      <c r="AH10" s="38">
        <f>'KNL GROUP P&amp;L'!AH10+'CCL GROUP P&amp;L'!AH10+'YBHN GROUP P&amp;L'!AH10+'YBN Group P&amp;L'!AH10+'HAB P&amp;L'!AH10+'Moe2 P&amp;L'!AH10</f>
        <v/>
      </c>
      <c r="AI10" s="8" t="n"/>
      <c r="AJ10" s="36">
        <f>SUM(E10:Q10)-$N10</f>
        <v/>
      </c>
      <c r="AK10" s="36">
        <f>SUM(H10:T10)-$N10</f>
        <v/>
      </c>
      <c r="AL10" s="36">
        <f>SUM(K10:W10)-$N10</f>
        <v/>
      </c>
      <c r="AM10" s="36">
        <f>SUM(N10:Z10)-$N10</f>
        <v/>
      </c>
      <c r="AN10" s="40" t="n"/>
      <c r="AO10" s="92">
        <f>SUM(AC10:AE10)+SUM(R10:Z10)</f>
        <v/>
      </c>
      <c r="AP10" s="92">
        <f>SUM(AC10:AH10)+SUM(U10:Z10)</f>
        <v/>
      </c>
    </row>
    <row r="11" ht="15.75" customHeight="1">
      <c r="A11" s="41" t="inlineStr">
        <is>
          <t>Total Income</t>
        </is>
      </c>
      <c r="B11" s="42" t="n">
        <v>862528.02</v>
      </c>
      <c r="C11" s="42" t="n">
        <v>903324.04</v>
      </c>
      <c r="D11" s="42" t="n">
        <v>1073545.98</v>
      </c>
      <c r="E11" s="42" t="n">
        <v>965821.7599999998</v>
      </c>
      <c r="F11" s="42" t="n">
        <v>855896.3400000001</v>
      </c>
      <c r="G11" s="42" t="n">
        <v>981911.0700000001</v>
      </c>
      <c r="H11" s="42" t="n">
        <v>1289179.55</v>
      </c>
      <c r="I11" s="42" t="n">
        <v>764775.12</v>
      </c>
      <c r="J11" s="42" t="n">
        <v>762931.3199999999</v>
      </c>
      <c r="K11" s="42" t="n">
        <v>796366.03</v>
      </c>
      <c r="L11" s="42" t="n">
        <v>947551</v>
      </c>
      <c r="M11" s="42" t="n">
        <v>1168237.96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SUM(O11:U11)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8" t="n"/>
      <c r="AJ11" s="43">
        <f>SUM(AJ8:AJ10)</f>
        <v/>
      </c>
      <c r="AK11" s="43">
        <f>SUM(AK8:AK10)</f>
        <v/>
      </c>
      <c r="AL11" s="43">
        <f>SUM(AL8:AL10)</f>
        <v/>
      </c>
      <c r="AM11" s="43">
        <f>SUM(AM8:AM10)</f>
        <v/>
      </c>
      <c r="AN11" s="40" t="n"/>
      <c r="AO11" s="93">
        <f>SUM(AO8:AO10)</f>
        <v/>
      </c>
      <c r="AP11" s="93">
        <f>SUM(AP8:AP10)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 t="n"/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SUM(O12:U12)</f>
        <v/>
      </c>
      <c r="AB12" s="36" t="n"/>
      <c r="AC12" s="32">
        <f>'KNL GROUP P&amp;L'!AC12+'CCL GROUP P&amp;L'!AC12+'YBHN GROUP P&amp;L'!AC12+'YBN Group P&amp;L'!AC12+'HAB P&amp;L'!AC12+'Moe2 P&amp;L'!AC12</f>
        <v/>
      </c>
      <c r="AD12" s="32">
        <f>'KNL GROUP P&amp;L'!AD12+'CCL GROUP P&amp;L'!AD12+'YBHN GROUP P&amp;L'!AD12+'YBN Group P&amp;L'!AD12+'HAB P&amp;L'!AD12+'Moe2 P&amp;L'!AD12</f>
        <v/>
      </c>
      <c r="AE12" s="32">
        <f>'KNL GROUP P&amp;L'!AE12+'CCL GROUP P&amp;L'!AE12+'YBHN GROUP P&amp;L'!AE12+'YBN Group P&amp;L'!AE12+'HAB P&amp;L'!AE12+'Moe2 P&amp;L'!AE12</f>
        <v/>
      </c>
      <c r="AF12" s="32">
        <f>'KNL GROUP P&amp;L'!AF12+'CCL GROUP P&amp;L'!AF12+'YBHN GROUP P&amp;L'!AF12+'YBN Group P&amp;L'!AF12+'HAB P&amp;L'!AF12+'Moe2 P&amp;L'!AF12</f>
        <v/>
      </c>
      <c r="AG12" s="32">
        <f>'KNL GROUP P&amp;L'!AG12+'CCL GROUP P&amp;L'!AG12+'YBHN GROUP P&amp;L'!AG12+'YBN Group P&amp;L'!AG12+'HAB P&amp;L'!AG12+'Moe2 P&amp;L'!AG12</f>
        <v/>
      </c>
      <c r="AH12" s="32">
        <f>'KNL GROUP P&amp;L'!AH12+'CCL GROUP P&amp;L'!AH12+'YBHN GROUP P&amp;L'!AH12+'YBN Group P&amp;L'!AH12+'HAB P&amp;L'!AH12+'Moe2 P&amp;L'!AH12</f>
        <v/>
      </c>
      <c r="AI12" s="8" t="n"/>
      <c r="AJ12" s="36" t="n"/>
      <c r="AK12" s="36" t="n"/>
      <c r="AL12" s="36" t="n"/>
      <c r="AM12" s="36" t="n"/>
      <c r="AN12" s="40" t="n"/>
      <c r="AO12" s="92" t="n"/>
      <c r="AP12" s="92" t="n"/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8" t="n"/>
      <c r="AJ13" s="47">
        <f>SUM(AJ16:AJ18)/AJ11</f>
        <v/>
      </c>
      <c r="AK13" s="47">
        <f>SUM(AK16:AK18)/AK11</f>
        <v/>
      </c>
      <c r="AL13" s="47">
        <f>SUM(AL16:AL18)/AL11</f>
        <v/>
      </c>
      <c r="AM13" s="47">
        <f>SUM(AM16:AM18)/AM11</f>
        <v/>
      </c>
      <c r="AN13" s="79" t="n"/>
      <c r="AO13" s="94">
        <f>SUM(AO16:AO18)/AO11</f>
        <v/>
      </c>
      <c r="AP13" s="94">
        <f>SUM(AP16:AP18)/AP11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>
        <f>SUM(O14:U14)</f>
        <v/>
      </c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6" t="n"/>
      <c r="AN14" s="40" t="n"/>
      <c r="AO14" s="92" t="n"/>
      <c r="AP14" s="92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 t="n"/>
      <c r="O15" s="25" t="n"/>
      <c r="P15" s="31" t="n"/>
      <c r="Q15" s="95" t="n"/>
      <c r="R15" s="95" t="n"/>
      <c r="S15" s="95" t="n"/>
      <c r="T15" s="95" t="n"/>
      <c r="U15" s="95" t="n"/>
      <c r="V15" s="26" t="n"/>
      <c r="W15" s="26" t="n"/>
      <c r="X15" s="26" t="n"/>
      <c r="Y15" s="26" t="n"/>
      <c r="Z15" s="26" t="n"/>
      <c r="AA15" s="36">
        <f>SUM(O15:U15)</f>
        <v/>
      </c>
      <c r="AB15" s="36" t="n"/>
      <c r="AC15" s="26">
        <f>'KNL GROUP P&amp;L'!AC15+'CCL GROUP P&amp;L'!AC15+'YBHN GROUP P&amp;L'!AC15+'YBN Group P&amp;L'!AC15+'HAB P&amp;L'!AC15+'Moe2 P&amp;L'!AC15</f>
        <v/>
      </c>
      <c r="AD15" s="26">
        <f>'KNL GROUP P&amp;L'!AD15+'CCL GROUP P&amp;L'!AD15+'YBHN GROUP P&amp;L'!AD15+'YBN Group P&amp;L'!AD15+'HAB P&amp;L'!AD15+'Moe2 P&amp;L'!AD15</f>
        <v/>
      </c>
      <c r="AE15" s="26">
        <f>'KNL GROUP P&amp;L'!AE15+'CCL GROUP P&amp;L'!AE15+'YBHN GROUP P&amp;L'!AE15+'YBN Group P&amp;L'!AE15+'HAB P&amp;L'!AE15+'Moe2 P&amp;L'!AE15</f>
        <v/>
      </c>
      <c r="AF15" s="26">
        <f>'KNL GROUP P&amp;L'!AF15+'CCL GROUP P&amp;L'!AF15+'YBHN GROUP P&amp;L'!AF15+'YBN Group P&amp;L'!AF15+'HAB P&amp;L'!AF15+'Moe2 P&amp;L'!AF15</f>
        <v/>
      </c>
      <c r="AG15" s="26">
        <f>'KNL GROUP P&amp;L'!AG15+'CCL GROUP P&amp;L'!AG15+'YBHN GROUP P&amp;L'!AG15+'YBN Group P&amp;L'!AG15+'HAB P&amp;L'!AG15+'Moe2 P&amp;L'!AG15</f>
        <v/>
      </c>
      <c r="AH15" s="26">
        <f>'KNL GROUP P&amp;L'!AH15+'CCL GROUP P&amp;L'!AH15+'YBHN GROUP P&amp;L'!AH15+'YBN Group P&amp;L'!AH15+'HAB P&amp;L'!AH15+'Moe2 P&amp;L'!AH15</f>
        <v/>
      </c>
      <c r="AI15" s="8" t="n"/>
      <c r="AJ15" s="36" t="n"/>
      <c r="AK15" s="36" t="n"/>
      <c r="AL15" s="36" t="n"/>
      <c r="AM15" s="36" t="n"/>
      <c r="AN15" s="40" t="n"/>
      <c r="AO15" s="92" t="n"/>
      <c r="AP15" s="92" t="n"/>
    </row>
    <row r="16">
      <c r="A16" s="34" t="inlineStr">
        <is>
          <t>Nursery Salaries</t>
        </is>
      </c>
      <c r="B16" s="35" t="n">
        <v>397485.6</v>
      </c>
      <c r="C16" s="35" t="n">
        <v>396799.71</v>
      </c>
      <c r="D16" s="35" t="n">
        <v>402127.02</v>
      </c>
      <c r="E16" s="35" t="n">
        <v>444579.13</v>
      </c>
      <c r="F16" s="35" t="n">
        <v>448030.21</v>
      </c>
      <c r="G16" s="35" t="n">
        <v>429293.8300000001</v>
      </c>
      <c r="H16" s="35" t="n">
        <v>463754.97</v>
      </c>
      <c r="I16" s="35" t="n">
        <v>431073.65</v>
      </c>
      <c r="J16" s="35" t="n">
        <v>448953</v>
      </c>
      <c r="K16" s="35" t="n">
        <v>448201.55</v>
      </c>
      <c r="L16" s="35" t="n">
        <v>430984.09</v>
      </c>
      <c r="M16" s="35" t="n">
        <v>443960.13</v>
      </c>
      <c r="N16" s="36">
        <f>SUM(B16:M16)</f>
        <v/>
      </c>
      <c r="O16" s="37">
        <f>SUMIF('Group TB '!$R:$R,'GROUP TOTALS MONTHLY P&amp;L'!$A16,'Group TB '!C:C)</f>
        <v/>
      </c>
      <c r="P16" s="37">
        <f>SUMIF('Group TB '!$R:$R,'GROUP TOTALS MONTHLY P&amp;L'!$A16,'Group TB '!D:D)</f>
        <v/>
      </c>
      <c r="Q16" s="37">
        <f>SUMIF('Group TB '!$R:$R,'GROUP TOTALS MONTHLY P&amp;L'!$A16,'Group TB '!E:E)</f>
        <v/>
      </c>
      <c r="R16" s="37">
        <f>SUMIF('Group TB '!$R:$R,'GROUP TOTALS MONTHLY P&amp;L'!$A16,'Group TB '!F:F)</f>
        <v/>
      </c>
      <c r="S16" s="37">
        <f>SUMIF('Group TB '!$R:$R,'GROUP TOTALS MONTHLY P&amp;L'!$A16,'Group TB '!G:G)</f>
        <v/>
      </c>
      <c r="T16" s="37">
        <f>SUMIF('Group TB '!$R:$R,'GROUP TOTALS MONTHLY P&amp;L'!$A16,'Group TB '!H:H)</f>
        <v/>
      </c>
      <c r="U16" s="37">
        <f>SUMIF('Group TB '!$R:$R,'GROUP TOTALS MONTHLY P&amp;L'!$A16,'Group TB '!I:I)</f>
        <v/>
      </c>
      <c r="V16" s="38">
        <f>'KNL GROUP P&amp;L'!V16+'CCL GROUP P&amp;L'!V16+'YBHN GROUP P&amp;L'!V16+'YBN Group P&amp;L'!V16+'HAB P&amp;L'!V16+'Moe2 P&amp;L'!V16</f>
        <v/>
      </c>
      <c r="W16" s="38">
        <f>'KNL GROUP P&amp;L'!W16+'CCL GROUP P&amp;L'!W16+'YBHN GROUP P&amp;L'!W16+'YBN Group P&amp;L'!W16+'HAB P&amp;L'!W16+'Moe2 P&amp;L'!W16</f>
        <v/>
      </c>
      <c r="X16" s="38">
        <f>'KNL GROUP P&amp;L'!X16+'CCL GROUP P&amp;L'!X16+'YBHN GROUP P&amp;L'!X16+'YBN Group P&amp;L'!X16+'HAB P&amp;L'!X16+'Moe2 P&amp;L'!X16</f>
        <v/>
      </c>
      <c r="Y16" s="38">
        <f>'KNL GROUP P&amp;L'!Y16+'CCL GROUP P&amp;L'!Y16+'YBHN GROUP P&amp;L'!Y16+'YBN Group P&amp;L'!Y16+'HAB P&amp;L'!Y16+'Moe2 P&amp;L'!Y16</f>
        <v/>
      </c>
      <c r="Z16" s="38">
        <f>'KNL GROUP P&amp;L'!Z16+'CCL GROUP P&amp;L'!Z16+'YBHN GROUP P&amp;L'!Z16+'YBN Group P&amp;L'!Z16+'HAB P&amp;L'!Z16+'Moe2 P&amp;L'!Z16</f>
        <v/>
      </c>
      <c r="AA16" s="36">
        <f>SUM(O16:U16)</f>
        <v/>
      </c>
      <c r="AB16" s="36">
        <f>SUM(O16:Z16)</f>
        <v/>
      </c>
      <c r="AC16" s="38">
        <f>'KNL GROUP P&amp;L'!AC16+'CCL GROUP P&amp;L'!AC16+'YBHN GROUP P&amp;L'!AC16+'YBN Group P&amp;L'!AC16+'HAB P&amp;L'!AC16+'Moe2 P&amp;L'!AC16</f>
        <v/>
      </c>
      <c r="AD16" s="38">
        <f>'KNL GROUP P&amp;L'!AD16+'CCL GROUP P&amp;L'!AD16+'YBHN GROUP P&amp;L'!AD16+'YBN Group P&amp;L'!AD16+'HAB P&amp;L'!AD16+'Moe2 P&amp;L'!AD16</f>
        <v/>
      </c>
      <c r="AE16" s="38">
        <f>'KNL GROUP P&amp;L'!AE16+'CCL GROUP P&amp;L'!AE16+'YBHN GROUP P&amp;L'!AE16+'YBN Group P&amp;L'!AE16+'HAB P&amp;L'!AE16+'Moe2 P&amp;L'!AE16</f>
        <v/>
      </c>
      <c r="AF16" s="38">
        <f>'KNL GROUP P&amp;L'!AF16+'CCL GROUP P&amp;L'!AF16+'YBHN GROUP P&amp;L'!AF16+'YBN Group P&amp;L'!AF16+'HAB P&amp;L'!AF16+'Moe2 P&amp;L'!AF16</f>
        <v/>
      </c>
      <c r="AG16" s="38">
        <f>'KNL GROUP P&amp;L'!AG16+'CCL GROUP P&amp;L'!AG16+'YBHN GROUP P&amp;L'!AG16+'YBN Group P&amp;L'!AG16+'HAB P&amp;L'!AG16+'Moe2 P&amp;L'!AG16</f>
        <v/>
      </c>
      <c r="AH16" s="38">
        <f>'KNL GROUP P&amp;L'!AH16+'CCL GROUP P&amp;L'!AH16+'YBHN GROUP P&amp;L'!AH16+'YBN Group P&amp;L'!AH16+'HAB P&amp;L'!AH16+'Moe2 P&amp;L'!AH16</f>
        <v/>
      </c>
      <c r="AI16" s="8" t="n"/>
      <c r="AJ16" s="36">
        <f>SUM(E16:Q16)-$N16</f>
        <v/>
      </c>
      <c r="AK16" s="36">
        <f>SUM(H16:T16)-$N16</f>
        <v/>
      </c>
      <c r="AL16" s="36">
        <f>SUM(K16:W16)-$N16</f>
        <v/>
      </c>
      <c r="AM16" s="36">
        <f>SUM(N16:Z16)-$N16</f>
        <v/>
      </c>
      <c r="AN16" s="40" t="n"/>
      <c r="AO16" s="92">
        <f>SUM(AC16:AE16)+SUM(R16:Z16)</f>
        <v/>
      </c>
      <c r="AP16" s="92">
        <f>SUM(AC16:AH16)+SUM(U16:Z16)</f>
        <v/>
      </c>
    </row>
    <row r="17">
      <c r="A17" s="34" t="inlineStr">
        <is>
          <t>Nursery NI</t>
        </is>
      </c>
      <c r="B17" s="35" t="n">
        <v>31175.25</v>
      </c>
      <c r="C17" s="35" t="n">
        <v>30662.3</v>
      </c>
      <c r="D17" s="35" t="n">
        <v>30757.11</v>
      </c>
      <c r="E17" s="35" t="n">
        <v>47949.14</v>
      </c>
      <c r="F17" s="35" t="n">
        <v>47749.62</v>
      </c>
      <c r="G17" s="35" t="n">
        <v>45520.73</v>
      </c>
      <c r="H17" s="35" t="n">
        <v>49939.52</v>
      </c>
      <c r="I17" s="35" t="n">
        <v>44922.87</v>
      </c>
      <c r="J17" s="35" t="n">
        <v>48493.37</v>
      </c>
      <c r="K17" s="35" t="n">
        <v>47243.5</v>
      </c>
      <c r="L17" s="35" t="n">
        <v>45078.01</v>
      </c>
      <c r="M17" s="35" t="n">
        <v>46803.96000000001</v>
      </c>
      <c r="N17" s="36">
        <f>SUM(B17:M17)</f>
        <v/>
      </c>
      <c r="O17" s="37">
        <f>SUMIF('Group TB '!$R:$R,'GROUP TOTALS MONTHLY P&amp;L'!$A17,'Group TB '!C:C)</f>
        <v/>
      </c>
      <c r="P17" s="37">
        <f>SUMIF('Group TB '!$R:$R,'GROUP TOTALS MONTHLY P&amp;L'!$A17,'Group TB '!D:D)</f>
        <v/>
      </c>
      <c r="Q17" s="37">
        <f>SUMIF('Group TB '!$R:$R,'GROUP TOTALS MONTHLY P&amp;L'!$A17,'Group TB '!E:E)</f>
        <v/>
      </c>
      <c r="R17" s="37">
        <f>SUMIF('Group TB '!$R:$R,'GROUP TOTALS MONTHLY P&amp;L'!$A17,'Group TB '!F:F)</f>
        <v/>
      </c>
      <c r="S17" s="37">
        <f>SUMIF('Group TB '!$R:$R,'GROUP TOTALS MONTHLY P&amp;L'!$A17,'Group TB '!G:G)</f>
        <v/>
      </c>
      <c r="T17" s="37">
        <f>SUMIF('Group TB '!$R:$R,'GROUP TOTALS MONTHLY P&amp;L'!$A17,'Group TB '!H:H)</f>
        <v/>
      </c>
      <c r="U17" s="37">
        <f>SUMIF('Group TB '!$R:$R,'GROUP TOTALS MONTHLY P&amp;L'!$A17,'Group TB '!I:I)</f>
        <v/>
      </c>
      <c r="V17" s="38">
        <f>'KNL GROUP P&amp;L'!V17+'CCL GROUP P&amp;L'!V17+'YBHN GROUP P&amp;L'!V17+'YBN Group P&amp;L'!V17+'HAB P&amp;L'!V17+'Moe2 P&amp;L'!V17</f>
        <v/>
      </c>
      <c r="W17" s="38">
        <f>'KNL GROUP P&amp;L'!W17+'CCL GROUP P&amp;L'!W17+'YBHN GROUP P&amp;L'!W17+'YBN Group P&amp;L'!W17+'HAB P&amp;L'!W17+'Moe2 P&amp;L'!W17</f>
        <v/>
      </c>
      <c r="X17" s="38">
        <f>'KNL GROUP P&amp;L'!X17+'CCL GROUP P&amp;L'!X17+'YBHN GROUP P&amp;L'!X17+'YBN Group P&amp;L'!X17+'HAB P&amp;L'!X17+'Moe2 P&amp;L'!X17</f>
        <v/>
      </c>
      <c r="Y17" s="38">
        <f>'KNL GROUP P&amp;L'!Y17+'CCL GROUP P&amp;L'!Y17+'YBHN GROUP P&amp;L'!Y17+'YBN Group P&amp;L'!Y17+'HAB P&amp;L'!Y17+'Moe2 P&amp;L'!Y17</f>
        <v/>
      </c>
      <c r="Z17" s="38">
        <f>'KNL GROUP P&amp;L'!Z17+'CCL GROUP P&amp;L'!Z17+'YBHN GROUP P&amp;L'!Z17+'YBN Group P&amp;L'!Z17+'HAB P&amp;L'!Z17+'Moe2 P&amp;L'!Z17</f>
        <v/>
      </c>
      <c r="AA17" s="36">
        <f>SUM(O17:U17)</f>
        <v/>
      </c>
      <c r="AB17" s="36">
        <f>SUM(O17:Z17)</f>
        <v/>
      </c>
      <c r="AC17" s="38">
        <f>'KNL GROUP P&amp;L'!AC17+'CCL GROUP P&amp;L'!AC17+'YBHN GROUP P&amp;L'!AC17+'YBN Group P&amp;L'!AC17+'HAB P&amp;L'!AC17+'Moe2 P&amp;L'!AC17</f>
        <v/>
      </c>
      <c r="AD17" s="38">
        <f>'KNL GROUP P&amp;L'!AD17+'CCL GROUP P&amp;L'!AD17+'YBHN GROUP P&amp;L'!AD17+'YBN Group P&amp;L'!AD17+'HAB P&amp;L'!AD17+'Moe2 P&amp;L'!AD17</f>
        <v/>
      </c>
      <c r="AE17" s="38">
        <f>'KNL GROUP P&amp;L'!AE17+'CCL GROUP P&amp;L'!AE17+'YBHN GROUP P&amp;L'!AE17+'YBN Group P&amp;L'!AE17+'HAB P&amp;L'!AE17+'Moe2 P&amp;L'!AE17</f>
        <v/>
      </c>
      <c r="AF17" s="38">
        <f>'KNL GROUP P&amp;L'!AF17+'CCL GROUP P&amp;L'!AF17+'YBHN GROUP P&amp;L'!AF17+'YBN Group P&amp;L'!AF17+'HAB P&amp;L'!AF17+'Moe2 P&amp;L'!AF17</f>
        <v/>
      </c>
      <c r="AG17" s="38">
        <f>'KNL GROUP P&amp;L'!AG17+'CCL GROUP P&amp;L'!AG17+'YBHN GROUP P&amp;L'!AG17+'YBN Group P&amp;L'!AG17+'HAB P&amp;L'!AG17+'Moe2 P&amp;L'!AG17</f>
        <v/>
      </c>
      <c r="AH17" s="38">
        <f>'KNL GROUP P&amp;L'!AH17+'CCL GROUP P&amp;L'!AH17+'YBHN GROUP P&amp;L'!AH17+'YBN Group P&amp;L'!AH17+'HAB P&amp;L'!AH17+'Moe2 P&amp;L'!AH17</f>
        <v/>
      </c>
      <c r="AI17" s="8" t="n"/>
      <c r="AJ17" s="36">
        <f>SUM(E17:Q17)-$N17</f>
        <v/>
      </c>
      <c r="AK17" s="36">
        <f>SUM(H17:T17)-$N17</f>
        <v/>
      </c>
      <c r="AL17" s="36">
        <f>SUM(K17:W17)-$N17</f>
        <v/>
      </c>
      <c r="AM17" s="36">
        <f>SUM(N17:Z17)-$N17</f>
        <v/>
      </c>
      <c r="AN17" s="40" t="n"/>
      <c r="AO17" s="92">
        <f>SUM(AC17:AE17)+SUM(R17:Z17)</f>
        <v/>
      </c>
      <c r="AP17" s="92">
        <f>SUM(AC17:AH17)+SUM(U17:Z17)</f>
        <v/>
      </c>
    </row>
    <row r="18">
      <c r="A18" s="34" t="inlineStr">
        <is>
          <t>Nursery Pension</t>
        </is>
      </c>
      <c r="B18" s="35" t="n">
        <v>7547.059999999999</v>
      </c>
      <c r="C18" s="35" t="n">
        <v>7488.82</v>
      </c>
      <c r="D18" s="35" t="n">
        <v>7180.6</v>
      </c>
      <c r="E18" s="35" t="n">
        <v>7639.29</v>
      </c>
      <c r="F18" s="35" t="n">
        <v>7916.78</v>
      </c>
      <c r="G18" s="35" t="n">
        <v>7680.17</v>
      </c>
      <c r="H18" s="35" t="n">
        <v>8540.619999999999</v>
      </c>
      <c r="I18" s="35" t="n">
        <v>7778.799999999999</v>
      </c>
      <c r="J18" s="35" t="n">
        <v>7619.34</v>
      </c>
      <c r="K18" s="35" t="n">
        <v>7536.639999999999</v>
      </c>
      <c r="L18" s="35" t="n">
        <v>7737.1</v>
      </c>
      <c r="M18" s="35" t="n">
        <v>8147.859999999999</v>
      </c>
      <c r="N18" s="36">
        <f>SUM(B18:M18)</f>
        <v/>
      </c>
      <c r="O18" s="37">
        <f>SUMIF('Group TB '!$R:$R,'GROUP TOTALS MONTHLY P&amp;L'!$A18,'Group TB '!C:C)</f>
        <v/>
      </c>
      <c r="P18" s="37">
        <f>SUMIF('Group TB '!$R:$R,'GROUP TOTALS MONTHLY P&amp;L'!$A18,'Group TB '!D:D)</f>
        <v/>
      </c>
      <c r="Q18" s="37">
        <f>SUMIF('Group TB '!$R:$R,'GROUP TOTALS MONTHLY P&amp;L'!$A18,'Group TB '!E:E)</f>
        <v/>
      </c>
      <c r="R18" s="37">
        <f>SUMIF('Group TB '!$R:$R,'GROUP TOTALS MONTHLY P&amp;L'!$A18,'Group TB '!F:F)</f>
        <v/>
      </c>
      <c r="S18" s="37">
        <f>SUMIF('Group TB '!$R:$R,'GROUP TOTALS MONTHLY P&amp;L'!$A18,'Group TB '!G:G)</f>
        <v/>
      </c>
      <c r="T18" s="37">
        <f>SUMIF('Group TB '!$R:$R,'GROUP TOTALS MONTHLY P&amp;L'!$A18,'Group TB '!H:H)</f>
        <v/>
      </c>
      <c r="U18" s="37">
        <f>SUMIF('Group TB '!$R:$R,'GROUP TOTALS MONTHLY P&amp;L'!$A18,'Group TB '!I:I)</f>
        <v/>
      </c>
      <c r="V18" s="38">
        <f>'KNL GROUP P&amp;L'!V18+'CCL GROUP P&amp;L'!V18+'YBHN GROUP P&amp;L'!V18+'YBN Group P&amp;L'!V18+'HAB P&amp;L'!V18+'Moe2 P&amp;L'!V18</f>
        <v/>
      </c>
      <c r="W18" s="38">
        <f>'KNL GROUP P&amp;L'!W18+'CCL GROUP P&amp;L'!W18+'YBHN GROUP P&amp;L'!W18+'YBN Group P&amp;L'!W18+'HAB P&amp;L'!W18+'Moe2 P&amp;L'!W18</f>
        <v/>
      </c>
      <c r="X18" s="38">
        <f>'KNL GROUP P&amp;L'!X18+'CCL GROUP P&amp;L'!X18+'YBHN GROUP P&amp;L'!X18+'YBN Group P&amp;L'!X18+'HAB P&amp;L'!X18+'Moe2 P&amp;L'!X18</f>
        <v/>
      </c>
      <c r="Y18" s="38">
        <f>'KNL GROUP P&amp;L'!Y18+'CCL GROUP P&amp;L'!Y18+'YBHN GROUP P&amp;L'!Y18+'YBN Group P&amp;L'!Y18+'HAB P&amp;L'!Y18+'Moe2 P&amp;L'!Y18</f>
        <v/>
      </c>
      <c r="Z18" s="38">
        <f>'KNL GROUP P&amp;L'!Z18+'CCL GROUP P&amp;L'!Z18+'YBHN GROUP P&amp;L'!Z18+'YBN Group P&amp;L'!Z18+'HAB P&amp;L'!Z18+'Moe2 P&amp;L'!Z18</f>
        <v/>
      </c>
      <c r="AA18" s="36">
        <f>SUM(O18:U18)</f>
        <v/>
      </c>
      <c r="AB18" s="36">
        <f>SUM(O18:Z18)</f>
        <v/>
      </c>
      <c r="AC18" s="38">
        <f>'KNL GROUP P&amp;L'!AC18+'CCL GROUP P&amp;L'!AC18+'YBHN GROUP P&amp;L'!AC18+'YBN Group P&amp;L'!AC18+'HAB P&amp;L'!AC18+'Moe2 P&amp;L'!AC18</f>
        <v/>
      </c>
      <c r="AD18" s="38">
        <f>'KNL GROUP P&amp;L'!AD18+'CCL GROUP P&amp;L'!AD18+'YBHN GROUP P&amp;L'!AD18+'YBN Group P&amp;L'!AD18+'HAB P&amp;L'!AD18+'Moe2 P&amp;L'!AD18</f>
        <v/>
      </c>
      <c r="AE18" s="38">
        <f>'KNL GROUP P&amp;L'!AE18+'CCL GROUP P&amp;L'!AE18+'YBHN GROUP P&amp;L'!AE18+'YBN Group P&amp;L'!AE18+'HAB P&amp;L'!AE18+'Moe2 P&amp;L'!AE18</f>
        <v/>
      </c>
      <c r="AF18" s="38">
        <f>'KNL GROUP P&amp;L'!AF18+'CCL GROUP P&amp;L'!AF18+'YBHN GROUP P&amp;L'!AF18+'YBN Group P&amp;L'!AF18+'HAB P&amp;L'!AF18+'Moe2 P&amp;L'!AF18</f>
        <v/>
      </c>
      <c r="AG18" s="38">
        <f>'KNL GROUP P&amp;L'!AG18+'CCL GROUP P&amp;L'!AG18+'YBHN GROUP P&amp;L'!AG18+'YBN Group P&amp;L'!AG18+'HAB P&amp;L'!AG18+'Moe2 P&amp;L'!AG18</f>
        <v/>
      </c>
      <c r="AH18" s="38">
        <f>'KNL GROUP P&amp;L'!AH18+'CCL GROUP P&amp;L'!AH18+'YBHN GROUP P&amp;L'!AH18+'YBN Group P&amp;L'!AH18+'HAB P&amp;L'!AH18+'Moe2 P&amp;L'!AH18</f>
        <v/>
      </c>
      <c r="AI18" s="8" t="n"/>
      <c r="AJ18" s="36">
        <f>SUM(E18:Q18)-$N18</f>
        <v/>
      </c>
      <c r="AK18" s="36">
        <f>SUM(H18:T18)-$N18</f>
        <v/>
      </c>
      <c r="AL18" s="36">
        <f>SUM(K18:W18)-$N18</f>
        <v/>
      </c>
      <c r="AM18" s="36">
        <f>SUM(N18:Z18)-$N18</f>
        <v/>
      </c>
      <c r="AN18" s="40" t="n"/>
      <c r="AO18" s="92">
        <f>SUM(AC18:AE18)+SUM(R18:Z18)</f>
        <v/>
      </c>
      <c r="AP18" s="92">
        <f>SUM(AC18:AH18)+SUM(U18:Z18)</f>
        <v/>
      </c>
    </row>
    <row r="19">
      <c r="A19" s="34" t="inlineStr">
        <is>
          <t>Uniform</t>
        </is>
      </c>
      <c r="B19" s="35" t="n">
        <v>1235.82</v>
      </c>
      <c r="C19" s="35" t="n">
        <v>1880.76</v>
      </c>
      <c r="D19" s="35" t="n">
        <v>1138.94</v>
      </c>
      <c r="E19" s="35" t="n">
        <v>629.02</v>
      </c>
      <c r="F19" s="35" t="n">
        <v>1180.97</v>
      </c>
      <c r="G19" s="35" t="n">
        <v>1001.98</v>
      </c>
      <c r="H19" s="35" t="n">
        <v>856.51</v>
      </c>
      <c r="I19" s="35" t="n">
        <v>191.28</v>
      </c>
      <c r="J19" s="35" t="n">
        <v>1666.47</v>
      </c>
      <c r="K19" s="35" t="n">
        <v>1590.12</v>
      </c>
      <c r="L19" s="35" t="n">
        <v>591.1999999999999</v>
      </c>
      <c r="M19" s="35" t="n">
        <v>1807.86</v>
      </c>
      <c r="N19" s="36">
        <f>SUM(B19:M19)</f>
        <v/>
      </c>
      <c r="O19" s="37">
        <f>SUMIF('Group TB '!$R:$R,'GROUP TOTALS MONTHLY P&amp;L'!$A19,'Group TB '!C:C)</f>
        <v/>
      </c>
      <c r="P19" s="37">
        <f>SUMIF('Group TB '!$R:$R,'GROUP TOTALS MONTHLY P&amp;L'!$A19,'Group TB '!D:D)</f>
        <v/>
      </c>
      <c r="Q19" s="37">
        <f>SUMIF('Group TB '!$R:$R,'GROUP TOTALS MONTHLY P&amp;L'!$A19,'Group TB '!E:E)</f>
        <v/>
      </c>
      <c r="R19" s="37">
        <f>SUMIF('Group TB '!$R:$R,'GROUP TOTALS MONTHLY P&amp;L'!$A19,'Group TB '!F:F)</f>
        <v/>
      </c>
      <c r="S19" s="37">
        <f>SUMIF('Group TB '!$R:$R,'GROUP TOTALS MONTHLY P&amp;L'!$A19,'Group TB '!G:G)</f>
        <v/>
      </c>
      <c r="T19" s="37">
        <f>SUMIF('Group TB '!$R:$R,'GROUP TOTALS MONTHLY P&amp;L'!$A19,'Group TB '!H:H)</f>
        <v/>
      </c>
      <c r="U19" s="37">
        <f>SUMIF('Group TB '!$R:$R,'GROUP TOTALS MONTHLY P&amp;L'!$A19,'Group TB '!I:I)</f>
        <v/>
      </c>
      <c r="V19" s="38">
        <f>'KNL GROUP P&amp;L'!V19+'CCL GROUP P&amp;L'!V19+'YBHN GROUP P&amp;L'!V19+'YBN Group P&amp;L'!V19+'HAB P&amp;L'!V19+'Moe2 P&amp;L'!V19</f>
        <v/>
      </c>
      <c r="W19" s="38">
        <f>'KNL GROUP P&amp;L'!W19+'CCL GROUP P&amp;L'!W19+'YBHN GROUP P&amp;L'!W19+'YBN Group P&amp;L'!W19+'HAB P&amp;L'!W19+'Moe2 P&amp;L'!W19</f>
        <v/>
      </c>
      <c r="X19" s="38">
        <f>'KNL GROUP P&amp;L'!X19+'CCL GROUP P&amp;L'!X19+'YBHN GROUP P&amp;L'!X19+'YBN Group P&amp;L'!X19+'HAB P&amp;L'!X19+'Moe2 P&amp;L'!X19</f>
        <v/>
      </c>
      <c r="Y19" s="38">
        <f>'KNL GROUP P&amp;L'!Y19+'CCL GROUP P&amp;L'!Y19+'YBHN GROUP P&amp;L'!Y19+'YBN Group P&amp;L'!Y19+'HAB P&amp;L'!Y19+'Moe2 P&amp;L'!Y19</f>
        <v/>
      </c>
      <c r="Z19" s="38">
        <f>'KNL GROUP P&amp;L'!Z19+'CCL GROUP P&amp;L'!Z19+'YBHN GROUP P&amp;L'!Z19+'YBN Group P&amp;L'!Z19+'HAB P&amp;L'!Z19+'Moe2 P&amp;L'!Z19</f>
        <v/>
      </c>
      <c r="AA19" s="36">
        <f>SUM(O19:U19)</f>
        <v/>
      </c>
      <c r="AB19" s="36">
        <f>SUM(O19:Z19)</f>
        <v/>
      </c>
      <c r="AC19" s="38">
        <f>'KNL GROUP P&amp;L'!AC19+'CCL GROUP P&amp;L'!AC19+'YBHN GROUP P&amp;L'!AC19+'YBN Group P&amp;L'!AC19+'HAB P&amp;L'!AC19+'Moe2 P&amp;L'!AC19</f>
        <v/>
      </c>
      <c r="AD19" s="38">
        <f>'KNL GROUP P&amp;L'!AD19+'CCL GROUP P&amp;L'!AD19+'YBHN GROUP P&amp;L'!AD19+'YBN Group P&amp;L'!AD19+'HAB P&amp;L'!AD19+'Moe2 P&amp;L'!AD19</f>
        <v/>
      </c>
      <c r="AE19" s="38">
        <f>'KNL GROUP P&amp;L'!AE19+'CCL GROUP P&amp;L'!AE19+'YBHN GROUP P&amp;L'!AE19+'YBN Group P&amp;L'!AE19+'HAB P&amp;L'!AE19+'Moe2 P&amp;L'!AE19</f>
        <v/>
      </c>
      <c r="AF19" s="38">
        <f>'KNL GROUP P&amp;L'!AF19+'CCL GROUP P&amp;L'!AF19+'YBHN GROUP P&amp;L'!AF19+'YBN Group P&amp;L'!AF19+'HAB P&amp;L'!AF19+'Moe2 P&amp;L'!AF19</f>
        <v/>
      </c>
      <c r="AG19" s="38">
        <f>'KNL GROUP P&amp;L'!AG19+'CCL GROUP P&amp;L'!AG19+'YBHN GROUP P&amp;L'!AG19+'YBN Group P&amp;L'!AG19+'HAB P&amp;L'!AG19+'Moe2 P&amp;L'!AG19</f>
        <v/>
      </c>
      <c r="AH19" s="38">
        <f>'KNL GROUP P&amp;L'!AH19+'CCL GROUP P&amp;L'!AH19+'YBHN GROUP P&amp;L'!AH19+'YBN Group P&amp;L'!AH19+'HAB P&amp;L'!AH19+'Moe2 P&amp;L'!AH19</f>
        <v/>
      </c>
      <c r="AI19" s="8" t="n"/>
      <c r="AJ19" s="36">
        <f>SUM(E19:Q19)-$N19</f>
        <v/>
      </c>
      <c r="AK19" s="36">
        <f>SUM(H19:T19)-$N19</f>
        <v/>
      </c>
      <c r="AL19" s="36">
        <f>SUM(K19:W19)-$N19</f>
        <v/>
      </c>
      <c r="AM19" s="36">
        <f>SUM(N19:Z19)-$N19</f>
        <v/>
      </c>
      <c r="AN19" s="40" t="n"/>
      <c r="AO19" s="92">
        <f>SUM(AC19:AE19)+SUM(R19:Z19)</f>
        <v/>
      </c>
      <c r="AP19" s="92">
        <f>SUM(AC19:AH19)+SUM(U19:Z19)</f>
        <v/>
      </c>
    </row>
    <row r="20">
      <c r="A20" s="34" t="inlineStr">
        <is>
          <t>Training</t>
        </is>
      </c>
      <c r="B20" s="35" t="n">
        <v>3002.69</v>
      </c>
      <c r="C20" s="35" t="n">
        <v>7435.83</v>
      </c>
      <c r="D20" s="35" t="n">
        <v>3502.93</v>
      </c>
      <c r="E20" s="35" t="n">
        <v>2684.03</v>
      </c>
      <c r="F20" s="35" t="n">
        <v>2743.9</v>
      </c>
      <c r="G20" s="35" t="n">
        <v>2823.33</v>
      </c>
      <c r="H20" s="35" t="n">
        <v>2879.48</v>
      </c>
      <c r="I20" s="35" t="n">
        <v>3400.09</v>
      </c>
      <c r="J20" s="35" t="n">
        <v>2908.1</v>
      </c>
      <c r="K20" s="35" t="n">
        <v>8817.889999999999</v>
      </c>
      <c r="L20" s="35" t="n">
        <v>3711.92</v>
      </c>
      <c r="M20" s="35" t="n">
        <v>1862.27</v>
      </c>
      <c r="N20" s="36">
        <f>SUM(B20:M20)</f>
        <v/>
      </c>
      <c r="O20" s="37">
        <f>SUMIF('Group TB '!$R:$R,'GROUP TOTALS MONTHLY P&amp;L'!$A20,'Group TB '!C:C)</f>
        <v/>
      </c>
      <c r="P20" s="37">
        <f>SUMIF('Group TB '!$R:$R,'GROUP TOTALS MONTHLY P&amp;L'!$A20,'Group TB '!D:D)</f>
        <v/>
      </c>
      <c r="Q20" s="37">
        <f>SUMIF('Group TB '!$R:$R,'GROUP TOTALS MONTHLY P&amp;L'!$A20,'Group TB '!E:E)</f>
        <v/>
      </c>
      <c r="R20" s="37">
        <f>SUMIF('Group TB '!$R:$R,'GROUP TOTALS MONTHLY P&amp;L'!$A20,'Group TB '!F:F)</f>
        <v/>
      </c>
      <c r="S20" s="37">
        <f>SUMIF('Group TB '!$R:$R,'GROUP TOTALS MONTHLY P&amp;L'!$A20,'Group TB '!G:G)</f>
        <v/>
      </c>
      <c r="T20" s="37">
        <f>SUMIF('Group TB '!$R:$R,'GROUP TOTALS MONTHLY P&amp;L'!$A20,'Group TB '!H:H)</f>
        <v/>
      </c>
      <c r="U20" s="37">
        <f>SUMIF('Group TB '!$R:$R,'GROUP TOTALS MONTHLY P&amp;L'!$A20,'Group TB '!I:I)</f>
        <v/>
      </c>
      <c r="V20" s="38">
        <f>'KNL GROUP P&amp;L'!V20+'CCL GROUP P&amp;L'!V20+'YBHN GROUP P&amp;L'!V20+'YBN Group P&amp;L'!V20+'HAB P&amp;L'!V20+'Moe2 P&amp;L'!V20</f>
        <v/>
      </c>
      <c r="W20" s="38">
        <f>'KNL GROUP P&amp;L'!W20+'CCL GROUP P&amp;L'!W20+'YBHN GROUP P&amp;L'!W20+'YBN Group P&amp;L'!W20+'HAB P&amp;L'!W20+'Moe2 P&amp;L'!W20</f>
        <v/>
      </c>
      <c r="X20" s="38">
        <f>'KNL GROUP P&amp;L'!X20+'CCL GROUP P&amp;L'!X20+'YBHN GROUP P&amp;L'!X20+'YBN Group P&amp;L'!X20+'HAB P&amp;L'!X20+'Moe2 P&amp;L'!X20</f>
        <v/>
      </c>
      <c r="Y20" s="38">
        <f>'KNL GROUP P&amp;L'!Y20+'CCL GROUP P&amp;L'!Y20+'YBHN GROUP P&amp;L'!Y20+'YBN Group P&amp;L'!Y20+'HAB P&amp;L'!Y20+'Moe2 P&amp;L'!Y20</f>
        <v/>
      </c>
      <c r="Z20" s="38">
        <f>'KNL GROUP P&amp;L'!Z20+'CCL GROUP P&amp;L'!Z20+'YBHN GROUP P&amp;L'!Z20+'YBN Group P&amp;L'!Z20+'HAB P&amp;L'!Z20+'Moe2 P&amp;L'!Z20</f>
        <v/>
      </c>
      <c r="AA20" s="36">
        <f>SUM(O20:U20)</f>
        <v/>
      </c>
      <c r="AB20" s="36">
        <f>SUM(O20:Z20)</f>
        <v/>
      </c>
      <c r="AC20" s="38">
        <f>'KNL GROUP P&amp;L'!AC20+'CCL GROUP P&amp;L'!AC20+'YBHN GROUP P&amp;L'!AC20+'YBN Group P&amp;L'!AC20+'HAB P&amp;L'!AC20+'Moe2 P&amp;L'!AC20</f>
        <v/>
      </c>
      <c r="AD20" s="38">
        <f>'KNL GROUP P&amp;L'!AD20+'CCL GROUP P&amp;L'!AD20+'YBHN GROUP P&amp;L'!AD20+'YBN Group P&amp;L'!AD20+'HAB P&amp;L'!AD20+'Moe2 P&amp;L'!AD20</f>
        <v/>
      </c>
      <c r="AE20" s="38">
        <f>'KNL GROUP P&amp;L'!AE20+'CCL GROUP P&amp;L'!AE20+'YBHN GROUP P&amp;L'!AE20+'YBN Group P&amp;L'!AE20+'HAB P&amp;L'!AE20+'Moe2 P&amp;L'!AE20</f>
        <v/>
      </c>
      <c r="AF20" s="38">
        <f>'KNL GROUP P&amp;L'!AF20+'CCL GROUP P&amp;L'!AF20+'YBHN GROUP P&amp;L'!AF20+'YBN Group P&amp;L'!AF20+'HAB P&amp;L'!AF20+'Moe2 P&amp;L'!AF20</f>
        <v/>
      </c>
      <c r="AG20" s="38">
        <f>'KNL GROUP P&amp;L'!AG20+'CCL GROUP P&amp;L'!AG20+'YBHN GROUP P&amp;L'!AG20+'YBN Group P&amp;L'!AG20+'HAB P&amp;L'!AG20+'Moe2 P&amp;L'!AG20</f>
        <v/>
      </c>
      <c r="AH20" s="38">
        <f>'KNL GROUP P&amp;L'!AH20+'CCL GROUP P&amp;L'!AH20+'YBHN GROUP P&amp;L'!AH20+'YBN Group P&amp;L'!AH20+'HAB P&amp;L'!AH20+'Moe2 P&amp;L'!AH20</f>
        <v/>
      </c>
      <c r="AI20" s="8" t="n"/>
      <c r="AJ20" s="36">
        <f>SUM(E20:Q20)-$N20</f>
        <v/>
      </c>
      <c r="AK20" s="36">
        <f>SUM(H20:T20)-$N20</f>
        <v/>
      </c>
      <c r="AL20" s="36">
        <f>SUM(K20:W20)-$N20</f>
        <v/>
      </c>
      <c r="AM20" s="36">
        <f>SUM(N20:Z20)-$N20</f>
        <v/>
      </c>
      <c r="AN20" s="40" t="n"/>
      <c r="AO20" s="92">
        <f>SUM(AC20:AE20)+SUM(R20:Z20)</f>
        <v/>
      </c>
      <c r="AP20" s="92">
        <f>SUM(AC20:AH20)+SUM(U20:Z20)</f>
        <v/>
      </c>
    </row>
    <row r="21">
      <c r="A21" s="34" t="inlineStr">
        <is>
          <t>Staff Welfare</t>
        </is>
      </c>
      <c r="B21" s="35" t="n">
        <v>5783.319999999999</v>
      </c>
      <c r="C21" s="35" t="n">
        <v>5492.109999999999</v>
      </c>
      <c r="D21" s="35" t="n">
        <v>3680.379999999999</v>
      </c>
      <c r="E21" s="35" t="n">
        <v>5121.319999999999</v>
      </c>
      <c r="F21" s="35" t="n">
        <v>5200.69</v>
      </c>
      <c r="G21" s="35" t="n">
        <v>3145.79</v>
      </c>
      <c r="H21" s="35" t="n">
        <v>4058.26</v>
      </c>
      <c r="I21" s="35" t="n">
        <v>2831.19</v>
      </c>
      <c r="J21" s="35" t="n">
        <v>2687.77</v>
      </c>
      <c r="K21" s="35" t="n">
        <v>3812.989999999999</v>
      </c>
      <c r="L21" s="35" t="n">
        <v>3586.34</v>
      </c>
      <c r="M21" s="35" t="n">
        <v>3285.859999999999</v>
      </c>
      <c r="N21" s="36">
        <f>SUM(B21:M21)</f>
        <v/>
      </c>
      <c r="O21" s="37">
        <f>SUMIF('Group TB '!$R:$R,'GROUP TOTALS MONTHLY P&amp;L'!$A21,'Group TB '!C:C)</f>
        <v/>
      </c>
      <c r="P21" s="37">
        <f>SUMIF('Group TB '!$R:$R,'GROUP TOTALS MONTHLY P&amp;L'!$A21,'Group TB '!D:D)</f>
        <v/>
      </c>
      <c r="Q21" s="37">
        <f>SUMIF('Group TB '!$R:$R,'GROUP TOTALS MONTHLY P&amp;L'!$A21,'Group TB '!E:E)</f>
        <v/>
      </c>
      <c r="R21" s="37">
        <f>SUMIF('Group TB '!$R:$R,'GROUP TOTALS MONTHLY P&amp;L'!$A21,'Group TB '!F:F)</f>
        <v/>
      </c>
      <c r="S21" s="37">
        <f>SUMIF('Group TB '!$R:$R,'GROUP TOTALS MONTHLY P&amp;L'!$A21,'Group TB '!G:G)</f>
        <v/>
      </c>
      <c r="T21" s="37">
        <f>SUMIF('Group TB '!$R:$R,'GROUP TOTALS MONTHLY P&amp;L'!$A21,'Group TB '!H:H)</f>
        <v/>
      </c>
      <c r="U21" s="37">
        <f>SUMIF('Group TB '!$R:$R,'GROUP TOTALS MONTHLY P&amp;L'!$A21,'Group TB '!I:I)</f>
        <v/>
      </c>
      <c r="V21" s="38">
        <f>'KNL GROUP P&amp;L'!V21+'CCL GROUP P&amp;L'!V21+'YBHN GROUP P&amp;L'!V21+'YBN Group P&amp;L'!V21+'HAB P&amp;L'!V21+'Moe2 P&amp;L'!V21</f>
        <v/>
      </c>
      <c r="W21" s="38">
        <f>'KNL GROUP P&amp;L'!W21+'CCL GROUP P&amp;L'!W21+'YBHN GROUP P&amp;L'!W21+'YBN Group P&amp;L'!W21+'HAB P&amp;L'!W21+'Moe2 P&amp;L'!W21</f>
        <v/>
      </c>
      <c r="X21" s="38">
        <f>'KNL GROUP P&amp;L'!X21+'CCL GROUP P&amp;L'!X21+'YBHN GROUP P&amp;L'!X21+'YBN Group P&amp;L'!X21+'HAB P&amp;L'!X21+'Moe2 P&amp;L'!X21</f>
        <v/>
      </c>
      <c r="Y21" s="38">
        <f>'KNL GROUP P&amp;L'!Y21+'CCL GROUP P&amp;L'!Y21+'YBHN GROUP P&amp;L'!Y21+'YBN Group P&amp;L'!Y21+'HAB P&amp;L'!Y21+'Moe2 P&amp;L'!Y21</f>
        <v/>
      </c>
      <c r="Z21" s="38">
        <f>'KNL GROUP P&amp;L'!Z21+'CCL GROUP P&amp;L'!Z21+'YBHN GROUP P&amp;L'!Z21+'YBN Group P&amp;L'!Z21+'HAB P&amp;L'!Z21+'Moe2 P&amp;L'!Z21</f>
        <v/>
      </c>
      <c r="AA21" s="36">
        <f>SUM(O21:U21)</f>
        <v/>
      </c>
      <c r="AB21" s="36">
        <f>SUM(O21:Z21)</f>
        <v/>
      </c>
      <c r="AC21" s="38">
        <f>'KNL GROUP P&amp;L'!AC21+'CCL GROUP P&amp;L'!AC21+'YBHN GROUP P&amp;L'!AC21+'YBN Group P&amp;L'!AC21+'HAB P&amp;L'!AC21+'Moe2 P&amp;L'!AC21</f>
        <v/>
      </c>
      <c r="AD21" s="38">
        <f>'KNL GROUP P&amp;L'!AD21+'CCL GROUP P&amp;L'!AD21+'YBHN GROUP P&amp;L'!AD21+'YBN Group P&amp;L'!AD21+'HAB P&amp;L'!AD21+'Moe2 P&amp;L'!AD21</f>
        <v/>
      </c>
      <c r="AE21" s="38">
        <f>'KNL GROUP P&amp;L'!AE21+'CCL GROUP P&amp;L'!AE21+'YBHN GROUP P&amp;L'!AE21+'YBN Group P&amp;L'!AE21+'HAB P&amp;L'!AE21+'Moe2 P&amp;L'!AE21</f>
        <v/>
      </c>
      <c r="AF21" s="38">
        <f>'KNL GROUP P&amp;L'!AF21+'CCL GROUP P&amp;L'!AF21+'YBHN GROUP P&amp;L'!AF21+'YBN Group P&amp;L'!AF21+'HAB P&amp;L'!AF21+'Moe2 P&amp;L'!AF21</f>
        <v/>
      </c>
      <c r="AG21" s="38">
        <f>'KNL GROUP P&amp;L'!AG21+'CCL GROUP P&amp;L'!AG21+'YBHN GROUP P&amp;L'!AG21+'YBN Group P&amp;L'!AG21+'HAB P&amp;L'!AG21+'Moe2 P&amp;L'!AG21</f>
        <v/>
      </c>
      <c r="AH21" s="38">
        <f>'KNL GROUP P&amp;L'!AH21+'CCL GROUP P&amp;L'!AH21+'YBHN GROUP P&amp;L'!AH21+'YBN Group P&amp;L'!AH21+'HAB P&amp;L'!AH21+'Moe2 P&amp;L'!AH21</f>
        <v/>
      </c>
      <c r="AI21" s="8" t="n"/>
      <c r="AJ21" s="36">
        <f>SUM(E21:Q21)-$N21</f>
        <v/>
      </c>
      <c r="AK21" s="36">
        <f>SUM(H21:T21)-$N21</f>
        <v/>
      </c>
      <c r="AL21" s="36">
        <f>SUM(K21:W21)-$N21</f>
        <v/>
      </c>
      <c r="AM21" s="36">
        <f>SUM(N21:Z21)-$N21</f>
        <v/>
      </c>
      <c r="AN21" s="40" t="n"/>
      <c r="AO21" s="92">
        <f>SUM(AC21:AE21)+SUM(R21:Z21)</f>
        <v/>
      </c>
      <c r="AP21" s="92">
        <f>SUM(AC21:AH21)+SUM(U21:Z21)</f>
        <v/>
      </c>
    </row>
    <row r="22">
      <c r="A22" s="34" t="inlineStr">
        <is>
          <t>Recruitment</t>
        </is>
      </c>
      <c r="B22" s="35" t="n">
        <v>7085.94</v>
      </c>
      <c r="C22" s="35" t="n">
        <v>7154.8</v>
      </c>
      <c r="D22" s="35" t="n">
        <v>1659.66</v>
      </c>
      <c r="E22" s="35" t="n">
        <v>4837.82</v>
      </c>
      <c r="F22" s="35" t="n">
        <v>7267.63</v>
      </c>
      <c r="G22" s="35" t="n">
        <v>8967.110000000001</v>
      </c>
      <c r="H22" s="35" t="n">
        <v>7748.5</v>
      </c>
      <c r="I22" s="35" t="n">
        <v>3434</v>
      </c>
      <c r="J22" s="35" t="n">
        <v>7084</v>
      </c>
      <c r="K22" s="35" t="n">
        <v>4044.5</v>
      </c>
      <c r="L22" s="35" t="n">
        <v>2527.46</v>
      </c>
      <c r="M22" s="35" t="n">
        <v>7930.110000000001</v>
      </c>
      <c r="N22" s="36">
        <f>SUM(B22:M22)</f>
        <v/>
      </c>
      <c r="O22" s="37">
        <f>SUMIF('Group TB '!$R:$R,'GROUP TOTALS MONTHLY P&amp;L'!$A22,'Group TB '!C:C)</f>
        <v/>
      </c>
      <c r="P22" s="37">
        <f>SUMIF('Group TB '!$R:$R,'GROUP TOTALS MONTHLY P&amp;L'!$A22,'Group TB '!D:D)</f>
        <v/>
      </c>
      <c r="Q22" s="37">
        <f>SUMIF('Group TB '!$R:$R,'GROUP TOTALS MONTHLY P&amp;L'!$A22,'Group TB '!E:E)</f>
        <v/>
      </c>
      <c r="R22" s="37">
        <f>SUMIF('Group TB '!$R:$R,'GROUP TOTALS MONTHLY P&amp;L'!$A22,'Group TB '!F:F)</f>
        <v/>
      </c>
      <c r="S22" s="37">
        <f>SUMIF('Group TB '!$R:$R,'GROUP TOTALS MONTHLY P&amp;L'!$A22,'Group TB '!G:G)</f>
        <v/>
      </c>
      <c r="T22" s="37">
        <f>SUMIF('Group TB '!$R:$R,'GROUP TOTALS MONTHLY P&amp;L'!$A22,'Group TB '!H:H)</f>
        <v/>
      </c>
      <c r="U22" s="37">
        <f>SUMIF('Group TB '!$R:$R,'GROUP TOTALS MONTHLY P&amp;L'!$A22,'Group TB '!I:I)</f>
        <v/>
      </c>
      <c r="V22" s="38">
        <f>'KNL GROUP P&amp;L'!V22+'CCL GROUP P&amp;L'!V22+'YBHN GROUP P&amp;L'!V22+'YBN Group P&amp;L'!V22+'HAB P&amp;L'!V22+'Moe2 P&amp;L'!V22</f>
        <v/>
      </c>
      <c r="W22" s="38">
        <f>'KNL GROUP P&amp;L'!W22+'CCL GROUP P&amp;L'!W22+'YBHN GROUP P&amp;L'!W22+'YBN Group P&amp;L'!W22+'HAB P&amp;L'!W22+'Moe2 P&amp;L'!W22</f>
        <v/>
      </c>
      <c r="X22" s="38">
        <f>'KNL GROUP P&amp;L'!X22+'CCL GROUP P&amp;L'!X22+'YBHN GROUP P&amp;L'!X22+'YBN Group P&amp;L'!X22+'HAB P&amp;L'!X22+'Moe2 P&amp;L'!X22</f>
        <v/>
      </c>
      <c r="Y22" s="38">
        <f>'KNL GROUP P&amp;L'!Y22+'CCL GROUP P&amp;L'!Y22+'YBHN GROUP P&amp;L'!Y22+'YBN Group P&amp;L'!Y22+'HAB P&amp;L'!Y22+'Moe2 P&amp;L'!Y22</f>
        <v/>
      </c>
      <c r="Z22" s="38">
        <f>'KNL GROUP P&amp;L'!Z22+'CCL GROUP P&amp;L'!Z22+'YBHN GROUP P&amp;L'!Z22+'YBN Group P&amp;L'!Z22+'HAB P&amp;L'!Z22+'Moe2 P&amp;L'!Z22</f>
        <v/>
      </c>
      <c r="AA22" s="36">
        <f>SUM(O22:U22)</f>
        <v/>
      </c>
      <c r="AB22" s="36">
        <f>SUM(O22:Z22)</f>
        <v/>
      </c>
      <c r="AC22" s="38">
        <f>'KNL GROUP P&amp;L'!AC22+'CCL GROUP P&amp;L'!AC22+'YBHN GROUP P&amp;L'!AC22+'YBN Group P&amp;L'!AC22+'HAB P&amp;L'!AC22+'Moe2 P&amp;L'!AC22</f>
        <v/>
      </c>
      <c r="AD22" s="38">
        <f>'KNL GROUP P&amp;L'!AD22+'CCL GROUP P&amp;L'!AD22+'YBHN GROUP P&amp;L'!AD22+'YBN Group P&amp;L'!AD22+'HAB P&amp;L'!AD22+'Moe2 P&amp;L'!AD22</f>
        <v/>
      </c>
      <c r="AE22" s="38">
        <f>'KNL GROUP P&amp;L'!AE22+'CCL GROUP P&amp;L'!AE22+'YBHN GROUP P&amp;L'!AE22+'YBN Group P&amp;L'!AE22+'HAB P&amp;L'!AE22+'Moe2 P&amp;L'!AE22</f>
        <v/>
      </c>
      <c r="AF22" s="38">
        <f>'KNL GROUP P&amp;L'!AF22+'CCL GROUP P&amp;L'!AF22+'YBHN GROUP P&amp;L'!AF22+'YBN Group P&amp;L'!AF22+'HAB P&amp;L'!AF22+'Moe2 P&amp;L'!AF22</f>
        <v/>
      </c>
      <c r="AG22" s="38">
        <f>'KNL GROUP P&amp;L'!AG22+'CCL GROUP P&amp;L'!AG22+'YBHN GROUP P&amp;L'!AG22+'YBN Group P&amp;L'!AG22+'HAB P&amp;L'!AG22+'Moe2 P&amp;L'!AG22</f>
        <v/>
      </c>
      <c r="AH22" s="38">
        <f>'KNL GROUP P&amp;L'!AH22+'CCL GROUP P&amp;L'!AH22+'YBHN GROUP P&amp;L'!AH22+'YBN Group P&amp;L'!AH22+'HAB P&amp;L'!AH22+'Moe2 P&amp;L'!AH22</f>
        <v/>
      </c>
      <c r="AI22" s="8" t="n"/>
      <c r="AJ22" s="36">
        <f>SUM(E22:Q22)-$N22</f>
        <v/>
      </c>
      <c r="AK22" s="36">
        <f>SUM(H22:T22)-$N22</f>
        <v/>
      </c>
      <c r="AL22" s="36">
        <f>SUM(K22:W22)-$N22</f>
        <v/>
      </c>
      <c r="AM22" s="36">
        <f>SUM(N22:Z22)-$N22</f>
        <v/>
      </c>
      <c r="AN22" s="40" t="n"/>
      <c r="AO22" s="92">
        <f>SUM(AC22:AE22)+SUM(R22:Z22)</f>
        <v/>
      </c>
      <c r="AP22" s="92">
        <f>SUM(AC22:AH22)+SUM(U22:Z22)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1630</v>
      </c>
      <c r="H23" s="35" t="n">
        <v>2423.57</v>
      </c>
      <c r="I23" s="35" t="n">
        <v>1238.7</v>
      </c>
      <c r="J23" s="35" t="n">
        <v>2444.67</v>
      </c>
      <c r="K23" s="35" t="n">
        <v>1251.27</v>
      </c>
      <c r="L23" s="35" t="n">
        <v>5222.39</v>
      </c>
      <c r="M23" s="35" t="n">
        <v>2416.64</v>
      </c>
      <c r="N23" s="36">
        <f>SUM(B23:M23)</f>
        <v/>
      </c>
      <c r="O23" s="37">
        <f>SUMIF('Group TB '!$R:$R,'GROUP TOTALS MONTHLY P&amp;L'!$A23,'Group TB '!C:C)</f>
        <v/>
      </c>
      <c r="P23" s="37">
        <f>SUMIF('Group TB '!$R:$R,'GROUP TOTALS MONTHLY P&amp;L'!$A23,'Group TB '!D:D)</f>
        <v/>
      </c>
      <c r="Q23" s="37">
        <f>SUMIF('Group TB '!$R:$R,'GROUP TOTALS MONTHLY P&amp;L'!$A23,'Group TB '!E:E)</f>
        <v/>
      </c>
      <c r="R23" s="37">
        <f>SUMIF('Group TB '!$R:$R,'GROUP TOTALS MONTHLY P&amp;L'!$A23,'Group TB '!F:F)</f>
        <v/>
      </c>
      <c r="S23" s="37">
        <f>SUMIF('Group TB '!$R:$R,'GROUP TOTALS MONTHLY P&amp;L'!$A23,'Group TB '!G:G)</f>
        <v/>
      </c>
      <c r="T23" s="37">
        <f>SUMIF('Group TB '!$R:$R,'GROUP TOTALS MONTHLY P&amp;L'!$A23,'Group TB '!H:H)</f>
        <v/>
      </c>
      <c r="U23" s="37">
        <f>SUMIF('Group TB '!$R:$R,'GROUP TOTALS MONTHLY P&amp;L'!$A23,'Group TB '!I:I)</f>
        <v/>
      </c>
      <c r="V23" s="38">
        <f>'KNL GROUP P&amp;L'!V23+'CCL GROUP P&amp;L'!V23+'YBHN GROUP P&amp;L'!V23+'YBN Group P&amp;L'!V23+'HAB P&amp;L'!V23+'Moe2 P&amp;L'!V23</f>
        <v/>
      </c>
      <c r="W23" s="38">
        <f>'KNL GROUP P&amp;L'!W23+'CCL GROUP P&amp;L'!W23+'YBHN GROUP P&amp;L'!W23+'YBN Group P&amp;L'!W23+'HAB P&amp;L'!W23+'Moe2 P&amp;L'!W23</f>
        <v/>
      </c>
      <c r="X23" s="38">
        <f>'KNL GROUP P&amp;L'!X23+'CCL GROUP P&amp;L'!X23+'YBHN GROUP P&amp;L'!X23+'YBN Group P&amp;L'!X23+'HAB P&amp;L'!X23+'Moe2 P&amp;L'!X23</f>
        <v/>
      </c>
      <c r="Y23" s="38">
        <f>'KNL GROUP P&amp;L'!Y23+'CCL GROUP P&amp;L'!Y23+'YBHN GROUP P&amp;L'!Y23+'YBN Group P&amp;L'!Y23+'HAB P&amp;L'!Y23+'Moe2 P&amp;L'!Y23</f>
        <v/>
      </c>
      <c r="Z23" s="38">
        <f>'KNL GROUP P&amp;L'!Z23+'CCL GROUP P&amp;L'!Z23+'YBHN GROUP P&amp;L'!Z23+'YBN Group P&amp;L'!Z23+'HAB P&amp;L'!Z23+'Moe2 P&amp;L'!Z23</f>
        <v/>
      </c>
      <c r="AA23" s="36">
        <f>SUM(O23:U23)</f>
        <v/>
      </c>
      <c r="AB23" s="36">
        <f>SUM(O23:Z23)</f>
        <v/>
      </c>
      <c r="AC23" s="38">
        <f>'KNL GROUP P&amp;L'!AC23+'CCL GROUP P&amp;L'!AC23+'YBHN GROUP P&amp;L'!AC23+'YBN Group P&amp;L'!AC23+'HAB P&amp;L'!AC23+'Moe2 P&amp;L'!AC23</f>
        <v/>
      </c>
      <c r="AD23" s="38">
        <f>'KNL GROUP P&amp;L'!AD23+'CCL GROUP P&amp;L'!AD23+'YBHN GROUP P&amp;L'!AD23+'YBN Group P&amp;L'!AD23+'HAB P&amp;L'!AD23+'Moe2 P&amp;L'!AD23</f>
        <v/>
      </c>
      <c r="AE23" s="38">
        <f>'KNL GROUP P&amp;L'!AE23+'CCL GROUP P&amp;L'!AE23+'YBHN GROUP P&amp;L'!AE23+'YBN Group P&amp;L'!AE23+'HAB P&amp;L'!AE23+'Moe2 P&amp;L'!AE23</f>
        <v/>
      </c>
      <c r="AF23" s="38">
        <f>'KNL GROUP P&amp;L'!AF23+'CCL GROUP P&amp;L'!AF23+'YBHN GROUP P&amp;L'!AF23+'YBN Group P&amp;L'!AF23+'HAB P&amp;L'!AF23+'Moe2 P&amp;L'!AF23</f>
        <v/>
      </c>
      <c r="AG23" s="38">
        <f>'KNL GROUP P&amp;L'!AG23+'CCL GROUP P&amp;L'!AG23+'YBHN GROUP P&amp;L'!AG23+'YBN Group P&amp;L'!AG23+'HAB P&amp;L'!AG23+'Moe2 P&amp;L'!AG23</f>
        <v/>
      </c>
      <c r="AH23" s="38">
        <f>'KNL GROUP P&amp;L'!AH23+'CCL GROUP P&amp;L'!AH23+'YBHN GROUP P&amp;L'!AH23+'YBN Group P&amp;L'!AH23+'HAB P&amp;L'!AH23+'Moe2 P&amp;L'!AH23</f>
        <v/>
      </c>
      <c r="AI23" s="8" t="n"/>
      <c r="AJ23" s="36">
        <f>SUM(E23:Q23)-$N23</f>
        <v/>
      </c>
      <c r="AK23" s="36">
        <f>SUM(H23:T23)-$N23</f>
        <v/>
      </c>
      <c r="AL23" s="36">
        <f>SUM(K23:W23)-$N23</f>
        <v/>
      </c>
      <c r="AM23" s="36">
        <f>SUM(N23:Z23)-$N23</f>
        <v/>
      </c>
      <c r="AN23" s="40" t="n"/>
      <c r="AO23" s="92">
        <f>SUM(AC23:AE23)+SUM(R23:Z23)</f>
        <v/>
      </c>
      <c r="AP23" s="92">
        <f>SUM(AC23:AH23)+SUM(U23:Z23)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217.33</v>
      </c>
      <c r="D24" s="35" t="n">
        <v>0</v>
      </c>
      <c r="E24" s="35" t="n">
        <v>0</v>
      </c>
      <c r="F24" s="35" t="n">
        <v>226.03</v>
      </c>
      <c r="G24" s="35" t="n">
        <v>0</v>
      </c>
      <c r="H24" s="35" t="n">
        <v>249.41</v>
      </c>
      <c r="I24" s="35" t="n">
        <v>0</v>
      </c>
      <c r="J24" s="35" t="n">
        <v>1410.72</v>
      </c>
      <c r="K24" s="35" t="n">
        <v>6211.84</v>
      </c>
      <c r="L24" s="35" t="n">
        <v>3008.5</v>
      </c>
      <c r="M24" s="35" t="n">
        <v>0</v>
      </c>
      <c r="N24" s="36">
        <f>SUM(B24:M24)</f>
        <v/>
      </c>
      <c r="O24" s="37">
        <f>SUMIF('Group TB '!$R:$R,'GROUP TOTALS MONTHLY P&amp;L'!$A24,'Group TB '!C:C)</f>
        <v/>
      </c>
      <c r="P24" s="37">
        <f>SUMIF('Group TB '!$R:$R,'GROUP TOTALS MONTHLY P&amp;L'!$A24,'Group TB '!D:D)</f>
        <v/>
      </c>
      <c r="Q24" s="37">
        <f>SUMIF('Group TB '!$R:$R,'GROUP TOTALS MONTHLY P&amp;L'!$A24,'Group TB '!E:E)</f>
        <v/>
      </c>
      <c r="R24" s="37">
        <f>SUMIF('Group TB '!$R:$R,'GROUP TOTALS MONTHLY P&amp;L'!$A24,'Group TB '!F:F)</f>
        <v/>
      </c>
      <c r="S24" s="37">
        <f>SUMIF('Group TB '!$R:$R,'GROUP TOTALS MONTHLY P&amp;L'!$A24,'Group TB '!G:G)</f>
        <v/>
      </c>
      <c r="T24" s="37">
        <f>SUMIF('Group TB '!$R:$R,'GROUP TOTALS MONTHLY P&amp;L'!$A24,'Group TB '!H:H)</f>
        <v/>
      </c>
      <c r="U24" s="37">
        <f>SUMIF('Group TB '!$R:$R,'GROUP TOTALS MONTHLY P&amp;L'!$A24,'Group TB '!I:I)</f>
        <v/>
      </c>
      <c r="V24" s="38">
        <f>'KNL GROUP P&amp;L'!V24+'CCL GROUP P&amp;L'!V24+'YBHN GROUP P&amp;L'!V24+'YBN Group P&amp;L'!V24+'HAB P&amp;L'!V24+'Moe2 P&amp;L'!V24</f>
        <v/>
      </c>
      <c r="W24" s="38">
        <f>'KNL GROUP P&amp;L'!W24+'CCL GROUP P&amp;L'!W24+'YBHN GROUP P&amp;L'!W24+'YBN Group P&amp;L'!W24+'HAB P&amp;L'!W24+'Moe2 P&amp;L'!W24</f>
        <v/>
      </c>
      <c r="X24" s="38">
        <f>'KNL GROUP P&amp;L'!X24+'CCL GROUP P&amp;L'!X24+'YBHN GROUP P&amp;L'!X24+'YBN Group P&amp;L'!X24+'HAB P&amp;L'!X24+'Moe2 P&amp;L'!X24</f>
        <v/>
      </c>
      <c r="Y24" s="38">
        <f>'KNL GROUP P&amp;L'!Y24+'CCL GROUP P&amp;L'!Y24+'YBHN GROUP P&amp;L'!Y24+'YBN Group P&amp;L'!Y24+'HAB P&amp;L'!Y24+'Moe2 P&amp;L'!Y24</f>
        <v/>
      </c>
      <c r="Z24" s="38">
        <f>'KNL GROUP P&amp;L'!Z24+'CCL GROUP P&amp;L'!Z24+'YBHN GROUP P&amp;L'!Z24+'YBN Group P&amp;L'!Z24+'HAB P&amp;L'!Z24+'Moe2 P&amp;L'!Z24</f>
        <v/>
      </c>
      <c r="AA24" s="36">
        <f>SUM(O24:U24)</f>
        <v/>
      </c>
      <c r="AB24" s="36">
        <f>SUM(O24:Z24)</f>
        <v/>
      </c>
      <c r="AC24" s="38">
        <f>'KNL GROUP P&amp;L'!AC24+'CCL GROUP P&amp;L'!AC24+'YBHN GROUP P&amp;L'!AC24+'YBN Group P&amp;L'!AC24+'HAB P&amp;L'!AC24+'Moe2 P&amp;L'!AC24</f>
        <v/>
      </c>
      <c r="AD24" s="38">
        <f>'KNL GROUP P&amp;L'!AD24+'CCL GROUP P&amp;L'!AD24+'YBHN GROUP P&amp;L'!AD24+'YBN Group P&amp;L'!AD24+'HAB P&amp;L'!AD24+'Moe2 P&amp;L'!AD24</f>
        <v/>
      </c>
      <c r="AE24" s="38">
        <f>'KNL GROUP P&amp;L'!AE24+'CCL GROUP P&amp;L'!AE24+'YBHN GROUP P&amp;L'!AE24+'YBN Group P&amp;L'!AE24+'HAB P&amp;L'!AE24+'Moe2 P&amp;L'!AE24</f>
        <v/>
      </c>
      <c r="AF24" s="38">
        <f>'KNL GROUP P&amp;L'!AF24+'CCL GROUP P&amp;L'!AF24+'YBHN GROUP P&amp;L'!AF24+'YBN Group P&amp;L'!AF24+'HAB P&amp;L'!AF24+'Moe2 P&amp;L'!AF24</f>
        <v/>
      </c>
      <c r="AG24" s="38">
        <f>'KNL GROUP P&amp;L'!AG24+'CCL GROUP P&amp;L'!AG24+'YBHN GROUP P&amp;L'!AG24+'YBN Group P&amp;L'!AG24+'HAB P&amp;L'!AG24+'Moe2 P&amp;L'!AG24</f>
        <v/>
      </c>
      <c r="AH24" s="38">
        <f>'KNL GROUP P&amp;L'!AH24+'CCL GROUP P&amp;L'!AH24+'YBHN GROUP P&amp;L'!AH24+'YBN Group P&amp;L'!AH24+'HAB P&amp;L'!AH24+'Moe2 P&amp;L'!AH24</f>
        <v/>
      </c>
      <c r="AI24" s="8" t="n"/>
      <c r="AJ24" s="36">
        <f>SUM(E24:Q24)-$N24</f>
        <v/>
      </c>
      <c r="AK24" s="36">
        <f>SUM(H24:T24)-$N24</f>
        <v/>
      </c>
      <c r="AL24" s="36">
        <f>SUM(K24:W24)-$N24</f>
        <v/>
      </c>
      <c r="AM24" s="36">
        <f>SUM(N24:Z24)-$N24</f>
        <v/>
      </c>
      <c r="AN24" s="40" t="n"/>
      <c r="AO24" s="92">
        <f>SUM(AC24:AE24)+SUM(R24:Z24)</f>
        <v/>
      </c>
      <c r="AP24" s="92">
        <f>SUM(AC24:AH24)+SUM(U24:Z24)</f>
        <v/>
      </c>
    </row>
    <row r="25" ht="15.75" customHeight="1">
      <c r="A25" s="41" t="inlineStr">
        <is>
          <t>Total Personnel</t>
        </is>
      </c>
      <c r="B25" s="42" t="n">
        <v>453315.68</v>
      </c>
      <c r="C25" s="42" t="n">
        <v>457131.66</v>
      </c>
      <c r="D25" s="42" t="n">
        <v>450046.64</v>
      </c>
      <c r="E25" s="42" t="n">
        <v>513439.7500000001</v>
      </c>
      <c r="F25" s="42" t="n">
        <v>520315.8300000001</v>
      </c>
      <c r="G25" s="42" t="n">
        <v>500062.94</v>
      </c>
      <c r="H25" s="42" t="n">
        <v>540450.8400000001</v>
      </c>
      <c r="I25" s="42" t="n">
        <v>494870.5800000001</v>
      </c>
      <c r="J25" s="42" t="n">
        <v>523267.4399999999</v>
      </c>
      <c r="K25" s="42" t="n">
        <v>528710.3</v>
      </c>
      <c r="L25" s="42" t="n">
        <v>502447.01</v>
      </c>
      <c r="M25" s="42" t="n">
        <v>516214.69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SUM(O25:U25)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8" t="n"/>
      <c r="AJ25" s="43">
        <f>SUM(AJ16:AJ24)</f>
        <v/>
      </c>
      <c r="AK25" s="43">
        <f>SUM(AK16:AK24)</f>
        <v/>
      </c>
      <c r="AL25" s="43">
        <f>SUM(AL16:AL24)</f>
        <v/>
      </c>
      <c r="AM25" s="43">
        <f>SUM(AM16:AM24)</f>
        <v/>
      </c>
      <c r="AN25" s="40" t="n"/>
      <c r="AO25" s="93">
        <f>SUM(AO16:AO24)</f>
        <v/>
      </c>
      <c r="AP25" s="93">
        <f>SUM(AP16:AP24)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 t="n"/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SUM(O26:U26)</f>
        <v/>
      </c>
      <c r="AB26" s="36" t="n"/>
      <c r="AC26" s="32">
        <f>'KNL GROUP P&amp;L'!AC26+'CCL GROUP P&amp;L'!AC26+'YBHN GROUP P&amp;L'!AC26+'YBN Group P&amp;L'!AC26+'HAB P&amp;L'!AC26+'Moe2 P&amp;L'!AC26</f>
        <v/>
      </c>
      <c r="AD26" s="32">
        <f>'KNL GROUP P&amp;L'!AD26+'CCL GROUP P&amp;L'!AD26+'YBHN GROUP P&amp;L'!AD26+'YBN Group P&amp;L'!AD26+'HAB P&amp;L'!AD26+'Moe2 P&amp;L'!AD26</f>
        <v/>
      </c>
      <c r="AE26" s="32">
        <f>'KNL GROUP P&amp;L'!AE26+'CCL GROUP P&amp;L'!AE26+'YBHN GROUP P&amp;L'!AE26+'YBN Group P&amp;L'!AE26+'HAB P&amp;L'!AE26+'Moe2 P&amp;L'!AE26</f>
        <v/>
      </c>
      <c r="AF26" s="32">
        <f>'KNL GROUP P&amp;L'!AF26+'CCL GROUP P&amp;L'!AF26+'YBHN GROUP P&amp;L'!AF26+'YBN Group P&amp;L'!AF26+'HAB P&amp;L'!AF26+'Moe2 P&amp;L'!AF26</f>
        <v/>
      </c>
      <c r="AG26" s="32">
        <f>'KNL GROUP P&amp;L'!AG26+'CCL GROUP P&amp;L'!AG26+'YBHN GROUP P&amp;L'!AG26+'YBN Group P&amp;L'!AG26+'HAB P&amp;L'!AG26+'Moe2 P&amp;L'!AG26</f>
        <v/>
      </c>
      <c r="AH26" s="32">
        <f>'KNL GROUP P&amp;L'!AH26+'CCL GROUP P&amp;L'!AH26+'YBHN GROUP P&amp;L'!AH26+'YBN Group P&amp;L'!AH26+'HAB P&amp;L'!AH26+'Moe2 P&amp;L'!AH26</f>
        <v/>
      </c>
      <c r="AI26" s="8" t="n"/>
      <c r="AJ26" s="36" t="n"/>
      <c r="AK26" s="36" t="n"/>
      <c r="AL26" s="36" t="n"/>
      <c r="AM26" s="36" t="n"/>
      <c r="AN26" s="40" t="n"/>
      <c r="AO26" s="92" t="n"/>
      <c r="AP26" s="92" t="n"/>
    </row>
    <row r="27">
      <c r="A27" s="34" t="inlineStr">
        <is>
          <t>Catering Costs</t>
        </is>
      </c>
      <c r="B27" s="35" t="n">
        <v>24984.97</v>
      </c>
      <c r="C27" s="35" t="n">
        <v>27639.25</v>
      </c>
      <c r="D27" s="35" t="n">
        <v>26273.28</v>
      </c>
      <c r="E27" s="35" t="n">
        <v>22057.36</v>
      </c>
      <c r="F27" s="35" t="n">
        <v>26275.7</v>
      </c>
      <c r="G27" s="35" t="n">
        <v>25972.10000000001</v>
      </c>
      <c r="H27" s="35" t="n">
        <v>25583.16</v>
      </c>
      <c r="I27" s="35" t="n">
        <v>25393.59</v>
      </c>
      <c r="J27" s="35" t="n">
        <v>23517.88000000001</v>
      </c>
      <c r="K27" s="35" t="n">
        <v>27113.72</v>
      </c>
      <c r="L27" s="35" t="n">
        <v>25194.74</v>
      </c>
      <c r="M27" s="35" t="n">
        <v>20081.97</v>
      </c>
      <c r="N27" s="36">
        <f>SUM(B27:M27)</f>
        <v/>
      </c>
      <c r="O27" s="37">
        <f>SUMIF('Group TB '!$R:$R,'GROUP TOTALS MONTHLY P&amp;L'!$A27,'Group TB '!C:C)</f>
        <v/>
      </c>
      <c r="P27" s="37">
        <f>SUMIF('Group TB '!$R:$R,'GROUP TOTALS MONTHLY P&amp;L'!$A27,'Group TB '!D:D)</f>
        <v/>
      </c>
      <c r="Q27" s="37">
        <f>SUMIF('Group TB '!$R:$R,'GROUP TOTALS MONTHLY P&amp;L'!$A27,'Group TB '!E:E)</f>
        <v/>
      </c>
      <c r="R27" s="37">
        <f>SUMIF('Group TB '!$R:$R,'GROUP TOTALS MONTHLY P&amp;L'!$A27,'Group TB '!F:F)</f>
        <v/>
      </c>
      <c r="S27" s="37">
        <f>SUMIF('Group TB '!$R:$R,'GROUP TOTALS MONTHLY P&amp;L'!$A27,'Group TB '!G:G)</f>
        <v/>
      </c>
      <c r="T27" s="37">
        <f>SUMIF('Group TB '!$R:$R,'GROUP TOTALS MONTHLY P&amp;L'!$A27,'Group TB '!H:H)</f>
        <v/>
      </c>
      <c r="U27" s="37">
        <f>SUMIF('Group TB '!$R:$R,'GROUP TOTALS MONTHLY P&amp;L'!$A27,'Group TB '!I:I)</f>
        <v/>
      </c>
      <c r="V27" s="38">
        <f>'KNL GROUP P&amp;L'!V27+'CCL GROUP P&amp;L'!V27+'YBHN GROUP P&amp;L'!V27+'YBN Group P&amp;L'!V27+'HAB P&amp;L'!V27+'Moe2 P&amp;L'!V27</f>
        <v/>
      </c>
      <c r="W27" s="38">
        <f>'KNL GROUP P&amp;L'!W27+'CCL GROUP P&amp;L'!W27+'YBHN GROUP P&amp;L'!W27+'YBN Group P&amp;L'!W27+'HAB P&amp;L'!W27+'Moe2 P&amp;L'!W27</f>
        <v/>
      </c>
      <c r="X27" s="38">
        <f>'KNL GROUP P&amp;L'!X27+'CCL GROUP P&amp;L'!X27+'YBHN GROUP P&amp;L'!X27+'YBN Group P&amp;L'!X27+'HAB P&amp;L'!X27+'Moe2 P&amp;L'!X27</f>
        <v/>
      </c>
      <c r="Y27" s="38">
        <f>'KNL GROUP P&amp;L'!Y27+'CCL GROUP P&amp;L'!Y27+'YBHN GROUP P&amp;L'!Y27+'YBN Group P&amp;L'!Y27+'HAB P&amp;L'!Y27+'Moe2 P&amp;L'!Y27</f>
        <v/>
      </c>
      <c r="Z27" s="38">
        <f>'KNL GROUP P&amp;L'!Z27+'CCL GROUP P&amp;L'!Z27+'YBHN GROUP P&amp;L'!Z27+'YBN Group P&amp;L'!Z27+'HAB P&amp;L'!Z27+'Moe2 P&amp;L'!Z27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8" t="n"/>
      <c r="AJ27" s="36">
        <f>SUM(E27:Q27)-$N27</f>
        <v/>
      </c>
      <c r="AK27" s="36">
        <f>SUM(H27:T27)-$N27</f>
        <v/>
      </c>
      <c r="AL27" s="36">
        <f>SUM(K27:W27)-$N27</f>
        <v/>
      </c>
      <c r="AM27" s="36">
        <f>SUM(N27:Z27)-$N27</f>
        <v/>
      </c>
      <c r="AN27" s="40" t="n"/>
      <c r="AO27" s="92">
        <f>SUM(AC27:AE27)+SUM(R27:Z27)</f>
        <v/>
      </c>
      <c r="AP27" s="92">
        <f>SUM(AC27:AH27)+SUM(U27:Z27)</f>
        <v/>
      </c>
    </row>
    <row r="28">
      <c r="A28" s="34" t="inlineStr">
        <is>
          <t>Toys and Games</t>
        </is>
      </c>
      <c r="B28" s="35" t="n">
        <v>2910.13</v>
      </c>
      <c r="C28" s="35" t="n">
        <v>6069.44</v>
      </c>
      <c r="D28" s="35" t="n">
        <v>2457.96</v>
      </c>
      <c r="E28" s="35" t="n">
        <v>3203.4</v>
      </c>
      <c r="F28" s="35" t="n">
        <v>6842.979999999998</v>
      </c>
      <c r="G28" s="35" t="n">
        <v>5934.230000000001</v>
      </c>
      <c r="H28" s="35" t="n">
        <v>5852.02</v>
      </c>
      <c r="I28" s="35" t="n">
        <v>6516.69</v>
      </c>
      <c r="J28" s="35" t="n">
        <v>6590.410000000001</v>
      </c>
      <c r="K28" s="35" t="n">
        <v>2549.79</v>
      </c>
      <c r="L28" s="35" t="n">
        <v>2219.75</v>
      </c>
      <c r="M28" s="35" t="n">
        <v>1504.69</v>
      </c>
      <c r="N28" s="36">
        <f>SUM(B28:M28)</f>
        <v/>
      </c>
      <c r="O28" s="37">
        <f>SUMIF('Group TB '!$R:$R,'GROUP TOTALS MONTHLY P&amp;L'!$A28,'Group TB '!C:C)</f>
        <v/>
      </c>
      <c r="P28" s="37">
        <f>SUMIF('Group TB '!$R:$R,'GROUP TOTALS MONTHLY P&amp;L'!$A28,'Group TB '!D:D)</f>
        <v/>
      </c>
      <c r="Q28" s="37">
        <f>SUMIF('Group TB '!$R:$R,'GROUP TOTALS MONTHLY P&amp;L'!$A28,'Group TB '!E:E)</f>
        <v/>
      </c>
      <c r="R28" s="37">
        <f>SUMIF('Group TB '!$R:$R,'GROUP TOTALS MONTHLY P&amp;L'!$A28,'Group TB '!F:F)</f>
        <v/>
      </c>
      <c r="S28" s="37">
        <f>SUMIF('Group TB '!$R:$R,'GROUP TOTALS MONTHLY P&amp;L'!$A28,'Group TB '!G:G)</f>
        <v/>
      </c>
      <c r="T28" s="37">
        <f>SUMIF('Group TB '!$R:$R,'GROUP TOTALS MONTHLY P&amp;L'!$A28,'Group TB '!H:H)</f>
        <v/>
      </c>
      <c r="U28" s="37">
        <f>SUMIF('Group TB '!$R:$R,'GROUP TOTALS MONTHLY P&amp;L'!$A28,'Group TB '!I:I)</f>
        <v/>
      </c>
      <c r="V28" s="38">
        <f>'KNL GROUP P&amp;L'!V28+'CCL GROUP P&amp;L'!V28+'YBHN GROUP P&amp;L'!V28+'YBN Group P&amp;L'!V28+'HAB P&amp;L'!V28+'Moe2 P&amp;L'!V28</f>
        <v/>
      </c>
      <c r="W28" s="38">
        <f>'KNL GROUP P&amp;L'!W28+'CCL GROUP P&amp;L'!W28+'YBHN GROUP P&amp;L'!W28+'YBN Group P&amp;L'!W28+'HAB P&amp;L'!W28+'Moe2 P&amp;L'!W28</f>
        <v/>
      </c>
      <c r="X28" s="38">
        <f>'KNL GROUP P&amp;L'!X28+'CCL GROUP P&amp;L'!X28+'YBHN GROUP P&amp;L'!X28+'YBN Group P&amp;L'!X28+'HAB P&amp;L'!X28+'Moe2 P&amp;L'!X28</f>
        <v/>
      </c>
      <c r="Y28" s="38">
        <f>'KNL GROUP P&amp;L'!Y28+'CCL GROUP P&amp;L'!Y28+'YBHN GROUP P&amp;L'!Y28+'YBN Group P&amp;L'!Y28+'HAB P&amp;L'!Y28+'Moe2 P&amp;L'!Y28</f>
        <v/>
      </c>
      <c r="Z28" s="38">
        <f>'KNL GROUP P&amp;L'!Z28+'CCL GROUP P&amp;L'!Z28+'YBHN GROUP P&amp;L'!Z28+'YBN Group P&amp;L'!Z28+'HAB P&amp;L'!Z28+'Moe2 P&amp;L'!Z28</f>
        <v/>
      </c>
      <c r="AA28" s="36">
        <f>SUM(O28:U28)</f>
        <v/>
      </c>
      <c r="AB28" s="36">
        <f>SUM(O28:Z28)</f>
        <v/>
      </c>
      <c r="AC28" s="38">
        <f>'KNL GROUP P&amp;L'!AC28+'CCL GROUP P&amp;L'!AC28+'YBHN GROUP P&amp;L'!AC28+'YBN Group P&amp;L'!AC28+'HAB P&amp;L'!AC28+'Moe2 P&amp;L'!AC28</f>
        <v/>
      </c>
      <c r="AD28" s="38">
        <f>'KNL GROUP P&amp;L'!AD28+'CCL GROUP P&amp;L'!AD28+'YBHN GROUP P&amp;L'!AD28+'YBN Group P&amp;L'!AD28+'HAB P&amp;L'!AD28+'Moe2 P&amp;L'!AD28</f>
        <v/>
      </c>
      <c r="AE28" s="38">
        <f>'KNL GROUP P&amp;L'!AE28+'CCL GROUP P&amp;L'!AE28+'YBHN GROUP P&amp;L'!AE28+'YBN Group P&amp;L'!AE28+'HAB P&amp;L'!AE28+'Moe2 P&amp;L'!AE28</f>
        <v/>
      </c>
      <c r="AF28" s="38">
        <f>'KNL GROUP P&amp;L'!AF28+'CCL GROUP P&amp;L'!AF28+'YBHN GROUP P&amp;L'!AF28+'YBN Group P&amp;L'!AF28+'HAB P&amp;L'!AF28+'Moe2 P&amp;L'!AF28</f>
        <v/>
      </c>
      <c r="AG28" s="38">
        <f>'KNL GROUP P&amp;L'!AG28+'CCL GROUP P&amp;L'!AG28+'YBHN GROUP P&amp;L'!AG28+'YBN Group P&amp;L'!AG28+'HAB P&amp;L'!AG28+'Moe2 P&amp;L'!AG28</f>
        <v/>
      </c>
      <c r="AH28" s="38">
        <f>'KNL GROUP P&amp;L'!AH28+'CCL GROUP P&amp;L'!AH28+'YBHN GROUP P&amp;L'!AH28+'YBN Group P&amp;L'!AH28+'HAB P&amp;L'!AH28+'Moe2 P&amp;L'!AH28</f>
        <v/>
      </c>
      <c r="AI28" s="8" t="n"/>
      <c r="AJ28" s="36">
        <f>SUM(E28:Q28)-$N28</f>
        <v/>
      </c>
      <c r="AK28" s="36">
        <f>SUM(H28:T28)-$N28</f>
        <v/>
      </c>
      <c r="AL28" s="36">
        <f>SUM(K28:W28)-$N28</f>
        <v/>
      </c>
      <c r="AM28" s="36">
        <f>SUM(N28:Z28)-$N28</f>
        <v/>
      </c>
      <c r="AN28" s="40" t="n"/>
      <c r="AO28" s="92">
        <f>SUM(AC28:AE28)+SUM(R28:Z28)</f>
        <v/>
      </c>
      <c r="AP28" s="92">
        <f>SUM(AC28:AH28)+SUM(U28:Z28)</f>
        <v/>
      </c>
    </row>
    <row r="29">
      <c r="A29" s="34" t="inlineStr">
        <is>
          <t>Art Materials</t>
        </is>
      </c>
      <c r="B29" s="35" t="n">
        <v>2078.88</v>
      </c>
      <c r="C29" s="35" t="n">
        <v>2785.349999999999</v>
      </c>
      <c r="D29" s="35" t="n">
        <v>2438.17</v>
      </c>
      <c r="E29" s="35" t="n">
        <v>1709.05</v>
      </c>
      <c r="F29" s="35" t="n">
        <v>984.5300000000001</v>
      </c>
      <c r="G29" s="35" t="n">
        <v>1918.57</v>
      </c>
      <c r="H29" s="35" t="n">
        <v>908.9400000000001</v>
      </c>
      <c r="I29" s="35" t="n">
        <v>1193.92</v>
      </c>
      <c r="J29" s="35" t="n">
        <v>1427.96</v>
      </c>
      <c r="K29" s="35" t="n">
        <v>2445.34</v>
      </c>
      <c r="L29" s="35" t="n">
        <v>3087.5</v>
      </c>
      <c r="M29" s="35" t="n">
        <v>1610.05</v>
      </c>
      <c r="N29" s="36">
        <f>SUM(B29:M29)</f>
        <v/>
      </c>
      <c r="O29" s="37">
        <f>SUMIF('Group TB '!$R:$R,'GROUP TOTALS MONTHLY P&amp;L'!$A29,'Group TB '!C:C)</f>
        <v/>
      </c>
      <c r="P29" s="37">
        <f>SUMIF('Group TB '!$R:$R,'GROUP TOTALS MONTHLY P&amp;L'!$A29,'Group TB '!D:D)</f>
        <v/>
      </c>
      <c r="Q29" s="37">
        <f>SUMIF('Group TB '!$R:$R,'GROUP TOTALS MONTHLY P&amp;L'!$A29,'Group TB '!E:E)</f>
        <v/>
      </c>
      <c r="R29" s="37">
        <f>SUMIF('Group TB '!$R:$R,'GROUP TOTALS MONTHLY P&amp;L'!$A29,'Group TB '!F:F)</f>
        <v/>
      </c>
      <c r="S29" s="37">
        <f>SUMIF('Group TB '!$R:$R,'GROUP TOTALS MONTHLY P&amp;L'!$A29,'Group TB '!G:G)</f>
        <v/>
      </c>
      <c r="T29" s="37">
        <f>SUMIF('Group TB '!$R:$R,'GROUP TOTALS MONTHLY P&amp;L'!$A29,'Group TB '!H:H)</f>
        <v/>
      </c>
      <c r="U29" s="37">
        <f>SUMIF('Group TB '!$R:$R,'GROUP TOTALS MONTHLY P&amp;L'!$A29,'Group TB '!I:I)</f>
        <v/>
      </c>
      <c r="V29" s="38">
        <f>'KNL GROUP P&amp;L'!V29+'CCL GROUP P&amp;L'!V29+'YBHN GROUP P&amp;L'!V29+'YBN Group P&amp;L'!V29+'HAB P&amp;L'!V29+'Moe2 P&amp;L'!V29</f>
        <v/>
      </c>
      <c r="W29" s="38">
        <f>'KNL GROUP P&amp;L'!W29+'CCL GROUP P&amp;L'!W29+'YBHN GROUP P&amp;L'!W29+'YBN Group P&amp;L'!W29+'HAB P&amp;L'!W29+'Moe2 P&amp;L'!W29</f>
        <v/>
      </c>
      <c r="X29" s="38">
        <f>'KNL GROUP P&amp;L'!X29+'CCL GROUP P&amp;L'!X29+'YBHN GROUP P&amp;L'!X29+'YBN Group P&amp;L'!X29+'HAB P&amp;L'!X29+'Moe2 P&amp;L'!X29</f>
        <v/>
      </c>
      <c r="Y29" s="38">
        <f>'KNL GROUP P&amp;L'!Y29+'CCL GROUP P&amp;L'!Y29+'YBHN GROUP P&amp;L'!Y29+'YBN Group P&amp;L'!Y29+'HAB P&amp;L'!Y29+'Moe2 P&amp;L'!Y29</f>
        <v/>
      </c>
      <c r="Z29" s="38">
        <f>'KNL GROUP P&amp;L'!Z29+'CCL GROUP P&amp;L'!Z29+'YBHN GROUP P&amp;L'!Z29+'YBN Group P&amp;L'!Z29+'HAB P&amp;L'!Z29+'Moe2 P&amp;L'!Z29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8" t="n"/>
      <c r="AJ29" s="36">
        <f>SUM(E29:Q29)-$N29</f>
        <v/>
      </c>
      <c r="AK29" s="36">
        <f>SUM(H29:T29)-$N29</f>
        <v/>
      </c>
      <c r="AL29" s="36">
        <f>SUM(K29:W29)-$N29</f>
        <v/>
      </c>
      <c r="AM29" s="36">
        <f>SUM(N29:Z29)-$N29</f>
        <v/>
      </c>
      <c r="AN29" s="40" t="n"/>
      <c r="AO29" s="92">
        <f>SUM(AC29:AE29)+SUM(R29:Z29)</f>
        <v/>
      </c>
      <c r="AP29" s="92">
        <f>SUM(AC29:AH29)+SUM(U29:Z29)</f>
        <v/>
      </c>
    </row>
    <row r="30">
      <c r="A30" s="34" t="inlineStr">
        <is>
          <t>Nursery Stationery</t>
        </is>
      </c>
      <c r="B30" s="35" t="n">
        <v>905.8899999999999</v>
      </c>
      <c r="C30" s="35" t="n">
        <v>604.79</v>
      </c>
      <c r="D30" s="35" t="n">
        <v>401.75</v>
      </c>
      <c r="E30" s="35" t="n">
        <v>311.2400000000001</v>
      </c>
      <c r="F30" s="35" t="n">
        <v>436.3</v>
      </c>
      <c r="G30" s="35" t="n">
        <v>472.72</v>
      </c>
      <c r="H30" s="35" t="n">
        <v>1053.14</v>
      </c>
      <c r="I30" s="35" t="n">
        <v>628.5100000000001</v>
      </c>
      <c r="J30" s="35" t="n">
        <v>630.03</v>
      </c>
      <c r="K30" s="35" t="n">
        <v>554.97</v>
      </c>
      <c r="L30" s="35" t="n">
        <v>806.9100000000001</v>
      </c>
      <c r="M30" s="35" t="n">
        <v>463.1799999999999</v>
      </c>
      <c r="N30" s="36">
        <f>SUM(B30:M30)</f>
        <v/>
      </c>
      <c r="O30" s="37">
        <f>SUMIF('Group TB '!$R:$R,'GROUP TOTALS MONTHLY P&amp;L'!$A30,'Group TB '!C:C)</f>
        <v/>
      </c>
      <c r="P30" s="37">
        <f>SUMIF('Group TB '!$R:$R,'GROUP TOTALS MONTHLY P&amp;L'!$A30,'Group TB '!D:D)</f>
        <v/>
      </c>
      <c r="Q30" s="37">
        <f>SUMIF('Group TB '!$R:$R,'GROUP TOTALS MONTHLY P&amp;L'!$A30,'Group TB '!E:E)</f>
        <v/>
      </c>
      <c r="R30" s="37">
        <f>SUMIF('Group TB '!$R:$R,'GROUP TOTALS MONTHLY P&amp;L'!$A30,'Group TB '!F:F)</f>
        <v/>
      </c>
      <c r="S30" s="37">
        <f>SUMIF('Group TB '!$R:$R,'GROUP TOTALS MONTHLY P&amp;L'!$A30,'Group TB '!G:G)</f>
        <v/>
      </c>
      <c r="T30" s="37">
        <f>SUMIF('Group TB '!$R:$R,'GROUP TOTALS MONTHLY P&amp;L'!$A30,'Group TB '!H:H)</f>
        <v/>
      </c>
      <c r="U30" s="37">
        <f>SUMIF('Group TB '!$R:$R,'GROUP TOTALS MONTHLY P&amp;L'!$A30,'Group TB '!I:I)</f>
        <v/>
      </c>
      <c r="V30" s="38">
        <f>'KNL GROUP P&amp;L'!V30+'CCL GROUP P&amp;L'!V30+'YBHN GROUP P&amp;L'!V30+'YBN Group P&amp;L'!V30+'HAB P&amp;L'!V30+'Moe2 P&amp;L'!V30</f>
        <v/>
      </c>
      <c r="W30" s="38">
        <f>'KNL GROUP P&amp;L'!W30+'CCL GROUP P&amp;L'!W30+'YBHN GROUP P&amp;L'!W30+'YBN Group P&amp;L'!W30+'HAB P&amp;L'!W30+'Moe2 P&amp;L'!W30</f>
        <v/>
      </c>
      <c r="X30" s="38">
        <f>'KNL GROUP P&amp;L'!X30+'CCL GROUP P&amp;L'!X30+'YBHN GROUP P&amp;L'!X30+'YBN Group P&amp;L'!X30+'HAB P&amp;L'!X30+'Moe2 P&amp;L'!X30</f>
        <v/>
      </c>
      <c r="Y30" s="38">
        <f>'KNL GROUP P&amp;L'!Y30+'CCL GROUP P&amp;L'!Y30+'YBHN GROUP P&amp;L'!Y30+'YBN Group P&amp;L'!Y30+'HAB P&amp;L'!Y30+'Moe2 P&amp;L'!Y30</f>
        <v/>
      </c>
      <c r="Z30" s="38">
        <f>'KNL GROUP P&amp;L'!Z30+'CCL GROUP P&amp;L'!Z30+'YBHN GROUP P&amp;L'!Z30+'YBN Group P&amp;L'!Z30+'HAB P&amp;L'!Z30+'Moe2 P&amp;L'!Z30</f>
        <v/>
      </c>
      <c r="AA30" s="36">
        <f>SUM(O30:U30)</f>
        <v/>
      </c>
      <c r="AB30" s="36">
        <f>SUM(O30:Z30)</f>
        <v/>
      </c>
      <c r="AC30" s="38">
        <f>'KNL GROUP P&amp;L'!AC30+'CCL GROUP P&amp;L'!AC30+'YBHN GROUP P&amp;L'!AC30+'YBN Group P&amp;L'!AC30+'HAB P&amp;L'!AC30+'Moe2 P&amp;L'!AC30</f>
        <v/>
      </c>
      <c r="AD30" s="38">
        <f>'KNL GROUP P&amp;L'!AD30+'CCL GROUP P&amp;L'!AD30+'YBHN GROUP P&amp;L'!AD30+'YBN Group P&amp;L'!AD30+'HAB P&amp;L'!AD30+'Moe2 P&amp;L'!AD30</f>
        <v/>
      </c>
      <c r="AE30" s="38">
        <f>'KNL GROUP P&amp;L'!AE30+'CCL GROUP P&amp;L'!AE30+'YBHN GROUP P&amp;L'!AE30+'YBN Group P&amp;L'!AE30+'HAB P&amp;L'!AE30+'Moe2 P&amp;L'!AE30</f>
        <v/>
      </c>
      <c r="AF30" s="38">
        <f>'KNL GROUP P&amp;L'!AF30+'CCL GROUP P&amp;L'!AF30+'YBHN GROUP P&amp;L'!AF30+'YBN Group P&amp;L'!AF30+'HAB P&amp;L'!AF30+'Moe2 P&amp;L'!AF30</f>
        <v/>
      </c>
      <c r="AG30" s="38">
        <f>'KNL GROUP P&amp;L'!AG30+'CCL GROUP P&amp;L'!AG30+'YBHN GROUP P&amp;L'!AG30+'YBN Group P&amp;L'!AG30+'HAB P&amp;L'!AG30+'Moe2 P&amp;L'!AG30</f>
        <v/>
      </c>
      <c r="AH30" s="38">
        <f>'KNL GROUP P&amp;L'!AH30+'CCL GROUP P&amp;L'!AH30+'YBHN GROUP P&amp;L'!AH30+'YBN Group P&amp;L'!AH30+'HAB P&amp;L'!AH30+'Moe2 P&amp;L'!AH30</f>
        <v/>
      </c>
      <c r="AI30" s="8" t="n"/>
      <c r="AJ30" s="36">
        <f>SUM(E30:Q30)-$N30</f>
        <v/>
      </c>
      <c r="AK30" s="36">
        <f>SUM(H30:T30)-$N30</f>
        <v/>
      </c>
      <c r="AL30" s="36">
        <f>SUM(K30:W30)-$N30</f>
        <v/>
      </c>
      <c r="AM30" s="36">
        <f>SUM(N30:Z30)-$N30</f>
        <v/>
      </c>
      <c r="AN30" s="40" t="n"/>
      <c r="AO30" s="92">
        <f>SUM(AC30:AE30)+SUM(R30:Z30)</f>
        <v/>
      </c>
      <c r="AP30" s="92">
        <f>SUM(AC30:AH30)+SUM(U30:Z30)</f>
        <v/>
      </c>
    </row>
    <row r="31">
      <c r="A31" s="34" t="inlineStr">
        <is>
          <t>Nursery Equipment</t>
        </is>
      </c>
      <c r="B31" s="35" t="n">
        <v>1805.54</v>
      </c>
      <c r="C31" s="35" t="n">
        <v>2396.420000000001</v>
      </c>
      <c r="D31" s="35" t="n">
        <v>1848.84</v>
      </c>
      <c r="E31" s="35" t="n">
        <v>937.2900000000001</v>
      </c>
      <c r="F31" s="35" t="n">
        <v>2885.59</v>
      </c>
      <c r="G31" s="35" t="n">
        <v>2723.09</v>
      </c>
      <c r="H31" s="35" t="n">
        <v>1841.28</v>
      </c>
      <c r="I31" s="35" t="n">
        <v>1245.73</v>
      </c>
      <c r="J31" s="35" t="n">
        <v>2141.08</v>
      </c>
      <c r="K31" s="35" t="n">
        <v>3949.709999999999</v>
      </c>
      <c r="L31" s="35" t="n">
        <v>2043.07</v>
      </c>
      <c r="M31" s="35" t="n">
        <v>1155.26</v>
      </c>
      <c r="N31" s="36">
        <f>SUM(B31:M31)</f>
        <v/>
      </c>
      <c r="O31" s="37">
        <f>SUMIF('Group TB '!$R:$R,'GROUP TOTALS MONTHLY P&amp;L'!$A31,'Group TB '!C:C)</f>
        <v/>
      </c>
      <c r="P31" s="37">
        <f>SUMIF('Group TB '!$R:$R,'GROUP TOTALS MONTHLY P&amp;L'!$A31,'Group TB '!D:D)</f>
        <v/>
      </c>
      <c r="Q31" s="37">
        <f>SUMIF('Group TB '!$R:$R,'GROUP TOTALS MONTHLY P&amp;L'!$A31,'Group TB '!E:E)</f>
        <v/>
      </c>
      <c r="R31" s="37">
        <f>SUMIF('Group TB '!$R:$R,'GROUP TOTALS MONTHLY P&amp;L'!$A31,'Group TB '!F:F)</f>
        <v/>
      </c>
      <c r="S31" s="37">
        <f>SUMIF('Group TB '!$R:$R,'GROUP TOTALS MONTHLY P&amp;L'!$A31,'Group TB '!G:G)</f>
        <v/>
      </c>
      <c r="T31" s="37">
        <f>SUMIF('Group TB '!$R:$R,'GROUP TOTALS MONTHLY P&amp;L'!$A31,'Group TB '!H:H)</f>
        <v/>
      </c>
      <c r="U31" s="37">
        <f>SUMIF('Group TB '!$R:$R,'GROUP TOTALS MONTHLY P&amp;L'!$A31,'Group TB '!I:I)</f>
        <v/>
      </c>
      <c r="V31" s="38">
        <f>'KNL GROUP P&amp;L'!V31+'CCL GROUP P&amp;L'!V31+'YBHN GROUP P&amp;L'!V31+'YBN Group P&amp;L'!V31+'HAB P&amp;L'!V31+'Moe2 P&amp;L'!V31</f>
        <v/>
      </c>
      <c r="W31" s="38">
        <f>'KNL GROUP P&amp;L'!W31+'CCL GROUP P&amp;L'!W31+'YBHN GROUP P&amp;L'!W31+'YBN Group P&amp;L'!W31+'HAB P&amp;L'!W31+'Moe2 P&amp;L'!W31</f>
        <v/>
      </c>
      <c r="X31" s="38">
        <f>'KNL GROUP P&amp;L'!X31+'CCL GROUP P&amp;L'!X31+'YBHN GROUP P&amp;L'!X31+'YBN Group P&amp;L'!X31+'HAB P&amp;L'!X31+'Moe2 P&amp;L'!X31</f>
        <v/>
      </c>
      <c r="Y31" s="38">
        <f>'KNL GROUP P&amp;L'!Y31+'CCL GROUP P&amp;L'!Y31+'YBHN GROUP P&amp;L'!Y31+'YBN Group P&amp;L'!Y31+'HAB P&amp;L'!Y31+'Moe2 P&amp;L'!Y31</f>
        <v/>
      </c>
      <c r="Z31" s="38">
        <f>'KNL GROUP P&amp;L'!Z31+'CCL GROUP P&amp;L'!Z31+'YBHN GROUP P&amp;L'!Z31+'YBN Group P&amp;L'!Z31+'HAB P&amp;L'!Z31+'Moe2 P&amp;L'!Z31</f>
        <v/>
      </c>
      <c r="AA31" s="36">
        <f>SUM(O31:U31)</f>
        <v/>
      </c>
      <c r="AB31" s="36">
        <f>SUM(O31:Z31)</f>
        <v/>
      </c>
      <c r="AC31" s="38">
        <f>'KNL GROUP P&amp;L'!AC31+'CCL GROUP P&amp;L'!AC31+'YBHN GROUP P&amp;L'!AC31+'YBN Group P&amp;L'!AC31+'HAB P&amp;L'!AC31+'Moe2 P&amp;L'!AC31</f>
        <v/>
      </c>
      <c r="AD31" s="38">
        <f>'KNL GROUP P&amp;L'!AD31+'CCL GROUP P&amp;L'!AD31+'YBHN GROUP P&amp;L'!AD31+'YBN Group P&amp;L'!AD31+'HAB P&amp;L'!AD31+'Moe2 P&amp;L'!AD31</f>
        <v/>
      </c>
      <c r="AE31" s="38">
        <f>'KNL GROUP P&amp;L'!AE31+'CCL GROUP P&amp;L'!AE31+'YBHN GROUP P&amp;L'!AE31+'YBN Group P&amp;L'!AE31+'HAB P&amp;L'!AE31+'Moe2 P&amp;L'!AE31</f>
        <v/>
      </c>
      <c r="AF31" s="38">
        <f>'KNL GROUP P&amp;L'!AF31+'CCL GROUP P&amp;L'!AF31+'YBHN GROUP P&amp;L'!AF31+'YBN Group P&amp;L'!AF31+'HAB P&amp;L'!AF31+'Moe2 P&amp;L'!AF31</f>
        <v/>
      </c>
      <c r="AG31" s="38">
        <f>'KNL GROUP P&amp;L'!AG31+'CCL GROUP P&amp;L'!AG31+'YBHN GROUP P&amp;L'!AG31+'YBN Group P&amp;L'!AG31+'HAB P&amp;L'!AG31+'Moe2 P&amp;L'!AG31</f>
        <v/>
      </c>
      <c r="AH31" s="38">
        <f>'KNL GROUP P&amp;L'!AH31+'CCL GROUP P&amp;L'!AH31+'YBHN GROUP P&amp;L'!AH31+'YBN Group P&amp;L'!AH31+'HAB P&amp;L'!AH31+'Moe2 P&amp;L'!AH31</f>
        <v/>
      </c>
      <c r="AI31" s="8" t="n"/>
      <c r="AJ31" s="36">
        <f>SUM(E31:Q31)-$N31</f>
        <v/>
      </c>
      <c r="AK31" s="36">
        <f>SUM(H31:T31)-$N31</f>
        <v/>
      </c>
      <c r="AL31" s="36">
        <f>SUM(K31:W31)-$N31</f>
        <v/>
      </c>
      <c r="AM31" s="36">
        <f>SUM(N31:Z31)-$N31</f>
        <v/>
      </c>
      <c r="AN31" s="40" t="n"/>
      <c r="AO31" s="92">
        <f>SUM(AC31:AE31)+SUM(R31:Z31)</f>
        <v/>
      </c>
      <c r="AP31" s="92">
        <f>SUM(AC31:AH31)+SUM(U31:Z31)</f>
        <v/>
      </c>
    </row>
    <row r="32">
      <c r="A32" s="34" t="inlineStr">
        <is>
          <t>Nursery Consumables</t>
        </is>
      </c>
      <c r="B32" s="35" t="n">
        <v>2520.27</v>
      </c>
      <c r="C32" s="35" t="n">
        <v>2090.12</v>
      </c>
      <c r="D32" s="35" t="n">
        <v>2268.76</v>
      </c>
      <c r="E32" s="35" t="n">
        <v>2641.3</v>
      </c>
      <c r="F32" s="35" t="n">
        <v>3217.589999999999</v>
      </c>
      <c r="G32" s="35" t="n">
        <v>3269.62</v>
      </c>
      <c r="H32" s="35" t="n">
        <v>3287.580000000001</v>
      </c>
      <c r="I32" s="35" t="n">
        <v>2952.940000000001</v>
      </c>
      <c r="J32" s="35" t="n">
        <v>2387.23</v>
      </c>
      <c r="K32" s="35" t="n">
        <v>2719.25</v>
      </c>
      <c r="L32" s="35" t="n">
        <v>3359.61</v>
      </c>
      <c r="M32" s="35" t="n">
        <v>4011.29</v>
      </c>
      <c r="N32" s="36">
        <f>SUM(B32:M32)</f>
        <v/>
      </c>
      <c r="O32" s="37">
        <f>SUMIF('Group TB '!$R:$R,'GROUP TOTALS MONTHLY P&amp;L'!$A32,'Group TB '!C:C)</f>
        <v/>
      </c>
      <c r="P32" s="37">
        <f>SUMIF('Group TB '!$R:$R,'GROUP TOTALS MONTHLY P&amp;L'!$A32,'Group TB '!D:D)</f>
        <v/>
      </c>
      <c r="Q32" s="37">
        <f>SUMIF('Group TB '!$R:$R,'GROUP TOTALS MONTHLY P&amp;L'!$A32,'Group TB '!E:E)</f>
        <v/>
      </c>
      <c r="R32" s="37">
        <f>SUMIF('Group TB '!$R:$R,'GROUP TOTALS MONTHLY P&amp;L'!$A32,'Group TB '!F:F)</f>
        <v/>
      </c>
      <c r="S32" s="37">
        <f>SUMIF('Group TB '!$R:$R,'GROUP TOTALS MONTHLY P&amp;L'!$A32,'Group TB '!G:G)</f>
        <v/>
      </c>
      <c r="T32" s="37">
        <f>SUMIF('Group TB '!$R:$R,'GROUP TOTALS MONTHLY P&amp;L'!$A32,'Group TB '!H:H)</f>
        <v/>
      </c>
      <c r="U32" s="37">
        <f>SUMIF('Group TB '!$R:$R,'GROUP TOTALS MONTHLY P&amp;L'!$A32,'Group TB '!I:I)</f>
        <v/>
      </c>
      <c r="V32" s="38">
        <f>'KNL GROUP P&amp;L'!V32+'CCL GROUP P&amp;L'!V32+'YBHN GROUP P&amp;L'!V32+'YBN Group P&amp;L'!V32+'HAB P&amp;L'!V32+'Moe2 P&amp;L'!V32</f>
        <v/>
      </c>
      <c r="W32" s="38">
        <f>'KNL GROUP P&amp;L'!W32+'CCL GROUP P&amp;L'!W32+'YBHN GROUP P&amp;L'!W32+'YBN Group P&amp;L'!W32+'HAB P&amp;L'!W32+'Moe2 P&amp;L'!W32</f>
        <v/>
      </c>
      <c r="X32" s="38">
        <f>'KNL GROUP P&amp;L'!X32+'CCL GROUP P&amp;L'!X32+'YBHN GROUP P&amp;L'!X32+'YBN Group P&amp;L'!X32+'HAB P&amp;L'!X32+'Moe2 P&amp;L'!X32</f>
        <v/>
      </c>
      <c r="Y32" s="38">
        <f>'KNL GROUP P&amp;L'!Y32+'CCL GROUP P&amp;L'!Y32+'YBHN GROUP P&amp;L'!Y32+'YBN Group P&amp;L'!Y32+'HAB P&amp;L'!Y32+'Moe2 P&amp;L'!Y32</f>
        <v/>
      </c>
      <c r="Z32" s="38">
        <f>'KNL GROUP P&amp;L'!Z32+'CCL GROUP P&amp;L'!Z32+'YBHN GROUP P&amp;L'!Z32+'YBN Group P&amp;L'!Z32+'HAB P&amp;L'!Z32+'Moe2 P&amp;L'!Z32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8" t="n"/>
      <c r="AJ32" s="36">
        <f>SUM(E32:Q32)-$N32</f>
        <v/>
      </c>
      <c r="AK32" s="36">
        <f>SUM(H32:T32)-$N32</f>
        <v/>
      </c>
      <c r="AL32" s="36">
        <f>SUM(K32:W32)-$N32</f>
        <v/>
      </c>
      <c r="AM32" s="36">
        <f>SUM(N32:Z32)-$N32</f>
        <v/>
      </c>
      <c r="AN32" s="40" t="n"/>
      <c r="AO32" s="92">
        <f>SUM(AC32:AE32)+SUM(R32:Z32)</f>
        <v/>
      </c>
      <c r="AP32" s="92">
        <f>SUM(AC32:AH32)+SUM(U32:Z32)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SUMIF('Group TB '!$R:$R,'GROUP TOTALS MONTHLY P&amp;L'!$A33,'Group TB '!C:C)</f>
        <v/>
      </c>
      <c r="P33" s="37">
        <f>SUMIF('Group TB '!$R:$R,'GROUP TOTALS MONTHLY P&amp;L'!$A33,'Group TB '!D:D)</f>
        <v/>
      </c>
      <c r="Q33" s="37">
        <f>SUMIF('Group TB '!$R:$R,'GROUP TOTALS MONTHLY P&amp;L'!$A33,'Group TB '!E:E)</f>
        <v/>
      </c>
      <c r="R33" s="37">
        <f>SUMIF('Group TB '!$R:$R,'GROUP TOTALS MONTHLY P&amp;L'!$A33,'Group TB '!F:F)</f>
        <v/>
      </c>
      <c r="S33" s="37">
        <f>SUMIF('Group TB '!$R:$R,'GROUP TOTALS MONTHLY P&amp;L'!$A33,'Group TB '!G:G)</f>
        <v/>
      </c>
      <c r="T33" s="37">
        <f>SUMIF('Group TB '!$R:$R,'GROUP TOTALS MONTHLY P&amp;L'!$A33,'Group TB '!H:H)</f>
        <v/>
      </c>
      <c r="U33" s="37">
        <f>SUMIF('Group TB '!$R:$R,'GROUP TOTALS MONTHLY P&amp;L'!$A33,'Group TB '!I:I)</f>
        <v/>
      </c>
      <c r="V33" s="38">
        <f>'KNL GROUP P&amp;L'!V33+'CCL GROUP P&amp;L'!V33+'YBHN GROUP P&amp;L'!V33+'YBN Group P&amp;L'!V33+'HAB P&amp;L'!V33+'Moe2 P&amp;L'!V33</f>
        <v/>
      </c>
      <c r="W33" s="38">
        <f>'KNL GROUP P&amp;L'!W33+'CCL GROUP P&amp;L'!W33+'YBHN GROUP P&amp;L'!W33+'YBN Group P&amp;L'!W33+'HAB P&amp;L'!W33+'Moe2 P&amp;L'!W33</f>
        <v/>
      </c>
      <c r="X33" s="38">
        <f>'KNL GROUP P&amp;L'!X33+'CCL GROUP P&amp;L'!X33+'YBHN GROUP P&amp;L'!X33+'YBN Group P&amp;L'!X33+'HAB P&amp;L'!X33+'Moe2 P&amp;L'!X33</f>
        <v/>
      </c>
      <c r="Y33" s="38">
        <f>'KNL GROUP P&amp;L'!Y33+'CCL GROUP P&amp;L'!Y33+'YBHN GROUP P&amp;L'!Y33+'YBN Group P&amp;L'!Y33+'HAB P&amp;L'!Y33+'Moe2 P&amp;L'!Y33</f>
        <v/>
      </c>
      <c r="Z33" s="38">
        <f>'KNL GROUP P&amp;L'!Z33+'CCL GROUP P&amp;L'!Z33+'YBHN GROUP P&amp;L'!Z33+'YBN Group P&amp;L'!Z33+'HAB P&amp;L'!Z33+'Moe2 P&amp;L'!Z33</f>
        <v/>
      </c>
      <c r="AA33" s="36">
        <f>SUM(O33:U33)</f>
        <v/>
      </c>
      <c r="AB33" s="36">
        <f>SUM(O33:Z33)</f>
        <v/>
      </c>
      <c r="AC33" s="38">
        <f>'KNL GROUP P&amp;L'!AC33+'CCL GROUP P&amp;L'!AC33+'YBHN GROUP P&amp;L'!AC33+'YBN Group P&amp;L'!AC33+'HAB P&amp;L'!AC33+'Moe2 P&amp;L'!AC33</f>
        <v/>
      </c>
      <c r="AD33" s="38">
        <f>'KNL GROUP P&amp;L'!AD33+'CCL GROUP P&amp;L'!AD33+'YBHN GROUP P&amp;L'!AD33+'YBN Group P&amp;L'!AD33+'HAB P&amp;L'!AD33+'Moe2 P&amp;L'!AD33</f>
        <v/>
      </c>
      <c r="AE33" s="38">
        <f>'KNL GROUP P&amp;L'!AE33+'CCL GROUP P&amp;L'!AE33+'YBHN GROUP P&amp;L'!AE33+'YBN Group P&amp;L'!AE33+'HAB P&amp;L'!AE33+'Moe2 P&amp;L'!AE33</f>
        <v/>
      </c>
      <c r="AF33" s="38">
        <f>'KNL GROUP P&amp;L'!AF33+'CCL GROUP P&amp;L'!AF33+'YBHN GROUP P&amp;L'!AF33+'YBN Group P&amp;L'!AF33+'HAB P&amp;L'!AF33+'Moe2 P&amp;L'!AF33</f>
        <v/>
      </c>
      <c r="AG33" s="38">
        <f>'KNL GROUP P&amp;L'!AG33+'CCL GROUP P&amp;L'!AG33+'YBHN GROUP P&amp;L'!AG33+'YBN Group P&amp;L'!AG33+'HAB P&amp;L'!AG33+'Moe2 P&amp;L'!AG33</f>
        <v/>
      </c>
      <c r="AH33" s="38">
        <f>'KNL GROUP P&amp;L'!AH33+'CCL GROUP P&amp;L'!AH33+'YBHN GROUP P&amp;L'!AH33+'YBN Group P&amp;L'!AH33+'HAB P&amp;L'!AH33+'Moe2 P&amp;L'!AH33</f>
        <v/>
      </c>
      <c r="AI33" s="8" t="n"/>
      <c r="AJ33" s="36">
        <f>SUM(E33:Q33)-$N33</f>
        <v/>
      </c>
      <c r="AK33" s="36">
        <f>SUM(H33:T33)-$N33</f>
        <v/>
      </c>
      <c r="AL33" s="36">
        <f>SUM(K33:W33)-$N33</f>
        <v/>
      </c>
      <c r="AM33" s="36">
        <f>SUM(N33:Z33)-$N33</f>
        <v/>
      </c>
      <c r="AN33" s="40" t="n"/>
      <c r="AO33" s="92">
        <f>SUM(AC33:AE33)+SUM(R33:Z33)</f>
        <v/>
      </c>
      <c r="AP33" s="92">
        <f>SUM(AC33:AH33)+SUM(U33:Z33)</f>
        <v/>
      </c>
    </row>
    <row r="34" ht="15.75" customHeight="1">
      <c r="A34" s="41" t="inlineStr">
        <is>
          <t>Total Childcare Costs</t>
        </is>
      </c>
      <c r="B34" s="42" t="n">
        <v>35205.68</v>
      </c>
      <c r="C34" s="42" t="n">
        <v>41585.37</v>
      </c>
      <c r="D34" s="42" t="n">
        <v>35688.76</v>
      </c>
      <c r="E34" s="42" t="n">
        <v>30859.64</v>
      </c>
      <c r="F34" s="42" t="n">
        <v>40642.69</v>
      </c>
      <c r="G34" s="42" t="n">
        <v>40290.33000000001</v>
      </c>
      <c r="H34" s="42" t="n">
        <v>38526.12</v>
      </c>
      <c r="I34" s="42" t="n">
        <v>37931.38</v>
      </c>
      <c r="J34" s="42" t="n">
        <v>36694.59000000001</v>
      </c>
      <c r="K34" s="42" t="n">
        <v>39332.78</v>
      </c>
      <c r="L34" s="42" t="n">
        <v>36711.58</v>
      </c>
      <c r="M34" s="42" t="n">
        <v>28826.44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SUM(O34:U34)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8" t="n"/>
      <c r="AJ34" s="43">
        <f>SUM(AJ27:AJ33)</f>
        <v/>
      </c>
      <c r="AK34" s="43">
        <f>SUM(AK27:AK33)</f>
        <v/>
      </c>
      <c r="AL34" s="43">
        <f>SUM(AL27:AL33)</f>
        <v/>
      </c>
      <c r="AM34" s="43">
        <f>SUM(AM27:AM33)</f>
        <v/>
      </c>
      <c r="AN34" s="40" t="n"/>
      <c r="AO34" s="93">
        <f>SUM(AO27:AO33)</f>
        <v/>
      </c>
      <c r="AP34" s="93">
        <f>SUM(AP27:AP33)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 t="n"/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SUM(O35:U35)</f>
        <v/>
      </c>
      <c r="AB35" s="36" t="n"/>
      <c r="AC35" s="32">
        <f>'KNL GROUP P&amp;L'!AC35+'CCL GROUP P&amp;L'!AC35+'YBHN GROUP P&amp;L'!AC35+'YBN Group P&amp;L'!AC35+'HAB P&amp;L'!AC35+'Moe2 P&amp;L'!AC35</f>
        <v/>
      </c>
      <c r="AD35" s="32">
        <f>'KNL GROUP P&amp;L'!AD35+'CCL GROUP P&amp;L'!AD35+'YBHN GROUP P&amp;L'!AD35+'YBN Group P&amp;L'!AD35+'HAB P&amp;L'!AD35+'Moe2 P&amp;L'!AD35</f>
        <v/>
      </c>
      <c r="AE35" s="32">
        <f>'KNL GROUP P&amp;L'!AE35+'CCL GROUP P&amp;L'!AE35+'YBHN GROUP P&amp;L'!AE35+'YBN Group P&amp;L'!AE35+'HAB P&amp;L'!AE35+'Moe2 P&amp;L'!AE35</f>
        <v/>
      </c>
      <c r="AF35" s="32">
        <f>'KNL GROUP P&amp;L'!AF35+'CCL GROUP P&amp;L'!AF35+'YBHN GROUP P&amp;L'!AF35+'YBN Group P&amp;L'!AF35+'HAB P&amp;L'!AF35+'Moe2 P&amp;L'!AF35</f>
        <v/>
      </c>
      <c r="AG35" s="32">
        <f>'KNL GROUP P&amp;L'!AG35+'CCL GROUP P&amp;L'!AG35+'YBHN GROUP P&amp;L'!AG35+'YBN Group P&amp;L'!AG35+'HAB P&amp;L'!AG35+'Moe2 P&amp;L'!AG35</f>
        <v/>
      </c>
      <c r="AH35" s="32">
        <f>'KNL GROUP P&amp;L'!AH35+'CCL GROUP P&amp;L'!AH35+'YBHN GROUP P&amp;L'!AH35+'YBN Group P&amp;L'!AH35+'HAB P&amp;L'!AH35+'Moe2 P&amp;L'!AH35</f>
        <v/>
      </c>
      <c r="AI35" s="8" t="n"/>
      <c r="AJ35" s="36" t="n"/>
      <c r="AK35" s="36" t="n"/>
      <c r="AL35" s="36" t="n"/>
      <c r="AM35" s="36" t="n"/>
      <c r="AN35" s="40" t="n"/>
      <c r="AO35" s="92" t="n"/>
      <c r="AP35" s="92" t="n"/>
    </row>
    <row r="36">
      <c r="A36" s="34" t="inlineStr">
        <is>
          <t>Rent</t>
        </is>
      </c>
      <c r="B36" s="35" t="n">
        <v>10898</v>
      </c>
      <c r="C36" s="35" t="n">
        <v>10898</v>
      </c>
      <c r="D36" s="35" t="n">
        <v>10898</v>
      </c>
      <c r="E36" s="35" t="n">
        <v>10898</v>
      </c>
      <c r="F36" s="35" t="n">
        <v>10897.99</v>
      </c>
      <c r="G36" s="35" t="n">
        <v>10898</v>
      </c>
      <c r="H36" s="35" t="n">
        <v>10898.02</v>
      </c>
      <c r="I36" s="35" t="n">
        <v>10898</v>
      </c>
      <c r="J36" s="35" t="n">
        <v>10897.99</v>
      </c>
      <c r="K36" s="35" t="n">
        <v>10898</v>
      </c>
      <c r="L36" s="35" t="n">
        <v>10898</v>
      </c>
      <c r="M36" s="35" t="n">
        <v>10898</v>
      </c>
      <c r="N36" s="36">
        <f>SUM(B36:M36)</f>
        <v/>
      </c>
      <c r="O36" s="37">
        <f>SUMIF('Group TB '!$R:$R,'GROUP TOTALS MONTHLY P&amp;L'!$A36,'Group TB '!C:C)</f>
        <v/>
      </c>
      <c r="P36" s="37">
        <f>SUMIF('Group TB '!$R:$R,'GROUP TOTALS MONTHLY P&amp;L'!$A36,'Group TB '!D:D)</f>
        <v/>
      </c>
      <c r="Q36" s="37">
        <f>SUMIF('Group TB '!$R:$R,'GROUP TOTALS MONTHLY P&amp;L'!$A36,'Group TB '!E:E)</f>
        <v/>
      </c>
      <c r="R36" s="37">
        <f>SUMIF('Group TB '!$R:$R,'GROUP TOTALS MONTHLY P&amp;L'!$A36,'Group TB '!F:F)</f>
        <v/>
      </c>
      <c r="S36" s="37">
        <f>SUMIF('Group TB '!$R:$R,'GROUP TOTALS MONTHLY P&amp;L'!$A36,'Group TB '!G:G)</f>
        <v/>
      </c>
      <c r="T36" s="37">
        <f>SUMIF('Group TB '!$R:$R,'GROUP TOTALS MONTHLY P&amp;L'!$A36,'Group TB '!H:H)</f>
        <v/>
      </c>
      <c r="U36" s="37">
        <f>SUMIF('Group TB '!$R:$R,'GROUP TOTALS MONTHLY P&amp;L'!$A36,'Group TB '!I:I)</f>
        <v/>
      </c>
      <c r="V36" s="38">
        <f>'KNL GROUP P&amp;L'!V36+'CCL GROUP P&amp;L'!V36+'YBHN GROUP P&amp;L'!V36+'YBN Group P&amp;L'!V36+'HAB P&amp;L'!V36+'Moe2 P&amp;L'!V36</f>
        <v/>
      </c>
      <c r="W36" s="38">
        <f>'KNL GROUP P&amp;L'!W36+'CCL GROUP P&amp;L'!W36+'YBHN GROUP P&amp;L'!W36+'YBN Group P&amp;L'!W36+'HAB P&amp;L'!W36+'Moe2 P&amp;L'!W36</f>
        <v/>
      </c>
      <c r="X36" s="38">
        <f>'KNL GROUP P&amp;L'!X36+'CCL GROUP P&amp;L'!X36+'YBHN GROUP P&amp;L'!X36+'YBN Group P&amp;L'!X36+'HAB P&amp;L'!X36+'Moe2 P&amp;L'!X36</f>
        <v/>
      </c>
      <c r="Y36" s="38">
        <f>'KNL GROUP P&amp;L'!Y36+'CCL GROUP P&amp;L'!Y36+'YBHN GROUP P&amp;L'!Y36+'YBN Group P&amp;L'!Y36+'HAB P&amp;L'!Y36+'Moe2 P&amp;L'!Y36</f>
        <v/>
      </c>
      <c r="Z36" s="38">
        <f>'KNL GROUP P&amp;L'!Z36+'CCL GROUP P&amp;L'!Z36+'YBHN GROUP P&amp;L'!Z36+'YBN Group P&amp;L'!Z36+'HAB P&amp;L'!Z36+'Moe2 P&amp;L'!Z36</f>
        <v/>
      </c>
      <c r="AA36" s="36">
        <f>SUM(O36:U36)</f>
        <v/>
      </c>
      <c r="AB36" s="36">
        <f>SUM(O36:Z36)</f>
        <v/>
      </c>
      <c r="AC36" s="38">
        <f>'KNL GROUP P&amp;L'!AC36+'CCL GROUP P&amp;L'!AC36+'YBHN GROUP P&amp;L'!AC36+'YBN Group P&amp;L'!AC36+'HAB P&amp;L'!AC36+'Moe2 P&amp;L'!AC36</f>
        <v/>
      </c>
      <c r="AD36" s="38">
        <f>'KNL GROUP P&amp;L'!AD36+'CCL GROUP P&amp;L'!AD36+'YBHN GROUP P&amp;L'!AD36+'YBN Group P&amp;L'!AD36+'HAB P&amp;L'!AD36+'Moe2 P&amp;L'!AD36</f>
        <v/>
      </c>
      <c r="AE36" s="38">
        <f>'KNL GROUP P&amp;L'!AE36+'CCL GROUP P&amp;L'!AE36+'YBHN GROUP P&amp;L'!AE36+'YBN Group P&amp;L'!AE36+'HAB P&amp;L'!AE36+'Moe2 P&amp;L'!AE36</f>
        <v/>
      </c>
      <c r="AF36" s="38">
        <f>'KNL GROUP P&amp;L'!AF36+'CCL GROUP P&amp;L'!AF36+'YBHN GROUP P&amp;L'!AF36+'YBN Group P&amp;L'!AF36+'HAB P&amp;L'!AF36+'Moe2 P&amp;L'!AF36</f>
        <v/>
      </c>
      <c r="AG36" s="38">
        <f>'KNL GROUP P&amp;L'!AG36+'CCL GROUP P&amp;L'!AG36+'YBHN GROUP P&amp;L'!AG36+'YBN Group P&amp;L'!AG36+'HAB P&amp;L'!AG36+'Moe2 P&amp;L'!AG36</f>
        <v/>
      </c>
      <c r="AH36" s="38">
        <f>'KNL GROUP P&amp;L'!AH36+'CCL GROUP P&amp;L'!AH36+'YBHN GROUP P&amp;L'!AH36+'YBN Group P&amp;L'!AH36+'HAB P&amp;L'!AH36+'Moe2 P&amp;L'!AH36</f>
        <v/>
      </c>
      <c r="AI36" s="8" t="n"/>
      <c r="AJ36" s="36">
        <f>SUM(E36:Q36)-$N36</f>
        <v/>
      </c>
      <c r="AK36" s="36">
        <f>SUM(H36:T36)-$N36</f>
        <v/>
      </c>
      <c r="AL36" s="36">
        <f>SUM(K36:W36)-$N36</f>
        <v/>
      </c>
      <c r="AM36" s="36">
        <f>SUM(N36:Z36)-$N36</f>
        <v/>
      </c>
      <c r="AN36" s="40" t="n"/>
      <c r="AO36" s="92">
        <f>SUM(AC36:AE36)+SUM(R36:Z36)</f>
        <v/>
      </c>
      <c r="AP36" s="92">
        <f>SUM(AC36:AH36)+SUM(U36:Z36)</f>
        <v/>
      </c>
    </row>
    <row r="37">
      <c r="A37" s="34" t="inlineStr">
        <is>
          <t>Business Rates</t>
        </is>
      </c>
      <c r="B37" s="35" t="n">
        <v>22097.3</v>
      </c>
      <c r="C37" s="35" t="n">
        <v>24976.87</v>
      </c>
      <c r="D37" s="35" t="n">
        <v>25013.75</v>
      </c>
      <c r="E37" s="35" t="n">
        <v>28671.32</v>
      </c>
      <c r="F37" s="35" t="n">
        <v>25222.92</v>
      </c>
      <c r="G37" s="35" t="n">
        <v>25222.94</v>
      </c>
      <c r="H37" s="35" t="n">
        <v>25222.94</v>
      </c>
      <c r="I37" s="35" t="n">
        <v>25222.94</v>
      </c>
      <c r="J37" s="35" t="n">
        <v>25222.94</v>
      </c>
      <c r="K37" s="35" t="n">
        <v>25222.94</v>
      </c>
      <c r="L37" s="35" t="n">
        <v>25222.94</v>
      </c>
      <c r="M37" s="35" t="n">
        <v>25222.94</v>
      </c>
      <c r="N37" s="36">
        <f>SUM(B37:M37)</f>
        <v/>
      </c>
      <c r="O37" s="37">
        <f>SUMIF('Group TB '!$R:$R,'GROUP TOTALS MONTHLY P&amp;L'!$A37,'Group TB '!C:C)</f>
        <v/>
      </c>
      <c r="P37" s="37">
        <f>SUMIF('Group TB '!$R:$R,'GROUP TOTALS MONTHLY P&amp;L'!$A37,'Group TB '!D:D)</f>
        <v/>
      </c>
      <c r="Q37" s="37">
        <f>SUMIF('Group TB '!$R:$R,'GROUP TOTALS MONTHLY P&amp;L'!$A37,'Group TB '!E:E)</f>
        <v/>
      </c>
      <c r="R37" s="37">
        <f>SUMIF('Group TB '!$R:$R,'GROUP TOTALS MONTHLY P&amp;L'!$A37,'Group TB '!F:F)</f>
        <v/>
      </c>
      <c r="S37" s="37">
        <f>SUMIF('Group TB '!$R:$R,'GROUP TOTALS MONTHLY P&amp;L'!$A37,'Group TB '!G:G)</f>
        <v/>
      </c>
      <c r="T37" s="37">
        <f>SUMIF('Group TB '!$R:$R,'GROUP TOTALS MONTHLY P&amp;L'!$A37,'Group TB '!H:H)</f>
        <v/>
      </c>
      <c r="U37" s="37">
        <f>SUMIF('Group TB '!$R:$R,'GROUP TOTALS MONTHLY P&amp;L'!$A37,'Group TB '!I:I)</f>
        <v/>
      </c>
      <c r="V37" s="38">
        <f>'KNL GROUP P&amp;L'!V37+'CCL GROUP P&amp;L'!V37+'YBHN GROUP P&amp;L'!V37+'YBN Group P&amp;L'!V37+'HAB P&amp;L'!V37+'Moe2 P&amp;L'!V37</f>
        <v/>
      </c>
      <c r="W37" s="38">
        <f>'KNL GROUP P&amp;L'!W37+'CCL GROUP P&amp;L'!W37+'YBHN GROUP P&amp;L'!W37+'YBN Group P&amp;L'!W37+'HAB P&amp;L'!W37+'Moe2 P&amp;L'!W37</f>
        <v/>
      </c>
      <c r="X37" s="38">
        <f>'KNL GROUP P&amp;L'!X37+'CCL GROUP P&amp;L'!X37+'YBHN GROUP P&amp;L'!X37+'YBN Group P&amp;L'!X37+'HAB P&amp;L'!X37+'Moe2 P&amp;L'!X37</f>
        <v/>
      </c>
      <c r="Y37" s="38">
        <f>'KNL GROUP P&amp;L'!Y37+'CCL GROUP P&amp;L'!Y37+'YBHN GROUP P&amp;L'!Y37+'YBN Group P&amp;L'!Y37+'HAB P&amp;L'!Y37+'Moe2 P&amp;L'!Y37</f>
        <v/>
      </c>
      <c r="Z37" s="38">
        <f>'KNL GROUP P&amp;L'!Z37+'CCL GROUP P&amp;L'!Z37+'YBHN GROUP P&amp;L'!Z37+'YBN Group P&amp;L'!Z37+'HAB P&amp;L'!Z37+'Moe2 P&amp;L'!Z37</f>
        <v/>
      </c>
      <c r="AA37" s="36">
        <f>SUM(O37:U37)</f>
        <v/>
      </c>
      <c r="AB37" s="36">
        <f>SUM(O37:Z37)</f>
        <v/>
      </c>
      <c r="AC37" s="38">
        <f>'KNL GROUP P&amp;L'!AC37+'CCL GROUP P&amp;L'!AC37+'YBHN GROUP P&amp;L'!AC37+'YBN Group P&amp;L'!AC37+'HAB P&amp;L'!AC37+'Moe2 P&amp;L'!AC37</f>
        <v/>
      </c>
      <c r="AD37" s="38">
        <f>'KNL GROUP P&amp;L'!AD37+'CCL GROUP P&amp;L'!AD37+'YBHN GROUP P&amp;L'!AD37+'YBN Group P&amp;L'!AD37+'HAB P&amp;L'!AD37+'Moe2 P&amp;L'!AD37</f>
        <v/>
      </c>
      <c r="AE37" s="38">
        <f>'KNL GROUP P&amp;L'!AE37+'CCL GROUP P&amp;L'!AE37+'YBHN GROUP P&amp;L'!AE37+'YBN Group P&amp;L'!AE37+'HAB P&amp;L'!AE37+'Moe2 P&amp;L'!AE37</f>
        <v/>
      </c>
      <c r="AF37" s="38">
        <f>'KNL GROUP P&amp;L'!AF37+'CCL GROUP P&amp;L'!AF37+'YBHN GROUP P&amp;L'!AF37+'YBN Group P&amp;L'!AF37+'HAB P&amp;L'!AF37+'Moe2 P&amp;L'!AF37</f>
        <v/>
      </c>
      <c r="AG37" s="38">
        <f>'KNL GROUP P&amp;L'!AG37+'CCL GROUP P&amp;L'!AG37+'YBHN GROUP P&amp;L'!AG37+'YBN Group P&amp;L'!AG37+'HAB P&amp;L'!AG37+'Moe2 P&amp;L'!AG37</f>
        <v/>
      </c>
      <c r="AH37" s="38">
        <f>'KNL GROUP P&amp;L'!AH37+'CCL GROUP P&amp;L'!AH37+'YBHN GROUP P&amp;L'!AH37+'YBN Group P&amp;L'!AH37+'HAB P&amp;L'!AH37+'Moe2 P&amp;L'!AH37</f>
        <v/>
      </c>
      <c r="AI37" s="8" t="n"/>
      <c r="AJ37" s="36">
        <f>SUM(E37:Q37)-$N37</f>
        <v/>
      </c>
      <c r="AK37" s="36">
        <f>SUM(H37:T37)-$N37</f>
        <v/>
      </c>
      <c r="AL37" s="36">
        <f>SUM(K37:W37)-$N37</f>
        <v/>
      </c>
      <c r="AM37" s="36">
        <f>SUM(N37:Z37)-$N37</f>
        <v/>
      </c>
      <c r="AN37" s="40" t="n"/>
      <c r="AO37" s="92">
        <f>SUM(AC37:AE37)+SUM(R37:Z37)</f>
        <v/>
      </c>
      <c r="AP37" s="92">
        <f>SUM(AC37:AH37)+SUM(U37:Z37)</f>
        <v/>
      </c>
    </row>
    <row r="38">
      <c r="A38" s="34" t="inlineStr">
        <is>
          <t>Utilities</t>
        </is>
      </c>
      <c r="B38" s="35" t="n">
        <v>23901.58</v>
      </c>
      <c r="C38" s="35" t="n">
        <v>17614.66000000001</v>
      </c>
      <c r="D38" s="35" t="n">
        <v>28808.85</v>
      </c>
      <c r="E38" s="35" t="n">
        <v>30196.26</v>
      </c>
      <c r="F38" s="35" t="n">
        <v>23564.18</v>
      </c>
      <c r="G38" s="35" t="n">
        <v>14467.65</v>
      </c>
      <c r="H38" s="35" t="n">
        <v>10835.39</v>
      </c>
      <c r="I38" s="35" t="n">
        <v>12394.58</v>
      </c>
      <c r="J38" s="35" t="n">
        <v>6370.99</v>
      </c>
      <c r="K38" s="35" t="n">
        <v>20867.28</v>
      </c>
      <c r="L38" s="35" t="n">
        <v>18692.77</v>
      </c>
      <c r="M38" s="35" t="n">
        <v>19125.53</v>
      </c>
      <c r="N38" s="36">
        <f>SUM(B38:M38)</f>
        <v/>
      </c>
      <c r="O38" s="37">
        <f>SUMIF('Group TB '!$R:$R,'GROUP TOTALS MONTHLY P&amp;L'!$A38,'Group TB '!C:C)</f>
        <v/>
      </c>
      <c r="P38" s="37">
        <f>SUMIF('Group TB '!$R:$R,'GROUP TOTALS MONTHLY P&amp;L'!$A38,'Group TB '!D:D)</f>
        <v/>
      </c>
      <c r="Q38" s="37">
        <f>SUMIF('Group TB '!$R:$R,'GROUP TOTALS MONTHLY P&amp;L'!$A38,'Group TB '!E:E)</f>
        <v/>
      </c>
      <c r="R38" s="37">
        <f>SUMIF('Group TB '!$R:$R,'GROUP TOTALS MONTHLY P&amp;L'!$A38,'Group TB '!F:F)</f>
        <v/>
      </c>
      <c r="S38" s="37">
        <f>SUMIF('Group TB '!$R:$R,'GROUP TOTALS MONTHLY P&amp;L'!$A38,'Group TB '!G:G)</f>
        <v/>
      </c>
      <c r="T38" s="37">
        <f>SUMIF('Group TB '!$R:$R,'GROUP TOTALS MONTHLY P&amp;L'!$A38,'Group TB '!H:H)</f>
        <v/>
      </c>
      <c r="U38" s="37">
        <f>SUMIF('Group TB '!$R:$R,'GROUP TOTALS MONTHLY P&amp;L'!$A38,'Group TB '!I:I)</f>
        <v/>
      </c>
      <c r="V38" s="38">
        <f>'KNL GROUP P&amp;L'!V38+'CCL GROUP P&amp;L'!V38+'YBHN GROUP P&amp;L'!V38+'YBN Group P&amp;L'!V38+'HAB P&amp;L'!V38+'Moe2 P&amp;L'!V38</f>
        <v/>
      </c>
      <c r="W38" s="38">
        <f>'KNL GROUP P&amp;L'!W38+'CCL GROUP P&amp;L'!W38+'YBHN GROUP P&amp;L'!W38+'YBN Group P&amp;L'!W38+'HAB P&amp;L'!W38+'Moe2 P&amp;L'!W38</f>
        <v/>
      </c>
      <c r="X38" s="38">
        <f>'KNL GROUP P&amp;L'!X38+'CCL GROUP P&amp;L'!X38+'YBHN GROUP P&amp;L'!X38+'YBN Group P&amp;L'!X38+'HAB P&amp;L'!X38+'Moe2 P&amp;L'!X38</f>
        <v/>
      </c>
      <c r="Y38" s="38">
        <f>'KNL GROUP P&amp;L'!Y38+'CCL GROUP P&amp;L'!Y38+'YBHN GROUP P&amp;L'!Y38+'YBN Group P&amp;L'!Y38+'HAB P&amp;L'!Y38+'Moe2 P&amp;L'!Y38</f>
        <v/>
      </c>
      <c r="Z38" s="38">
        <f>'KNL GROUP P&amp;L'!Z38+'CCL GROUP P&amp;L'!Z38+'YBHN GROUP P&amp;L'!Z38+'YBN Group P&amp;L'!Z38+'HAB P&amp;L'!Z38+'Moe2 P&amp;L'!Z38</f>
        <v/>
      </c>
      <c r="AA38" s="36">
        <f>SUM(O38:U38)</f>
        <v/>
      </c>
      <c r="AB38" s="36">
        <f>SUM(O38:Z38)</f>
        <v/>
      </c>
      <c r="AC38" s="38">
        <f>'KNL GROUP P&amp;L'!AC38+'CCL GROUP P&amp;L'!AC38+'YBHN GROUP P&amp;L'!AC38+'YBN Group P&amp;L'!AC38+'HAB P&amp;L'!AC38+'Moe2 P&amp;L'!AC38</f>
        <v/>
      </c>
      <c r="AD38" s="38">
        <f>'KNL GROUP P&amp;L'!AD38+'CCL GROUP P&amp;L'!AD38+'YBHN GROUP P&amp;L'!AD38+'YBN Group P&amp;L'!AD38+'HAB P&amp;L'!AD38+'Moe2 P&amp;L'!AD38</f>
        <v/>
      </c>
      <c r="AE38" s="38">
        <f>'KNL GROUP P&amp;L'!AE38+'CCL GROUP P&amp;L'!AE38+'YBHN GROUP P&amp;L'!AE38+'YBN Group P&amp;L'!AE38+'HAB P&amp;L'!AE38+'Moe2 P&amp;L'!AE38</f>
        <v/>
      </c>
      <c r="AF38" s="38">
        <f>'KNL GROUP P&amp;L'!AF38+'CCL GROUP P&amp;L'!AF38+'YBHN GROUP P&amp;L'!AF38+'YBN Group P&amp;L'!AF38+'HAB P&amp;L'!AF38+'Moe2 P&amp;L'!AF38</f>
        <v/>
      </c>
      <c r="AG38" s="38">
        <f>'KNL GROUP P&amp;L'!AG38+'CCL GROUP P&amp;L'!AG38+'YBHN GROUP P&amp;L'!AG38+'YBN Group P&amp;L'!AG38+'HAB P&amp;L'!AG38+'Moe2 P&amp;L'!AG38</f>
        <v/>
      </c>
      <c r="AH38" s="38">
        <f>'KNL GROUP P&amp;L'!AH38+'CCL GROUP P&amp;L'!AH38+'YBHN GROUP P&amp;L'!AH38+'YBN Group P&amp;L'!AH38+'HAB P&amp;L'!AH38+'Moe2 P&amp;L'!AH38</f>
        <v/>
      </c>
      <c r="AI38" s="8" t="n"/>
      <c r="AJ38" s="36">
        <f>SUM(E38:Q38)-$N38</f>
        <v/>
      </c>
      <c r="AK38" s="36">
        <f>SUM(H38:T38)-$N38</f>
        <v/>
      </c>
      <c r="AL38" s="36">
        <f>SUM(K38:W38)-$N38</f>
        <v/>
      </c>
      <c r="AM38" s="36">
        <f>SUM(N38:Z38)-$N38</f>
        <v/>
      </c>
      <c r="AN38" s="40" t="n"/>
      <c r="AO38" s="92">
        <f>SUM(AC38:AE38)+SUM(R38:Z38)</f>
        <v/>
      </c>
      <c r="AP38" s="92">
        <f>SUM(AC38:AH38)+SUM(U38:Z38)</f>
        <v/>
      </c>
    </row>
    <row r="39">
      <c r="A39" s="34" t="inlineStr">
        <is>
          <t>Repairs &amp; Maintenance</t>
        </is>
      </c>
      <c r="B39" s="35" t="n">
        <v>11114.23</v>
      </c>
      <c r="C39" s="35" t="n">
        <v>18471.26000000001</v>
      </c>
      <c r="D39" s="35" t="n">
        <v>14037.75</v>
      </c>
      <c r="E39" s="35" t="n">
        <v>8588.49</v>
      </c>
      <c r="F39" s="35" t="n">
        <v>7696.630000000002</v>
      </c>
      <c r="G39" s="35" t="n">
        <v>13958.22999999999</v>
      </c>
      <c r="H39" s="35" t="n">
        <v>9486.02</v>
      </c>
      <c r="I39" s="35" t="n">
        <v>6643.38</v>
      </c>
      <c r="J39" s="35" t="n">
        <v>5464.089999999999</v>
      </c>
      <c r="K39" s="35" t="n">
        <v>6059.099999999999</v>
      </c>
      <c r="L39" s="35" t="n">
        <v>2967.100000000001</v>
      </c>
      <c r="M39" s="35" t="n">
        <v>4343.8</v>
      </c>
      <c r="N39" s="36">
        <f>SUM(B39:M39)</f>
        <v/>
      </c>
      <c r="O39" s="37">
        <f>SUMIF('Group TB '!$R:$R,'GROUP TOTALS MONTHLY P&amp;L'!$A39,'Group TB '!C:C)</f>
        <v/>
      </c>
      <c r="P39" s="37">
        <f>SUMIF('Group TB '!$R:$R,'GROUP TOTALS MONTHLY P&amp;L'!$A39,'Group TB '!D:D)</f>
        <v/>
      </c>
      <c r="Q39" s="37">
        <f>SUMIF('Group TB '!$R:$R,'GROUP TOTALS MONTHLY P&amp;L'!$A39,'Group TB '!E:E)</f>
        <v/>
      </c>
      <c r="R39" s="37">
        <f>SUMIF('Group TB '!$R:$R,'GROUP TOTALS MONTHLY P&amp;L'!$A39,'Group TB '!F:F)</f>
        <v/>
      </c>
      <c r="S39" s="37">
        <f>SUMIF('Group TB '!$R:$R,'GROUP TOTALS MONTHLY P&amp;L'!$A39,'Group TB '!G:G)</f>
        <v/>
      </c>
      <c r="T39" s="37">
        <f>SUMIF('Group TB '!$R:$R,'GROUP TOTALS MONTHLY P&amp;L'!$A39,'Group TB '!H:H)</f>
        <v/>
      </c>
      <c r="U39" s="37">
        <f>SUMIF('Group TB '!$R:$R,'GROUP TOTALS MONTHLY P&amp;L'!$A39,'Group TB '!I:I)</f>
        <v/>
      </c>
      <c r="V39" s="38">
        <f>'KNL GROUP P&amp;L'!V39+'CCL GROUP P&amp;L'!V39+'YBHN GROUP P&amp;L'!V39+'YBN Group P&amp;L'!V39+'HAB P&amp;L'!V39+'Moe2 P&amp;L'!V39</f>
        <v/>
      </c>
      <c r="W39" s="38">
        <f>'KNL GROUP P&amp;L'!W39+'CCL GROUP P&amp;L'!W39+'YBHN GROUP P&amp;L'!W39+'YBN Group P&amp;L'!W39+'HAB P&amp;L'!W39+'Moe2 P&amp;L'!W39</f>
        <v/>
      </c>
      <c r="X39" s="38">
        <f>'KNL GROUP P&amp;L'!X39+'CCL GROUP P&amp;L'!X39+'YBHN GROUP P&amp;L'!X39+'YBN Group P&amp;L'!X39+'HAB P&amp;L'!X39+'Moe2 P&amp;L'!X39</f>
        <v/>
      </c>
      <c r="Y39" s="38">
        <f>'KNL GROUP P&amp;L'!Y39+'CCL GROUP P&amp;L'!Y39+'YBHN GROUP P&amp;L'!Y39+'YBN Group P&amp;L'!Y39+'HAB P&amp;L'!Y39+'Moe2 P&amp;L'!Y39</f>
        <v/>
      </c>
      <c r="Z39" s="38">
        <f>'KNL GROUP P&amp;L'!Z39+'CCL GROUP P&amp;L'!Z39+'YBHN GROUP P&amp;L'!Z39+'YBN Group P&amp;L'!Z39+'HAB P&amp;L'!Z39+'Moe2 P&amp;L'!Z39</f>
        <v/>
      </c>
      <c r="AA39" s="36">
        <f>SUM(O39:U39)</f>
        <v/>
      </c>
      <c r="AB39" s="36">
        <f>SUM(O39:Z39)</f>
        <v/>
      </c>
      <c r="AC39" s="38">
        <f>'KNL GROUP P&amp;L'!AC39+'CCL GROUP P&amp;L'!AC39+'YBHN GROUP P&amp;L'!AC39+'YBN Group P&amp;L'!AC39+'HAB P&amp;L'!AC39+'Moe2 P&amp;L'!AC39</f>
        <v/>
      </c>
      <c r="AD39" s="38">
        <f>'KNL GROUP P&amp;L'!AD39+'CCL GROUP P&amp;L'!AD39+'YBHN GROUP P&amp;L'!AD39+'YBN Group P&amp;L'!AD39+'HAB P&amp;L'!AD39+'Moe2 P&amp;L'!AD39</f>
        <v/>
      </c>
      <c r="AE39" s="38">
        <f>'KNL GROUP P&amp;L'!AE39+'CCL GROUP P&amp;L'!AE39+'YBHN GROUP P&amp;L'!AE39+'YBN Group P&amp;L'!AE39+'HAB P&amp;L'!AE39+'Moe2 P&amp;L'!AE39</f>
        <v/>
      </c>
      <c r="AF39" s="38">
        <f>'KNL GROUP P&amp;L'!AF39+'CCL GROUP P&amp;L'!AF39+'YBHN GROUP P&amp;L'!AF39+'YBN Group P&amp;L'!AF39+'HAB P&amp;L'!AF39+'Moe2 P&amp;L'!AF39</f>
        <v/>
      </c>
      <c r="AG39" s="38">
        <f>'KNL GROUP P&amp;L'!AG39+'CCL GROUP P&amp;L'!AG39+'YBHN GROUP P&amp;L'!AG39+'YBN Group P&amp;L'!AG39+'HAB P&amp;L'!AG39+'Moe2 P&amp;L'!AG39</f>
        <v/>
      </c>
      <c r="AH39" s="38">
        <f>'KNL GROUP P&amp;L'!AH39+'CCL GROUP P&amp;L'!AH39+'YBHN GROUP P&amp;L'!AH39+'YBN Group P&amp;L'!AH39+'HAB P&amp;L'!AH39+'Moe2 P&amp;L'!AH39</f>
        <v/>
      </c>
      <c r="AI39" s="8" t="n"/>
      <c r="AJ39" s="36">
        <f>SUM(E39:Q39)-$N39</f>
        <v/>
      </c>
      <c r="AK39" s="36">
        <f>SUM(H39:T39)-$N39</f>
        <v/>
      </c>
      <c r="AL39" s="36">
        <f>SUM(K39:W39)-$N39</f>
        <v/>
      </c>
      <c r="AM39" s="36">
        <f>SUM(N39:Z39)-$N39</f>
        <v/>
      </c>
      <c r="AN39" s="40" t="n"/>
      <c r="AO39" s="92">
        <f>SUM(AC39:AE39)+SUM(R39:Z39)</f>
        <v/>
      </c>
      <c r="AP39" s="92">
        <f>SUM(AC39:AH39)+SUM(U39:Z39)</f>
        <v/>
      </c>
    </row>
    <row r="40">
      <c r="A40" s="34" t="inlineStr">
        <is>
          <t>Cleaning</t>
        </is>
      </c>
      <c r="B40" s="35" t="n">
        <v>11641.05</v>
      </c>
      <c r="C40" s="35" t="n">
        <v>9634.059999999999</v>
      </c>
      <c r="D40" s="35" t="n">
        <v>11426.53</v>
      </c>
      <c r="E40" s="35" t="n">
        <v>12071.57</v>
      </c>
      <c r="F40" s="35" t="n">
        <v>11361.53</v>
      </c>
      <c r="G40" s="35" t="n">
        <v>11411.72</v>
      </c>
      <c r="H40" s="35" t="n">
        <v>12333.27</v>
      </c>
      <c r="I40" s="35" t="n">
        <v>14180.48</v>
      </c>
      <c r="J40" s="35" t="n">
        <v>12105.65</v>
      </c>
      <c r="K40" s="35" t="n">
        <v>8093.239999999999</v>
      </c>
      <c r="L40" s="35" t="n">
        <v>9954.890000000001</v>
      </c>
      <c r="M40" s="35" t="n">
        <v>9045.290000000001</v>
      </c>
      <c r="N40" s="36">
        <f>SUM(B40:M40)</f>
        <v/>
      </c>
      <c r="O40" s="37">
        <f>SUMIF('Group TB '!$R:$R,'GROUP TOTALS MONTHLY P&amp;L'!$A40,'Group TB '!C:C)</f>
        <v/>
      </c>
      <c r="P40" s="37">
        <f>SUMIF('Group TB '!$R:$R,'GROUP TOTALS MONTHLY P&amp;L'!$A40,'Group TB '!D:D)</f>
        <v/>
      </c>
      <c r="Q40" s="37">
        <f>SUMIF('Group TB '!$R:$R,'GROUP TOTALS MONTHLY P&amp;L'!$A40,'Group TB '!E:E)</f>
        <v/>
      </c>
      <c r="R40" s="37">
        <f>SUMIF('Group TB '!$R:$R,'GROUP TOTALS MONTHLY P&amp;L'!$A40,'Group TB '!F:F)</f>
        <v/>
      </c>
      <c r="S40" s="37">
        <f>SUMIF('Group TB '!$R:$R,'GROUP TOTALS MONTHLY P&amp;L'!$A40,'Group TB '!G:G)</f>
        <v/>
      </c>
      <c r="T40" s="37">
        <f>SUMIF('Group TB '!$R:$R,'GROUP TOTALS MONTHLY P&amp;L'!$A40,'Group TB '!H:H)</f>
        <v/>
      </c>
      <c r="U40" s="37">
        <f>SUMIF('Group TB '!$R:$R,'GROUP TOTALS MONTHLY P&amp;L'!$A40,'Group TB '!I:I)</f>
        <v/>
      </c>
      <c r="V40" s="38">
        <f>'KNL GROUP P&amp;L'!V40+'CCL GROUP P&amp;L'!V40+'YBHN GROUP P&amp;L'!V40+'YBN Group P&amp;L'!V40+'HAB P&amp;L'!V40+'Moe2 P&amp;L'!V40</f>
        <v/>
      </c>
      <c r="W40" s="38">
        <f>'KNL GROUP P&amp;L'!W40+'CCL GROUP P&amp;L'!W40+'YBHN GROUP P&amp;L'!W40+'YBN Group P&amp;L'!W40+'HAB P&amp;L'!W40+'Moe2 P&amp;L'!W40</f>
        <v/>
      </c>
      <c r="X40" s="38">
        <f>'KNL GROUP P&amp;L'!X40+'CCL GROUP P&amp;L'!X40+'YBHN GROUP P&amp;L'!X40+'YBN Group P&amp;L'!X40+'HAB P&amp;L'!X40+'Moe2 P&amp;L'!X40</f>
        <v/>
      </c>
      <c r="Y40" s="38">
        <f>'KNL GROUP P&amp;L'!Y40+'CCL GROUP P&amp;L'!Y40+'YBHN GROUP P&amp;L'!Y40+'YBN Group P&amp;L'!Y40+'HAB P&amp;L'!Y40+'Moe2 P&amp;L'!Y40</f>
        <v/>
      </c>
      <c r="Z40" s="38">
        <f>'KNL GROUP P&amp;L'!Z40+'CCL GROUP P&amp;L'!Z40+'YBHN GROUP P&amp;L'!Z40+'YBN Group P&amp;L'!Z40+'HAB P&amp;L'!Z40+'Moe2 P&amp;L'!Z40</f>
        <v/>
      </c>
      <c r="AA40" s="36">
        <f>SUM(O40:U40)</f>
        <v/>
      </c>
      <c r="AB40" s="36">
        <f>SUM(O40:Z40)</f>
        <v/>
      </c>
      <c r="AC40" s="38">
        <f>'KNL GROUP P&amp;L'!AC40+'CCL GROUP P&amp;L'!AC40+'YBHN GROUP P&amp;L'!AC40+'YBN Group P&amp;L'!AC40+'HAB P&amp;L'!AC40+'Moe2 P&amp;L'!AC40</f>
        <v/>
      </c>
      <c r="AD40" s="38">
        <f>'KNL GROUP P&amp;L'!AD40+'CCL GROUP P&amp;L'!AD40+'YBHN GROUP P&amp;L'!AD40+'YBN Group P&amp;L'!AD40+'HAB P&amp;L'!AD40+'Moe2 P&amp;L'!AD40</f>
        <v/>
      </c>
      <c r="AE40" s="38">
        <f>'KNL GROUP P&amp;L'!AE40+'CCL GROUP P&amp;L'!AE40+'YBHN GROUP P&amp;L'!AE40+'YBN Group P&amp;L'!AE40+'HAB P&amp;L'!AE40+'Moe2 P&amp;L'!AE40</f>
        <v/>
      </c>
      <c r="AF40" s="38">
        <f>'KNL GROUP P&amp;L'!AF40+'CCL GROUP P&amp;L'!AF40+'YBHN GROUP P&amp;L'!AF40+'YBN Group P&amp;L'!AF40+'HAB P&amp;L'!AF40+'Moe2 P&amp;L'!AF40</f>
        <v/>
      </c>
      <c r="AG40" s="38">
        <f>'KNL GROUP P&amp;L'!AG40+'CCL GROUP P&amp;L'!AG40+'YBHN GROUP P&amp;L'!AG40+'YBN Group P&amp;L'!AG40+'HAB P&amp;L'!AG40+'Moe2 P&amp;L'!AG40</f>
        <v/>
      </c>
      <c r="AH40" s="38">
        <f>'KNL GROUP P&amp;L'!AH40+'CCL GROUP P&amp;L'!AH40+'YBHN GROUP P&amp;L'!AH40+'YBN Group P&amp;L'!AH40+'HAB P&amp;L'!AH40+'Moe2 P&amp;L'!AH40</f>
        <v/>
      </c>
      <c r="AI40" s="8" t="n"/>
      <c r="AJ40" s="36">
        <f>SUM(E40:Q40)-$N40</f>
        <v/>
      </c>
      <c r="AK40" s="36">
        <f>SUM(H40:T40)-$N40</f>
        <v/>
      </c>
      <c r="AL40" s="36">
        <f>SUM(K40:W40)-$N40</f>
        <v/>
      </c>
      <c r="AM40" s="36">
        <f>SUM(N40:Z40)-$N40</f>
        <v/>
      </c>
      <c r="AN40" s="40" t="n"/>
      <c r="AO40" s="92">
        <f>SUM(AC40:AE40)+SUM(R40:Z40)</f>
        <v/>
      </c>
      <c r="AP40" s="92">
        <f>SUM(AC40:AH40)+SUM(U40:Z40)</f>
        <v/>
      </c>
    </row>
    <row r="41">
      <c r="A41" s="34" t="inlineStr">
        <is>
          <t>Waste Disposal</t>
        </is>
      </c>
      <c r="B41" s="35" t="n">
        <v>5544.93</v>
      </c>
      <c r="C41" s="35" t="n">
        <v>7251.28</v>
      </c>
      <c r="D41" s="35" t="n">
        <v>7231.240000000001</v>
      </c>
      <c r="E41" s="35" t="n">
        <v>5993.5</v>
      </c>
      <c r="F41" s="35" t="n">
        <v>6657.23</v>
      </c>
      <c r="G41" s="35" t="n">
        <v>6820.349999999999</v>
      </c>
      <c r="H41" s="35" t="n">
        <v>6262.35</v>
      </c>
      <c r="I41" s="35" t="n">
        <v>6673.51</v>
      </c>
      <c r="J41" s="35" t="n">
        <v>9575.159999999998</v>
      </c>
      <c r="K41" s="35" t="n">
        <v>6475.05</v>
      </c>
      <c r="L41" s="35" t="n">
        <v>6558.4</v>
      </c>
      <c r="M41" s="35" t="n">
        <v>7620.139999999999</v>
      </c>
      <c r="N41" s="36">
        <f>SUM(B41:M41)</f>
        <v/>
      </c>
      <c r="O41" s="37">
        <f>SUMIF('Group TB '!$R:$R,'GROUP TOTALS MONTHLY P&amp;L'!$A41,'Group TB '!C:C)</f>
        <v/>
      </c>
      <c r="P41" s="37">
        <f>SUMIF('Group TB '!$R:$R,'GROUP TOTALS MONTHLY P&amp;L'!$A41,'Group TB '!D:D)</f>
        <v/>
      </c>
      <c r="Q41" s="37">
        <f>SUMIF('Group TB '!$R:$R,'GROUP TOTALS MONTHLY P&amp;L'!$A41,'Group TB '!E:E)</f>
        <v/>
      </c>
      <c r="R41" s="37">
        <f>SUMIF('Group TB '!$R:$R,'GROUP TOTALS MONTHLY P&amp;L'!$A41,'Group TB '!F:F)</f>
        <v/>
      </c>
      <c r="S41" s="37">
        <f>SUMIF('Group TB '!$R:$R,'GROUP TOTALS MONTHLY P&amp;L'!$A41,'Group TB '!G:G)</f>
        <v/>
      </c>
      <c r="T41" s="37">
        <f>SUMIF('Group TB '!$R:$R,'GROUP TOTALS MONTHLY P&amp;L'!$A41,'Group TB '!H:H)</f>
        <v/>
      </c>
      <c r="U41" s="37">
        <f>SUMIF('Group TB '!$R:$R,'GROUP TOTALS MONTHLY P&amp;L'!$A41,'Group TB '!I:I)</f>
        <v/>
      </c>
      <c r="V41" s="38">
        <f>'KNL GROUP P&amp;L'!V41+'CCL GROUP P&amp;L'!V41+'YBHN GROUP P&amp;L'!V41+'YBN Group P&amp;L'!V41+'HAB P&amp;L'!V41+'Moe2 P&amp;L'!V41</f>
        <v/>
      </c>
      <c r="W41" s="38">
        <f>'KNL GROUP P&amp;L'!W41+'CCL GROUP P&amp;L'!W41+'YBHN GROUP P&amp;L'!W41+'YBN Group P&amp;L'!W41+'HAB P&amp;L'!W41+'Moe2 P&amp;L'!W41</f>
        <v/>
      </c>
      <c r="X41" s="38">
        <f>'KNL GROUP P&amp;L'!X41+'CCL GROUP P&amp;L'!X41+'YBHN GROUP P&amp;L'!X41+'YBN Group P&amp;L'!X41+'HAB P&amp;L'!X41+'Moe2 P&amp;L'!X41</f>
        <v/>
      </c>
      <c r="Y41" s="38">
        <f>'KNL GROUP P&amp;L'!Y41+'CCL GROUP P&amp;L'!Y41+'YBHN GROUP P&amp;L'!Y41+'YBN Group P&amp;L'!Y41+'HAB P&amp;L'!Y41+'Moe2 P&amp;L'!Y41</f>
        <v/>
      </c>
      <c r="Z41" s="38">
        <f>'KNL GROUP P&amp;L'!Z41+'CCL GROUP P&amp;L'!Z41+'YBHN GROUP P&amp;L'!Z41+'YBN Group P&amp;L'!Z41+'HAB P&amp;L'!Z41+'Moe2 P&amp;L'!Z41</f>
        <v/>
      </c>
      <c r="AA41" s="36">
        <f>SUM(O41:U41)</f>
        <v/>
      </c>
      <c r="AB41" s="36">
        <f>SUM(O41:Z41)</f>
        <v/>
      </c>
      <c r="AC41" s="38">
        <f>'KNL GROUP P&amp;L'!AC41+'CCL GROUP P&amp;L'!AC41+'YBHN GROUP P&amp;L'!AC41+'YBN Group P&amp;L'!AC41+'HAB P&amp;L'!AC41+'Moe2 P&amp;L'!AC41</f>
        <v/>
      </c>
      <c r="AD41" s="38">
        <f>'KNL GROUP P&amp;L'!AD41+'CCL GROUP P&amp;L'!AD41+'YBHN GROUP P&amp;L'!AD41+'YBN Group P&amp;L'!AD41+'HAB P&amp;L'!AD41+'Moe2 P&amp;L'!AD41</f>
        <v/>
      </c>
      <c r="AE41" s="38">
        <f>'KNL GROUP P&amp;L'!AE41+'CCL GROUP P&amp;L'!AE41+'YBHN GROUP P&amp;L'!AE41+'YBN Group P&amp;L'!AE41+'HAB P&amp;L'!AE41+'Moe2 P&amp;L'!AE41</f>
        <v/>
      </c>
      <c r="AF41" s="38">
        <f>'KNL GROUP P&amp;L'!AF41+'CCL GROUP P&amp;L'!AF41+'YBHN GROUP P&amp;L'!AF41+'YBN Group P&amp;L'!AF41+'HAB P&amp;L'!AF41+'Moe2 P&amp;L'!AF41</f>
        <v/>
      </c>
      <c r="AG41" s="38">
        <f>'KNL GROUP P&amp;L'!AG41+'CCL GROUP P&amp;L'!AG41+'YBHN GROUP P&amp;L'!AG41+'YBN Group P&amp;L'!AG41+'HAB P&amp;L'!AG41+'Moe2 P&amp;L'!AG41</f>
        <v/>
      </c>
      <c r="AH41" s="38">
        <f>'KNL GROUP P&amp;L'!AH41+'CCL GROUP P&amp;L'!AH41+'YBHN GROUP P&amp;L'!AH41+'YBN Group P&amp;L'!AH41+'HAB P&amp;L'!AH41+'Moe2 P&amp;L'!AH41</f>
        <v/>
      </c>
      <c r="AI41" s="8" t="n"/>
      <c r="AJ41" s="36">
        <f>SUM(E41:Q41)-$N41</f>
        <v/>
      </c>
      <c r="AK41" s="36">
        <f>SUM(H41:T41)-$N41</f>
        <v/>
      </c>
      <c r="AL41" s="36">
        <f>SUM(K41:W41)-$N41</f>
        <v/>
      </c>
      <c r="AM41" s="36">
        <f>SUM(N41:Z41)-$N41</f>
        <v/>
      </c>
      <c r="AN41" s="40" t="n"/>
      <c r="AO41" s="92">
        <f>SUM(AC41:AE41)+SUM(R41:Z41)</f>
        <v/>
      </c>
      <c r="AP41" s="92">
        <f>SUM(AC41:AH41)+SUM(U41:Z41)</f>
        <v/>
      </c>
    </row>
    <row r="42">
      <c r="A42" s="34" t="inlineStr">
        <is>
          <t>Postage/Printing/Stationery</t>
        </is>
      </c>
      <c r="B42" s="35" t="n">
        <v>3404.34</v>
      </c>
      <c r="C42" s="35" t="n">
        <v>2584.690000000001</v>
      </c>
      <c r="D42" s="35" t="n">
        <v>1579.46</v>
      </c>
      <c r="E42" s="35" t="n">
        <v>1477.69</v>
      </c>
      <c r="F42" s="35" t="n">
        <v>2310.15</v>
      </c>
      <c r="G42" s="35" t="n">
        <v>1508.1</v>
      </c>
      <c r="H42" s="35" t="n">
        <v>2281.789999999999</v>
      </c>
      <c r="I42" s="35" t="n">
        <v>2502.82</v>
      </c>
      <c r="J42" s="35" t="n">
        <v>2002</v>
      </c>
      <c r="K42" s="35" t="n">
        <v>3691.76</v>
      </c>
      <c r="L42" s="35" t="n">
        <v>1395.57</v>
      </c>
      <c r="M42" s="35" t="n">
        <v>2571.93</v>
      </c>
      <c r="N42" s="36">
        <f>SUM(B42:M42)</f>
        <v/>
      </c>
      <c r="O42" s="37">
        <f>SUMIF('Group TB '!$R:$R,'GROUP TOTALS MONTHLY P&amp;L'!$A42,'Group TB '!C:C)</f>
        <v/>
      </c>
      <c r="P42" s="37">
        <f>SUMIF('Group TB '!$R:$R,'GROUP TOTALS MONTHLY P&amp;L'!$A42,'Group TB '!D:D)</f>
        <v/>
      </c>
      <c r="Q42" s="37">
        <f>SUMIF('Group TB '!$R:$R,'GROUP TOTALS MONTHLY P&amp;L'!$A42,'Group TB '!E:E)</f>
        <v/>
      </c>
      <c r="R42" s="37">
        <f>SUMIF('Group TB '!$R:$R,'GROUP TOTALS MONTHLY P&amp;L'!$A42,'Group TB '!F:F)</f>
        <v/>
      </c>
      <c r="S42" s="37">
        <f>SUMIF('Group TB '!$R:$R,'GROUP TOTALS MONTHLY P&amp;L'!$A42,'Group TB '!G:G)</f>
        <v/>
      </c>
      <c r="T42" s="37">
        <f>SUMIF('Group TB '!$R:$R,'GROUP TOTALS MONTHLY P&amp;L'!$A42,'Group TB '!H:H)</f>
        <v/>
      </c>
      <c r="U42" s="37">
        <f>SUMIF('Group TB '!$R:$R,'GROUP TOTALS MONTHLY P&amp;L'!$A42,'Group TB '!I:I)</f>
        <v/>
      </c>
      <c r="V42" s="38">
        <f>'KNL GROUP P&amp;L'!V42+'CCL GROUP P&amp;L'!V42+'YBHN GROUP P&amp;L'!V42+'YBN Group P&amp;L'!V42+'HAB P&amp;L'!V42+'Moe2 P&amp;L'!V42</f>
        <v/>
      </c>
      <c r="W42" s="38">
        <f>'KNL GROUP P&amp;L'!W42+'CCL GROUP P&amp;L'!W42+'YBHN GROUP P&amp;L'!W42+'YBN Group P&amp;L'!W42+'HAB P&amp;L'!W42+'Moe2 P&amp;L'!W42</f>
        <v/>
      </c>
      <c r="X42" s="38">
        <f>'KNL GROUP P&amp;L'!X42+'CCL GROUP P&amp;L'!X42+'YBHN GROUP P&amp;L'!X42+'YBN Group P&amp;L'!X42+'HAB P&amp;L'!X42+'Moe2 P&amp;L'!X42</f>
        <v/>
      </c>
      <c r="Y42" s="38">
        <f>'KNL GROUP P&amp;L'!Y42+'CCL GROUP P&amp;L'!Y42+'YBHN GROUP P&amp;L'!Y42+'YBN Group P&amp;L'!Y42+'HAB P&amp;L'!Y42+'Moe2 P&amp;L'!Y42</f>
        <v/>
      </c>
      <c r="Z42" s="38">
        <f>'KNL GROUP P&amp;L'!Z42+'CCL GROUP P&amp;L'!Z42+'YBHN GROUP P&amp;L'!Z42+'YBN Group P&amp;L'!Z42+'HAB P&amp;L'!Z42+'Moe2 P&amp;L'!Z42</f>
        <v/>
      </c>
      <c r="AA42" s="36">
        <f>SUM(O42:U42)</f>
        <v/>
      </c>
      <c r="AB42" s="36">
        <f>SUM(O42:Z42)</f>
        <v/>
      </c>
      <c r="AC42" s="38">
        <f>'KNL GROUP P&amp;L'!AC42+'CCL GROUP P&amp;L'!AC42+'YBHN GROUP P&amp;L'!AC42+'YBN Group P&amp;L'!AC42+'HAB P&amp;L'!AC42+'Moe2 P&amp;L'!AC42</f>
        <v/>
      </c>
      <c r="AD42" s="38">
        <f>'KNL GROUP P&amp;L'!AD42+'CCL GROUP P&amp;L'!AD42+'YBHN GROUP P&amp;L'!AD42+'YBN Group P&amp;L'!AD42+'HAB P&amp;L'!AD42+'Moe2 P&amp;L'!AD42</f>
        <v/>
      </c>
      <c r="AE42" s="38">
        <f>'KNL GROUP P&amp;L'!AE42+'CCL GROUP P&amp;L'!AE42+'YBHN GROUP P&amp;L'!AE42+'YBN Group P&amp;L'!AE42+'HAB P&amp;L'!AE42+'Moe2 P&amp;L'!AE42</f>
        <v/>
      </c>
      <c r="AF42" s="38">
        <f>'KNL GROUP P&amp;L'!AF42+'CCL GROUP P&amp;L'!AF42+'YBHN GROUP P&amp;L'!AF42+'YBN Group P&amp;L'!AF42+'HAB P&amp;L'!AF42+'Moe2 P&amp;L'!AF42</f>
        <v/>
      </c>
      <c r="AG42" s="38">
        <f>'KNL GROUP P&amp;L'!AG42+'CCL GROUP P&amp;L'!AG42+'YBHN GROUP P&amp;L'!AG42+'YBN Group P&amp;L'!AG42+'HAB P&amp;L'!AG42+'Moe2 P&amp;L'!AG42</f>
        <v/>
      </c>
      <c r="AH42" s="38">
        <f>'KNL GROUP P&amp;L'!AH42+'CCL GROUP P&amp;L'!AH42+'YBHN GROUP P&amp;L'!AH42+'YBN Group P&amp;L'!AH42+'HAB P&amp;L'!AH42+'Moe2 P&amp;L'!AH42</f>
        <v/>
      </c>
      <c r="AI42" s="8" t="n"/>
      <c r="AJ42" s="36">
        <f>SUM(E42:Q42)-$N42</f>
        <v/>
      </c>
      <c r="AK42" s="36">
        <f>SUM(H42:T42)-$N42</f>
        <v/>
      </c>
      <c r="AL42" s="36">
        <f>SUM(K42:W42)-$N42</f>
        <v/>
      </c>
      <c r="AM42" s="36">
        <f>SUM(N42:Z42)-$N42</f>
        <v/>
      </c>
      <c r="AN42" s="40" t="n"/>
      <c r="AO42" s="92">
        <f>SUM(AC42:AE42)+SUM(R42:Z42)</f>
        <v/>
      </c>
      <c r="AP42" s="92">
        <f>SUM(AC42:AH42)+SUM(U42:Z42)</f>
        <v/>
      </c>
    </row>
    <row r="43">
      <c r="A43" s="34" t="inlineStr">
        <is>
          <t>Telephone</t>
        </is>
      </c>
      <c r="B43" s="35" t="n">
        <v>8953.669999999998</v>
      </c>
      <c r="C43" s="35" t="n">
        <v>3823.45</v>
      </c>
      <c r="D43" s="35" t="n">
        <v>4439.29</v>
      </c>
      <c r="E43" s="35" t="n">
        <v>8925.610000000001</v>
      </c>
      <c r="F43" s="35" t="n">
        <v>4190.24</v>
      </c>
      <c r="G43" s="35" t="n">
        <v>4168.8</v>
      </c>
      <c r="H43" s="35" t="n">
        <v>8798.970000000001</v>
      </c>
      <c r="I43" s="35" t="n">
        <v>4603.38</v>
      </c>
      <c r="J43" s="35" t="n">
        <v>5064.8</v>
      </c>
      <c r="K43" s="35" t="n">
        <v>5561.46</v>
      </c>
      <c r="L43" s="35" t="n">
        <v>5573.67</v>
      </c>
      <c r="M43" s="35" t="n">
        <v>5770.099999999999</v>
      </c>
      <c r="N43" s="36">
        <f>SUM(B43:M43)</f>
        <v/>
      </c>
      <c r="O43" s="37">
        <f>SUMIF('Group TB '!$R:$R,'GROUP TOTALS MONTHLY P&amp;L'!$A43,'Group TB '!C:C)</f>
        <v/>
      </c>
      <c r="P43" s="37">
        <f>SUMIF('Group TB '!$R:$R,'GROUP TOTALS MONTHLY P&amp;L'!$A43,'Group TB '!D:D)</f>
        <v/>
      </c>
      <c r="Q43" s="37">
        <f>SUMIF('Group TB '!$R:$R,'GROUP TOTALS MONTHLY P&amp;L'!$A43,'Group TB '!E:E)</f>
        <v/>
      </c>
      <c r="R43" s="37">
        <f>SUMIF('Group TB '!$R:$R,'GROUP TOTALS MONTHLY P&amp;L'!$A43,'Group TB '!F:F)</f>
        <v/>
      </c>
      <c r="S43" s="37">
        <f>SUMIF('Group TB '!$R:$R,'GROUP TOTALS MONTHLY P&amp;L'!$A43,'Group TB '!G:G)</f>
        <v/>
      </c>
      <c r="T43" s="37">
        <f>SUMIF('Group TB '!$R:$R,'GROUP TOTALS MONTHLY P&amp;L'!$A43,'Group TB '!H:H)</f>
        <v/>
      </c>
      <c r="U43" s="37">
        <f>SUMIF('Group TB '!$R:$R,'GROUP TOTALS MONTHLY P&amp;L'!$A43,'Group TB '!I:I)</f>
        <v/>
      </c>
      <c r="V43" s="38">
        <f>'KNL GROUP P&amp;L'!V43+'CCL GROUP P&amp;L'!V43+'YBHN GROUP P&amp;L'!V43+'YBN Group P&amp;L'!V43+'HAB P&amp;L'!V43+'Moe2 P&amp;L'!V43</f>
        <v/>
      </c>
      <c r="W43" s="38">
        <f>'KNL GROUP P&amp;L'!W43+'CCL GROUP P&amp;L'!W43+'YBHN GROUP P&amp;L'!W43+'YBN Group P&amp;L'!W43+'HAB P&amp;L'!W43+'Moe2 P&amp;L'!W43</f>
        <v/>
      </c>
      <c r="X43" s="38">
        <f>'KNL GROUP P&amp;L'!X43+'CCL GROUP P&amp;L'!X43+'YBHN GROUP P&amp;L'!X43+'YBN Group P&amp;L'!X43+'HAB P&amp;L'!X43+'Moe2 P&amp;L'!X43</f>
        <v/>
      </c>
      <c r="Y43" s="38">
        <f>'KNL GROUP P&amp;L'!Y43+'CCL GROUP P&amp;L'!Y43+'YBHN GROUP P&amp;L'!Y43+'YBN Group P&amp;L'!Y43+'HAB P&amp;L'!Y43+'Moe2 P&amp;L'!Y43</f>
        <v/>
      </c>
      <c r="Z43" s="38">
        <f>'KNL GROUP P&amp;L'!Z43+'CCL GROUP P&amp;L'!Z43+'YBHN GROUP P&amp;L'!Z43+'YBN Group P&amp;L'!Z43+'HAB P&amp;L'!Z43+'Moe2 P&amp;L'!Z43</f>
        <v/>
      </c>
      <c r="AA43" s="36">
        <f>SUM(O43:U43)</f>
        <v/>
      </c>
      <c r="AB43" s="36">
        <f>SUM(O43:Z43)</f>
        <v/>
      </c>
      <c r="AC43" s="38">
        <f>'KNL GROUP P&amp;L'!AC43+'CCL GROUP P&amp;L'!AC43+'YBHN GROUP P&amp;L'!AC43+'YBN Group P&amp;L'!AC43+'HAB P&amp;L'!AC43+'Moe2 P&amp;L'!AC43</f>
        <v/>
      </c>
      <c r="AD43" s="38">
        <f>'KNL GROUP P&amp;L'!AD43+'CCL GROUP P&amp;L'!AD43+'YBHN GROUP P&amp;L'!AD43+'YBN Group P&amp;L'!AD43+'HAB P&amp;L'!AD43+'Moe2 P&amp;L'!AD43</f>
        <v/>
      </c>
      <c r="AE43" s="38">
        <f>'KNL GROUP P&amp;L'!AE43+'CCL GROUP P&amp;L'!AE43+'YBHN GROUP P&amp;L'!AE43+'YBN Group P&amp;L'!AE43+'HAB P&amp;L'!AE43+'Moe2 P&amp;L'!AE43</f>
        <v/>
      </c>
      <c r="AF43" s="38">
        <f>'KNL GROUP P&amp;L'!AF43+'CCL GROUP P&amp;L'!AF43+'YBHN GROUP P&amp;L'!AF43+'YBN Group P&amp;L'!AF43+'HAB P&amp;L'!AF43+'Moe2 P&amp;L'!AF43</f>
        <v/>
      </c>
      <c r="AG43" s="38">
        <f>'KNL GROUP P&amp;L'!AG43+'CCL GROUP P&amp;L'!AG43+'YBHN GROUP P&amp;L'!AG43+'YBN Group P&amp;L'!AG43+'HAB P&amp;L'!AG43+'Moe2 P&amp;L'!AG43</f>
        <v/>
      </c>
      <c r="AH43" s="38">
        <f>'KNL GROUP P&amp;L'!AH43+'CCL GROUP P&amp;L'!AH43+'YBHN GROUP P&amp;L'!AH43+'YBN Group P&amp;L'!AH43+'HAB P&amp;L'!AH43+'Moe2 P&amp;L'!AH43</f>
        <v/>
      </c>
      <c r="AI43" s="8" t="n"/>
      <c r="AJ43" s="36">
        <f>SUM(E43:Q43)-$N43</f>
        <v/>
      </c>
      <c r="AK43" s="36">
        <f>SUM(H43:T43)-$N43</f>
        <v/>
      </c>
      <c r="AL43" s="36">
        <f>SUM(K43:W43)-$N43</f>
        <v/>
      </c>
      <c r="AM43" s="36">
        <f>SUM(N43:Z43)-$N43</f>
        <v/>
      </c>
      <c r="AN43" s="40" t="n"/>
      <c r="AO43" s="92">
        <f>SUM(AC43:AE43)+SUM(R43:Z43)</f>
        <v/>
      </c>
      <c r="AP43" s="92">
        <f>SUM(AC43:AH43)+SUM(U43:Z43)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SUMIF('Group TB '!$R:$R,'GROUP TOTALS MONTHLY P&amp;L'!$A44,'Group TB '!C:C)</f>
        <v/>
      </c>
      <c r="P44" s="37">
        <f>SUMIF('Group TB '!$R:$R,'GROUP TOTALS MONTHLY P&amp;L'!$A44,'Group TB '!D:D)</f>
        <v/>
      </c>
      <c r="Q44" s="37">
        <f>SUMIF('Group TB '!$R:$R,'GROUP TOTALS MONTHLY P&amp;L'!$A44,'Group TB '!E:E)</f>
        <v/>
      </c>
      <c r="R44" s="37">
        <f>SUMIF('Group TB '!$R:$R,'GROUP TOTALS MONTHLY P&amp;L'!$A44,'Group TB '!F:F)</f>
        <v/>
      </c>
      <c r="S44" s="37">
        <f>SUMIF('Group TB '!$R:$R,'GROUP TOTALS MONTHLY P&amp;L'!$A44,'Group TB '!G:G)</f>
        <v/>
      </c>
      <c r="T44" s="37">
        <f>SUMIF('Group TB '!$R:$R,'GROUP TOTALS MONTHLY P&amp;L'!$A44,'Group TB '!H:H)</f>
        <v/>
      </c>
      <c r="U44" s="37">
        <f>SUMIF('Group TB '!$R:$R,'GROUP TOTALS MONTHLY P&amp;L'!$A44,'Group TB '!I:I)</f>
        <v/>
      </c>
      <c r="V44" s="38">
        <f>'KNL GROUP P&amp;L'!V44+'CCL GROUP P&amp;L'!V44+'YBHN GROUP P&amp;L'!V44+'YBN Group P&amp;L'!V44+'HAB P&amp;L'!V44+'Moe2 P&amp;L'!V44</f>
        <v/>
      </c>
      <c r="W44" s="38">
        <f>'KNL GROUP P&amp;L'!W44+'CCL GROUP P&amp;L'!W44+'YBHN GROUP P&amp;L'!W44+'YBN Group P&amp;L'!W44+'HAB P&amp;L'!W44+'Moe2 P&amp;L'!W44</f>
        <v/>
      </c>
      <c r="X44" s="38">
        <f>'KNL GROUP P&amp;L'!X44+'CCL GROUP P&amp;L'!X44+'YBHN GROUP P&amp;L'!X44+'YBN Group P&amp;L'!X44+'HAB P&amp;L'!X44+'Moe2 P&amp;L'!X44</f>
        <v/>
      </c>
      <c r="Y44" s="38">
        <f>'KNL GROUP P&amp;L'!Y44+'CCL GROUP P&amp;L'!Y44+'YBHN GROUP P&amp;L'!Y44+'YBN Group P&amp;L'!Y44+'HAB P&amp;L'!Y44+'Moe2 P&amp;L'!Y44</f>
        <v/>
      </c>
      <c r="Z44" s="38">
        <f>'KNL GROUP P&amp;L'!Z44+'CCL GROUP P&amp;L'!Z44+'YBHN GROUP P&amp;L'!Z44+'YBN Group P&amp;L'!Z44+'HAB P&amp;L'!Z44+'Moe2 P&amp;L'!Z44</f>
        <v/>
      </c>
      <c r="AA44" s="36">
        <f>SUM(O44:U44)</f>
        <v/>
      </c>
      <c r="AB44" s="36">
        <f>SUM(O44:Z44)</f>
        <v/>
      </c>
      <c r="AC44" s="38">
        <f>'KNL GROUP P&amp;L'!AC44+'CCL GROUP P&amp;L'!AC44+'YBHN GROUP P&amp;L'!AC44+'YBN Group P&amp;L'!AC44+'HAB P&amp;L'!AC44+'Moe2 P&amp;L'!AC44</f>
        <v/>
      </c>
      <c r="AD44" s="38">
        <f>'KNL GROUP P&amp;L'!AD44+'CCL GROUP P&amp;L'!AD44+'YBHN GROUP P&amp;L'!AD44+'YBN Group P&amp;L'!AD44+'HAB P&amp;L'!AD44+'Moe2 P&amp;L'!AD44</f>
        <v/>
      </c>
      <c r="AE44" s="38">
        <f>'KNL GROUP P&amp;L'!AE44+'CCL GROUP P&amp;L'!AE44+'YBHN GROUP P&amp;L'!AE44+'YBN Group P&amp;L'!AE44+'HAB P&amp;L'!AE44+'Moe2 P&amp;L'!AE44</f>
        <v/>
      </c>
      <c r="AF44" s="38">
        <f>'KNL GROUP P&amp;L'!AF44+'CCL GROUP P&amp;L'!AF44+'YBHN GROUP P&amp;L'!AF44+'YBN Group P&amp;L'!AF44+'HAB P&amp;L'!AF44+'Moe2 P&amp;L'!AF44</f>
        <v/>
      </c>
      <c r="AG44" s="38">
        <f>'KNL GROUP P&amp;L'!AG44+'CCL GROUP P&amp;L'!AG44+'YBHN GROUP P&amp;L'!AG44+'YBN Group P&amp;L'!AG44+'HAB P&amp;L'!AG44+'Moe2 P&amp;L'!AG44</f>
        <v/>
      </c>
      <c r="AH44" s="38">
        <f>'KNL GROUP P&amp;L'!AH44+'CCL GROUP P&amp;L'!AH44+'YBHN GROUP P&amp;L'!AH44+'YBN Group P&amp;L'!AH44+'HAB P&amp;L'!AH44+'Moe2 P&amp;L'!AH44</f>
        <v/>
      </c>
      <c r="AI44" s="8" t="n"/>
      <c r="AJ44" s="36">
        <f>SUM(E44:Q44)-$N44</f>
        <v/>
      </c>
      <c r="AK44" s="36">
        <f>SUM(H44:T44)-$N44</f>
        <v/>
      </c>
      <c r="AL44" s="36">
        <f>SUM(K44:W44)-$N44</f>
        <v/>
      </c>
      <c r="AM44" s="36">
        <f>SUM(N44:Z44)-$N44</f>
        <v/>
      </c>
      <c r="AN44" s="40" t="n"/>
      <c r="AO44" s="92">
        <f>SUM(AC44:AE44)+SUM(R44:Z44)</f>
        <v/>
      </c>
      <c r="AP44" s="92">
        <f>SUM(AC44:AH44)+SUM(U44:Z44)</f>
        <v/>
      </c>
    </row>
    <row r="45">
      <c r="A45" s="34" t="inlineStr">
        <is>
          <t>Marketing</t>
        </is>
      </c>
      <c r="B45" s="35" t="n">
        <v>7231.62</v>
      </c>
      <c r="C45" s="35" t="n">
        <v>7485.74</v>
      </c>
      <c r="D45" s="35" t="n">
        <v>6009.32</v>
      </c>
      <c r="E45" s="35" t="n">
        <v>6562</v>
      </c>
      <c r="F45" s="35" t="n">
        <v>5022.37</v>
      </c>
      <c r="G45" s="35" t="n">
        <v>12641.18</v>
      </c>
      <c r="H45" s="35" t="n">
        <v>5292.8</v>
      </c>
      <c r="I45" s="35" t="n">
        <v>6869.37</v>
      </c>
      <c r="J45" s="35" t="n">
        <v>7028.809999999999</v>
      </c>
      <c r="K45" s="35" t="n">
        <v>3789.18</v>
      </c>
      <c r="L45" s="35" t="n">
        <v>2858.36</v>
      </c>
      <c r="M45" s="35" t="n">
        <v>1836.53</v>
      </c>
      <c r="N45" s="36">
        <f>SUM(B45:M45)</f>
        <v/>
      </c>
      <c r="O45" s="37">
        <f>SUMIF('Group TB '!$R:$R,'GROUP TOTALS MONTHLY P&amp;L'!$A45,'Group TB '!C:C)</f>
        <v/>
      </c>
      <c r="P45" s="37">
        <f>SUMIF('Group TB '!$R:$R,'GROUP TOTALS MONTHLY P&amp;L'!$A45,'Group TB '!D:D)</f>
        <v/>
      </c>
      <c r="Q45" s="37">
        <f>SUMIF('Group TB '!$R:$R,'GROUP TOTALS MONTHLY P&amp;L'!$A45,'Group TB '!E:E)</f>
        <v/>
      </c>
      <c r="R45" s="37">
        <f>SUMIF('Group TB '!$R:$R,'GROUP TOTALS MONTHLY P&amp;L'!$A45,'Group TB '!F:F)</f>
        <v/>
      </c>
      <c r="S45" s="37">
        <f>SUMIF('Group TB '!$R:$R,'GROUP TOTALS MONTHLY P&amp;L'!$A45,'Group TB '!G:G)</f>
        <v/>
      </c>
      <c r="T45" s="37">
        <f>SUMIF('Group TB '!$R:$R,'GROUP TOTALS MONTHLY P&amp;L'!$A45,'Group TB '!H:H)</f>
        <v/>
      </c>
      <c r="U45" s="37">
        <f>SUMIF('Group TB '!$R:$R,'GROUP TOTALS MONTHLY P&amp;L'!$A45,'Group TB '!I:I)</f>
        <v/>
      </c>
      <c r="V45" s="38">
        <f>'KNL GROUP P&amp;L'!V45+'CCL GROUP P&amp;L'!V45+'YBHN GROUP P&amp;L'!V45+'YBN Group P&amp;L'!V45+'HAB P&amp;L'!V45+'Moe2 P&amp;L'!V45</f>
        <v/>
      </c>
      <c r="W45" s="38">
        <f>'KNL GROUP P&amp;L'!W45+'CCL GROUP P&amp;L'!W45+'YBHN GROUP P&amp;L'!W45+'YBN Group P&amp;L'!W45+'HAB P&amp;L'!W45+'Moe2 P&amp;L'!W45</f>
        <v/>
      </c>
      <c r="X45" s="38">
        <f>'KNL GROUP P&amp;L'!X45+'CCL GROUP P&amp;L'!X45+'YBHN GROUP P&amp;L'!X45+'YBN Group P&amp;L'!X45+'HAB P&amp;L'!X45+'Moe2 P&amp;L'!X45</f>
        <v/>
      </c>
      <c r="Y45" s="38">
        <f>'KNL GROUP P&amp;L'!Y45+'CCL GROUP P&amp;L'!Y45+'YBHN GROUP P&amp;L'!Y45+'YBN Group P&amp;L'!Y45+'HAB P&amp;L'!Y45+'Moe2 P&amp;L'!Y45</f>
        <v/>
      </c>
      <c r="Z45" s="38">
        <f>'KNL GROUP P&amp;L'!Z45+'CCL GROUP P&amp;L'!Z45+'YBHN GROUP P&amp;L'!Z45+'YBN Group P&amp;L'!Z45+'HAB P&amp;L'!Z45+'Moe2 P&amp;L'!Z45</f>
        <v/>
      </c>
      <c r="AA45" s="36">
        <f>SUM(O45:U45)</f>
        <v/>
      </c>
      <c r="AB45" s="36">
        <f>SUM(O45:Z45)</f>
        <v/>
      </c>
      <c r="AC45" s="38">
        <f>'KNL GROUP P&amp;L'!AC45+'CCL GROUP P&amp;L'!AC45+'YBHN GROUP P&amp;L'!AC45+'YBN Group P&amp;L'!AC45+'HAB P&amp;L'!AC45+'Moe2 P&amp;L'!AC45</f>
        <v/>
      </c>
      <c r="AD45" s="38">
        <f>'KNL GROUP P&amp;L'!AD45+'CCL GROUP P&amp;L'!AD45+'YBHN GROUP P&amp;L'!AD45+'YBN Group P&amp;L'!AD45+'HAB P&amp;L'!AD45+'Moe2 P&amp;L'!AD45</f>
        <v/>
      </c>
      <c r="AE45" s="38">
        <f>'KNL GROUP P&amp;L'!AE45+'CCL GROUP P&amp;L'!AE45+'YBHN GROUP P&amp;L'!AE45+'YBN Group P&amp;L'!AE45+'HAB P&amp;L'!AE45+'Moe2 P&amp;L'!AE45</f>
        <v/>
      </c>
      <c r="AF45" s="38">
        <f>'KNL GROUP P&amp;L'!AF45+'CCL GROUP P&amp;L'!AF45+'YBHN GROUP P&amp;L'!AF45+'YBN Group P&amp;L'!AF45+'HAB P&amp;L'!AF45+'Moe2 P&amp;L'!AF45</f>
        <v/>
      </c>
      <c r="AG45" s="38">
        <f>'KNL GROUP P&amp;L'!AG45+'CCL GROUP P&amp;L'!AG45+'YBHN GROUP P&amp;L'!AG45+'YBN Group P&amp;L'!AG45+'HAB P&amp;L'!AG45+'Moe2 P&amp;L'!AG45</f>
        <v/>
      </c>
      <c r="AH45" s="38">
        <f>'KNL GROUP P&amp;L'!AH45+'CCL GROUP P&amp;L'!AH45+'YBHN GROUP P&amp;L'!AH45+'YBN Group P&amp;L'!AH45+'HAB P&amp;L'!AH45+'Moe2 P&amp;L'!AH45</f>
        <v/>
      </c>
      <c r="AI45" s="8" t="n"/>
      <c r="AJ45" s="36">
        <f>SUM(E45:Q45)-$N45</f>
        <v/>
      </c>
      <c r="AK45" s="36">
        <f>SUM(H45:T45)-$N45</f>
        <v/>
      </c>
      <c r="AL45" s="36">
        <f>SUM(K45:W45)-$N45</f>
        <v/>
      </c>
      <c r="AM45" s="36">
        <f>SUM(N45:Z45)-$N45</f>
        <v/>
      </c>
      <c r="AN45" s="40" t="n"/>
      <c r="AO45" s="92">
        <f>SUM(AC45:AE45)+SUM(R45:Z45)</f>
        <v/>
      </c>
      <c r="AP45" s="92">
        <f>SUM(AC45:AH45)+SUM(U45:Z45)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460.32</v>
      </c>
      <c r="I46" s="35" t="n">
        <v>475.15</v>
      </c>
      <c r="J46" s="35" t="n">
        <v>212.63</v>
      </c>
      <c r="K46" s="35" t="n">
        <v>102.57</v>
      </c>
      <c r="L46" s="35" t="n">
        <v>0</v>
      </c>
      <c r="M46" s="35" t="n">
        <v>55.85</v>
      </c>
      <c r="N46" s="36">
        <f>SUM(B46:M46)</f>
        <v/>
      </c>
      <c r="O46" s="37">
        <f>SUMIF('Group TB '!$R:$R,'GROUP TOTALS MONTHLY P&amp;L'!$A46,'Group TB '!C:C)</f>
        <v/>
      </c>
      <c r="P46" s="37">
        <f>SUMIF('Group TB '!$R:$R,'GROUP TOTALS MONTHLY P&amp;L'!$A46,'Group TB '!D:D)</f>
        <v/>
      </c>
      <c r="Q46" s="37">
        <f>SUMIF('Group TB '!$R:$R,'GROUP TOTALS MONTHLY P&amp;L'!$A46,'Group TB '!E:E)</f>
        <v/>
      </c>
      <c r="R46" s="37">
        <f>SUMIF('Group TB '!$R:$R,'GROUP TOTALS MONTHLY P&amp;L'!$A46,'Group TB '!F:F)</f>
        <v/>
      </c>
      <c r="S46" s="37">
        <f>SUMIF('Group TB '!$R:$R,'GROUP TOTALS MONTHLY P&amp;L'!$A46,'Group TB '!G:G)</f>
        <v/>
      </c>
      <c r="T46" s="37">
        <f>SUMIF('Group TB '!$R:$R,'GROUP TOTALS MONTHLY P&amp;L'!$A46,'Group TB '!H:H)</f>
        <v/>
      </c>
      <c r="U46" s="37">
        <f>SUMIF('Group TB '!$R:$R,'GROUP TOTALS MONTHLY P&amp;L'!$A46,'Group TB '!I:I)</f>
        <v/>
      </c>
      <c r="V46" s="38">
        <f>'KNL GROUP P&amp;L'!V46+'CCL GROUP P&amp;L'!V46+'YBHN GROUP P&amp;L'!V46+'YBN Group P&amp;L'!V46+'HAB P&amp;L'!V46+'Moe2 P&amp;L'!V46</f>
        <v/>
      </c>
      <c r="W46" s="38">
        <f>'KNL GROUP P&amp;L'!W46+'CCL GROUP P&amp;L'!W46+'YBHN GROUP P&amp;L'!W46+'YBN Group P&amp;L'!W46+'HAB P&amp;L'!W46+'Moe2 P&amp;L'!W46</f>
        <v/>
      </c>
      <c r="X46" s="38">
        <f>'KNL GROUP P&amp;L'!X46+'CCL GROUP P&amp;L'!X46+'YBHN GROUP P&amp;L'!X46+'YBN Group P&amp;L'!X46+'HAB P&amp;L'!X46+'Moe2 P&amp;L'!X46</f>
        <v/>
      </c>
      <c r="Y46" s="38">
        <f>'KNL GROUP P&amp;L'!Y46+'CCL GROUP P&amp;L'!Y46+'YBHN GROUP P&amp;L'!Y46+'YBN Group P&amp;L'!Y46+'HAB P&amp;L'!Y46+'Moe2 P&amp;L'!Y46</f>
        <v/>
      </c>
      <c r="Z46" s="38">
        <f>'KNL GROUP P&amp;L'!Z46+'CCL GROUP P&amp;L'!Z46+'YBHN GROUP P&amp;L'!Z46+'YBN Group P&amp;L'!Z46+'HAB P&amp;L'!Z46+'Moe2 P&amp;L'!Z46</f>
        <v/>
      </c>
      <c r="AA46" s="36">
        <f>SUM(O46:U46)</f>
        <v/>
      </c>
      <c r="AB46" s="36">
        <f>SUM(O46:Z46)</f>
        <v/>
      </c>
      <c r="AC46" s="38">
        <f>'KNL GROUP P&amp;L'!AC46+'CCL GROUP P&amp;L'!AC46+'YBHN GROUP P&amp;L'!AC46+'YBN Group P&amp;L'!AC46+'HAB P&amp;L'!AC46+'Moe2 P&amp;L'!AC46</f>
        <v/>
      </c>
      <c r="AD46" s="38">
        <f>'KNL GROUP P&amp;L'!AD46+'CCL GROUP P&amp;L'!AD46+'YBHN GROUP P&amp;L'!AD46+'YBN Group P&amp;L'!AD46+'HAB P&amp;L'!AD46+'Moe2 P&amp;L'!AD46</f>
        <v/>
      </c>
      <c r="AE46" s="38">
        <f>'KNL GROUP P&amp;L'!AE46+'CCL GROUP P&amp;L'!AE46+'YBHN GROUP P&amp;L'!AE46+'YBN Group P&amp;L'!AE46+'HAB P&amp;L'!AE46+'Moe2 P&amp;L'!AE46</f>
        <v/>
      </c>
      <c r="AF46" s="38">
        <f>'KNL GROUP P&amp;L'!AF46+'CCL GROUP P&amp;L'!AF46+'YBHN GROUP P&amp;L'!AF46+'YBN Group P&amp;L'!AF46+'HAB P&amp;L'!AF46+'Moe2 P&amp;L'!AF46</f>
        <v/>
      </c>
      <c r="AG46" s="38">
        <f>'KNL GROUP P&amp;L'!AG46+'CCL GROUP P&amp;L'!AG46+'YBHN GROUP P&amp;L'!AG46+'YBN Group P&amp;L'!AG46+'HAB P&amp;L'!AG46+'Moe2 P&amp;L'!AG46</f>
        <v/>
      </c>
      <c r="AH46" s="38">
        <f>'KNL GROUP P&amp;L'!AH46+'CCL GROUP P&amp;L'!AH46+'YBHN GROUP P&amp;L'!AH46+'YBN Group P&amp;L'!AH46+'HAB P&amp;L'!AH46+'Moe2 P&amp;L'!AH46</f>
        <v/>
      </c>
      <c r="AI46" s="8" t="n"/>
      <c r="AJ46" s="36">
        <f>SUM(E46:Q46)-$N46</f>
        <v/>
      </c>
      <c r="AK46" s="36">
        <f>SUM(H46:T46)-$N46</f>
        <v/>
      </c>
      <c r="AL46" s="36">
        <f>SUM(K46:W46)-$N46</f>
        <v/>
      </c>
      <c r="AM46" s="36">
        <f>SUM(N46:Z46)-$N46</f>
        <v/>
      </c>
      <c r="AN46" s="40" t="n"/>
      <c r="AO46" s="92">
        <f>SUM(AC46:AE46)+SUM(R46:Z46)</f>
        <v/>
      </c>
      <c r="AP46" s="92">
        <f>SUM(AC46:AH46)+SUM(U46:Z46)</f>
        <v/>
      </c>
    </row>
    <row r="47" ht="15.75" customHeight="1">
      <c r="A47" s="41" t="inlineStr">
        <is>
          <t>Total Premises &amp; Admin</t>
        </is>
      </c>
      <c r="B47" s="42" t="n">
        <v>104786.72</v>
      </c>
      <c r="C47" s="42" t="n">
        <v>102740.01</v>
      </c>
      <c r="D47" s="42" t="n">
        <v>109444.19</v>
      </c>
      <c r="E47" s="42" t="n">
        <v>113384.44</v>
      </c>
      <c r="F47" s="42" t="n">
        <v>96923.23999999999</v>
      </c>
      <c r="G47" s="42" t="n">
        <v>101096.97</v>
      </c>
      <c r="H47" s="42" t="n">
        <v>91871.87000000002</v>
      </c>
      <c r="I47" s="42" t="n">
        <v>90463.60999999999</v>
      </c>
      <c r="J47" s="42" t="n">
        <v>83945.06</v>
      </c>
      <c r="K47" s="42" t="n">
        <v>90760.58</v>
      </c>
      <c r="L47" s="42" t="n">
        <v>84121.7</v>
      </c>
      <c r="M47" s="42" t="n">
        <v>86490.11</v>
      </c>
      <c r="N47" s="43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'KNL GROUP P&amp;L'!V47+'CCL GROUP P&amp;L'!V47+'YBHN GROUP P&amp;L'!V47+'YBN Group P&amp;L'!V47+'HAB P&amp;L'!V47+'Moe2 P&amp;L'!V47</f>
        <v/>
      </c>
      <c r="W47" s="45">
        <f>'KNL GROUP P&amp;L'!W47+'CCL GROUP P&amp;L'!W47+'YBHN GROUP P&amp;L'!W47+'YBN Group P&amp;L'!W47+'HAB P&amp;L'!W47+'Moe2 P&amp;L'!W47</f>
        <v/>
      </c>
      <c r="X47" s="45">
        <f>'KNL GROUP P&amp;L'!X47+'CCL GROUP P&amp;L'!X47+'YBHN GROUP P&amp;L'!X47+'YBN Group P&amp;L'!X47+'HAB P&amp;L'!X47+'Moe2 P&amp;L'!X47</f>
        <v/>
      </c>
      <c r="Y47" s="45">
        <f>'KNL GROUP P&amp;L'!Y47+'CCL GROUP P&amp;L'!Y47+'YBHN GROUP P&amp;L'!Y47+'YBN Group P&amp;L'!Y47+'HAB P&amp;L'!Y47+'Moe2 P&amp;L'!Y47</f>
        <v/>
      </c>
      <c r="Z47" s="45">
        <f>'KNL GROUP P&amp;L'!Z47+'CCL GROUP P&amp;L'!Z47+'YBHN GROUP P&amp;L'!Z47+'YBN Group P&amp;L'!Z47+'HAB P&amp;L'!Z47+'Moe2 P&amp;L'!Z47</f>
        <v/>
      </c>
      <c r="AA47" s="43">
        <f>SUM(O47:U47)</f>
        <v/>
      </c>
      <c r="AB47" s="43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8" t="n"/>
      <c r="AJ47" s="43">
        <f>SUM(E47:Q47)-$N47</f>
        <v/>
      </c>
      <c r="AK47" s="43">
        <f>SUM(H47:T47)-$N47</f>
        <v/>
      </c>
      <c r="AL47" s="43">
        <f>SUM(K47:W47)-$N47</f>
        <v/>
      </c>
      <c r="AM47" s="43">
        <f>SUM(N47:Z47)-$N47</f>
        <v/>
      </c>
      <c r="AN47" s="40" t="n"/>
      <c r="AO47" s="93">
        <f>SUM(AC47:AE47)+SUM(R47:Z47)</f>
        <v/>
      </c>
      <c r="AP47" s="93">
        <f>SUM(AC47:AH47)+SUM(U47:Z47)</f>
        <v/>
      </c>
    </row>
    <row r="48" ht="15.75" customHeight="1">
      <c r="A48" s="96" t="inlineStr">
        <is>
          <t>Total Direct Costs</t>
        </is>
      </c>
      <c r="B48" s="97" t="n">
        <v>593308.08</v>
      </c>
      <c r="C48" s="97" t="n">
        <v>601457.04</v>
      </c>
      <c r="D48" s="97" t="n">
        <v>595179.59</v>
      </c>
      <c r="E48" s="97" t="n">
        <v>657683.8300000001</v>
      </c>
      <c r="F48" s="97" t="n">
        <v>657881.76</v>
      </c>
      <c r="G48" s="97" t="n">
        <v>641450.24</v>
      </c>
      <c r="H48" s="97" t="n">
        <v>670848.8300000001</v>
      </c>
      <c r="I48" s="97" t="n">
        <v>623265.5700000001</v>
      </c>
      <c r="J48" s="97" t="n">
        <v>643907.0899999999</v>
      </c>
      <c r="K48" s="97" t="n">
        <v>658803.66</v>
      </c>
      <c r="L48" s="97" t="n">
        <v>623280.2899999999</v>
      </c>
      <c r="M48" s="97" t="n">
        <v>631531.24</v>
      </c>
      <c r="N48" s="43">
        <f>SUM(B48:M48)</f>
        <v/>
      </c>
      <c r="O48" s="98">
        <f>O25+O34+O47</f>
        <v/>
      </c>
      <c r="P48" s="98">
        <f>P25+P34+P47</f>
        <v/>
      </c>
      <c r="Q48" s="98">
        <f>Q25+Q34+Q47</f>
        <v/>
      </c>
      <c r="R48" s="98">
        <f>R25+R34+R47</f>
        <v/>
      </c>
      <c r="S48" s="98">
        <f>S25+S34+S47</f>
        <v/>
      </c>
      <c r="T48" s="98">
        <f>T25+T34+T47</f>
        <v/>
      </c>
      <c r="U48" s="98">
        <f>U25+U34+U47</f>
        <v/>
      </c>
      <c r="V48" s="99">
        <f>V25+V34+V47</f>
        <v/>
      </c>
      <c r="W48" s="99">
        <f>W25+W34+W47</f>
        <v/>
      </c>
      <c r="X48" s="99">
        <f>X25+X34+X47</f>
        <v/>
      </c>
      <c r="Y48" s="99">
        <f>Y25+Y34+Y47</f>
        <v/>
      </c>
      <c r="Z48" s="99">
        <f>Z25+Z34+Z47</f>
        <v/>
      </c>
      <c r="AA48" s="43">
        <f>SUM(O48:U48)</f>
        <v/>
      </c>
      <c r="AB48" s="43">
        <f>AB25+AB34+AB47</f>
        <v/>
      </c>
      <c r="AC48" s="99">
        <f>AC25+AC34+AC47</f>
        <v/>
      </c>
      <c r="AD48" s="99">
        <f>AD25+AD34+AD47</f>
        <v/>
      </c>
      <c r="AE48" s="99">
        <f>AE25+AE34+AE47</f>
        <v/>
      </c>
      <c r="AF48" s="99">
        <f>AF25+AF34+AF47</f>
        <v/>
      </c>
      <c r="AG48" s="99">
        <f>AG25+AG34+AG47</f>
        <v/>
      </c>
      <c r="AH48" s="99">
        <f>AH25+AH34+AH47</f>
        <v/>
      </c>
      <c r="AI48" s="8" t="n"/>
      <c r="AJ48" s="43">
        <f>AJ25+AJ34+AJ47</f>
        <v/>
      </c>
      <c r="AK48" s="43">
        <f>AK25+AK34+AK47</f>
        <v/>
      </c>
      <c r="AL48" s="43">
        <f>AL25+AL34+AL47</f>
        <v/>
      </c>
      <c r="AM48" s="43">
        <f>AM25+AM34+AM47</f>
        <v/>
      </c>
      <c r="AN48" s="40" t="n"/>
      <c r="AO48" s="93">
        <f>AO25+AO34+AO47</f>
        <v/>
      </c>
      <c r="AP48" s="93">
        <f>AP25+AP34+AP47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 t="n"/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9">
        <f>SUM(O49:U49)</f>
        <v/>
      </c>
      <c r="AB49" s="100" t="n"/>
      <c r="AC49" s="20">
        <f>'KNL GROUP P&amp;L'!AC49+'CCL GROUP P&amp;L'!AC49+'YBHN GROUP P&amp;L'!AC49+'YBN Group P&amp;L'!AC49+'HAB P&amp;L'!AC49+'Moe2 P&amp;L'!AC49</f>
        <v/>
      </c>
      <c r="AD49" s="20">
        <f>'KNL GROUP P&amp;L'!AD49+'CCL GROUP P&amp;L'!AD49+'YBHN GROUP P&amp;L'!AD49+'YBN Group P&amp;L'!AD49+'HAB P&amp;L'!AD49+'Moe2 P&amp;L'!AD49</f>
        <v/>
      </c>
      <c r="AE49" s="20">
        <f>'KNL GROUP P&amp;L'!AE49+'CCL GROUP P&amp;L'!AE49+'YBHN GROUP P&amp;L'!AE49+'YBN Group P&amp;L'!AE49+'HAB P&amp;L'!AE49+'Moe2 P&amp;L'!AE49</f>
        <v/>
      </c>
      <c r="AF49" s="20">
        <f>'KNL GROUP P&amp;L'!AF49+'CCL GROUP P&amp;L'!AF49+'YBHN GROUP P&amp;L'!AF49+'YBN Group P&amp;L'!AF49+'HAB P&amp;L'!AF49+'Moe2 P&amp;L'!AF49</f>
        <v/>
      </c>
      <c r="AG49" s="20">
        <f>'KNL GROUP P&amp;L'!AG49+'CCL GROUP P&amp;L'!AG49+'YBHN GROUP P&amp;L'!AG49+'YBN Group P&amp;L'!AG49+'HAB P&amp;L'!AG49+'Moe2 P&amp;L'!AG49</f>
        <v/>
      </c>
      <c r="AH49" s="20">
        <f>'KNL GROUP P&amp;L'!AH49+'CCL GROUP P&amp;L'!AH49+'YBHN GROUP P&amp;L'!AH49+'YBN Group P&amp;L'!AH49+'HAB P&amp;L'!AH49+'Moe2 P&amp;L'!AH49</f>
        <v/>
      </c>
      <c r="AI49" s="8" t="n"/>
      <c r="AJ49" s="36" t="n"/>
      <c r="AK49" s="36" t="n"/>
      <c r="AL49" s="36" t="n"/>
      <c r="AM49" s="36" t="n"/>
      <c r="AN49" s="40" t="n"/>
      <c r="AO49" s="92" t="n"/>
      <c r="AP49" s="92" t="n"/>
    </row>
    <row r="50">
      <c r="A50" s="54" t="inlineStr">
        <is>
          <t>CONTRIBUTION</t>
        </is>
      </c>
      <c r="B50" s="55" t="n">
        <v>269219.9400000001</v>
      </c>
      <c r="C50" s="55" t="n">
        <v>301867</v>
      </c>
      <c r="D50" s="55" t="n">
        <v>478366.39</v>
      </c>
      <c r="E50" s="55" t="n">
        <v>308137.9299999997</v>
      </c>
      <c r="F50" s="55" t="n">
        <v>198014.5800000001</v>
      </c>
      <c r="G50" s="55" t="n">
        <v>340460.8300000001</v>
      </c>
      <c r="H50" s="55" t="n">
        <v>618330.7199999997</v>
      </c>
      <c r="I50" s="55" t="n">
        <v>141509.5499999999</v>
      </c>
      <c r="J50" s="55" t="n">
        <v>119024.2300000001</v>
      </c>
      <c r="K50" s="55" t="n">
        <v>137562.37</v>
      </c>
      <c r="L50" s="55" t="n">
        <v>324270.7100000001</v>
      </c>
      <c r="M50" s="55" t="n">
        <v>536706.72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101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56" t="n"/>
      <c r="AJ50" s="101">
        <f>AJ11-AJ48</f>
        <v/>
      </c>
      <c r="AK50" s="101">
        <f>AK11-AK48</f>
        <v/>
      </c>
      <c r="AL50" s="101">
        <f>AL11-AL48</f>
        <v/>
      </c>
      <c r="AM50" s="101">
        <f>AM11-AM48</f>
        <v/>
      </c>
      <c r="AN50" s="56" t="n"/>
      <c r="AO50" s="102">
        <f>AO11-AO48</f>
        <v/>
      </c>
      <c r="AP50" s="102">
        <f>AP11-AP48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 t="n"/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9">
        <f>SUM(O51:U51)</f>
        <v/>
      </c>
      <c r="AB51" s="36" t="n"/>
      <c r="AC51" s="20">
        <f>'KNL GROUP P&amp;L'!AC51+'CCL GROUP P&amp;L'!AC51+'YBHN GROUP P&amp;L'!AC51+'YBN Group P&amp;L'!AC51+'HAB P&amp;L'!AC51+'Moe2 P&amp;L'!AC51</f>
        <v/>
      </c>
      <c r="AD51" s="20">
        <f>'KNL GROUP P&amp;L'!AD51+'CCL GROUP P&amp;L'!AD51+'YBHN GROUP P&amp;L'!AD51+'YBN Group P&amp;L'!AD51+'HAB P&amp;L'!AD51+'Moe2 P&amp;L'!AD51</f>
        <v/>
      </c>
      <c r="AE51" s="20">
        <f>'KNL GROUP P&amp;L'!AE51+'CCL GROUP P&amp;L'!AE51+'YBHN GROUP P&amp;L'!AE51+'YBN Group P&amp;L'!AE51+'HAB P&amp;L'!AE51+'Moe2 P&amp;L'!AE51</f>
        <v/>
      </c>
      <c r="AF51" s="20">
        <f>'KNL GROUP P&amp;L'!AF51+'CCL GROUP P&amp;L'!AF51+'YBHN GROUP P&amp;L'!AF51+'YBN Group P&amp;L'!AF51+'HAB P&amp;L'!AF51+'Moe2 P&amp;L'!AF51</f>
        <v/>
      </c>
      <c r="AG51" s="20">
        <f>'KNL GROUP P&amp;L'!AG51+'CCL GROUP P&amp;L'!AG51+'YBHN GROUP P&amp;L'!AG51+'YBN Group P&amp;L'!AG51+'HAB P&amp;L'!AG51+'Moe2 P&amp;L'!AG51</f>
        <v/>
      </c>
      <c r="AH51" s="20">
        <f>'KNL GROUP P&amp;L'!AH51+'CCL GROUP P&amp;L'!AH51+'YBHN GROUP P&amp;L'!AH51+'YBN Group P&amp;L'!AH51+'HAB P&amp;L'!AH51+'Moe2 P&amp;L'!AH51</f>
        <v/>
      </c>
      <c r="AI51" s="8" t="n"/>
      <c r="AJ51" s="36" t="n"/>
      <c r="AK51" s="36" t="n"/>
      <c r="AL51" s="36" t="n"/>
      <c r="AM51" s="36" t="n"/>
      <c r="AN51" s="40" t="n"/>
      <c r="AO51" s="92" t="n"/>
      <c r="AP51" s="92" t="n"/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 t="n"/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9">
        <f>SUM(O52:U52)</f>
        <v/>
      </c>
      <c r="AB52" s="36" t="n"/>
      <c r="AC52" s="20">
        <f>'KNL GROUP P&amp;L'!AC52+'CCL GROUP P&amp;L'!AC52+'YBHN GROUP P&amp;L'!AC52+'YBN Group P&amp;L'!AC52+'HAB P&amp;L'!AC52+'Moe2 P&amp;L'!AC52</f>
        <v/>
      </c>
      <c r="AD52" s="20">
        <f>'KNL GROUP P&amp;L'!AD52+'CCL GROUP P&amp;L'!AD52+'YBHN GROUP P&amp;L'!AD52+'YBN Group P&amp;L'!AD52+'HAB P&amp;L'!AD52+'Moe2 P&amp;L'!AD52</f>
        <v/>
      </c>
      <c r="AE52" s="20">
        <f>'KNL GROUP P&amp;L'!AE52+'CCL GROUP P&amp;L'!AE52+'YBHN GROUP P&amp;L'!AE52+'YBN Group P&amp;L'!AE52+'HAB P&amp;L'!AE52+'Moe2 P&amp;L'!AE52</f>
        <v/>
      </c>
      <c r="AF52" s="20">
        <f>'KNL GROUP P&amp;L'!AF52+'CCL GROUP P&amp;L'!AF52+'YBHN GROUP P&amp;L'!AF52+'YBN Group P&amp;L'!AF52+'HAB P&amp;L'!AF52+'Moe2 P&amp;L'!AF52</f>
        <v/>
      </c>
      <c r="AG52" s="20">
        <f>'KNL GROUP P&amp;L'!AG52+'CCL GROUP P&amp;L'!AG52+'YBHN GROUP P&amp;L'!AG52+'YBN Group P&amp;L'!AG52+'HAB P&amp;L'!AG52+'Moe2 P&amp;L'!AG52</f>
        <v/>
      </c>
      <c r="AH52" s="20">
        <f>'KNL GROUP P&amp;L'!AH52+'CCL GROUP P&amp;L'!AH52+'YBHN GROUP P&amp;L'!AH52+'YBN Group P&amp;L'!AH52+'HAB P&amp;L'!AH52+'Moe2 P&amp;L'!AH52</f>
        <v/>
      </c>
      <c r="AI52" s="8" t="n"/>
      <c r="AJ52" s="36" t="n"/>
      <c r="AK52" s="36" t="n"/>
      <c r="AL52" s="36" t="n"/>
      <c r="AM52" s="36" t="n"/>
      <c r="AN52" s="40" t="n"/>
      <c r="AO52" s="92" t="n"/>
      <c r="AP52" s="92" t="n"/>
    </row>
    <row r="53">
      <c r="A53" s="34" t="inlineStr">
        <is>
          <t>HO Salaries</t>
        </is>
      </c>
      <c r="B53" s="35" t="n">
        <v>82089.10000000001</v>
      </c>
      <c r="C53" s="35" t="n">
        <v>83145.28</v>
      </c>
      <c r="D53" s="35" t="n">
        <v>82791.22</v>
      </c>
      <c r="E53" s="35" t="n">
        <v>134235.96</v>
      </c>
      <c r="F53" s="35" t="n">
        <v>81426.45999999999</v>
      </c>
      <c r="G53" s="35" t="n">
        <v>97910.46000000001</v>
      </c>
      <c r="H53" s="35" t="n">
        <v>97978.69</v>
      </c>
      <c r="I53" s="35" t="n">
        <v>112374.73</v>
      </c>
      <c r="J53" s="35" t="n">
        <v>137394</v>
      </c>
      <c r="K53" s="35" t="n">
        <v>102166.94</v>
      </c>
      <c r="L53" s="35" t="n">
        <v>108279</v>
      </c>
      <c r="M53" s="35" t="n">
        <v>384692.96</v>
      </c>
      <c r="N53" s="36">
        <f>SUM(B53:M53)</f>
        <v/>
      </c>
      <c r="O53" s="37">
        <f>SUMIF('Group TB '!$R:$R,'GROUP TOTALS MONTHLY P&amp;L'!$A53,'Group TB '!C:C)</f>
        <v/>
      </c>
      <c r="P53" s="37">
        <f>SUMIF('Group TB '!$R:$R,'GROUP TOTALS MONTHLY P&amp;L'!$A53,'Group TB '!D:D)</f>
        <v/>
      </c>
      <c r="Q53" s="37">
        <f>SUMIF('Group TB '!$R:$R,'GROUP TOTALS MONTHLY P&amp;L'!$A53,'Group TB '!E:E)</f>
        <v/>
      </c>
      <c r="R53" s="37">
        <f>SUMIF('Group TB '!$R:$R,'GROUP TOTALS MONTHLY P&amp;L'!$A53,'Group TB '!F:F)</f>
        <v/>
      </c>
      <c r="S53" s="37">
        <f>SUMIF('Group TB '!$R:$R,'GROUP TOTALS MONTHLY P&amp;L'!$A53,'Group TB '!G:G)</f>
        <v/>
      </c>
      <c r="T53" s="37">
        <f>SUMIF('Group TB '!$R:$R,'GROUP TOTALS MONTHLY P&amp;L'!$A53,'Group TB '!H:H)</f>
        <v/>
      </c>
      <c r="U53" s="37">
        <f>SUMIF('Group TB '!$R:$R,'GROUP TOTALS MONTHLY P&amp;L'!$A53,'Group TB '!I:I)</f>
        <v/>
      </c>
      <c r="V53" s="38">
        <f>'KNL GROUP P&amp;L'!V53+'CCL GROUP P&amp;L'!V53+'YBHN GROUP P&amp;L'!V53+'YBN Group P&amp;L'!V53+'HAB P&amp;L'!V53+'Moe2 P&amp;L'!V53</f>
        <v/>
      </c>
      <c r="W53" s="38">
        <f>'KNL GROUP P&amp;L'!W53+'CCL GROUP P&amp;L'!W53+'YBHN GROUP P&amp;L'!W53+'YBN Group P&amp;L'!W53+'HAB P&amp;L'!W53+'Moe2 P&amp;L'!W53</f>
        <v/>
      </c>
      <c r="X53" s="38">
        <f>'KNL GROUP P&amp;L'!X53+'CCL GROUP P&amp;L'!X53+'YBHN GROUP P&amp;L'!X53+'YBN Group P&amp;L'!X53+'HAB P&amp;L'!X53+'Moe2 P&amp;L'!X53</f>
        <v/>
      </c>
      <c r="Y53" s="38">
        <f>'KNL GROUP P&amp;L'!Y53+'CCL GROUP P&amp;L'!Y53+'YBHN GROUP P&amp;L'!Y53+'YBN Group P&amp;L'!Y53+'HAB P&amp;L'!Y53+'Moe2 P&amp;L'!Y53</f>
        <v/>
      </c>
      <c r="Z53" s="103">
        <f>'KNL GROUP P&amp;L'!Z53+'CCL GROUP P&amp;L'!Z53+'YBHN GROUP P&amp;L'!Z53+'YBN Group P&amp;L'!Z53+'HAB P&amp;L'!Z53+'Moe2 P&amp;L'!Z53</f>
        <v/>
      </c>
      <c r="AA53" s="36">
        <f>SUM(O53:U53)</f>
        <v/>
      </c>
      <c r="AB53" s="36">
        <f>SUM(O53:Z53)</f>
        <v/>
      </c>
      <c r="AC53" s="38">
        <f>'KNL GROUP P&amp;L'!AC53+'CCL GROUP P&amp;L'!AC53+'YBHN GROUP P&amp;L'!AC53+'YBN Group P&amp;L'!AC53+'HAB P&amp;L'!AC53+'Moe2 P&amp;L'!AC53</f>
        <v/>
      </c>
      <c r="AD53" s="38">
        <f>'KNL GROUP P&amp;L'!AD53+'CCL GROUP P&amp;L'!AD53+'YBHN GROUP P&amp;L'!AD53+'YBN Group P&amp;L'!AD53+'HAB P&amp;L'!AD53+'Moe2 P&amp;L'!AD53</f>
        <v/>
      </c>
      <c r="AE53" s="38">
        <f>'KNL GROUP P&amp;L'!AE53+'CCL GROUP P&amp;L'!AE53+'YBHN GROUP P&amp;L'!AE53+'YBN Group P&amp;L'!AE53+'HAB P&amp;L'!AE53+'Moe2 P&amp;L'!AE53</f>
        <v/>
      </c>
      <c r="AF53" s="38">
        <f>'KNL GROUP P&amp;L'!AF53+'CCL GROUP P&amp;L'!AF53+'YBHN GROUP P&amp;L'!AF53+'YBN Group P&amp;L'!AF53+'HAB P&amp;L'!AF53+'Moe2 P&amp;L'!AF53</f>
        <v/>
      </c>
      <c r="AG53" s="38">
        <f>'KNL GROUP P&amp;L'!AG53+'CCL GROUP P&amp;L'!AG53+'YBHN GROUP P&amp;L'!AG53+'YBN Group P&amp;L'!AG53+'HAB P&amp;L'!AG53+'Moe2 P&amp;L'!AG53</f>
        <v/>
      </c>
      <c r="AH53" s="38">
        <f>'KNL GROUP P&amp;L'!AH53+'CCL GROUP P&amp;L'!AH53+'YBHN GROUP P&amp;L'!AH53+'YBN Group P&amp;L'!AH53+'HAB P&amp;L'!AH53+'Moe2 P&amp;L'!AH53</f>
        <v/>
      </c>
      <c r="AI53" s="8" t="n"/>
      <c r="AJ53" s="36">
        <f>SUM(E53:Q53)-$N53</f>
        <v/>
      </c>
      <c r="AK53" s="36">
        <f>SUM(H53:T53)-$N53</f>
        <v/>
      </c>
      <c r="AL53" s="36">
        <f>SUM(K53:W53)-$N53</f>
        <v/>
      </c>
      <c r="AM53" s="36">
        <f>SUM(N53:Z53)-$N53</f>
        <v/>
      </c>
      <c r="AN53" s="40" t="n"/>
      <c r="AO53" s="92">
        <f>SUM(AC53:AE53)+SUM(R53:Z53)</f>
        <v/>
      </c>
      <c r="AP53" s="92">
        <f>SUM(AC53:AH53)+SUM(U53:Z53)</f>
        <v/>
      </c>
    </row>
    <row r="54">
      <c r="A54" s="34" t="inlineStr">
        <is>
          <t>HO NI</t>
        </is>
      </c>
      <c r="B54" s="35" t="n">
        <v>9992.110000000001</v>
      </c>
      <c r="C54" s="35" t="n">
        <v>11326.84</v>
      </c>
      <c r="D54" s="35" t="n">
        <v>11325.06</v>
      </c>
      <c r="E54" s="35" t="n">
        <v>20699.56</v>
      </c>
      <c r="F54" s="35" t="n">
        <v>12797.69</v>
      </c>
      <c r="G54" s="35" t="n">
        <v>15261.34</v>
      </c>
      <c r="H54" s="35" t="n">
        <v>15170.04</v>
      </c>
      <c r="I54" s="35" t="n">
        <v>17278.08</v>
      </c>
      <c r="J54" s="35" t="n">
        <v>15614.88</v>
      </c>
      <c r="K54" s="35" t="n">
        <v>14827.88</v>
      </c>
      <c r="L54" s="35" t="n">
        <v>15458.86</v>
      </c>
      <c r="M54" s="35" t="n">
        <v>57020.84</v>
      </c>
      <c r="N54" s="36">
        <f>SUM(B54:M54)</f>
        <v/>
      </c>
      <c r="O54" s="37">
        <f>SUMIF('Group TB '!$R:$R,'GROUP TOTALS MONTHLY P&amp;L'!$A54,'Group TB '!C:C)</f>
        <v/>
      </c>
      <c r="P54" s="37">
        <f>SUMIF('Group TB '!$R:$R,'GROUP TOTALS MONTHLY P&amp;L'!$A54,'Group TB '!D:D)</f>
        <v/>
      </c>
      <c r="Q54" s="37">
        <f>SUMIF('Group TB '!$R:$R,'GROUP TOTALS MONTHLY P&amp;L'!$A54,'Group TB '!E:E)</f>
        <v/>
      </c>
      <c r="R54" s="37">
        <f>SUMIF('Group TB '!$R:$R,'GROUP TOTALS MONTHLY P&amp;L'!$A54,'Group TB '!F:F)</f>
        <v/>
      </c>
      <c r="S54" s="37">
        <f>SUMIF('Group TB '!$R:$R,'GROUP TOTALS MONTHLY P&amp;L'!$A54,'Group TB '!G:G)</f>
        <v/>
      </c>
      <c r="T54" s="37">
        <f>SUMIF('Group TB '!$R:$R,'GROUP TOTALS MONTHLY P&amp;L'!$A54,'Group TB '!H:H)</f>
        <v/>
      </c>
      <c r="U54" s="37">
        <f>SUMIF('Group TB '!$R:$R,'GROUP TOTALS MONTHLY P&amp;L'!$A54,'Group TB '!I:I)</f>
        <v/>
      </c>
      <c r="V54" s="38">
        <f>'KNL GROUP P&amp;L'!V54+'CCL GROUP P&amp;L'!V54+'YBHN GROUP P&amp;L'!V54+'YBN Group P&amp;L'!V54+'HAB P&amp;L'!V54+'Moe2 P&amp;L'!V54</f>
        <v/>
      </c>
      <c r="W54" s="38">
        <f>'KNL GROUP P&amp;L'!W54+'CCL GROUP P&amp;L'!W54+'YBHN GROUP P&amp;L'!W54+'YBN Group P&amp;L'!W54+'HAB P&amp;L'!W54+'Moe2 P&amp;L'!W54</f>
        <v/>
      </c>
      <c r="X54" s="38">
        <f>'KNL GROUP P&amp;L'!X54+'CCL GROUP P&amp;L'!X54+'YBHN GROUP P&amp;L'!X54+'YBN Group P&amp;L'!X54+'HAB P&amp;L'!X54+'Moe2 P&amp;L'!X54</f>
        <v/>
      </c>
      <c r="Y54" s="38">
        <f>'KNL GROUP P&amp;L'!Y54+'CCL GROUP P&amp;L'!Y54+'YBHN GROUP P&amp;L'!Y54+'YBN Group P&amp;L'!Y54+'HAB P&amp;L'!Y54+'Moe2 P&amp;L'!Y54</f>
        <v/>
      </c>
      <c r="Z54" s="38">
        <f>'KNL GROUP P&amp;L'!Z54+'CCL GROUP P&amp;L'!Z54+'YBHN GROUP P&amp;L'!Z54+'YBN Group P&amp;L'!Z54+'HAB P&amp;L'!Z54+'Moe2 P&amp;L'!Z54</f>
        <v/>
      </c>
      <c r="AA54" s="36">
        <f>SUM(O54:U54)</f>
        <v/>
      </c>
      <c r="AB54" s="36">
        <f>SUM(O54:Z54)</f>
        <v/>
      </c>
      <c r="AC54" s="38">
        <f>'KNL GROUP P&amp;L'!AC54+'CCL GROUP P&amp;L'!AC54+'YBHN GROUP P&amp;L'!AC54+'YBN Group P&amp;L'!AC54+'HAB P&amp;L'!AC54+'Moe2 P&amp;L'!AC54</f>
        <v/>
      </c>
      <c r="AD54" s="38">
        <f>'KNL GROUP P&amp;L'!AD54+'CCL GROUP P&amp;L'!AD54+'YBHN GROUP P&amp;L'!AD54+'YBN Group P&amp;L'!AD54+'HAB P&amp;L'!AD54+'Moe2 P&amp;L'!AD54</f>
        <v/>
      </c>
      <c r="AE54" s="38">
        <f>'KNL GROUP P&amp;L'!AE54+'CCL GROUP P&amp;L'!AE54+'YBHN GROUP P&amp;L'!AE54+'YBN Group P&amp;L'!AE54+'HAB P&amp;L'!AE54+'Moe2 P&amp;L'!AE54</f>
        <v/>
      </c>
      <c r="AF54" s="38">
        <f>'KNL GROUP P&amp;L'!AF54+'CCL GROUP P&amp;L'!AF54+'YBHN GROUP P&amp;L'!AF54+'YBN Group P&amp;L'!AF54+'HAB P&amp;L'!AF54+'Moe2 P&amp;L'!AF54</f>
        <v/>
      </c>
      <c r="AG54" s="38">
        <f>'KNL GROUP P&amp;L'!AG54+'CCL GROUP P&amp;L'!AG54+'YBHN GROUP P&amp;L'!AG54+'YBN Group P&amp;L'!AG54+'HAB P&amp;L'!AG54+'Moe2 P&amp;L'!AG54</f>
        <v/>
      </c>
      <c r="AH54" s="38">
        <f>'KNL GROUP P&amp;L'!AH54+'CCL GROUP P&amp;L'!AH54+'YBHN GROUP P&amp;L'!AH54+'YBN Group P&amp;L'!AH54+'HAB P&amp;L'!AH54+'Moe2 P&amp;L'!AH54</f>
        <v/>
      </c>
      <c r="AI54" s="8" t="n"/>
      <c r="AJ54" s="36">
        <f>SUM(E54:Q54)-$N54</f>
        <v/>
      </c>
      <c r="AK54" s="36">
        <f>SUM(H54:T54)-$N54</f>
        <v/>
      </c>
      <c r="AL54" s="36">
        <f>SUM(K54:W54)-$N54</f>
        <v/>
      </c>
      <c r="AM54" s="36">
        <f>SUM(N54:Z54)-$N54</f>
        <v/>
      </c>
      <c r="AN54" s="40" t="n"/>
      <c r="AO54" s="92">
        <f>SUM(AC54:AE54)+SUM(R54:Z54)</f>
        <v/>
      </c>
      <c r="AP54" s="92">
        <f>SUM(AC54:AH54)+SUM(U54:Z54)</f>
        <v/>
      </c>
    </row>
    <row r="55">
      <c r="A55" s="34" t="inlineStr">
        <is>
          <t>HO Health Care</t>
        </is>
      </c>
      <c r="B55" s="35" t="n">
        <v>697.83</v>
      </c>
      <c r="C55" s="35" t="n">
        <v>754.1500000000001</v>
      </c>
      <c r="D55" s="35" t="n">
        <v>754.1500000000001</v>
      </c>
      <c r="E55" s="35" t="n">
        <v>754.1500000000001</v>
      </c>
      <c r="F55" s="35" t="n">
        <v>754.1500000000001</v>
      </c>
      <c r="G55" s="35" t="n">
        <v>645.13</v>
      </c>
      <c r="H55" s="35" t="n">
        <v>711.13</v>
      </c>
      <c r="I55" s="35" t="n">
        <v>711.13</v>
      </c>
      <c r="J55" s="35" t="n">
        <v>711.13</v>
      </c>
      <c r="K55" s="35" t="n">
        <v>343.6</v>
      </c>
      <c r="L55" s="35" t="n">
        <v>397.55</v>
      </c>
      <c r="M55" s="35" t="n">
        <v>397.55</v>
      </c>
      <c r="N55" s="36">
        <f>SUM(B55:M55)</f>
        <v/>
      </c>
      <c r="O55" s="37">
        <f>SUMIF('Group TB '!$R:$R,'GROUP TOTALS MONTHLY P&amp;L'!$A55,'Group TB '!C:C)</f>
        <v/>
      </c>
      <c r="P55" s="37">
        <f>SUMIF('Group TB '!$R:$R,'GROUP TOTALS MONTHLY P&amp;L'!$A55,'Group TB '!D:D)</f>
        <v/>
      </c>
      <c r="Q55" s="37">
        <f>SUMIF('Group TB '!$R:$R,'GROUP TOTALS MONTHLY P&amp;L'!$A55,'Group TB '!E:E)</f>
        <v/>
      </c>
      <c r="R55" s="37">
        <f>SUMIF('Group TB '!$R:$R,'GROUP TOTALS MONTHLY P&amp;L'!$A55,'Group TB '!F:F)</f>
        <v/>
      </c>
      <c r="S55" s="37">
        <f>SUMIF('Group TB '!$R:$R,'GROUP TOTALS MONTHLY P&amp;L'!$A55,'Group TB '!G:G)</f>
        <v/>
      </c>
      <c r="T55" s="37">
        <f>SUMIF('Group TB '!$R:$R,'GROUP TOTALS MONTHLY P&amp;L'!$A55,'Group TB '!H:H)</f>
        <v/>
      </c>
      <c r="U55" s="37">
        <f>SUMIF('Group TB '!$R:$R,'GROUP TOTALS MONTHLY P&amp;L'!$A55,'Group TB '!I:I)</f>
        <v/>
      </c>
      <c r="V55" s="38">
        <f>'KNL GROUP P&amp;L'!V55+'CCL GROUP P&amp;L'!V55+'YBHN GROUP P&amp;L'!V55+'YBN Group P&amp;L'!V55+'HAB P&amp;L'!V55+'Moe2 P&amp;L'!V55</f>
        <v/>
      </c>
      <c r="W55" s="38">
        <f>'KNL GROUP P&amp;L'!W55+'CCL GROUP P&amp;L'!W55+'YBHN GROUP P&amp;L'!W55+'YBN Group P&amp;L'!W55+'HAB P&amp;L'!W55+'Moe2 P&amp;L'!W55</f>
        <v/>
      </c>
      <c r="X55" s="38">
        <f>'KNL GROUP P&amp;L'!X55+'CCL GROUP P&amp;L'!X55+'YBHN GROUP P&amp;L'!X55+'YBN Group P&amp;L'!X55+'HAB P&amp;L'!X55+'Moe2 P&amp;L'!X55</f>
        <v/>
      </c>
      <c r="Y55" s="38">
        <f>'KNL GROUP P&amp;L'!Y55+'CCL GROUP P&amp;L'!Y55+'YBHN GROUP P&amp;L'!Y55+'YBN Group P&amp;L'!Y55+'HAB P&amp;L'!Y55+'Moe2 P&amp;L'!Y55</f>
        <v/>
      </c>
      <c r="Z55" s="38">
        <f>'KNL GROUP P&amp;L'!Z55+'CCL GROUP P&amp;L'!Z55+'YBHN GROUP P&amp;L'!Z55+'YBN Group P&amp;L'!Z55+'HAB P&amp;L'!Z55+'Moe2 P&amp;L'!Z55</f>
        <v/>
      </c>
      <c r="AA55" s="36">
        <f>SUM(O55:U55)</f>
        <v/>
      </c>
      <c r="AB55" s="36">
        <f>SUM(O55:Z55)</f>
        <v/>
      </c>
      <c r="AC55" s="38">
        <f>'KNL GROUP P&amp;L'!AC55+'CCL GROUP P&amp;L'!AC55+'YBHN GROUP P&amp;L'!AC55+'YBN Group P&amp;L'!AC55+'HAB P&amp;L'!AC55+'Moe2 P&amp;L'!AC55</f>
        <v/>
      </c>
      <c r="AD55" s="38">
        <f>'KNL GROUP P&amp;L'!AD55+'CCL GROUP P&amp;L'!AD55+'YBHN GROUP P&amp;L'!AD55+'YBN Group P&amp;L'!AD55+'HAB P&amp;L'!AD55+'Moe2 P&amp;L'!AD55</f>
        <v/>
      </c>
      <c r="AE55" s="38">
        <f>'KNL GROUP P&amp;L'!AE55+'CCL GROUP P&amp;L'!AE55+'YBHN GROUP P&amp;L'!AE55+'YBN Group P&amp;L'!AE55+'HAB P&amp;L'!AE55+'Moe2 P&amp;L'!AE55</f>
        <v/>
      </c>
      <c r="AF55" s="38">
        <f>'KNL GROUP P&amp;L'!AF55+'CCL GROUP P&amp;L'!AF55+'YBHN GROUP P&amp;L'!AF55+'YBN Group P&amp;L'!AF55+'HAB P&amp;L'!AF55+'Moe2 P&amp;L'!AF55</f>
        <v/>
      </c>
      <c r="AG55" s="38">
        <f>'KNL GROUP P&amp;L'!AG55+'CCL GROUP P&amp;L'!AG55+'YBHN GROUP P&amp;L'!AG55+'YBN Group P&amp;L'!AG55+'HAB P&amp;L'!AG55+'Moe2 P&amp;L'!AG55</f>
        <v/>
      </c>
      <c r="AH55" s="38">
        <f>'KNL GROUP P&amp;L'!AH55+'CCL GROUP P&amp;L'!AH55+'YBHN GROUP P&amp;L'!AH55+'YBN Group P&amp;L'!AH55+'HAB P&amp;L'!AH55+'Moe2 P&amp;L'!AH55</f>
        <v/>
      </c>
      <c r="AI55" s="8" t="n"/>
      <c r="AJ55" s="36">
        <f>SUM(E55:Q55)-$N55</f>
        <v/>
      </c>
      <c r="AK55" s="36">
        <f>SUM(H55:T55)-$N55</f>
        <v/>
      </c>
      <c r="AL55" s="36">
        <f>SUM(K55:W55)-$N55</f>
        <v/>
      </c>
      <c r="AM55" s="36">
        <f>SUM(N55:Z55)-$N55</f>
        <v/>
      </c>
      <c r="AN55" s="40" t="n"/>
      <c r="AO55" s="92">
        <f>SUM(AC55:AE55)+SUM(R55:Z55)</f>
        <v/>
      </c>
      <c r="AP55" s="92">
        <f>SUM(AC55:AH55)+SUM(U55:Z55)</f>
        <v/>
      </c>
    </row>
    <row r="56">
      <c r="A56" s="34" t="inlineStr">
        <is>
          <t>HO Pension</t>
        </is>
      </c>
      <c r="B56" s="35" t="n">
        <v>832.4000000000001</v>
      </c>
      <c r="C56" s="35" t="n">
        <v>886.37</v>
      </c>
      <c r="D56" s="35" t="n">
        <v>987.53</v>
      </c>
      <c r="E56" s="35" t="n">
        <v>1010.72</v>
      </c>
      <c r="F56" s="35" t="n">
        <v>917.11</v>
      </c>
      <c r="G56" s="35" t="n">
        <v>900.63</v>
      </c>
      <c r="H56" s="35" t="n">
        <v>1072.08</v>
      </c>
      <c r="I56" s="35" t="n">
        <v>989.58</v>
      </c>
      <c r="J56" s="35" t="n">
        <v>823.79</v>
      </c>
      <c r="K56" s="35" t="n">
        <v>958.6500000000001</v>
      </c>
      <c r="L56" s="35" t="n">
        <v>1038.97</v>
      </c>
      <c r="M56" s="35" t="n">
        <v>980.35</v>
      </c>
      <c r="N56" s="36">
        <f>SUM(B56:M56)</f>
        <v/>
      </c>
      <c r="O56" s="37">
        <f>SUMIF('Group TB '!$R:$R,'GROUP TOTALS MONTHLY P&amp;L'!$A56,'Group TB '!C:C)</f>
        <v/>
      </c>
      <c r="P56" s="37">
        <f>SUMIF('Group TB '!$R:$R,'GROUP TOTALS MONTHLY P&amp;L'!$A56,'Group TB '!D:D)</f>
        <v/>
      </c>
      <c r="Q56" s="37">
        <f>SUMIF('Group TB '!$R:$R,'GROUP TOTALS MONTHLY P&amp;L'!$A56,'Group TB '!E:E)</f>
        <v/>
      </c>
      <c r="R56" s="37">
        <f>SUMIF('Group TB '!$R:$R,'GROUP TOTALS MONTHLY P&amp;L'!$A56,'Group TB '!F:F)</f>
        <v/>
      </c>
      <c r="S56" s="37">
        <f>SUMIF('Group TB '!$R:$R,'GROUP TOTALS MONTHLY P&amp;L'!$A56,'Group TB '!G:G)</f>
        <v/>
      </c>
      <c r="T56" s="37">
        <f>SUMIF('Group TB '!$R:$R,'GROUP TOTALS MONTHLY P&amp;L'!$A56,'Group TB '!H:H)</f>
        <v/>
      </c>
      <c r="U56" s="37">
        <f>SUMIF('Group TB '!$R:$R,'GROUP TOTALS MONTHLY P&amp;L'!$A56,'Group TB '!I:I)</f>
        <v/>
      </c>
      <c r="V56" s="38">
        <f>'KNL GROUP P&amp;L'!V56+'CCL GROUP P&amp;L'!V56+'YBHN GROUP P&amp;L'!V56+'YBN Group P&amp;L'!V56+'HAB P&amp;L'!V56+'Moe2 P&amp;L'!V56</f>
        <v/>
      </c>
      <c r="W56" s="38">
        <f>'KNL GROUP P&amp;L'!W56+'CCL GROUP P&amp;L'!W56+'YBHN GROUP P&amp;L'!W56+'YBN Group P&amp;L'!W56+'HAB P&amp;L'!W56+'Moe2 P&amp;L'!W56</f>
        <v/>
      </c>
      <c r="X56" s="38">
        <f>'KNL GROUP P&amp;L'!X56+'CCL GROUP P&amp;L'!X56+'YBHN GROUP P&amp;L'!X56+'YBN Group P&amp;L'!X56+'HAB P&amp;L'!X56+'Moe2 P&amp;L'!X56</f>
        <v/>
      </c>
      <c r="Y56" s="38">
        <f>'KNL GROUP P&amp;L'!Y56+'CCL GROUP P&amp;L'!Y56+'YBHN GROUP P&amp;L'!Y56+'YBN Group P&amp;L'!Y56+'HAB P&amp;L'!Y56+'Moe2 P&amp;L'!Y56</f>
        <v/>
      </c>
      <c r="Z56" s="38">
        <f>'KNL GROUP P&amp;L'!Z56+'CCL GROUP P&amp;L'!Z56+'YBHN GROUP P&amp;L'!Z56+'YBN Group P&amp;L'!Z56+'HAB P&amp;L'!Z56+'Moe2 P&amp;L'!Z56</f>
        <v/>
      </c>
      <c r="AA56" s="36">
        <f>SUM(O56:U56)</f>
        <v/>
      </c>
      <c r="AB56" s="36">
        <f>SUM(O56:Z56)</f>
        <v/>
      </c>
      <c r="AC56" s="38">
        <f>'KNL GROUP P&amp;L'!AC56+'CCL GROUP P&amp;L'!AC56+'YBHN GROUP P&amp;L'!AC56+'YBN Group P&amp;L'!AC56+'HAB P&amp;L'!AC56+'Moe2 P&amp;L'!AC56</f>
        <v/>
      </c>
      <c r="AD56" s="38">
        <f>'KNL GROUP P&amp;L'!AD56+'CCL GROUP P&amp;L'!AD56+'YBHN GROUP P&amp;L'!AD56+'YBN Group P&amp;L'!AD56+'HAB P&amp;L'!AD56+'Moe2 P&amp;L'!AD56</f>
        <v/>
      </c>
      <c r="AE56" s="38">
        <f>'KNL GROUP P&amp;L'!AE56+'CCL GROUP P&amp;L'!AE56+'YBHN GROUP P&amp;L'!AE56+'YBN Group P&amp;L'!AE56+'HAB P&amp;L'!AE56+'Moe2 P&amp;L'!AE56</f>
        <v/>
      </c>
      <c r="AF56" s="38">
        <f>'KNL GROUP P&amp;L'!AF56+'CCL GROUP P&amp;L'!AF56+'YBHN GROUP P&amp;L'!AF56+'YBN Group P&amp;L'!AF56+'HAB P&amp;L'!AF56+'Moe2 P&amp;L'!AF56</f>
        <v/>
      </c>
      <c r="AG56" s="38">
        <f>'KNL GROUP P&amp;L'!AG56+'CCL GROUP P&amp;L'!AG56+'YBHN GROUP P&amp;L'!AG56+'YBN Group P&amp;L'!AG56+'HAB P&amp;L'!AG56+'Moe2 P&amp;L'!AG56</f>
        <v/>
      </c>
      <c r="AH56" s="38">
        <f>'KNL GROUP P&amp;L'!AH56+'CCL GROUP P&amp;L'!AH56+'YBHN GROUP P&amp;L'!AH56+'YBN Group P&amp;L'!AH56+'HAB P&amp;L'!AH56+'Moe2 P&amp;L'!AH56</f>
        <v/>
      </c>
      <c r="AI56" s="8" t="n"/>
      <c r="AJ56" s="36">
        <f>SUM(E56:Q56)-$N56</f>
        <v/>
      </c>
      <c r="AK56" s="36">
        <f>SUM(H56:T56)-$N56</f>
        <v/>
      </c>
      <c r="AL56" s="36">
        <f>SUM(K56:W56)-$N56</f>
        <v/>
      </c>
      <c r="AM56" s="36">
        <f>SUM(N56:Z56)-$N56</f>
        <v/>
      </c>
      <c r="AN56" s="40" t="n"/>
      <c r="AO56" s="92">
        <f>SUM(AC56:AE56)+SUM(R56:Z56)</f>
        <v/>
      </c>
      <c r="AP56" s="92">
        <f>SUM(AC56:AH56)+SUM(U56:Z56)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769.91</v>
      </c>
      <c r="J57" s="35" t="n">
        <v>16814</v>
      </c>
      <c r="K57" s="35" t="n">
        <v>492</v>
      </c>
      <c r="L57" s="35" t="n">
        <v>1431.15</v>
      </c>
      <c r="M57" s="35" t="n">
        <v>4073.23</v>
      </c>
      <c r="N57" s="36">
        <f>SUM(B57:M57)</f>
        <v/>
      </c>
      <c r="O57" s="37">
        <f>SUMIF('Group TB '!$R:$R,'GROUP TOTALS MONTHLY P&amp;L'!$A57,'Group TB '!C:C)</f>
        <v/>
      </c>
      <c r="P57" s="37">
        <f>SUMIF('Group TB '!$R:$R,'GROUP TOTALS MONTHLY P&amp;L'!$A57,'Group TB '!D:D)</f>
        <v/>
      </c>
      <c r="Q57" s="37">
        <f>SUMIF('Group TB '!$R:$R,'GROUP TOTALS MONTHLY P&amp;L'!$A57,'Group TB '!E:E)</f>
        <v/>
      </c>
      <c r="R57" s="37">
        <f>SUMIF('Group TB '!$R:$R,'GROUP TOTALS MONTHLY P&amp;L'!$A57,'Group TB '!F:F)</f>
        <v/>
      </c>
      <c r="S57" s="37">
        <f>SUMIF('Group TB '!$R:$R,'GROUP TOTALS MONTHLY P&amp;L'!$A57,'Group TB '!G:G)</f>
        <v/>
      </c>
      <c r="T57" s="37">
        <f>SUMIF('Group TB '!$R:$R,'GROUP TOTALS MONTHLY P&amp;L'!$A57,'Group TB '!H:H)</f>
        <v/>
      </c>
      <c r="U57" s="37">
        <f>SUMIF('Group TB '!$R:$R,'GROUP TOTALS MONTHLY P&amp;L'!$A57,'Group TB '!I:I)</f>
        <v/>
      </c>
      <c r="V57" s="38">
        <f>'KNL GROUP P&amp;L'!V57+'CCL GROUP P&amp;L'!V57+'YBHN GROUP P&amp;L'!V57+'YBN Group P&amp;L'!V57+'HAB P&amp;L'!V57+'Moe2 P&amp;L'!V57</f>
        <v/>
      </c>
      <c r="W57" s="38">
        <f>'KNL GROUP P&amp;L'!W57+'CCL GROUP P&amp;L'!W57+'YBHN GROUP P&amp;L'!W57+'YBN Group P&amp;L'!W57+'HAB P&amp;L'!W57+'Moe2 P&amp;L'!W57</f>
        <v/>
      </c>
      <c r="X57" s="38">
        <f>'KNL GROUP P&amp;L'!X57+'CCL GROUP P&amp;L'!X57+'YBHN GROUP P&amp;L'!X57+'YBN Group P&amp;L'!X57+'HAB P&amp;L'!X57+'Moe2 P&amp;L'!X57</f>
        <v/>
      </c>
      <c r="Y57" s="38">
        <f>'KNL GROUP P&amp;L'!Y57+'CCL GROUP P&amp;L'!Y57+'YBHN GROUP P&amp;L'!Y57+'YBN Group P&amp;L'!Y57+'HAB P&amp;L'!Y57+'Moe2 P&amp;L'!Y57</f>
        <v/>
      </c>
      <c r="Z57" s="38">
        <f>'KNL GROUP P&amp;L'!Z57+'CCL GROUP P&amp;L'!Z57+'YBHN GROUP P&amp;L'!Z57+'YBN Group P&amp;L'!Z57+'HAB P&amp;L'!Z57+'Moe2 P&amp;L'!Z57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8" t="n"/>
      <c r="AJ57" s="36">
        <f>SUM(E57:Q57)-$N57</f>
        <v/>
      </c>
      <c r="AK57" s="36">
        <f>SUM(H57:T57)-$N57</f>
        <v/>
      </c>
      <c r="AL57" s="36">
        <f>SUM(K57:W57)-$N57</f>
        <v/>
      </c>
      <c r="AM57" s="36">
        <f>SUM(N57:Z57)-$N57</f>
        <v/>
      </c>
      <c r="AN57" s="40" t="n"/>
      <c r="AO57" s="92">
        <f>SUM(AC57:AE57)+SUM(R57:Z57)</f>
        <v/>
      </c>
      <c r="AP57" s="92">
        <f>SUM(AC57:AH57)+SUM(U57:Z57)</f>
        <v/>
      </c>
    </row>
    <row r="58">
      <c r="A58" s="34" t="inlineStr">
        <is>
          <t>Business Insurance</t>
        </is>
      </c>
      <c r="B58" s="35" t="n">
        <v>6249.72</v>
      </c>
      <c r="C58" s="35" t="n">
        <v>6249.72</v>
      </c>
      <c r="D58" s="35" t="n">
        <v>6249.72</v>
      </c>
      <c r="E58" s="35" t="n">
        <v>6249.72</v>
      </c>
      <c r="F58" s="35" t="n">
        <v>6249.72</v>
      </c>
      <c r="G58" s="35" t="n">
        <v>6254.009999999999</v>
      </c>
      <c r="H58" s="35" t="n">
        <v>6254.009999999999</v>
      </c>
      <c r="I58" s="35" t="n">
        <v>6317.28</v>
      </c>
      <c r="J58" s="35" t="n">
        <v>6317.28</v>
      </c>
      <c r="K58" s="35" t="n">
        <v>6317.28</v>
      </c>
      <c r="L58" s="35" t="n">
        <v>6620.54</v>
      </c>
      <c r="M58" s="35" t="n">
        <v>6279.14</v>
      </c>
      <c r="N58" s="36">
        <f>SUM(B58:M58)</f>
        <v/>
      </c>
      <c r="O58" s="37">
        <f>SUMIF('Group TB '!$R:$R,'GROUP TOTALS MONTHLY P&amp;L'!$A58,'Group TB '!C:C)</f>
        <v/>
      </c>
      <c r="P58" s="37">
        <f>SUMIF('Group TB '!$R:$R,'GROUP TOTALS MONTHLY P&amp;L'!$A58,'Group TB '!D:D)</f>
        <v/>
      </c>
      <c r="Q58" s="37">
        <f>SUMIF('Group TB '!$R:$R,'GROUP TOTALS MONTHLY P&amp;L'!$A58,'Group TB '!E:E)</f>
        <v/>
      </c>
      <c r="R58" s="37">
        <f>SUMIF('Group TB '!$R:$R,'GROUP TOTALS MONTHLY P&amp;L'!$A58,'Group TB '!F:F)</f>
        <v/>
      </c>
      <c r="S58" s="37">
        <f>SUMIF('Group TB '!$R:$R,'GROUP TOTALS MONTHLY P&amp;L'!$A58,'Group TB '!G:G)</f>
        <v/>
      </c>
      <c r="T58" s="37">
        <f>SUMIF('Group TB '!$R:$R,'GROUP TOTALS MONTHLY P&amp;L'!$A58,'Group TB '!H:H)</f>
        <v/>
      </c>
      <c r="U58" s="37">
        <f>SUMIF('Group TB '!$R:$R,'GROUP TOTALS MONTHLY P&amp;L'!$A58,'Group TB '!I:I)</f>
        <v/>
      </c>
      <c r="V58" s="38">
        <f>'KNL GROUP P&amp;L'!V58+'CCL GROUP P&amp;L'!V58+'YBHN GROUP P&amp;L'!V58+'YBN Group P&amp;L'!V58+'HAB P&amp;L'!V58+'Moe2 P&amp;L'!V58</f>
        <v/>
      </c>
      <c r="W58" s="38">
        <f>'KNL GROUP P&amp;L'!W58+'CCL GROUP P&amp;L'!W58+'YBHN GROUP P&amp;L'!W58+'YBN Group P&amp;L'!W58+'HAB P&amp;L'!W58+'Moe2 P&amp;L'!W58</f>
        <v/>
      </c>
      <c r="X58" s="38">
        <f>'KNL GROUP P&amp;L'!X58+'CCL GROUP P&amp;L'!X58+'YBHN GROUP P&amp;L'!X58+'YBN Group P&amp;L'!X58+'HAB P&amp;L'!X58+'Moe2 P&amp;L'!X58</f>
        <v/>
      </c>
      <c r="Y58" s="38">
        <f>'KNL GROUP P&amp;L'!Y58+'CCL GROUP P&amp;L'!Y58+'YBHN GROUP P&amp;L'!Y58+'YBN Group P&amp;L'!Y58+'HAB P&amp;L'!Y58+'Moe2 P&amp;L'!Y58</f>
        <v/>
      </c>
      <c r="Z58" s="38">
        <f>'KNL GROUP P&amp;L'!Z58+'CCL GROUP P&amp;L'!Z58+'YBHN GROUP P&amp;L'!Z58+'YBN Group P&amp;L'!Z58+'HAB P&amp;L'!Z58+'Moe2 P&amp;L'!Z58</f>
        <v/>
      </c>
      <c r="AA58" s="36">
        <f>SUM(O58:U58)</f>
        <v/>
      </c>
      <c r="AB58" s="36">
        <f>SUM(O58:Z58)</f>
        <v/>
      </c>
      <c r="AC58" s="38">
        <f>'KNL GROUP P&amp;L'!AC58+'CCL GROUP P&amp;L'!AC58+'YBHN GROUP P&amp;L'!AC58+'YBN Group P&amp;L'!AC58+'HAB P&amp;L'!AC58+'Moe2 P&amp;L'!AC58</f>
        <v/>
      </c>
      <c r="AD58" s="38">
        <f>'KNL GROUP P&amp;L'!AD58+'CCL GROUP P&amp;L'!AD58+'YBHN GROUP P&amp;L'!AD58+'YBN Group P&amp;L'!AD58+'HAB P&amp;L'!AD58+'Moe2 P&amp;L'!AD58</f>
        <v/>
      </c>
      <c r="AE58" s="38">
        <f>'KNL GROUP P&amp;L'!AE58+'CCL GROUP P&amp;L'!AE58+'YBHN GROUP P&amp;L'!AE58+'YBN Group P&amp;L'!AE58+'HAB P&amp;L'!AE58+'Moe2 P&amp;L'!AE58</f>
        <v/>
      </c>
      <c r="AF58" s="38">
        <f>'KNL GROUP P&amp;L'!AF58+'CCL GROUP P&amp;L'!AF58+'YBHN GROUP P&amp;L'!AF58+'YBN Group P&amp;L'!AF58+'HAB P&amp;L'!AF58+'Moe2 P&amp;L'!AF58</f>
        <v/>
      </c>
      <c r="AG58" s="38">
        <f>'KNL GROUP P&amp;L'!AG58+'CCL GROUP P&amp;L'!AG58+'YBHN GROUP P&amp;L'!AG58+'YBN Group P&amp;L'!AG58+'HAB P&amp;L'!AG58+'Moe2 P&amp;L'!AG58</f>
        <v/>
      </c>
      <c r="AH58" s="38">
        <f>'KNL GROUP P&amp;L'!AH58+'CCL GROUP P&amp;L'!AH58+'YBHN GROUP P&amp;L'!AH58+'YBN Group P&amp;L'!AH58+'HAB P&amp;L'!AH58+'Moe2 P&amp;L'!AH58</f>
        <v/>
      </c>
      <c r="AI58" s="8" t="n"/>
      <c r="AJ58" s="36">
        <f>SUM(E58:Q58)-$N58</f>
        <v/>
      </c>
      <c r="AK58" s="36">
        <f>SUM(H58:T58)-$N58</f>
        <v/>
      </c>
      <c r="AL58" s="36">
        <f>SUM(K58:W58)-$N58</f>
        <v/>
      </c>
      <c r="AM58" s="36">
        <f>SUM(N58:Z58)-$N58</f>
        <v/>
      </c>
      <c r="AN58" s="40" t="n"/>
      <c r="AO58" s="92">
        <f>SUM(AC58:AE58)+SUM(R58:Z58)</f>
        <v/>
      </c>
      <c r="AP58" s="92">
        <f>SUM(AC58:AH58)+SUM(U58:Z58)</f>
        <v/>
      </c>
    </row>
    <row r="59">
      <c r="A59" s="34" t="inlineStr">
        <is>
          <t>IT Support</t>
        </is>
      </c>
      <c r="B59" s="35" t="n">
        <v>5799.950000000002</v>
      </c>
      <c r="C59" s="35" t="n">
        <v>6701.59</v>
      </c>
      <c r="D59" s="35" t="n">
        <v>5239.389999999999</v>
      </c>
      <c r="E59" s="35" t="n">
        <v>5239.42</v>
      </c>
      <c r="F59" s="35" t="n">
        <v>4576.87</v>
      </c>
      <c r="G59" s="35" t="n">
        <v>6111.720000000001</v>
      </c>
      <c r="H59" s="35" t="n">
        <v>5448.22</v>
      </c>
      <c r="I59" s="35" t="n">
        <v>7220.200000000001</v>
      </c>
      <c r="J59" s="35" t="n">
        <v>12260.18</v>
      </c>
      <c r="K59" s="35" t="n">
        <v>5634.940000000001</v>
      </c>
      <c r="L59" s="35" t="n">
        <v>6329.940000000002</v>
      </c>
      <c r="M59" s="35" t="n">
        <v>6639.720000000002</v>
      </c>
      <c r="N59" s="36">
        <f>SUM(B59:M59)</f>
        <v/>
      </c>
      <c r="O59" s="37">
        <f>SUMIF('Group TB '!$R:$R,'GROUP TOTALS MONTHLY P&amp;L'!$A59,'Group TB '!C:C)</f>
        <v/>
      </c>
      <c r="P59" s="37">
        <f>SUMIF('Group TB '!$R:$R,'GROUP TOTALS MONTHLY P&amp;L'!$A59,'Group TB '!D:D)</f>
        <v/>
      </c>
      <c r="Q59" s="37">
        <f>SUMIF('Group TB '!$R:$R,'GROUP TOTALS MONTHLY P&amp;L'!$A59,'Group TB '!E:E)</f>
        <v/>
      </c>
      <c r="R59" s="37">
        <f>SUMIF('Group TB '!$R:$R,'GROUP TOTALS MONTHLY P&amp;L'!$A59,'Group TB '!F:F)</f>
        <v/>
      </c>
      <c r="S59" s="37">
        <f>SUMIF('Group TB '!$R:$R,'GROUP TOTALS MONTHLY P&amp;L'!$A59,'Group TB '!G:G)</f>
        <v/>
      </c>
      <c r="T59" s="37">
        <f>SUMIF('Group TB '!$R:$R,'GROUP TOTALS MONTHLY P&amp;L'!$A59,'Group TB '!H:H)</f>
        <v/>
      </c>
      <c r="U59" s="37">
        <f>SUMIF('Group TB '!$R:$R,'GROUP TOTALS MONTHLY P&amp;L'!$A59,'Group TB '!I:I)</f>
        <v/>
      </c>
      <c r="V59" s="38">
        <f>'KNL GROUP P&amp;L'!V59+'CCL GROUP P&amp;L'!V59+'YBHN GROUP P&amp;L'!V59+'YBN Group P&amp;L'!V59+'HAB P&amp;L'!V59+'Moe2 P&amp;L'!V59</f>
        <v/>
      </c>
      <c r="W59" s="38">
        <f>'KNL GROUP P&amp;L'!W59+'CCL GROUP P&amp;L'!W59+'YBHN GROUP P&amp;L'!W59+'YBN Group P&amp;L'!W59+'HAB P&amp;L'!W59+'Moe2 P&amp;L'!W59</f>
        <v/>
      </c>
      <c r="X59" s="38">
        <f>'KNL GROUP P&amp;L'!X59+'CCL GROUP P&amp;L'!X59+'YBHN GROUP P&amp;L'!X59+'YBN Group P&amp;L'!X59+'HAB P&amp;L'!X59+'Moe2 P&amp;L'!X59</f>
        <v/>
      </c>
      <c r="Y59" s="38">
        <f>'KNL GROUP P&amp;L'!Y59+'CCL GROUP P&amp;L'!Y59+'YBHN GROUP P&amp;L'!Y59+'YBN Group P&amp;L'!Y59+'HAB P&amp;L'!Y59+'Moe2 P&amp;L'!Y59</f>
        <v/>
      </c>
      <c r="Z59" s="38">
        <f>'KNL GROUP P&amp;L'!Z59+'CCL GROUP P&amp;L'!Z59+'YBHN GROUP P&amp;L'!Z59+'YBN Group P&amp;L'!Z59+'HAB P&amp;L'!Z59+'Moe2 P&amp;L'!Z59</f>
        <v/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8" t="n"/>
      <c r="AJ59" s="36">
        <f>SUM(E59:Q59)-$N59</f>
        <v/>
      </c>
      <c r="AK59" s="36">
        <f>SUM(H59:T59)-$N59</f>
        <v/>
      </c>
      <c r="AL59" s="36">
        <f>SUM(K59:W59)-$N59</f>
        <v/>
      </c>
      <c r="AM59" s="36">
        <f>SUM(N59:Z59)-$N59</f>
        <v/>
      </c>
      <c r="AN59" s="40" t="n"/>
      <c r="AO59" s="92">
        <f>SUM(AC59:AE59)+SUM(R59:Z59)</f>
        <v/>
      </c>
      <c r="AP59" s="92">
        <f>SUM(AC59:AH59)+SUM(U59:Z59)</f>
        <v/>
      </c>
    </row>
    <row r="60">
      <c r="A60" s="34" t="inlineStr">
        <is>
          <t>Fees &amp; Subscriptions</t>
        </is>
      </c>
      <c r="B60" s="35" t="n">
        <v>3006.489999999998</v>
      </c>
      <c r="C60" s="35" t="n">
        <v>1240.21</v>
      </c>
      <c r="D60" s="35" t="n">
        <v>2135.16</v>
      </c>
      <c r="E60" s="35" t="n">
        <v>1707.609999999999</v>
      </c>
      <c r="F60" s="35" t="n">
        <v>774.9300000000001</v>
      </c>
      <c r="G60" s="35" t="n">
        <v>1888.42</v>
      </c>
      <c r="H60" s="35" t="n">
        <v>783.0400000000002</v>
      </c>
      <c r="I60" s="35" t="n">
        <v>760.6800000000002</v>
      </c>
      <c r="J60" s="35" t="n">
        <v>1067.700000000001</v>
      </c>
      <c r="K60" s="35" t="n">
        <v>2456.52</v>
      </c>
      <c r="L60" s="35" t="n">
        <v>1668.72</v>
      </c>
      <c r="M60" s="35" t="n">
        <v>3469.42</v>
      </c>
      <c r="N60" s="36">
        <f>SUM(B60:M60)</f>
        <v/>
      </c>
      <c r="O60" s="37">
        <f>SUMIF('Group TB '!$R:$R,'GROUP TOTALS MONTHLY P&amp;L'!$A60,'Group TB '!C:C)</f>
        <v/>
      </c>
      <c r="P60" s="37">
        <f>SUMIF('Group TB '!$R:$R,'GROUP TOTALS MONTHLY P&amp;L'!$A60,'Group TB '!D:D)</f>
        <v/>
      </c>
      <c r="Q60" s="37">
        <f>SUMIF('Group TB '!$R:$R,'GROUP TOTALS MONTHLY P&amp;L'!$A60,'Group TB '!E:E)</f>
        <v/>
      </c>
      <c r="R60" s="37">
        <f>SUMIF('Group TB '!$R:$R,'GROUP TOTALS MONTHLY P&amp;L'!$A60,'Group TB '!F:F)</f>
        <v/>
      </c>
      <c r="S60" s="37">
        <f>SUMIF('Group TB '!$R:$R,'GROUP TOTALS MONTHLY P&amp;L'!$A60,'Group TB '!G:G)</f>
        <v/>
      </c>
      <c r="T60" s="37">
        <f>SUMIF('Group TB '!$R:$R,'GROUP TOTALS MONTHLY P&amp;L'!$A60,'Group TB '!H:H)</f>
        <v/>
      </c>
      <c r="U60" s="37">
        <f>SUMIF('Group TB '!$R:$R,'GROUP TOTALS MONTHLY P&amp;L'!$A60,'Group TB '!I:I)</f>
        <v/>
      </c>
      <c r="V60" s="38">
        <f>'KNL GROUP P&amp;L'!V60+'CCL GROUP P&amp;L'!V60+'YBHN GROUP P&amp;L'!V60+'YBN Group P&amp;L'!V60+'HAB P&amp;L'!V60+'Moe2 P&amp;L'!V60</f>
        <v/>
      </c>
      <c r="W60" s="38">
        <f>'KNL GROUP P&amp;L'!W60+'CCL GROUP P&amp;L'!W60+'YBHN GROUP P&amp;L'!W60+'YBN Group P&amp;L'!W60+'HAB P&amp;L'!W60+'Moe2 P&amp;L'!W60</f>
        <v/>
      </c>
      <c r="X60" s="38">
        <f>'KNL GROUP P&amp;L'!X60+'CCL GROUP P&amp;L'!X60+'YBHN GROUP P&amp;L'!X60+'YBN Group P&amp;L'!X60+'HAB P&amp;L'!X60+'Moe2 P&amp;L'!X60</f>
        <v/>
      </c>
      <c r="Y60" s="38">
        <f>'KNL GROUP P&amp;L'!Y60+'CCL GROUP P&amp;L'!Y60+'YBHN GROUP P&amp;L'!Y60+'YBN Group P&amp;L'!Y60+'HAB P&amp;L'!Y60+'Moe2 P&amp;L'!Y60</f>
        <v/>
      </c>
      <c r="Z60" s="38">
        <f>'KNL GROUP P&amp;L'!Z60+'CCL GROUP P&amp;L'!Z60+'YBHN GROUP P&amp;L'!Z60+'YBN Group P&amp;L'!Z60+'HAB P&amp;L'!Z60+'Moe2 P&amp;L'!Z60</f>
        <v/>
      </c>
      <c r="AA60" s="36">
        <f>SUM(O60:U60)</f>
        <v/>
      </c>
      <c r="AB60" s="36">
        <f>SUM(O60:Z60)</f>
        <v/>
      </c>
      <c r="AC60" s="38">
        <f>'KNL GROUP P&amp;L'!AC60+'CCL GROUP P&amp;L'!AC60+'YBHN GROUP P&amp;L'!AC60+'YBN Group P&amp;L'!AC60+'HAB P&amp;L'!AC60+'Moe2 P&amp;L'!AC60</f>
        <v/>
      </c>
      <c r="AD60" s="38">
        <f>'KNL GROUP P&amp;L'!AD60+'CCL GROUP P&amp;L'!AD60+'YBHN GROUP P&amp;L'!AD60+'YBN Group P&amp;L'!AD60+'HAB P&amp;L'!AD60+'Moe2 P&amp;L'!AD60</f>
        <v/>
      </c>
      <c r="AE60" s="38">
        <f>'KNL GROUP P&amp;L'!AE60+'CCL GROUP P&amp;L'!AE60+'YBHN GROUP P&amp;L'!AE60+'YBN Group P&amp;L'!AE60+'HAB P&amp;L'!AE60+'Moe2 P&amp;L'!AE60</f>
        <v/>
      </c>
      <c r="AF60" s="38">
        <f>'KNL GROUP P&amp;L'!AF60+'CCL GROUP P&amp;L'!AF60+'YBHN GROUP P&amp;L'!AF60+'YBN Group P&amp;L'!AF60+'HAB P&amp;L'!AF60+'Moe2 P&amp;L'!AF60</f>
        <v/>
      </c>
      <c r="AG60" s="38">
        <f>'KNL GROUP P&amp;L'!AG60+'CCL GROUP P&amp;L'!AG60+'YBHN GROUP P&amp;L'!AG60+'YBN Group P&amp;L'!AG60+'HAB P&amp;L'!AG60+'Moe2 P&amp;L'!AG60</f>
        <v/>
      </c>
      <c r="AH60" s="38">
        <f>'KNL GROUP P&amp;L'!AH60+'CCL GROUP P&amp;L'!AH60+'YBHN GROUP P&amp;L'!AH60+'YBN Group P&amp;L'!AH60+'HAB P&amp;L'!AH60+'Moe2 P&amp;L'!AH60</f>
        <v/>
      </c>
      <c r="AI60" s="8" t="n"/>
      <c r="AJ60" s="36">
        <f>SUM(E60:Q60)-$N60</f>
        <v/>
      </c>
      <c r="AK60" s="36">
        <f>SUM(H60:T60)-$N60</f>
        <v/>
      </c>
      <c r="AL60" s="36">
        <f>SUM(K60:W60)-$N60</f>
        <v/>
      </c>
      <c r="AM60" s="36">
        <f>SUM(N60:Z60)-$N60</f>
        <v/>
      </c>
      <c r="AN60" s="40" t="n"/>
      <c r="AO60" s="92">
        <f>SUM(AC60:AE60)+SUM(R60:Z60)</f>
        <v/>
      </c>
      <c r="AP60" s="92">
        <f>SUM(AC60:AH60)+SUM(U60:Z60)</f>
        <v/>
      </c>
    </row>
    <row r="61">
      <c r="A61" s="34" t="inlineStr">
        <is>
          <t>Miscellaneous</t>
        </is>
      </c>
      <c r="B61" s="35" t="n">
        <v>276.16</v>
      </c>
      <c r="C61" s="35" t="n">
        <v>364.83</v>
      </c>
      <c r="D61" s="35" t="n">
        <v>1027.36</v>
      </c>
      <c r="E61" s="35" t="n">
        <v>315.59</v>
      </c>
      <c r="F61" s="35" t="n">
        <v>423.71</v>
      </c>
      <c r="G61" s="35" t="n">
        <v>1522.89</v>
      </c>
      <c r="H61" s="35" t="n">
        <v>1202.36</v>
      </c>
      <c r="I61" s="35" t="n">
        <v>60.18</v>
      </c>
      <c r="J61" s="35" t="n">
        <v>25.63</v>
      </c>
      <c r="K61" s="35" t="n">
        <v>622.87</v>
      </c>
      <c r="L61" s="35" t="n">
        <v>3119.889999999999</v>
      </c>
      <c r="M61" s="35" t="n">
        <v>647.1600000000001</v>
      </c>
      <c r="N61" s="36">
        <f>SUM(B61:M61)</f>
        <v/>
      </c>
      <c r="O61" s="37">
        <f>SUMIF('Group TB '!$R:$R,'GROUP TOTALS MONTHLY P&amp;L'!$A61,'Group TB '!C:C)</f>
        <v/>
      </c>
      <c r="P61" s="37">
        <f>SUMIF('Group TB '!$R:$R,'GROUP TOTALS MONTHLY P&amp;L'!$A61,'Group TB '!D:D)</f>
        <v/>
      </c>
      <c r="Q61" s="37">
        <f>SUMIF('Group TB '!$R:$R,'GROUP TOTALS MONTHLY P&amp;L'!$A61,'Group TB '!E:E)</f>
        <v/>
      </c>
      <c r="R61" s="37">
        <f>SUMIF('Group TB '!$R:$R,'GROUP TOTALS MONTHLY P&amp;L'!$A61,'Group TB '!F:F)</f>
        <v/>
      </c>
      <c r="S61" s="37">
        <f>SUMIF('Group TB '!$R:$R,'GROUP TOTALS MONTHLY P&amp;L'!$A61,'Group TB '!G:G)</f>
        <v/>
      </c>
      <c r="T61" s="37">
        <f>SUMIF('Group TB '!$R:$R,'GROUP TOTALS MONTHLY P&amp;L'!$A61,'Group TB '!H:H)</f>
        <v/>
      </c>
      <c r="U61" s="37">
        <f>SUMIF('Group TB '!$R:$R,'GROUP TOTALS MONTHLY P&amp;L'!$A61,'Group TB '!I:I)</f>
        <v/>
      </c>
      <c r="V61" s="38">
        <f>'KNL GROUP P&amp;L'!V61+'CCL GROUP P&amp;L'!V61+'YBHN GROUP P&amp;L'!V61+'YBN Group P&amp;L'!V61+'HAB P&amp;L'!V61+'Moe2 P&amp;L'!V61</f>
        <v/>
      </c>
      <c r="W61" s="38">
        <f>'KNL GROUP P&amp;L'!W61+'CCL GROUP P&amp;L'!W61+'YBHN GROUP P&amp;L'!W61+'YBN Group P&amp;L'!W61+'HAB P&amp;L'!W61+'Moe2 P&amp;L'!W61</f>
        <v/>
      </c>
      <c r="X61" s="38">
        <f>'KNL GROUP P&amp;L'!X61+'CCL GROUP P&amp;L'!X61+'YBHN GROUP P&amp;L'!X61+'YBN Group P&amp;L'!X61+'HAB P&amp;L'!X61+'Moe2 P&amp;L'!X61</f>
        <v/>
      </c>
      <c r="Y61" s="38">
        <f>'KNL GROUP P&amp;L'!Y61+'CCL GROUP P&amp;L'!Y61+'YBHN GROUP P&amp;L'!Y61+'YBN Group P&amp;L'!Y61+'HAB P&amp;L'!Y61+'Moe2 P&amp;L'!Y61</f>
        <v/>
      </c>
      <c r="Z61" s="38">
        <f>'KNL GROUP P&amp;L'!Z61+'CCL GROUP P&amp;L'!Z61+'YBHN GROUP P&amp;L'!Z61+'YBN Group P&amp;L'!Z61+'HAB P&amp;L'!Z61+'Moe2 P&amp;L'!Z61</f>
        <v/>
      </c>
      <c r="AA61" s="36">
        <f>SUM(O61:U61)</f>
        <v/>
      </c>
      <c r="AB61" s="36">
        <f>SUM(O61:Z61)</f>
        <v/>
      </c>
      <c r="AC61" s="38">
        <f>'KNL GROUP P&amp;L'!AC61+'CCL GROUP P&amp;L'!AC61+'YBHN GROUP P&amp;L'!AC61+'YBN Group P&amp;L'!AC61+'HAB P&amp;L'!AC61+'Moe2 P&amp;L'!AC61</f>
        <v/>
      </c>
      <c r="AD61" s="38">
        <f>'KNL GROUP P&amp;L'!AD61+'CCL GROUP P&amp;L'!AD61+'YBHN GROUP P&amp;L'!AD61+'YBN Group P&amp;L'!AD61+'HAB P&amp;L'!AD61+'Moe2 P&amp;L'!AD61</f>
        <v/>
      </c>
      <c r="AE61" s="38">
        <f>'KNL GROUP P&amp;L'!AE61+'CCL GROUP P&amp;L'!AE61+'YBHN GROUP P&amp;L'!AE61+'YBN Group P&amp;L'!AE61+'HAB P&amp;L'!AE61+'Moe2 P&amp;L'!AE61</f>
        <v/>
      </c>
      <c r="AF61" s="38">
        <f>'KNL GROUP P&amp;L'!AF61+'CCL GROUP P&amp;L'!AF61+'YBHN GROUP P&amp;L'!AF61+'YBN Group P&amp;L'!AF61+'HAB P&amp;L'!AF61+'Moe2 P&amp;L'!AF61</f>
        <v/>
      </c>
      <c r="AG61" s="38">
        <f>'KNL GROUP P&amp;L'!AG61+'CCL GROUP P&amp;L'!AG61+'YBHN GROUP P&amp;L'!AG61+'YBN Group P&amp;L'!AG61+'HAB P&amp;L'!AG61+'Moe2 P&amp;L'!AG61</f>
        <v/>
      </c>
      <c r="AH61" s="38">
        <f>'KNL GROUP P&amp;L'!AH61+'CCL GROUP P&amp;L'!AH61+'YBHN GROUP P&amp;L'!AH61+'YBN Group P&amp;L'!AH61+'HAB P&amp;L'!AH61+'Moe2 P&amp;L'!AH61</f>
        <v/>
      </c>
      <c r="AI61" s="8" t="n"/>
      <c r="AJ61" s="36">
        <f>SUM(E61:Q61)-$N61</f>
        <v/>
      </c>
      <c r="AK61" s="36">
        <f>SUM(H61:T61)-$N61</f>
        <v/>
      </c>
      <c r="AL61" s="36">
        <f>SUM(K61:W61)-$N61</f>
        <v/>
      </c>
      <c r="AM61" s="36">
        <f>SUM(N61:Z61)-$N61</f>
        <v/>
      </c>
      <c r="AN61" s="40" t="n"/>
      <c r="AO61" s="92">
        <f>SUM(AC61:AE61)+SUM(R61:Z61)</f>
        <v/>
      </c>
      <c r="AP61" s="92">
        <f>SUM(AC61:AH61)+SUM(U61:Z61)</f>
        <v/>
      </c>
    </row>
    <row r="62">
      <c r="A62" s="34" t="inlineStr">
        <is>
          <t>Motor &amp; Travel</t>
        </is>
      </c>
      <c r="B62" s="35" t="n">
        <v>1448.76</v>
      </c>
      <c r="C62" s="35" t="n">
        <v>3387.65</v>
      </c>
      <c r="D62" s="35" t="n">
        <v>3506.15</v>
      </c>
      <c r="E62" s="35" t="n">
        <v>2909.55</v>
      </c>
      <c r="F62" s="35" t="n">
        <v>2835.84</v>
      </c>
      <c r="G62" s="35" t="n">
        <v>3477.6</v>
      </c>
      <c r="H62" s="35" t="n">
        <v>5887.940000000001</v>
      </c>
      <c r="I62" s="35" t="n">
        <v>4588.77</v>
      </c>
      <c r="J62" s="35" t="n">
        <v>5359.77</v>
      </c>
      <c r="K62" s="35" t="n">
        <v>3400.08</v>
      </c>
      <c r="L62" s="35" t="n">
        <v>4858.96</v>
      </c>
      <c r="M62" s="35" t="n">
        <v>2499.98</v>
      </c>
      <c r="N62" s="36">
        <f>SUM(B62:M62)</f>
        <v/>
      </c>
      <c r="O62" s="37">
        <f>SUMIF('Group TB '!$R:$R,'GROUP TOTALS MONTHLY P&amp;L'!$A62,'Group TB '!C:C)</f>
        <v/>
      </c>
      <c r="P62" s="37">
        <f>SUMIF('Group TB '!$R:$R,'GROUP TOTALS MONTHLY P&amp;L'!$A62,'Group TB '!D:D)</f>
        <v/>
      </c>
      <c r="Q62" s="37">
        <f>SUMIF('Group TB '!$R:$R,'GROUP TOTALS MONTHLY P&amp;L'!$A62,'Group TB '!E:E)</f>
        <v/>
      </c>
      <c r="R62" s="37">
        <f>SUMIF('Group TB '!$R:$R,'GROUP TOTALS MONTHLY P&amp;L'!$A62,'Group TB '!F:F)</f>
        <v/>
      </c>
      <c r="S62" s="37">
        <f>SUMIF('Group TB '!$R:$R,'GROUP TOTALS MONTHLY P&amp;L'!$A62,'Group TB '!G:G)</f>
        <v/>
      </c>
      <c r="T62" s="37">
        <f>SUMIF('Group TB '!$R:$R,'GROUP TOTALS MONTHLY P&amp;L'!$A62,'Group TB '!H:H)</f>
        <v/>
      </c>
      <c r="U62" s="37">
        <f>SUMIF('Group TB '!$R:$R,'GROUP TOTALS MONTHLY P&amp;L'!$A62,'Group TB '!I:I)</f>
        <v/>
      </c>
      <c r="V62" s="38">
        <f>'KNL GROUP P&amp;L'!V62+'CCL GROUP P&amp;L'!V62+'YBHN GROUP P&amp;L'!V62+'YBN Group P&amp;L'!V62+'HAB P&amp;L'!V62+'Moe2 P&amp;L'!V62</f>
        <v/>
      </c>
      <c r="W62" s="38">
        <f>'KNL GROUP P&amp;L'!W62+'CCL GROUP P&amp;L'!W62+'YBHN GROUP P&amp;L'!W62+'YBN Group P&amp;L'!W62+'HAB P&amp;L'!W62+'Moe2 P&amp;L'!W62</f>
        <v/>
      </c>
      <c r="X62" s="38">
        <f>'KNL GROUP P&amp;L'!X62+'CCL GROUP P&amp;L'!X62+'YBHN GROUP P&amp;L'!X62+'YBN Group P&amp;L'!X62+'HAB P&amp;L'!X62+'Moe2 P&amp;L'!X62</f>
        <v/>
      </c>
      <c r="Y62" s="38">
        <f>'KNL GROUP P&amp;L'!Y62+'CCL GROUP P&amp;L'!Y62+'YBHN GROUP P&amp;L'!Y62+'YBN Group P&amp;L'!Y62+'HAB P&amp;L'!Y62+'Moe2 P&amp;L'!Y62</f>
        <v/>
      </c>
      <c r="Z62" s="38">
        <f>'KNL GROUP P&amp;L'!Z62+'CCL GROUP P&amp;L'!Z62+'YBHN GROUP P&amp;L'!Z62+'YBN Group P&amp;L'!Z62+'HAB P&amp;L'!Z62+'Moe2 P&amp;L'!Z62</f>
        <v/>
      </c>
      <c r="AA62" s="36">
        <f>SUM(O62:U62)</f>
        <v/>
      </c>
      <c r="AB62" s="36">
        <f>SUM(O62:Z62)</f>
        <v/>
      </c>
      <c r="AC62" s="38">
        <f>'KNL GROUP P&amp;L'!AC62+'CCL GROUP P&amp;L'!AC62+'YBHN GROUP P&amp;L'!AC62+'YBN Group P&amp;L'!AC62+'HAB P&amp;L'!AC62+'Moe2 P&amp;L'!AC62</f>
        <v/>
      </c>
      <c r="AD62" s="38">
        <f>'KNL GROUP P&amp;L'!AD62+'CCL GROUP P&amp;L'!AD62+'YBHN GROUP P&amp;L'!AD62+'YBN Group P&amp;L'!AD62+'HAB P&amp;L'!AD62+'Moe2 P&amp;L'!AD62</f>
        <v/>
      </c>
      <c r="AE62" s="38">
        <f>'KNL GROUP P&amp;L'!AE62+'CCL GROUP P&amp;L'!AE62+'YBHN GROUP P&amp;L'!AE62+'YBN Group P&amp;L'!AE62+'HAB P&amp;L'!AE62+'Moe2 P&amp;L'!AE62</f>
        <v/>
      </c>
      <c r="AF62" s="38">
        <f>'KNL GROUP P&amp;L'!AF62+'CCL GROUP P&amp;L'!AF62+'YBHN GROUP P&amp;L'!AF62+'YBN Group P&amp;L'!AF62+'HAB P&amp;L'!AF62+'Moe2 P&amp;L'!AF62</f>
        <v/>
      </c>
      <c r="AG62" s="38">
        <f>'KNL GROUP P&amp;L'!AG62+'CCL GROUP P&amp;L'!AG62+'YBHN GROUP P&amp;L'!AG62+'YBN Group P&amp;L'!AG62+'HAB P&amp;L'!AG62+'Moe2 P&amp;L'!AG62</f>
        <v/>
      </c>
      <c r="AH62" s="38">
        <f>'KNL GROUP P&amp;L'!AH62+'CCL GROUP P&amp;L'!AH62+'YBHN GROUP P&amp;L'!AH62+'YBN Group P&amp;L'!AH62+'HAB P&amp;L'!AH62+'Moe2 P&amp;L'!AH62</f>
        <v/>
      </c>
      <c r="AI62" s="8" t="n"/>
      <c r="AJ62" s="36">
        <f>SUM(E62:Q62)-$N62</f>
        <v/>
      </c>
      <c r="AK62" s="36">
        <f>SUM(H62:T62)-$N62</f>
        <v/>
      </c>
      <c r="AL62" s="36">
        <f>SUM(K62:W62)-$N62</f>
        <v/>
      </c>
      <c r="AM62" s="36">
        <f>SUM(N62:Z62)-$N62</f>
        <v/>
      </c>
      <c r="AN62" s="40" t="n"/>
      <c r="AO62" s="92">
        <f>SUM(AC62:AE62)+SUM(R62:Z62)</f>
        <v/>
      </c>
      <c r="AP62" s="92">
        <f>SUM(AC62:AH62)+SUM(U62:Z62)</f>
        <v/>
      </c>
    </row>
    <row r="63">
      <c r="A63" s="34" t="inlineStr">
        <is>
          <t>Motor Insurance</t>
        </is>
      </c>
      <c r="B63" s="35" t="n">
        <v>742.17</v>
      </c>
      <c r="C63" s="35" t="n">
        <v>1029.79</v>
      </c>
      <c r="D63" s="35" t="n">
        <v>1029.79</v>
      </c>
      <c r="E63" s="35" t="n">
        <v>1029.79</v>
      </c>
      <c r="F63" s="35" t="n">
        <v>1029.79</v>
      </c>
      <c r="G63" s="35" t="n">
        <v>1029.79</v>
      </c>
      <c r="H63" s="35" t="n">
        <v>1137.79</v>
      </c>
      <c r="I63" s="35" t="n">
        <v>1022.54</v>
      </c>
      <c r="J63" s="35" t="n">
        <v>1022.54</v>
      </c>
      <c r="K63" s="35" t="n">
        <v>1092.42</v>
      </c>
      <c r="L63" s="35" t="n">
        <v>1092.42</v>
      </c>
      <c r="M63" s="35" t="n">
        <v>1179.3</v>
      </c>
      <c r="N63" s="36">
        <f>SUM(B63:M63)</f>
        <v/>
      </c>
      <c r="O63" s="37">
        <f>SUMIF('Group TB '!$R:$R,'GROUP TOTALS MONTHLY P&amp;L'!$A63,'Group TB '!C:C)</f>
        <v/>
      </c>
      <c r="P63" s="37">
        <f>SUMIF('Group TB '!$R:$R,'GROUP TOTALS MONTHLY P&amp;L'!$A63,'Group TB '!D:D)</f>
        <v/>
      </c>
      <c r="Q63" s="37">
        <f>SUMIF('Group TB '!$R:$R,'GROUP TOTALS MONTHLY P&amp;L'!$A63,'Group TB '!E:E)</f>
        <v/>
      </c>
      <c r="R63" s="37">
        <f>SUMIF('Group TB '!$R:$R,'GROUP TOTALS MONTHLY P&amp;L'!$A63,'Group TB '!F:F)</f>
        <v/>
      </c>
      <c r="S63" s="37">
        <f>SUMIF('Group TB '!$R:$R,'GROUP TOTALS MONTHLY P&amp;L'!$A63,'Group TB '!G:G)</f>
        <v/>
      </c>
      <c r="T63" s="37">
        <f>SUMIF('Group TB '!$R:$R,'GROUP TOTALS MONTHLY P&amp;L'!$A63,'Group TB '!H:H)</f>
        <v/>
      </c>
      <c r="U63" s="37">
        <f>SUMIF('Group TB '!$R:$R,'GROUP TOTALS MONTHLY P&amp;L'!$A63,'Group TB '!I:I)</f>
        <v/>
      </c>
      <c r="V63" s="38">
        <f>'KNL GROUP P&amp;L'!V63+'CCL GROUP P&amp;L'!V63+'YBHN GROUP P&amp;L'!V63+'YBN Group P&amp;L'!V63+'HAB P&amp;L'!V63+'Moe2 P&amp;L'!V63</f>
        <v/>
      </c>
      <c r="W63" s="38">
        <f>'KNL GROUP P&amp;L'!W63+'CCL GROUP P&amp;L'!W63+'YBHN GROUP P&amp;L'!W63+'YBN Group P&amp;L'!W63+'HAB P&amp;L'!W63+'Moe2 P&amp;L'!W63</f>
        <v/>
      </c>
      <c r="X63" s="38">
        <f>'KNL GROUP P&amp;L'!X63+'CCL GROUP P&amp;L'!X63+'YBHN GROUP P&amp;L'!X63+'YBN Group P&amp;L'!X63+'HAB P&amp;L'!X63+'Moe2 P&amp;L'!X63</f>
        <v/>
      </c>
      <c r="Y63" s="38">
        <f>'KNL GROUP P&amp;L'!Y63+'CCL GROUP P&amp;L'!Y63+'YBHN GROUP P&amp;L'!Y63+'YBN Group P&amp;L'!Y63+'HAB P&amp;L'!Y63+'Moe2 P&amp;L'!Y63</f>
        <v/>
      </c>
      <c r="Z63" s="38">
        <f>'KNL GROUP P&amp;L'!Z63+'CCL GROUP P&amp;L'!Z63+'YBHN GROUP P&amp;L'!Z63+'YBN Group P&amp;L'!Z63+'HAB P&amp;L'!Z63+'Moe2 P&amp;L'!Z63</f>
        <v/>
      </c>
      <c r="AA63" s="36">
        <f>SUM(O63:U63)</f>
        <v/>
      </c>
      <c r="AB63" s="36">
        <f>SUM(O63:Z63)</f>
        <v/>
      </c>
      <c r="AC63" s="38">
        <f>'KNL GROUP P&amp;L'!AC63+'CCL GROUP P&amp;L'!AC63+'YBHN GROUP P&amp;L'!AC63+'YBN Group P&amp;L'!AC63+'HAB P&amp;L'!AC63+'Moe2 P&amp;L'!AC63</f>
        <v/>
      </c>
      <c r="AD63" s="38">
        <f>'KNL GROUP P&amp;L'!AD63+'CCL GROUP P&amp;L'!AD63+'YBHN GROUP P&amp;L'!AD63+'YBN Group P&amp;L'!AD63+'HAB P&amp;L'!AD63+'Moe2 P&amp;L'!AD63</f>
        <v/>
      </c>
      <c r="AE63" s="38">
        <f>'KNL GROUP P&amp;L'!AE63+'CCL GROUP P&amp;L'!AE63+'YBHN GROUP P&amp;L'!AE63+'YBN Group P&amp;L'!AE63+'HAB P&amp;L'!AE63+'Moe2 P&amp;L'!AE63</f>
        <v/>
      </c>
      <c r="AF63" s="38">
        <f>'KNL GROUP P&amp;L'!AF63+'CCL GROUP P&amp;L'!AF63+'YBHN GROUP P&amp;L'!AF63+'YBN Group P&amp;L'!AF63+'HAB P&amp;L'!AF63+'Moe2 P&amp;L'!AF63</f>
        <v/>
      </c>
      <c r="AG63" s="38">
        <f>'KNL GROUP P&amp;L'!AG63+'CCL GROUP P&amp;L'!AG63+'YBHN GROUP P&amp;L'!AG63+'YBN Group P&amp;L'!AG63+'HAB P&amp;L'!AG63+'Moe2 P&amp;L'!AG63</f>
        <v/>
      </c>
      <c r="AH63" s="38">
        <f>'KNL GROUP P&amp;L'!AH63+'CCL GROUP P&amp;L'!AH63+'YBHN GROUP P&amp;L'!AH63+'YBN Group P&amp;L'!AH63+'HAB P&amp;L'!AH63+'Moe2 P&amp;L'!AH63</f>
        <v/>
      </c>
      <c r="AI63" s="8" t="n"/>
      <c r="AJ63" s="36">
        <f>SUM(E63:Q63)-$N63</f>
        <v/>
      </c>
      <c r="AK63" s="36">
        <f>SUM(H63:T63)-$N63</f>
        <v/>
      </c>
      <c r="AL63" s="36">
        <f>SUM(K63:W63)-$N63</f>
        <v/>
      </c>
      <c r="AM63" s="36">
        <f>SUM(N63:Z63)-$N63</f>
        <v/>
      </c>
      <c r="AN63" s="40" t="n"/>
      <c r="AO63" s="92">
        <f>SUM(AC63:AE63)+SUM(R63:Z63)</f>
        <v/>
      </c>
      <c r="AP63" s="92">
        <f>SUM(AC63:AH63)+SUM(U63:Z63)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SUMIF('Group TB '!$R:$R,'GROUP TOTALS MONTHLY P&amp;L'!$A64,'Group TB '!C:C)</f>
        <v/>
      </c>
      <c r="P64" s="37">
        <f>SUMIF('Group TB '!$R:$R,'GROUP TOTALS MONTHLY P&amp;L'!$A64,'Group TB '!D:D)</f>
        <v/>
      </c>
      <c r="Q64" s="37">
        <f>SUMIF('Group TB '!$R:$R,'GROUP TOTALS MONTHLY P&amp;L'!$A64,'Group TB '!E:E)</f>
        <v/>
      </c>
      <c r="R64" s="37">
        <f>SUMIF('Group TB '!$R:$R,'GROUP TOTALS MONTHLY P&amp;L'!$A64,'Group TB '!F:F)</f>
        <v/>
      </c>
      <c r="S64" s="37">
        <f>SUMIF('Group TB '!$R:$R,'GROUP TOTALS MONTHLY P&amp;L'!$A64,'Group TB '!G:G)</f>
        <v/>
      </c>
      <c r="T64" s="37">
        <f>SUMIF('Group TB '!$R:$R,'GROUP TOTALS MONTHLY P&amp;L'!$A64,'Group TB '!H:H)</f>
        <v/>
      </c>
      <c r="U64" s="37">
        <f>SUMIF('Group TB '!$R:$R,'GROUP TOTALS MONTHLY P&amp;L'!$A64,'Group TB '!I:I)</f>
        <v/>
      </c>
      <c r="V64" s="38">
        <f>'KNL GROUP P&amp;L'!V64+'CCL GROUP P&amp;L'!V64+'YBHN GROUP P&amp;L'!V64+'YBN Group P&amp;L'!V64+'HAB P&amp;L'!V64+'Moe2 P&amp;L'!V64</f>
        <v/>
      </c>
      <c r="W64" s="38">
        <f>'KNL GROUP P&amp;L'!W64+'CCL GROUP P&amp;L'!W64+'YBHN GROUP P&amp;L'!W64+'YBN Group P&amp;L'!W64+'HAB P&amp;L'!W64+'Moe2 P&amp;L'!W64</f>
        <v/>
      </c>
      <c r="X64" s="38">
        <f>'KNL GROUP P&amp;L'!X64+'CCL GROUP P&amp;L'!X64+'YBHN GROUP P&amp;L'!X64+'YBN Group P&amp;L'!X64+'HAB P&amp;L'!X64+'Moe2 P&amp;L'!X64</f>
        <v/>
      </c>
      <c r="Y64" s="38">
        <f>'KNL GROUP P&amp;L'!Y64+'CCL GROUP P&amp;L'!Y64+'YBHN GROUP P&amp;L'!Y64+'YBN Group P&amp;L'!Y64+'HAB P&amp;L'!Y64+'Moe2 P&amp;L'!Y64</f>
        <v/>
      </c>
      <c r="Z64" s="38">
        <f>'KNL GROUP P&amp;L'!Z64+'CCL GROUP P&amp;L'!Z64+'YBHN GROUP P&amp;L'!Z64+'YBN Group P&amp;L'!Z64+'HAB P&amp;L'!Z64+'Moe2 P&amp;L'!Z64</f>
        <v/>
      </c>
      <c r="AA64" s="36">
        <f>SUM(O64:U64)</f>
        <v/>
      </c>
      <c r="AB64" s="36">
        <f>SUM(O64:Z64)</f>
        <v/>
      </c>
      <c r="AC64" s="38">
        <f>'KNL GROUP P&amp;L'!AC64+'CCL GROUP P&amp;L'!AC64+'YBHN GROUP P&amp;L'!AC64+'YBN Group P&amp;L'!AC64+'HAB P&amp;L'!AC64+'Moe2 P&amp;L'!AC64</f>
        <v/>
      </c>
      <c r="AD64" s="38">
        <f>'KNL GROUP P&amp;L'!AD64+'CCL GROUP P&amp;L'!AD64+'YBHN GROUP P&amp;L'!AD64+'YBN Group P&amp;L'!AD64+'HAB P&amp;L'!AD64+'Moe2 P&amp;L'!AD64</f>
        <v/>
      </c>
      <c r="AE64" s="38">
        <f>'KNL GROUP P&amp;L'!AE64+'CCL GROUP P&amp;L'!AE64+'YBHN GROUP P&amp;L'!AE64+'YBN Group P&amp;L'!AE64+'HAB P&amp;L'!AE64+'Moe2 P&amp;L'!AE64</f>
        <v/>
      </c>
      <c r="AF64" s="38">
        <f>'KNL GROUP P&amp;L'!AF64+'CCL GROUP P&amp;L'!AF64+'YBHN GROUP P&amp;L'!AF64+'YBN Group P&amp;L'!AF64+'HAB P&amp;L'!AF64+'Moe2 P&amp;L'!AF64</f>
        <v/>
      </c>
      <c r="AG64" s="38">
        <f>'KNL GROUP P&amp;L'!AG64+'CCL GROUP P&amp;L'!AG64+'YBHN GROUP P&amp;L'!AG64+'YBN Group P&amp;L'!AG64+'HAB P&amp;L'!AG64+'Moe2 P&amp;L'!AG64</f>
        <v/>
      </c>
      <c r="AH64" s="38">
        <f>'KNL GROUP P&amp;L'!AH64+'CCL GROUP P&amp;L'!AH64+'YBHN GROUP P&amp;L'!AH64+'YBN Group P&amp;L'!AH64+'HAB P&amp;L'!AH64+'Moe2 P&amp;L'!AH64</f>
        <v/>
      </c>
      <c r="AI64" s="8" t="n"/>
      <c r="AJ64" s="36">
        <f>SUM(E64:Q64)-$N64</f>
        <v/>
      </c>
      <c r="AK64" s="36">
        <f>SUM(H64:T64)-$N64</f>
        <v/>
      </c>
      <c r="AL64" s="36">
        <f>SUM(K64:W64)-$N64</f>
        <v/>
      </c>
      <c r="AM64" s="36">
        <f>SUM(N64:Z64)-$N64</f>
        <v/>
      </c>
      <c r="AN64" s="40" t="n"/>
      <c r="AO64" s="92">
        <f>SUM(AC64:AE64)+SUM(R64:Z64)</f>
        <v/>
      </c>
      <c r="AP64" s="92">
        <f>SUM(AC64:AH64)+SUM(U64:Z64)</f>
        <v/>
      </c>
    </row>
    <row r="65">
      <c r="A65" s="34" t="inlineStr">
        <is>
          <t>Audit</t>
        </is>
      </c>
      <c r="B65" s="35" t="n">
        <v>18480</v>
      </c>
      <c r="C65" s="35" t="n">
        <v>150</v>
      </c>
      <c r="D65" s="35" t="n">
        <v>43200</v>
      </c>
      <c r="E65" s="35" t="n">
        <v>5672.4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10200</v>
      </c>
      <c r="N65" s="36">
        <f>SUM(B65:M65)</f>
        <v/>
      </c>
      <c r="O65" s="37">
        <f>SUMIF('Group TB '!$R:$R,'GROUP TOTALS MONTHLY P&amp;L'!$A65,'Group TB '!C:C)</f>
        <v/>
      </c>
      <c r="P65" s="37">
        <f>SUMIF('Group TB '!$R:$R,'GROUP TOTALS MONTHLY P&amp;L'!$A65,'Group TB '!D:D)</f>
        <v/>
      </c>
      <c r="Q65" s="37">
        <f>SUMIF('Group TB '!$R:$R,'GROUP TOTALS MONTHLY P&amp;L'!$A65,'Group TB '!E:E)</f>
        <v/>
      </c>
      <c r="R65" s="37">
        <f>SUMIF('Group TB '!$R:$R,'GROUP TOTALS MONTHLY P&amp;L'!$A65,'Group TB '!F:F)</f>
        <v/>
      </c>
      <c r="S65" s="37">
        <f>SUMIF('Group TB '!$R:$R,'GROUP TOTALS MONTHLY P&amp;L'!$A65,'Group TB '!G:G)</f>
        <v/>
      </c>
      <c r="T65" s="37">
        <f>SUMIF('Group TB '!$R:$R,'GROUP TOTALS MONTHLY P&amp;L'!$A65,'Group TB '!H:H)</f>
        <v/>
      </c>
      <c r="U65" s="37">
        <f>SUMIF('Group TB '!$R:$R,'GROUP TOTALS MONTHLY P&amp;L'!$A65,'Group TB '!I:I)</f>
        <v/>
      </c>
      <c r="V65" s="38">
        <f>'KNL GROUP P&amp;L'!V65+'CCL GROUP P&amp;L'!V65+'YBHN GROUP P&amp;L'!V65+'YBN Group P&amp;L'!V65+'HAB P&amp;L'!V65+'Moe2 P&amp;L'!V65</f>
        <v/>
      </c>
      <c r="W65" s="38">
        <f>'KNL GROUP P&amp;L'!W65+'CCL GROUP P&amp;L'!W65+'YBHN GROUP P&amp;L'!W65+'YBN Group P&amp;L'!W65+'HAB P&amp;L'!W65+'Moe2 P&amp;L'!W65</f>
        <v/>
      </c>
      <c r="X65" s="38">
        <f>'KNL GROUP P&amp;L'!X65+'CCL GROUP P&amp;L'!X65+'YBHN GROUP P&amp;L'!X65+'YBN Group P&amp;L'!X65+'HAB P&amp;L'!X65+'Moe2 P&amp;L'!X65</f>
        <v/>
      </c>
      <c r="Y65" s="38">
        <f>'KNL GROUP P&amp;L'!Y65+'CCL GROUP P&amp;L'!Y65+'YBHN GROUP P&amp;L'!Y65+'YBN Group P&amp;L'!Y65+'HAB P&amp;L'!Y65+'Moe2 P&amp;L'!Y65</f>
        <v/>
      </c>
      <c r="Z65" s="38">
        <f>'KNL GROUP P&amp;L'!Z65+'CCL GROUP P&amp;L'!Z65+'YBHN GROUP P&amp;L'!Z65+'YBN Group P&amp;L'!Z65+'HAB P&amp;L'!Z65+'Moe2 P&amp;L'!Z65</f>
        <v/>
      </c>
      <c r="AA65" s="36">
        <f>SUM(O65:U65)</f>
        <v/>
      </c>
      <c r="AB65" s="36">
        <f>SUM(O65:Z65)</f>
        <v/>
      </c>
      <c r="AC65" s="38">
        <f>'KNL GROUP P&amp;L'!AC65+'CCL GROUP P&amp;L'!AC65+'YBHN GROUP P&amp;L'!AC65+'YBN Group P&amp;L'!AC65+'HAB P&amp;L'!AC65+'Moe2 P&amp;L'!AC65</f>
        <v/>
      </c>
      <c r="AD65" s="38">
        <f>'KNL GROUP P&amp;L'!AD65+'CCL GROUP P&amp;L'!AD65+'YBHN GROUP P&amp;L'!AD65+'YBN Group P&amp;L'!AD65+'HAB P&amp;L'!AD65+'Moe2 P&amp;L'!AD65</f>
        <v/>
      </c>
      <c r="AE65" s="38">
        <f>'KNL GROUP P&amp;L'!AE65+'CCL GROUP P&amp;L'!AE65+'YBHN GROUP P&amp;L'!AE65+'YBN Group P&amp;L'!AE65+'HAB P&amp;L'!AE65+'Moe2 P&amp;L'!AE65</f>
        <v/>
      </c>
      <c r="AF65" s="38">
        <f>'KNL GROUP P&amp;L'!AF65+'CCL GROUP P&amp;L'!AF65+'YBHN GROUP P&amp;L'!AF65+'YBN Group P&amp;L'!AF65+'HAB P&amp;L'!AF65+'Moe2 P&amp;L'!AF65</f>
        <v/>
      </c>
      <c r="AG65" s="38">
        <f>'KNL GROUP P&amp;L'!AG65+'CCL GROUP P&amp;L'!AG65+'YBHN GROUP P&amp;L'!AG65+'YBN Group P&amp;L'!AG65+'HAB P&amp;L'!AG65+'Moe2 P&amp;L'!AG65</f>
        <v/>
      </c>
      <c r="AH65" s="38">
        <f>'KNL GROUP P&amp;L'!AH65+'CCL GROUP P&amp;L'!AH65+'YBHN GROUP P&amp;L'!AH65+'YBN Group P&amp;L'!AH65+'HAB P&amp;L'!AH65+'Moe2 P&amp;L'!AH65</f>
        <v/>
      </c>
      <c r="AI65" s="8" t="n"/>
      <c r="AJ65" s="36">
        <f>SUM(E65:Q65)-$N65</f>
        <v/>
      </c>
      <c r="AK65" s="36">
        <f>SUM(H65:T65)-$N65</f>
        <v/>
      </c>
      <c r="AL65" s="36">
        <f>SUM(K65:W65)-$N65</f>
        <v/>
      </c>
      <c r="AM65" s="36">
        <f>SUM(N65:Z65)-$N65</f>
        <v/>
      </c>
      <c r="AN65" s="40" t="n"/>
      <c r="AO65" s="92">
        <f>SUM(AC65:AE65)+SUM(R65:Z65)</f>
        <v/>
      </c>
      <c r="AP65" s="92">
        <f>SUM(AC65:AH65)+SUM(U65:Z65)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SUMIF('Group TB '!$R:$R,'GROUP TOTALS MONTHLY P&amp;L'!$A66,'Group TB '!C:C)</f>
        <v/>
      </c>
      <c r="P66" s="37">
        <f>SUMIF('Group TB '!$R:$R,'GROUP TOTALS MONTHLY P&amp;L'!$A66,'Group TB '!D:D)</f>
        <v/>
      </c>
      <c r="Q66" s="37">
        <f>SUMIF('Group TB '!$R:$R,'GROUP TOTALS MONTHLY P&amp;L'!$A66,'Group TB '!E:E)</f>
        <v/>
      </c>
      <c r="R66" s="37">
        <f>SUMIF('Group TB '!$R:$R,'GROUP TOTALS MONTHLY P&amp;L'!$A66,'Group TB '!F:F)</f>
        <v/>
      </c>
      <c r="S66" s="37">
        <f>SUMIF('Group TB '!$R:$R,'GROUP TOTALS MONTHLY P&amp;L'!$A66,'Group TB '!G:G)</f>
        <v/>
      </c>
      <c r="T66" s="37">
        <f>SUMIF('Group TB '!$R:$R,'GROUP TOTALS MONTHLY P&amp;L'!$A66,'Group TB '!H:H)</f>
        <v/>
      </c>
      <c r="U66" s="37">
        <f>SUMIF('Group TB '!$R:$R,'GROUP TOTALS MONTHLY P&amp;L'!$A66,'Group TB '!I:I)</f>
        <v/>
      </c>
      <c r="V66" s="38">
        <f>'KNL GROUP P&amp;L'!V66+'CCL GROUP P&amp;L'!V66+'YBHN GROUP P&amp;L'!V66+'YBN Group P&amp;L'!V66+'HAB P&amp;L'!V66+'Moe2 P&amp;L'!V66</f>
        <v/>
      </c>
      <c r="W66" s="38">
        <f>'KNL GROUP P&amp;L'!W66+'CCL GROUP P&amp;L'!W66+'YBHN GROUP P&amp;L'!W66+'YBN Group P&amp;L'!W66+'HAB P&amp;L'!W66+'Moe2 P&amp;L'!W66</f>
        <v/>
      </c>
      <c r="X66" s="38">
        <f>'KNL GROUP P&amp;L'!X66+'CCL GROUP P&amp;L'!X66+'YBHN GROUP P&amp;L'!X66+'YBN Group P&amp;L'!X66+'HAB P&amp;L'!X66+'Moe2 P&amp;L'!X66</f>
        <v/>
      </c>
      <c r="Y66" s="38">
        <f>'KNL GROUP P&amp;L'!Y66+'CCL GROUP P&amp;L'!Y66+'YBHN GROUP P&amp;L'!Y66+'YBN Group P&amp;L'!Y66+'HAB P&amp;L'!Y66+'Moe2 P&amp;L'!Y66</f>
        <v/>
      </c>
      <c r="Z66" s="38">
        <f>'KNL GROUP P&amp;L'!Z66+'CCL GROUP P&amp;L'!Z66+'YBHN GROUP P&amp;L'!Z66+'YBN Group P&amp;L'!Z66+'HAB P&amp;L'!Z66+'Moe2 P&amp;L'!Z66</f>
        <v/>
      </c>
      <c r="AA66" s="36">
        <f>SUM(O66:U66)</f>
        <v/>
      </c>
      <c r="AB66" s="36">
        <f>SUM(O66:Z66)</f>
        <v/>
      </c>
      <c r="AC66" s="38">
        <f>'KNL GROUP P&amp;L'!AC66+'CCL GROUP P&amp;L'!AC66+'YBHN GROUP P&amp;L'!AC66+'YBN Group P&amp;L'!AC66+'HAB P&amp;L'!AC66+'Moe2 P&amp;L'!AC66</f>
        <v/>
      </c>
      <c r="AD66" s="38">
        <f>'KNL GROUP P&amp;L'!AD66+'CCL GROUP P&amp;L'!AD66+'YBHN GROUP P&amp;L'!AD66+'YBN Group P&amp;L'!AD66+'HAB P&amp;L'!AD66+'Moe2 P&amp;L'!AD66</f>
        <v/>
      </c>
      <c r="AE66" s="38">
        <f>'KNL GROUP P&amp;L'!AE66+'CCL GROUP P&amp;L'!AE66+'YBHN GROUP P&amp;L'!AE66+'YBN Group P&amp;L'!AE66+'HAB P&amp;L'!AE66+'Moe2 P&amp;L'!AE66</f>
        <v/>
      </c>
      <c r="AF66" s="38">
        <f>'KNL GROUP P&amp;L'!AF66+'CCL GROUP P&amp;L'!AF66+'YBHN GROUP P&amp;L'!AF66+'YBN Group P&amp;L'!AF66+'HAB P&amp;L'!AF66+'Moe2 P&amp;L'!AF66</f>
        <v/>
      </c>
      <c r="AG66" s="38">
        <f>'KNL GROUP P&amp;L'!AG66+'CCL GROUP P&amp;L'!AG66+'YBHN GROUP P&amp;L'!AG66+'YBN Group P&amp;L'!AG66+'HAB P&amp;L'!AG66+'Moe2 P&amp;L'!AG66</f>
        <v/>
      </c>
      <c r="AH66" s="38">
        <f>'KNL GROUP P&amp;L'!AH66+'CCL GROUP P&amp;L'!AH66+'YBHN GROUP P&amp;L'!AH66+'YBN Group P&amp;L'!AH66+'HAB P&amp;L'!AH66+'Moe2 P&amp;L'!AH66</f>
        <v/>
      </c>
      <c r="AI66" s="8" t="n"/>
      <c r="AJ66" s="36">
        <f>SUM(E66:Q66)-$N66</f>
        <v/>
      </c>
      <c r="AK66" s="36">
        <f>SUM(H66:T66)-$N66</f>
        <v/>
      </c>
      <c r="AL66" s="36">
        <f>SUM(K66:W66)-$N66</f>
        <v/>
      </c>
      <c r="AM66" s="36">
        <f>SUM(N66:Z66)-$N66</f>
        <v/>
      </c>
      <c r="AN66" s="40" t="n"/>
      <c r="AO66" s="92">
        <f>SUM(AC66:AE66)+SUM(R66:Z66)</f>
        <v/>
      </c>
      <c r="AP66" s="92">
        <f>SUM(AC66:AH66)+SUM(U66:Z66)</f>
        <v/>
      </c>
    </row>
    <row r="67">
      <c r="A67" s="34" t="inlineStr">
        <is>
          <t>Proffessional Fees</t>
        </is>
      </c>
      <c r="B67" s="35" t="n">
        <v>-2490.960000000001</v>
      </c>
      <c r="C67" s="35" t="n">
        <v>24986.81</v>
      </c>
      <c r="D67" s="35" t="n">
        <v>6956.65</v>
      </c>
      <c r="E67" s="35" t="n">
        <v>23477.11</v>
      </c>
      <c r="F67" s="35" t="n">
        <v>12828.06</v>
      </c>
      <c r="G67" s="35" t="n">
        <v>6524.48</v>
      </c>
      <c r="H67" s="35" t="n">
        <v>5991.870000000001</v>
      </c>
      <c r="I67" s="35" t="n">
        <v>5914.58</v>
      </c>
      <c r="J67" s="35" t="n">
        <v>17708.91</v>
      </c>
      <c r="K67" s="35" t="n">
        <v>9306.309999999999</v>
      </c>
      <c r="L67" s="35" t="n">
        <v>6955.470000000001</v>
      </c>
      <c r="M67" s="35" t="n">
        <v>10551.59</v>
      </c>
      <c r="N67" s="36">
        <f>SUM(B67:M67)</f>
        <v/>
      </c>
      <c r="O67" s="37">
        <f>SUMIF('Group TB '!$R:$R,'GROUP TOTALS MONTHLY P&amp;L'!$A67,'Group TB '!C:C)</f>
        <v/>
      </c>
      <c r="P67" s="37">
        <f>SUMIF('Group TB '!$R:$R,'GROUP TOTALS MONTHLY P&amp;L'!$A67,'Group TB '!D:D)</f>
        <v/>
      </c>
      <c r="Q67" s="37">
        <f>SUMIF('Group TB '!$R:$R,'GROUP TOTALS MONTHLY P&amp;L'!$A67,'Group TB '!E:E)</f>
        <v/>
      </c>
      <c r="R67" s="37">
        <f>SUMIF('Group TB '!$R:$R,'GROUP TOTALS MONTHLY P&amp;L'!$A67,'Group TB '!F:F)</f>
        <v/>
      </c>
      <c r="S67" s="37">
        <f>SUMIF('Group TB '!$R:$R,'GROUP TOTALS MONTHLY P&amp;L'!$A67,'Group TB '!G:G)</f>
        <v/>
      </c>
      <c r="T67" s="37">
        <f>SUMIF('Group TB '!$R:$R,'GROUP TOTALS MONTHLY P&amp;L'!$A67,'Group TB '!H:H)</f>
        <v/>
      </c>
      <c r="U67" s="37">
        <f>SUMIF('Group TB '!$R:$R,'GROUP TOTALS MONTHLY P&amp;L'!$A67,'Group TB '!I:I)</f>
        <v/>
      </c>
      <c r="V67" s="38">
        <f>'KNL GROUP P&amp;L'!V67+'CCL GROUP P&amp;L'!V67+'YBHN GROUP P&amp;L'!V67+'YBN Group P&amp;L'!V67+'HAB P&amp;L'!V67+'Moe2 P&amp;L'!V67</f>
        <v/>
      </c>
      <c r="W67" s="38">
        <f>'KNL GROUP P&amp;L'!W67+'CCL GROUP P&amp;L'!W67+'YBHN GROUP P&amp;L'!W67+'YBN Group P&amp;L'!W67+'HAB P&amp;L'!W67+'Moe2 P&amp;L'!W67</f>
        <v/>
      </c>
      <c r="X67" s="38">
        <f>'KNL GROUP P&amp;L'!X67+'CCL GROUP P&amp;L'!X67+'YBHN GROUP P&amp;L'!X67+'YBN Group P&amp;L'!X67+'HAB P&amp;L'!X67+'Moe2 P&amp;L'!X67</f>
        <v/>
      </c>
      <c r="Y67" s="38">
        <f>'KNL GROUP P&amp;L'!Y67+'CCL GROUP P&amp;L'!Y67+'YBHN GROUP P&amp;L'!Y67+'YBN Group P&amp;L'!Y67+'HAB P&amp;L'!Y67+'Moe2 P&amp;L'!Y67</f>
        <v/>
      </c>
      <c r="Z67" s="38">
        <f>'KNL GROUP P&amp;L'!Z67+'CCL GROUP P&amp;L'!Z67+'YBHN GROUP P&amp;L'!Z67+'YBN Group P&amp;L'!Z67+'HAB P&amp;L'!Z67+'Moe2 P&amp;L'!Z67</f>
        <v/>
      </c>
      <c r="AA67" s="36">
        <f>SUM(O67:U67)</f>
        <v/>
      </c>
      <c r="AB67" s="36">
        <f>SUM(O67:Z67)</f>
        <v/>
      </c>
      <c r="AC67" s="38">
        <f>'KNL GROUP P&amp;L'!AC67+'CCL GROUP P&amp;L'!AC67+'YBHN GROUP P&amp;L'!AC67+'YBN Group P&amp;L'!AC67+'HAB P&amp;L'!AC67+'Moe2 P&amp;L'!AC67</f>
        <v/>
      </c>
      <c r="AD67" s="38">
        <f>'KNL GROUP P&amp;L'!AD67+'CCL GROUP P&amp;L'!AD67+'YBHN GROUP P&amp;L'!AD67+'YBN Group P&amp;L'!AD67+'HAB P&amp;L'!AD67+'Moe2 P&amp;L'!AD67</f>
        <v/>
      </c>
      <c r="AE67" s="38">
        <f>'KNL GROUP P&amp;L'!AE67+'CCL GROUP P&amp;L'!AE67+'YBHN GROUP P&amp;L'!AE67+'YBN Group P&amp;L'!AE67+'HAB P&amp;L'!AE67+'Moe2 P&amp;L'!AE67</f>
        <v/>
      </c>
      <c r="AF67" s="38">
        <f>'KNL GROUP P&amp;L'!AF67+'CCL GROUP P&amp;L'!AF67+'YBHN GROUP P&amp;L'!AF67+'YBN Group P&amp;L'!AF67+'HAB P&amp;L'!AF67+'Moe2 P&amp;L'!AF67</f>
        <v/>
      </c>
      <c r="AG67" s="38">
        <f>'KNL GROUP P&amp;L'!AG67+'CCL GROUP P&amp;L'!AG67+'YBHN GROUP P&amp;L'!AG67+'YBN Group P&amp;L'!AG67+'HAB P&amp;L'!AG67+'Moe2 P&amp;L'!AG67</f>
        <v/>
      </c>
      <c r="AH67" s="38">
        <f>'KNL GROUP P&amp;L'!AH67+'CCL GROUP P&amp;L'!AH67+'YBHN GROUP P&amp;L'!AH67+'YBN Group P&amp;L'!AH67+'HAB P&amp;L'!AH67+'Moe2 P&amp;L'!AH67</f>
        <v/>
      </c>
      <c r="AI67" s="8" t="n"/>
      <c r="AJ67" s="36">
        <f>SUM(E67:Q67)-$N67</f>
        <v/>
      </c>
      <c r="AK67" s="36">
        <f>SUM(H67:T67)-$N67</f>
        <v/>
      </c>
      <c r="AL67" s="36">
        <f>SUM(K67:W67)-$N67</f>
        <v/>
      </c>
      <c r="AM67" s="36">
        <f>SUM(N67:Z67)-$N67</f>
        <v/>
      </c>
      <c r="AN67" s="40" t="n"/>
      <c r="AO67" s="92">
        <f>SUM(AC67:AE67)+SUM(R67:Z67)</f>
        <v/>
      </c>
      <c r="AP67" s="92">
        <f>SUM(AC67:AH67)+SUM(U67:Z67)</f>
        <v/>
      </c>
    </row>
    <row r="68" ht="15.75" customHeight="1">
      <c r="A68" s="34" t="inlineStr">
        <is>
          <t>Finance Costs</t>
        </is>
      </c>
      <c r="B68" s="35" t="n">
        <v>355.6</v>
      </c>
      <c r="C68" s="35" t="n">
        <v>382.15</v>
      </c>
      <c r="D68" s="35" t="n">
        <v>494.51</v>
      </c>
      <c r="E68" s="35" t="n">
        <v>424.02</v>
      </c>
      <c r="F68" s="35" t="n">
        <v>451.65</v>
      </c>
      <c r="G68" s="35" t="n">
        <v>545.4</v>
      </c>
      <c r="H68" s="35" t="n">
        <v>1075.45</v>
      </c>
      <c r="I68" s="35" t="n">
        <v>326.4</v>
      </c>
      <c r="J68" s="35" t="n">
        <v>166.53</v>
      </c>
      <c r="K68" s="35" t="n">
        <v>342.5</v>
      </c>
      <c r="L68" s="35" t="n">
        <v>281.9</v>
      </c>
      <c r="M68" s="35" t="n">
        <v>314.79</v>
      </c>
      <c r="N68" s="36">
        <f>SUM(B68:M68)</f>
        <v/>
      </c>
      <c r="O68" s="37">
        <f>SUMIF('Group TB '!$R:$R,'GROUP TOTALS MONTHLY P&amp;L'!$A68,'Group TB '!C:C)</f>
        <v/>
      </c>
      <c r="P68" s="37">
        <f>SUMIF('Group TB '!$R:$R,'GROUP TOTALS MONTHLY P&amp;L'!$A68,'Group TB '!D:D)</f>
        <v/>
      </c>
      <c r="Q68" s="37">
        <f>SUMIF('Group TB '!$R:$R,'GROUP TOTALS MONTHLY P&amp;L'!$A68,'Group TB '!E:E)</f>
        <v/>
      </c>
      <c r="R68" s="37">
        <f>SUMIF('Group TB '!$R:$R,'GROUP TOTALS MONTHLY P&amp;L'!$A68,'Group TB '!F:F)</f>
        <v/>
      </c>
      <c r="S68" s="37">
        <f>SUMIF('Group TB '!$R:$R,'GROUP TOTALS MONTHLY P&amp;L'!$A68,'Group TB '!G:G)</f>
        <v/>
      </c>
      <c r="T68" s="37">
        <f>SUMIF('Group TB '!$R:$R,'GROUP TOTALS MONTHLY P&amp;L'!$A68,'Group TB '!H:H)</f>
        <v/>
      </c>
      <c r="U68" s="37">
        <f>SUMIF('Group TB '!$R:$R,'GROUP TOTALS MONTHLY P&amp;L'!$A68,'Group TB '!I:I)</f>
        <v/>
      </c>
      <c r="V68" s="38">
        <f>'KNL GROUP P&amp;L'!V68+'CCL GROUP P&amp;L'!V68+'YBHN GROUP P&amp;L'!V68+'YBN Group P&amp;L'!V68+'HAB P&amp;L'!V68+'Moe2 P&amp;L'!V68</f>
        <v/>
      </c>
      <c r="W68" s="38">
        <f>'KNL GROUP P&amp;L'!W68+'CCL GROUP P&amp;L'!W68+'YBHN GROUP P&amp;L'!W68+'YBN Group P&amp;L'!W68+'HAB P&amp;L'!W68+'Moe2 P&amp;L'!W68</f>
        <v/>
      </c>
      <c r="X68" s="38">
        <f>'KNL GROUP P&amp;L'!X68+'CCL GROUP P&amp;L'!X68+'YBHN GROUP P&amp;L'!X68+'YBN Group P&amp;L'!X68+'HAB P&amp;L'!X68+'Moe2 P&amp;L'!X68</f>
        <v/>
      </c>
      <c r="Y68" s="38">
        <f>'KNL GROUP P&amp;L'!Y68+'CCL GROUP P&amp;L'!Y68+'YBHN GROUP P&amp;L'!Y68+'YBN Group P&amp;L'!Y68+'HAB P&amp;L'!Y68+'Moe2 P&amp;L'!Y68</f>
        <v/>
      </c>
      <c r="Z68" s="38">
        <f>'KNL GROUP P&amp;L'!Z68+'CCL GROUP P&amp;L'!Z68+'YBHN GROUP P&amp;L'!Z68+'YBN Group P&amp;L'!Z68+'HAB P&amp;L'!Z68+'Moe2 P&amp;L'!Z68</f>
        <v/>
      </c>
      <c r="AA68" s="36">
        <f>SUM(O68:U68)</f>
        <v/>
      </c>
      <c r="AB68" s="104">
        <f>SUM(O68:Z68)</f>
        <v/>
      </c>
      <c r="AC68" s="38">
        <f>'KNL GROUP P&amp;L'!AC68+'CCL GROUP P&amp;L'!AC68+'YBHN GROUP P&amp;L'!AC68+'YBN Group P&amp;L'!AC68+'HAB P&amp;L'!AC68+'Moe2 P&amp;L'!AC68</f>
        <v/>
      </c>
      <c r="AD68" s="38">
        <f>'KNL GROUP P&amp;L'!AD68+'CCL GROUP P&amp;L'!AD68+'YBHN GROUP P&amp;L'!AD68+'YBN Group P&amp;L'!AD68+'HAB P&amp;L'!AD68+'Moe2 P&amp;L'!AD68</f>
        <v/>
      </c>
      <c r="AE68" s="38">
        <f>'KNL GROUP P&amp;L'!AE68+'CCL GROUP P&amp;L'!AE68+'YBHN GROUP P&amp;L'!AE68+'YBN Group P&amp;L'!AE68+'HAB P&amp;L'!AE68+'Moe2 P&amp;L'!AE68</f>
        <v/>
      </c>
      <c r="AF68" s="38">
        <f>'KNL GROUP P&amp;L'!AF68+'CCL GROUP P&amp;L'!AF68+'YBHN GROUP P&amp;L'!AF68+'YBN Group P&amp;L'!AF68+'HAB P&amp;L'!AF68+'Moe2 P&amp;L'!AF68</f>
        <v/>
      </c>
      <c r="AG68" s="38">
        <f>'KNL GROUP P&amp;L'!AG68+'CCL GROUP P&amp;L'!AG68+'YBHN GROUP P&amp;L'!AG68+'YBN Group P&amp;L'!AG68+'HAB P&amp;L'!AG68+'Moe2 P&amp;L'!AG68</f>
        <v/>
      </c>
      <c r="AH68" s="38">
        <f>'KNL GROUP P&amp;L'!AH68+'CCL GROUP P&amp;L'!AH68+'YBHN GROUP P&amp;L'!AH68+'YBN Group P&amp;L'!AH68+'HAB P&amp;L'!AH68+'Moe2 P&amp;L'!AH68</f>
        <v/>
      </c>
      <c r="AI68" s="8" t="n"/>
      <c r="AJ68" s="36">
        <f>SUM(E68:Q68)-$N68</f>
        <v/>
      </c>
      <c r="AK68" s="36">
        <f>SUM(H68:T68)-$N68</f>
        <v/>
      </c>
      <c r="AL68" s="36">
        <f>SUM(K68:W68)-$N68</f>
        <v/>
      </c>
      <c r="AM68" s="36">
        <f>SUM(N68:Z68)-$N68</f>
        <v/>
      </c>
      <c r="AN68" s="40" t="n"/>
      <c r="AO68" s="92">
        <f>SUM(AC68:AE68)+SUM(R68:Z68)</f>
        <v/>
      </c>
      <c r="AP68" s="92">
        <f>SUM(AC68:AH68)+SUM(U68:Z68)</f>
        <v/>
      </c>
    </row>
    <row r="69" ht="15.75" customHeight="1">
      <c r="A69" s="41" t="inlineStr">
        <is>
          <t>Total Overheads</t>
        </is>
      </c>
      <c r="B69" s="42" t="n">
        <v>127479.33</v>
      </c>
      <c r="C69" s="42" t="n">
        <v>140605.39</v>
      </c>
      <c r="D69" s="42" t="n">
        <v>165696.69</v>
      </c>
      <c r="E69" s="42" t="n">
        <v>203725.6</v>
      </c>
      <c r="F69" s="42" t="n">
        <v>125065.98</v>
      </c>
      <c r="G69" s="42" t="n">
        <v>142071.87</v>
      </c>
      <c r="H69" s="42" t="n">
        <v>142712.62</v>
      </c>
      <c r="I69" s="42" t="n">
        <v>158334.06</v>
      </c>
      <c r="J69" s="42" t="n">
        <v>215286.34</v>
      </c>
      <c r="K69" s="42" t="n">
        <v>147961.99</v>
      </c>
      <c r="L69" s="42" t="n">
        <v>157533.37</v>
      </c>
      <c r="M69" s="42" t="n">
        <v>488946.03</v>
      </c>
      <c r="N69" s="43">
        <f>SUM(B69:M69)</f>
        <v/>
      </c>
      <c r="O69" s="44">
        <f>SUM(O53:O68)</f>
        <v/>
      </c>
      <c r="P69" s="44">
        <f>SUM(P53:P68)</f>
        <v/>
      </c>
      <c r="Q69" s="44">
        <f>SUM(Q53:Q68)</f>
        <v/>
      </c>
      <c r="R69" s="44">
        <f>SUM(R53:R68)</f>
        <v/>
      </c>
      <c r="S69" s="44">
        <f>SUM(S53:S68)</f>
        <v/>
      </c>
      <c r="T69" s="44">
        <f>SUM(T53:T68)</f>
        <v/>
      </c>
      <c r="U69" s="44">
        <f>SUM(U53:U68)</f>
        <v/>
      </c>
      <c r="V69" s="45">
        <f>SUM(V53:V68)</f>
        <v/>
      </c>
      <c r="W69" s="45">
        <f>SUM(W53:W68)</f>
        <v/>
      </c>
      <c r="X69" s="45">
        <f>SUM(X53:X68)</f>
        <v/>
      </c>
      <c r="Y69" s="45">
        <f>SUM(Y53:Y68)</f>
        <v/>
      </c>
      <c r="Z69" s="45">
        <f>SUM(Z53:Z68)</f>
        <v/>
      </c>
      <c r="AA69" s="43">
        <f>SUM(O69:U69)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8" t="n"/>
      <c r="AJ69" s="43">
        <f>SUM(AJ53:AJ68)</f>
        <v/>
      </c>
      <c r="AK69" s="43">
        <f>SUM(AK53:AK68)</f>
        <v/>
      </c>
      <c r="AL69" s="43">
        <f>SUM(AL53:AL68)</f>
        <v/>
      </c>
      <c r="AM69" s="43">
        <f>SUM(AM53:AM68)</f>
        <v/>
      </c>
      <c r="AN69" s="40" t="n"/>
      <c r="AO69" s="93">
        <f>SUM(AO53:AO68)</f>
        <v/>
      </c>
      <c r="AP69" s="93">
        <f>SUM(AP53:AP68)</f>
        <v/>
      </c>
    </row>
    <row r="70" ht="15.75" customHeight="1">
      <c r="A70" s="54" t="inlineStr">
        <is>
          <t>EBITDA</t>
        </is>
      </c>
      <c r="B70" s="55" t="n">
        <v>141740.61</v>
      </c>
      <c r="C70" s="55" t="n">
        <v>161261.61</v>
      </c>
      <c r="D70" s="55" t="n">
        <v>312669.7000000001</v>
      </c>
      <c r="E70" s="55" t="n">
        <v>104412.3299999997</v>
      </c>
      <c r="F70" s="55" t="n">
        <v>72948.60000000011</v>
      </c>
      <c r="G70" s="55" t="n">
        <v>198388.9600000001</v>
      </c>
      <c r="H70" s="55" t="n">
        <v>475618.0999999997</v>
      </c>
      <c r="I70" s="55" t="n">
        <v>-16824.51000000004</v>
      </c>
      <c r="J70" s="55" t="n">
        <v>-96262.10999999993</v>
      </c>
      <c r="K70" s="55" t="n">
        <v>-10399.62</v>
      </c>
      <c r="L70" s="55" t="n">
        <v>166737.3400000001</v>
      </c>
      <c r="M70" s="55" t="n">
        <v>47760.69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56" t="n"/>
      <c r="AJ70" s="55">
        <f>AJ50-AJ69</f>
        <v/>
      </c>
      <c r="AK70" s="55">
        <f>AK50-AK69</f>
        <v/>
      </c>
      <c r="AL70" s="55">
        <f>AL50-AL69</f>
        <v/>
      </c>
      <c r="AM70" s="55">
        <f>AM50-AM69</f>
        <v/>
      </c>
      <c r="AN70" s="56" t="n"/>
      <c r="AO70" s="105" t="inlineStr">
        <is>
          <t>NOT COMPLETED</t>
        </is>
      </c>
      <c r="AP70" s="106" t="n"/>
    </row>
    <row r="71">
      <c r="A71" s="28" t="inlineStr">
        <is>
          <t>Exceptional Add Backs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36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36">
        <f>SUM(O71:U71)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34" t="inlineStr">
        <is>
          <t>Bonus - Attendance</t>
        </is>
      </c>
      <c r="B72" s="35" t="n"/>
      <c r="C72" s="35" t="n"/>
      <c r="D72" s="35" t="n"/>
      <c r="E72" s="35" t="n"/>
      <c r="F72" s="35" t="n"/>
      <c r="G72" s="35" t="n"/>
      <c r="H72" s="35" t="n">
        <v>23662</v>
      </c>
      <c r="I72" s="35" t="n">
        <v>278</v>
      </c>
      <c r="J72" s="35" t="n"/>
      <c r="K72" s="35" t="n"/>
      <c r="L72" s="35" t="n"/>
      <c r="M72" s="35" t="n"/>
      <c r="N72" s="36">
        <f>SUM(B72:M72)</f>
        <v/>
      </c>
      <c r="O72" s="37" t="n"/>
      <c r="P72" s="37" t="n"/>
      <c r="Q72" s="37" t="n"/>
      <c r="R72" s="37" t="n"/>
      <c r="S72" s="37" t="n"/>
      <c r="T72" s="37" t="n"/>
      <c r="U72" s="37" t="n"/>
      <c r="V72" s="38" t="n"/>
      <c r="W72" s="38" t="n"/>
      <c r="X72" s="38" t="n"/>
      <c r="Y72" s="38" t="n"/>
      <c r="Z72" s="38" t="n"/>
      <c r="AA72" s="36">
        <f>SUM(O72:U72)</f>
        <v/>
      </c>
      <c r="AB72" s="56" t="n"/>
      <c r="AC72" s="38" t="n"/>
      <c r="AD72" s="38" t="n"/>
      <c r="AE72" s="38" t="n"/>
      <c r="AF72" s="38" t="n"/>
      <c r="AG72" s="38" t="n"/>
      <c r="AH72" s="38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34" t="inlineStr">
        <is>
          <t>Bonus - General</t>
        </is>
      </c>
      <c r="B73" s="35" t="n">
        <v>300</v>
      </c>
      <c r="C73" s="35" t="n">
        <v>918</v>
      </c>
      <c r="D73" s="35" t="n">
        <v>518</v>
      </c>
      <c r="E73" s="35" t="n">
        <v>1618</v>
      </c>
      <c r="F73" s="35" t="n">
        <v>993</v>
      </c>
      <c r="G73" s="35" t="n">
        <v>1443</v>
      </c>
      <c r="H73" s="35" t="n">
        <v>4593</v>
      </c>
      <c r="I73" s="35" t="n">
        <v>900</v>
      </c>
      <c r="J73" s="35" t="n"/>
      <c r="K73" s="35" t="n"/>
      <c r="L73" s="35" t="n"/>
      <c r="M73" s="35" t="n"/>
      <c r="N73" s="36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6">
        <f>SUM(O73:U73)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34" t="inlineStr">
        <is>
          <t>Bonus - Directors</t>
        </is>
      </c>
      <c r="B74" s="35" t="n">
        <v>24447</v>
      </c>
      <c r="C74" s="35" t="n">
        <v>24447</v>
      </c>
      <c r="D74" s="35" t="n">
        <v>24447</v>
      </c>
      <c r="E74" s="35" t="n">
        <v>24446</v>
      </c>
      <c r="F74" s="35" t="n">
        <v>24446</v>
      </c>
      <c r="G74" s="35" t="n">
        <v>42271</v>
      </c>
      <c r="H74" s="35" t="n">
        <v>33516</v>
      </c>
      <c r="I74" s="35" t="n">
        <v>51026</v>
      </c>
      <c r="J74" s="35" t="n">
        <v>42272</v>
      </c>
      <c r="K74" s="35" t="n">
        <v>42271</v>
      </c>
      <c r="L74" s="35" t="n">
        <v>42271</v>
      </c>
      <c r="M74" s="35" t="n">
        <v>341213</v>
      </c>
      <c r="N74" s="36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6">
        <f>SUM(O74:U74)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34" t="inlineStr">
        <is>
          <t>Bonus - Performance</t>
        </is>
      </c>
      <c r="B75" s="35" t="n"/>
      <c r="C75" s="35" t="n"/>
      <c r="D75" s="35" t="n"/>
      <c r="E75" s="35" t="n">
        <v>35000</v>
      </c>
      <c r="F75" s="35" t="n"/>
      <c r="G75" s="35" t="n"/>
      <c r="H75" s="35" t="n"/>
      <c r="I75" s="35" t="n"/>
      <c r="J75" s="35" t="n">
        <v>17241</v>
      </c>
      <c r="K75" s="35" t="n"/>
      <c r="L75" s="35" t="n"/>
      <c r="M75" s="35" t="n"/>
      <c r="N75" s="36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6">
        <f>SUM(O75:U75)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8" t="n"/>
      <c r="AP75" s="8" t="n"/>
    </row>
    <row r="76">
      <c r="A76" s="34" t="inlineStr">
        <is>
          <t>PILON</t>
        </is>
      </c>
      <c r="B76" s="35" t="n">
        <v>3148</v>
      </c>
      <c r="C76" s="35" t="n"/>
      <c r="D76" s="35" t="n">
        <v>933</v>
      </c>
      <c r="E76" s="35" t="n">
        <v>22819</v>
      </c>
      <c r="F76" s="35" t="n">
        <v>400</v>
      </c>
      <c r="G76" s="35" t="n"/>
      <c r="H76" s="35" t="n"/>
      <c r="I76" s="35" t="n"/>
      <c r="J76" s="35" t="n">
        <v>14086</v>
      </c>
      <c r="K76" s="35" t="n"/>
      <c r="L76" s="35" t="n"/>
      <c r="M76" s="35" t="n"/>
      <c r="N76" s="36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6">
        <f>SUM(O76:U76)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>
      <c r="A77" s="34" t="inlineStr">
        <is>
          <t>All Staff Party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>
        <v>769.91</v>
      </c>
      <c r="J77" s="35" t="n">
        <v>16814</v>
      </c>
      <c r="K77" s="35" t="n"/>
      <c r="L77" s="35" t="n"/>
      <c r="M77" s="35" t="n"/>
      <c r="N77" s="36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6">
        <f>SUM(O77:U77)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8" t="n"/>
      <c r="AJ77" s="8" t="inlineStr">
        <is>
          <t>Easter fallback</t>
        </is>
      </c>
      <c r="AK77" s="8" t="n"/>
      <c r="AL77" s="61" t="n">
        <v>0.04</v>
      </c>
      <c r="AM77" s="62">
        <f>AL77+1</f>
        <v/>
      </c>
      <c r="AN77" s="8" t="n"/>
      <c r="AO77" s="8" t="n"/>
      <c r="AP77" s="8" t="n"/>
    </row>
    <row r="78">
      <c r="A78" s="34" t="inlineStr">
        <is>
          <t>HS Relaunch</t>
        </is>
      </c>
      <c r="B78" s="35" t="n"/>
      <c r="C78" s="35" t="n"/>
      <c r="D78" s="35" t="n"/>
      <c r="E78" s="35" t="n"/>
      <c r="F78" s="35" t="n"/>
      <c r="G78" s="35" t="n">
        <v>8439.74</v>
      </c>
      <c r="H78" s="35" t="n">
        <v>233.52</v>
      </c>
      <c r="I78" s="35" t="n">
        <v>795.67</v>
      </c>
      <c r="J78" s="35" t="n">
        <v>111.91</v>
      </c>
      <c r="K78" s="35" t="n"/>
      <c r="L78" s="35" t="n"/>
      <c r="M78" s="35" t="n"/>
      <c r="N78" s="36">
        <f>SUM(B78:M78)</f>
        <v/>
      </c>
      <c r="O78" s="37" t="n"/>
      <c r="P78" s="37" t="n"/>
      <c r="Q78" s="37" t="n"/>
      <c r="R78" s="37" t="n"/>
      <c r="S78" s="37" t="n"/>
      <c r="T78" s="37" t="n"/>
      <c r="U78" s="37" t="n"/>
      <c r="V78" s="38" t="n"/>
      <c r="W78" s="38" t="n"/>
      <c r="X78" s="38" t="n"/>
      <c r="Y78" s="38" t="n"/>
      <c r="Z78" s="38" t="n"/>
      <c r="AA78" s="36">
        <f>SUM(O78:U78)</f>
        <v/>
      </c>
      <c r="AB78" s="8" t="n"/>
      <c r="AC78" s="38" t="n"/>
      <c r="AD78" s="38" t="n"/>
      <c r="AE78" s="38" t="n"/>
      <c r="AF78" s="38" t="n"/>
      <c r="AG78" s="38" t="n"/>
      <c r="AH78" s="38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34" t="inlineStr">
        <is>
          <t>Tech refresh - Netteam</t>
        </is>
      </c>
      <c r="B79" s="35" t="n"/>
      <c r="C79" s="35" t="n"/>
      <c r="D79" s="35" t="n"/>
      <c r="E79" s="35" t="n"/>
      <c r="F79" s="35" t="n"/>
      <c r="G79" s="35" t="n"/>
      <c r="H79" s="35" t="n"/>
      <c r="I79" s="35" t="n">
        <v>1662</v>
      </c>
      <c r="J79" s="35" t="n">
        <v>5820</v>
      </c>
      <c r="K79" s="35" t="n"/>
      <c r="L79" s="35" t="n"/>
      <c r="M79" s="35" t="n"/>
      <c r="N79" s="36">
        <f>SUM(B79:M79)</f>
        <v/>
      </c>
      <c r="O79" s="37" t="n"/>
      <c r="P79" s="37" t="n"/>
      <c r="Q79" s="37" t="n"/>
      <c r="R79" s="37" t="n"/>
      <c r="S79" s="37" t="n"/>
      <c r="T79" s="37" t="n"/>
      <c r="U79" s="37" t="n"/>
      <c r="V79" s="38" t="n"/>
      <c r="W79" s="38" t="n"/>
      <c r="X79" s="38" t="n"/>
      <c r="Y79" s="38" t="n"/>
      <c r="Z79" s="38" t="n"/>
      <c r="AA79" s="36">
        <f>SUM(O79:U79)</f>
        <v/>
      </c>
      <c r="AB79" s="8" t="n"/>
      <c r="AC79" s="38" t="n"/>
      <c r="AD79" s="38" t="n"/>
      <c r="AE79" s="38" t="n"/>
      <c r="AF79" s="38" t="n"/>
      <c r="AG79" s="38" t="n"/>
      <c r="AH79" s="3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 ht="15.75" customHeight="1">
      <c r="A80" s="34" t="n"/>
      <c r="B80" s="35" t="n"/>
      <c r="C80" s="35" t="n"/>
      <c r="D80" s="35" t="n"/>
      <c r="E80" s="35" t="n"/>
      <c r="F80" s="35" t="n"/>
      <c r="G80" s="35" t="n"/>
      <c r="H80" s="35" t="n"/>
      <c r="I80" s="35" t="n"/>
      <c r="J80" s="35" t="n"/>
      <c r="K80" s="35" t="n"/>
      <c r="L80" s="35" t="n"/>
      <c r="M80" s="35" t="n"/>
      <c r="N80" s="36">
        <f>SUM(B80:M80)</f>
        <v/>
      </c>
      <c r="O80" s="37" t="n"/>
      <c r="P80" s="37" t="n"/>
      <c r="Q80" s="37" t="n"/>
      <c r="R80" s="37" t="n"/>
      <c r="S80" s="37" t="n"/>
      <c r="T80" s="37" t="n"/>
      <c r="U80" s="37" t="n"/>
      <c r="V80" s="38" t="n"/>
      <c r="W80" s="38" t="n"/>
      <c r="X80" s="38" t="n"/>
      <c r="Y80" s="38" t="n"/>
      <c r="Z80" s="38" t="n"/>
      <c r="AA80" s="36">
        <f>SUM(O80:U80)</f>
        <v/>
      </c>
      <c r="AB80" s="8" t="n"/>
      <c r="AC80" s="38" t="n"/>
      <c r="AD80" s="38" t="n"/>
      <c r="AE80" s="38" t="n"/>
      <c r="AF80" s="38" t="n"/>
      <c r="AG80" s="38" t="n"/>
      <c r="AH80" s="38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 ht="15.75" customHeight="1">
      <c r="A81" s="107" t="n"/>
      <c r="B81" s="108" t="n">
        <v>169635.61</v>
      </c>
      <c r="C81" s="108" t="n">
        <v>186626.61</v>
      </c>
      <c r="D81" s="108" t="n">
        <v>338567.7000000001</v>
      </c>
      <c r="E81" s="108" t="n">
        <v>188295.3299999997</v>
      </c>
      <c r="F81" s="108" t="n">
        <v>98787.60000000011</v>
      </c>
      <c r="G81" s="108" t="n">
        <v>250542.7</v>
      </c>
      <c r="H81" s="108" t="n">
        <v>537622.62</v>
      </c>
      <c r="I81" s="108" t="n">
        <v>38607.06999999996</v>
      </c>
      <c r="J81" s="108" t="n">
        <v>82.80000000007567</v>
      </c>
      <c r="K81" s="108" t="n">
        <v>31871.38</v>
      </c>
      <c r="L81" s="108" t="n">
        <v>209008.3400000001</v>
      </c>
      <c r="M81" s="108" t="n">
        <v>388973.69</v>
      </c>
      <c r="N81" s="108">
        <f>SUM(B81:M81)</f>
        <v/>
      </c>
      <c r="O81" s="108">
        <f>O70+SUM(O72:O80)</f>
        <v/>
      </c>
      <c r="P81" s="108">
        <f>P70+SUM(P72:P80)</f>
        <v/>
      </c>
      <c r="Q81" s="108">
        <f>Q70+SUM(Q72:Q80)</f>
        <v/>
      </c>
      <c r="R81" s="108">
        <f>R70+SUM(R72:R80)</f>
        <v/>
      </c>
      <c r="S81" s="108">
        <f>S70+SUM(S72:S80)</f>
        <v/>
      </c>
      <c r="T81" s="108">
        <f>T70+SUM(T72:T80)</f>
        <v/>
      </c>
      <c r="U81" s="108">
        <f>U70+SUM(U72:U80)</f>
        <v/>
      </c>
      <c r="V81" s="108">
        <f>V70+SUM(V72:V80)</f>
        <v/>
      </c>
      <c r="W81" s="108">
        <f>W70+SUM(W72:W80)</f>
        <v/>
      </c>
      <c r="X81" s="108">
        <f>X70+SUM(X72:X80)</f>
        <v/>
      </c>
      <c r="Y81" s="108">
        <f>Y70+SUM(Y72:Y80)</f>
        <v/>
      </c>
      <c r="Z81" s="108">
        <f>Z70+SUM(Z72:Z80)</f>
        <v/>
      </c>
      <c r="AA81" s="108">
        <f>AA70+SUM(AA72:AA80)</f>
        <v/>
      </c>
      <c r="AB81" s="8" t="n"/>
      <c r="AC81" s="108" t="n"/>
      <c r="AD81" s="108" t="n"/>
      <c r="AE81" s="108" t="n"/>
      <c r="AF81" s="108" t="n"/>
      <c r="AG81" s="108" t="n"/>
      <c r="AH81" s="10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22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109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22" t="inlineStr">
        <is>
          <t>Memo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34" t="inlineStr">
        <is>
          <t>Direct - Sales</t>
        </is>
      </c>
      <c r="B89" s="18" t="n">
        <v>862528.02</v>
      </c>
      <c r="C89" s="18" t="n">
        <v>903324.04</v>
      </c>
      <c r="D89" s="18" t="n">
        <v>1073545.98</v>
      </c>
      <c r="E89" s="18" t="n">
        <v>965821.7599999998</v>
      </c>
      <c r="F89" s="18" t="n">
        <v>855896.3400000001</v>
      </c>
      <c r="G89" s="18" t="n">
        <v>981911.0700000001</v>
      </c>
      <c r="H89" s="18" t="n">
        <v>1289179.55</v>
      </c>
      <c r="I89" s="18" t="n">
        <v>764775.12</v>
      </c>
      <c r="J89" s="18" t="n">
        <v>762931.3199999999</v>
      </c>
      <c r="K89" s="18" t="n">
        <v>796366.03</v>
      </c>
      <c r="L89" s="18" t="n">
        <v>947551</v>
      </c>
      <c r="M89" s="18" t="n">
        <v>1168237.96</v>
      </c>
      <c r="N89" s="8" t="n"/>
      <c r="O89" s="60">
        <f>-SUMIF('Group TB '!$T:$T,'GROUP TOTALS MONTHLY P&amp;L'!$A89,'Group TB '!C:C)</f>
        <v/>
      </c>
      <c r="P89" s="60">
        <f>-SUMIF('Group TB '!$T:$T,'GROUP TOTALS MONTHLY P&amp;L'!$A89,'Group TB '!D:D)</f>
        <v/>
      </c>
      <c r="Q89" s="60">
        <f>-SUMIF('Group TB '!$T:$T,'GROUP TOTALS MONTHLY P&amp;L'!$A89,'Group TB '!E:E)</f>
        <v/>
      </c>
      <c r="R89" s="60">
        <f>-SUMIF('Group TB '!$T:$T,'GROUP TOTALS MONTHLY P&amp;L'!$A89,'Group TB '!F:F)</f>
        <v/>
      </c>
      <c r="S89" s="60">
        <f>-SUMIF('Group TB '!$T:$T,'GROUP TOTALS MONTHLY P&amp;L'!$A89,'Group TB '!G:G)</f>
        <v/>
      </c>
      <c r="T89" s="60">
        <f>-SUMIF('Group TB '!$T:$T,'GROUP TOTALS MONTHLY P&amp;L'!$A89,'Group TB '!H:H)</f>
        <v/>
      </c>
      <c r="U89" s="60">
        <f>-SUMIF('Group TB '!$T:$T,'GROUP TOTALS MONTHLY P&amp;L'!$A89,'Group TB '!I:I)</f>
        <v/>
      </c>
      <c r="V89" s="60">
        <f>-SUMIF('Group TB '!$T:$T,'GROUP TOTALS MONTHLY P&amp;L'!$A89,'Group TB '!J:J)</f>
        <v/>
      </c>
      <c r="W89" s="60">
        <f>-SUMIF('Group TB '!$T:$T,'GROUP TOTALS MONTHLY P&amp;L'!$A89,'Group TB '!K:K)</f>
        <v/>
      </c>
      <c r="X89" s="60">
        <f>-SUMIF('Group TB '!$T:$T,'GROUP TOTALS MONTHLY P&amp;L'!$A89,'Group TB '!L:L)</f>
        <v/>
      </c>
      <c r="Y89" s="60">
        <f>-SUMIF('Group TB '!$T:$T,'GROUP TOTALS MONTHLY P&amp;L'!$A89,'Group TB '!M:M)</f>
        <v/>
      </c>
      <c r="Z89" s="60">
        <f>-SUMIF('Group TB '!$T:$T,'GROUP TOTALS MONTHLY P&amp;L'!$A89,'Group TB 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34" t="inlineStr">
        <is>
          <t>Direct - Staff Cost</t>
        </is>
      </c>
      <c r="B90" s="18" t="n">
        <v>-453315.68</v>
      </c>
      <c r="C90" s="18" t="n">
        <v>-457131.66</v>
      </c>
      <c r="D90" s="18" t="n">
        <v>-450046.64</v>
      </c>
      <c r="E90" s="18" t="n">
        <v>-513439.7500000001</v>
      </c>
      <c r="F90" s="18" t="n">
        <v>-520315.8300000001</v>
      </c>
      <c r="G90" s="18" t="n">
        <v>-500062.94</v>
      </c>
      <c r="H90" s="18" t="n">
        <v>-540450.8400000001</v>
      </c>
      <c r="I90" s="18" t="n">
        <v>-494870.5800000001</v>
      </c>
      <c r="J90" s="18" t="n">
        <v>-523267.4399999999</v>
      </c>
      <c r="K90" s="18" t="n">
        <v>-528710.3</v>
      </c>
      <c r="L90" s="18" t="n">
        <v>-502447.01</v>
      </c>
      <c r="M90" s="18" t="n">
        <v>-516214.69</v>
      </c>
      <c r="N90" s="8" t="n"/>
      <c r="O90" s="60">
        <f>-SUMIF('Group TB '!$T:$T,'GROUP TOTALS MONTHLY P&amp;L'!$A90,'Group TB '!C:C)</f>
        <v/>
      </c>
      <c r="P90" s="60">
        <f>-SUMIF('Group TB '!$T:$T,'GROUP TOTALS MONTHLY P&amp;L'!$A90,'Group TB '!D:D)</f>
        <v/>
      </c>
      <c r="Q90" s="60">
        <f>-SUMIF('Group TB '!$T:$T,'GROUP TOTALS MONTHLY P&amp;L'!$A90,'Group TB '!E:E)</f>
        <v/>
      </c>
      <c r="R90" s="60">
        <f>-SUMIF('Group TB '!$T:$T,'GROUP TOTALS MONTHLY P&amp;L'!$A90,'Group TB '!F:F)</f>
        <v/>
      </c>
      <c r="S90" s="60">
        <f>-SUMIF('Group TB '!$T:$T,'GROUP TOTALS MONTHLY P&amp;L'!$A90,'Group TB '!G:G)</f>
        <v/>
      </c>
      <c r="T90" s="60">
        <f>-SUMIF('Group TB '!$T:$T,'GROUP TOTALS MONTHLY P&amp;L'!$A90,'Group TB '!H:H)</f>
        <v/>
      </c>
      <c r="U90" s="60">
        <f>-SUMIF('Group TB '!$T:$T,'GROUP TOTALS MONTHLY P&amp;L'!$A90,'Group TB '!I:I)</f>
        <v/>
      </c>
      <c r="V90" s="60">
        <f>-SUMIF('Group TB '!$T:$T,'GROUP TOTALS MONTHLY P&amp;L'!$A90,'Group TB '!J:J)</f>
        <v/>
      </c>
      <c r="W90" s="60">
        <f>-SUMIF('Group TB '!$T:$T,'GROUP TOTALS MONTHLY P&amp;L'!$A90,'Group TB '!K:K)</f>
        <v/>
      </c>
      <c r="X90" s="60">
        <f>-SUMIF('Group TB '!$T:$T,'GROUP TOTALS MONTHLY P&amp;L'!$A90,'Group TB '!L:L)</f>
        <v/>
      </c>
      <c r="Y90" s="60">
        <f>-SUMIF('Group TB '!$T:$T,'GROUP TOTALS MONTHLY P&amp;L'!$A90,'Group TB '!M:M)</f>
        <v/>
      </c>
      <c r="Z90" s="60">
        <f>-SUMIF('Group TB '!$T:$T,'GROUP TOTALS MONTHLY P&amp;L'!$A90,'Group TB 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60" t="inlineStr">
        <is>
          <t>Direct - Childcare Cost</t>
        </is>
      </c>
      <c r="B91" s="18" t="n">
        <v>-35205.68</v>
      </c>
      <c r="C91" s="18" t="n">
        <v>-41585.37</v>
      </c>
      <c r="D91" s="18" t="n">
        <v>-35688.76</v>
      </c>
      <c r="E91" s="18" t="n">
        <v>-30859.64</v>
      </c>
      <c r="F91" s="18" t="n">
        <v>-40642.69000000001</v>
      </c>
      <c r="G91" s="18" t="n">
        <v>-40290.33000000001</v>
      </c>
      <c r="H91" s="18" t="n">
        <v>-38526.12</v>
      </c>
      <c r="I91" s="18" t="n">
        <v>-37931.38</v>
      </c>
      <c r="J91" s="18" t="n">
        <v>-36694.59000000001</v>
      </c>
      <c r="K91" s="18" t="n">
        <v>-39332.78</v>
      </c>
      <c r="L91" s="18" t="n">
        <v>-36711.58</v>
      </c>
      <c r="M91" s="18" t="n">
        <v>-28826.44</v>
      </c>
      <c r="N91" s="8" t="n"/>
      <c r="O91" s="60">
        <f>-SUMIF('Group TB '!$T:$T,'GROUP TOTALS MONTHLY P&amp;L'!$A91,'Group TB '!C:C)</f>
        <v/>
      </c>
      <c r="P91" s="60">
        <f>-SUMIF('Group TB '!$T:$T,'GROUP TOTALS MONTHLY P&amp;L'!$A91,'Group TB '!D:D)</f>
        <v/>
      </c>
      <c r="Q91" s="60">
        <f>-SUMIF('Group TB '!$T:$T,'GROUP TOTALS MONTHLY P&amp;L'!$A91,'Group TB '!E:E)</f>
        <v/>
      </c>
      <c r="R91" s="60">
        <f>-SUMIF('Group TB '!$T:$T,'GROUP TOTALS MONTHLY P&amp;L'!$A91,'Group TB '!F:F)</f>
        <v/>
      </c>
      <c r="S91" s="60">
        <f>-SUMIF('Group TB '!$T:$T,'GROUP TOTALS MONTHLY P&amp;L'!$A91,'Group TB '!G:G)</f>
        <v/>
      </c>
      <c r="T91" s="60">
        <f>-SUMIF('Group TB '!$T:$T,'GROUP TOTALS MONTHLY P&amp;L'!$A91,'Group TB '!H:H)</f>
        <v/>
      </c>
      <c r="U91" s="60">
        <f>-SUMIF('Group TB '!$T:$T,'GROUP TOTALS MONTHLY P&amp;L'!$A91,'Group TB '!I:I)</f>
        <v/>
      </c>
      <c r="V91" s="60">
        <f>-SUMIF('Group TB '!$T:$T,'GROUP TOTALS MONTHLY P&amp;L'!$A91,'Group TB '!J:J)</f>
        <v/>
      </c>
      <c r="W91" s="60">
        <f>-SUMIF('Group TB '!$T:$T,'GROUP TOTALS MONTHLY P&amp;L'!$A91,'Group TB '!K:K)</f>
        <v/>
      </c>
      <c r="X91" s="60">
        <f>-SUMIF('Group TB '!$T:$T,'GROUP TOTALS MONTHLY P&amp;L'!$A91,'Group TB '!L:L)</f>
        <v/>
      </c>
      <c r="Y91" s="60">
        <f>-SUMIF('Group TB '!$T:$T,'GROUP TOTALS MONTHLY P&amp;L'!$A91,'Group TB '!M:M)</f>
        <v/>
      </c>
      <c r="Z91" s="60">
        <f>-SUMIF('Group TB '!$T:$T,'GROUP TOTALS MONTHLY P&amp;L'!$A91,'Group TB 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60" t="inlineStr">
        <is>
          <t>Direct - Premises &amp; Admin</t>
        </is>
      </c>
      <c r="B92" s="18" t="n">
        <v>-104786.72</v>
      </c>
      <c r="C92" s="18" t="n">
        <v>-102740.01</v>
      </c>
      <c r="D92" s="18" t="n">
        <v>-109444.19</v>
      </c>
      <c r="E92" s="18" t="n">
        <v>-113384.44</v>
      </c>
      <c r="F92" s="18" t="n">
        <v>-96923.24000000001</v>
      </c>
      <c r="G92" s="18" t="n">
        <v>-101096.97</v>
      </c>
      <c r="H92" s="18" t="n">
        <v>-91871.87000000002</v>
      </c>
      <c r="I92" s="18" t="n">
        <v>-90463.61</v>
      </c>
      <c r="J92" s="18" t="n">
        <v>-83945.06</v>
      </c>
      <c r="K92" s="18" t="n">
        <v>-90760.58000000002</v>
      </c>
      <c r="L92" s="18" t="n">
        <v>-84121.70000000001</v>
      </c>
      <c r="M92" s="18" t="n">
        <v>-86490.11</v>
      </c>
      <c r="N92" s="8" t="n"/>
      <c r="O92" s="60">
        <f>-SUMIF('Group TB '!$T:$T,'GROUP TOTALS MONTHLY P&amp;L'!$A92,'Group TB '!C:C)</f>
        <v/>
      </c>
      <c r="P92" s="60">
        <f>-SUMIF('Group TB '!$T:$T,'GROUP TOTALS MONTHLY P&amp;L'!$A92,'Group TB '!D:D)</f>
        <v/>
      </c>
      <c r="Q92" s="60">
        <f>-SUMIF('Group TB '!$T:$T,'GROUP TOTALS MONTHLY P&amp;L'!$A92,'Group TB '!E:E)</f>
        <v/>
      </c>
      <c r="R92" s="60">
        <f>-SUMIF('Group TB '!$T:$T,'GROUP TOTALS MONTHLY P&amp;L'!$A92,'Group TB '!F:F)</f>
        <v/>
      </c>
      <c r="S92" s="60">
        <f>-SUMIF('Group TB '!$T:$T,'GROUP TOTALS MONTHLY P&amp;L'!$A92,'Group TB '!G:G)</f>
        <v/>
      </c>
      <c r="T92" s="60">
        <f>-SUMIF('Group TB '!$T:$T,'GROUP TOTALS MONTHLY P&amp;L'!$A92,'Group TB '!H:H)</f>
        <v/>
      </c>
      <c r="U92" s="60">
        <f>-SUMIF('Group TB '!$T:$T,'GROUP TOTALS MONTHLY P&amp;L'!$A92,'Group TB '!I:I)</f>
        <v/>
      </c>
      <c r="V92" s="60">
        <f>-SUMIF('Group TB '!$T:$T,'GROUP TOTALS MONTHLY P&amp;L'!$A92,'Group TB '!J:J)</f>
        <v/>
      </c>
      <c r="W92" s="60">
        <f>-SUMIF('Group TB '!$T:$T,'GROUP TOTALS MONTHLY P&amp;L'!$A92,'Group TB '!K:K)</f>
        <v/>
      </c>
      <c r="X92" s="60">
        <f>-SUMIF('Group TB '!$T:$T,'GROUP TOTALS MONTHLY P&amp;L'!$A92,'Group TB '!L:L)</f>
        <v/>
      </c>
      <c r="Y92" s="60">
        <f>-SUMIF('Group TB '!$T:$T,'GROUP TOTALS MONTHLY P&amp;L'!$A92,'Group TB '!M:M)</f>
        <v/>
      </c>
      <c r="Z92" s="60">
        <f>-SUMIF('Group TB '!$T:$T,'GROUP TOTALS MONTHLY P&amp;L'!$A92,'Group TB 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60" t="inlineStr">
        <is>
          <t>In-Direct - Staff Cost</t>
        </is>
      </c>
      <c r="B93" s="18" t="n">
        <v>-93611.44</v>
      </c>
      <c r="C93" s="18" t="n">
        <v>-96112.63999999998</v>
      </c>
      <c r="D93" s="18" t="n">
        <v>-95857.95999999999</v>
      </c>
      <c r="E93" s="18" t="n">
        <v>-156700.39</v>
      </c>
      <c r="F93" s="18" t="n">
        <v>-95895.40999999999</v>
      </c>
      <c r="G93" s="18" t="n">
        <v>-114717.56</v>
      </c>
      <c r="H93" s="18" t="n">
        <v>-114931.94</v>
      </c>
      <c r="I93" s="18" t="n">
        <v>-131353.52</v>
      </c>
      <c r="J93" s="18" t="n">
        <v>-154543.8</v>
      </c>
      <c r="K93" s="18" t="n">
        <v>-118297.07</v>
      </c>
      <c r="L93" s="18" t="n">
        <v>-125174.38</v>
      </c>
      <c r="M93" s="18" t="n">
        <v>-443091.7</v>
      </c>
      <c r="N93" s="8" t="n"/>
      <c r="O93" s="60">
        <f>-SUMIF('Group TB '!$T:$T,'GROUP TOTALS MONTHLY P&amp;L'!$A93,'Group TB '!C:C)</f>
        <v/>
      </c>
      <c r="P93" s="60">
        <f>-SUMIF('Group TB '!$T:$T,'GROUP TOTALS MONTHLY P&amp;L'!$A93,'Group TB '!D:D)</f>
        <v/>
      </c>
      <c r="Q93" s="60">
        <f>-SUMIF('Group TB '!$T:$T,'GROUP TOTALS MONTHLY P&amp;L'!$A93,'Group TB '!E:E)</f>
        <v/>
      </c>
      <c r="R93" s="60">
        <f>-SUMIF('Group TB '!$T:$T,'GROUP TOTALS MONTHLY P&amp;L'!$A93,'Group TB '!F:F)</f>
        <v/>
      </c>
      <c r="S93" s="60">
        <f>-SUMIF('Group TB '!$T:$T,'GROUP TOTALS MONTHLY P&amp;L'!$A93,'Group TB '!G:G)</f>
        <v/>
      </c>
      <c r="T93" s="60">
        <f>-SUMIF('Group TB '!$T:$T,'GROUP TOTALS MONTHLY P&amp;L'!$A93,'Group TB '!H:H)</f>
        <v/>
      </c>
      <c r="U93" s="60">
        <f>-SUMIF('Group TB '!$T:$T,'GROUP TOTALS MONTHLY P&amp;L'!$A93,'Group TB '!I:I)</f>
        <v/>
      </c>
      <c r="V93" s="60">
        <f>-SUMIF('Group TB '!$T:$T,'GROUP TOTALS MONTHLY P&amp;L'!$A93,'Group TB '!J:J)</f>
        <v/>
      </c>
      <c r="W93" s="60">
        <f>-SUMIF('Group TB '!$T:$T,'GROUP TOTALS MONTHLY P&amp;L'!$A93,'Group TB '!K:K)</f>
        <v/>
      </c>
      <c r="X93" s="60">
        <f>-SUMIF('Group TB '!$T:$T,'GROUP TOTALS MONTHLY P&amp;L'!$A93,'Group TB '!L:L)</f>
        <v/>
      </c>
      <c r="Y93" s="60">
        <f>-SUMIF('Group TB '!$T:$T,'GROUP TOTALS MONTHLY P&amp;L'!$A93,'Group TB '!M:M)</f>
        <v/>
      </c>
      <c r="Z93" s="60">
        <f>-SUMIF('Group TB '!$T:$T,'GROUP TOTALS MONTHLY P&amp;L'!$A93,'Group TB '!N:N)</f>
        <v/>
      </c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60" t="inlineStr">
        <is>
          <t>In-Direct - Overheads</t>
        </is>
      </c>
      <c r="B94" s="18" t="n">
        <v>-33867.89</v>
      </c>
      <c r="C94" s="18" t="n">
        <v>-44492.75</v>
      </c>
      <c r="D94" s="18" t="n">
        <v>-69838.73</v>
      </c>
      <c r="E94" s="18" t="n">
        <v>-47025.21</v>
      </c>
      <c r="F94" s="18" t="n">
        <v>-29170.57</v>
      </c>
      <c r="G94" s="18" t="n">
        <v>-27354.31</v>
      </c>
      <c r="H94" s="18" t="n">
        <v>-27780.68</v>
      </c>
      <c r="I94" s="18" t="n">
        <v>-26980.54</v>
      </c>
      <c r="J94" s="18" t="n">
        <v>-60742.53999999999</v>
      </c>
      <c r="K94" s="18" t="n">
        <v>-29664.92</v>
      </c>
      <c r="L94" s="18" t="n">
        <v>-32358.99000000001</v>
      </c>
      <c r="M94" s="18" t="n">
        <v>-45854.33</v>
      </c>
      <c r="N94" s="8" t="n"/>
      <c r="O94" s="60">
        <f>-SUMIF('Group TB '!$T:$T,'GROUP TOTALS MONTHLY P&amp;L'!$A94,'Group TB '!C:C)</f>
        <v/>
      </c>
      <c r="P94" s="60">
        <f>-SUMIF('Group TB '!$T:$T,'GROUP TOTALS MONTHLY P&amp;L'!$A94,'Group TB '!D:D)</f>
        <v/>
      </c>
      <c r="Q94" s="60">
        <f>-SUMIF('Group TB '!$T:$T,'GROUP TOTALS MONTHLY P&amp;L'!$A94,'Group TB '!E:E)</f>
        <v/>
      </c>
      <c r="R94" s="60">
        <f>-SUMIF('Group TB '!$T:$T,'GROUP TOTALS MONTHLY P&amp;L'!$A94,'Group TB '!F:F)</f>
        <v/>
      </c>
      <c r="S94" s="60">
        <f>-SUMIF('Group TB '!$T:$T,'GROUP TOTALS MONTHLY P&amp;L'!$A94,'Group TB '!G:G)</f>
        <v/>
      </c>
      <c r="T94" s="60">
        <f>-SUMIF('Group TB '!$T:$T,'GROUP TOTALS MONTHLY P&amp;L'!$A94,'Group TB '!H:H)</f>
        <v/>
      </c>
      <c r="U94" s="60">
        <f>-SUMIF('Group TB '!$T:$T,'GROUP TOTALS MONTHLY P&amp;L'!$A94,'Group TB '!I:I)</f>
        <v/>
      </c>
      <c r="V94" s="60">
        <f>-SUMIF('Group TB '!$T:$T,'GROUP TOTALS MONTHLY P&amp;L'!$A94,'Group TB '!J:J)</f>
        <v/>
      </c>
      <c r="W94" s="60">
        <f>-SUMIF('Group TB '!$T:$T,'GROUP TOTALS MONTHLY P&amp;L'!$A94,'Group TB '!K:K)</f>
        <v/>
      </c>
      <c r="X94" s="60">
        <f>-SUMIF('Group TB '!$T:$T,'GROUP TOTALS MONTHLY P&amp;L'!$A94,'Group TB '!L:L)</f>
        <v/>
      </c>
      <c r="Y94" s="60">
        <f>-SUMIF('Group TB '!$T:$T,'GROUP TOTALS MONTHLY P&amp;L'!$A94,'Group TB '!M:M)</f>
        <v/>
      </c>
      <c r="Z94" s="60">
        <f>-SUMIF('Group TB '!$T:$T,'GROUP TOTALS MONTHLY P&amp;L'!$A94,'Group TB '!N:N)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 ht="15.75" customHeight="1">
      <c r="A95" s="8" t="n"/>
      <c r="B95" s="67" t="n">
        <v>141740.61</v>
      </c>
      <c r="C95" s="67" t="n">
        <v>161261.6100000001</v>
      </c>
      <c r="D95" s="67" t="n">
        <v>312669.7000000001</v>
      </c>
      <c r="E95" s="67" t="n">
        <v>104412.3299999997</v>
      </c>
      <c r="F95" s="67" t="n">
        <v>72948.60000000003</v>
      </c>
      <c r="G95" s="67" t="n">
        <v>198388.9600000001</v>
      </c>
      <c r="H95" s="67" t="n">
        <v>475618.0999999997</v>
      </c>
      <c r="I95" s="67" t="n">
        <v>-16824.51000000006</v>
      </c>
      <c r="J95" s="67" t="n">
        <v>-96262.11000000003</v>
      </c>
      <c r="K95" s="67" t="n">
        <v>-10399.62000000004</v>
      </c>
      <c r="L95" s="67" t="n">
        <v>166737.34</v>
      </c>
      <c r="M95" s="67" t="n">
        <v>47760.69000000013</v>
      </c>
      <c r="N95" s="8" t="n"/>
      <c r="O95" s="64">
        <f>SUM(O89:O94)</f>
        <v/>
      </c>
      <c r="P95" s="64">
        <f>SUM(P89:P94)</f>
        <v/>
      </c>
      <c r="Q95" s="64">
        <f>SUM(Q89:Q94)</f>
        <v/>
      </c>
      <c r="R95" s="64">
        <f>SUM(R89:R94)</f>
        <v/>
      </c>
      <c r="S95" s="64">
        <f>SUM(S89:S94)</f>
        <v/>
      </c>
      <c r="T95" s="64">
        <f>SUM(T89:T94)</f>
        <v/>
      </c>
      <c r="U95" s="64">
        <f>SUM(U89:U94)</f>
        <v/>
      </c>
      <c r="V95" s="64">
        <f>SUM(V89:V94)</f>
        <v/>
      </c>
      <c r="W95" s="64">
        <f>SUM(W89:W94)</f>
        <v/>
      </c>
      <c r="X95" s="64">
        <f>SUM(X89:X94)</f>
        <v/>
      </c>
      <c r="Y95" s="64">
        <f>SUM(Y89:Y94)</f>
        <v/>
      </c>
      <c r="Z95" s="64">
        <f>SUM(Z89:Z94)</f>
        <v/>
      </c>
      <c r="AA95" s="8" t="n"/>
      <c r="AB95" s="8" t="n"/>
      <c r="AC95" s="64" t="n"/>
      <c r="AD95" s="64" t="n"/>
      <c r="AE95" s="64" t="n"/>
      <c r="AF95" s="64" t="n"/>
      <c r="AG95" s="64" t="n"/>
      <c r="AH95" s="64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 ht="15.75" customHeight="1">
      <c r="A96" s="8" t="n"/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0</v>
      </c>
      <c r="G96" s="18" t="n">
        <v>0</v>
      </c>
      <c r="H96" s="18" t="n">
        <v>0</v>
      </c>
      <c r="I96" s="18" t="n">
        <v>0</v>
      </c>
      <c r="J96" s="18" t="n">
        <v>0</v>
      </c>
      <c r="K96" s="18" t="n">
        <v>4.365574568510056e-11</v>
      </c>
      <c r="L96" s="18" t="n">
        <v>0</v>
      </c>
      <c r="M96" s="18" t="n">
        <v>-1.309672370553017e-10</v>
      </c>
      <c r="N96" s="8" t="n"/>
      <c r="O96" s="60">
        <f>+O70-O95</f>
        <v/>
      </c>
      <c r="P96" s="60">
        <f>+P70-P95</f>
        <v/>
      </c>
      <c r="Q96" s="60">
        <f>+Q70-Q95</f>
        <v/>
      </c>
      <c r="R96" s="60">
        <f>+R70-R95</f>
        <v/>
      </c>
      <c r="S96" s="60">
        <f>+S70-S95</f>
        <v/>
      </c>
      <c r="T96" s="60">
        <f>+T70-T95</f>
        <v/>
      </c>
      <c r="U96" s="60">
        <f>+U70-U95</f>
        <v/>
      </c>
      <c r="V96" s="60">
        <f>+V70-V95</f>
        <v/>
      </c>
      <c r="W96" s="60">
        <f>+W70-W95</f>
        <v/>
      </c>
      <c r="X96" s="60">
        <f>+X70-X95</f>
        <v/>
      </c>
      <c r="Y96" s="60">
        <f>+Y70-Y95</f>
        <v/>
      </c>
      <c r="Z96" s="60">
        <f>+Z70-Z95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34" t="inlineStr">
        <is>
          <t>CHECK TO TB</t>
        </is>
      </c>
      <c r="B98" s="18" t="n">
        <v>0</v>
      </c>
      <c r="C98" s="18" t="n">
        <v>0</v>
      </c>
      <c r="D98" s="18" t="n">
        <v>0</v>
      </c>
      <c r="E98" s="18" t="n">
        <v>0</v>
      </c>
      <c r="F98" s="18" t="n">
        <v>0</v>
      </c>
      <c r="G98" s="18" t="n">
        <v>0</v>
      </c>
      <c r="H98" s="18" t="n">
        <v>0</v>
      </c>
      <c r="I98" s="18" t="n">
        <v>-7.639755494892597e-11</v>
      </c>
      <c r="J98" s="18" t="n">
        <v>0</v>
      </c>
      <c r="K98" s="18" t="n">
        <v>-2.364686224609613e-11</v>
      </c>
      <c r="L98" s="18" t="n">
        <v>0</v>
      </c>
      <c r="M98" s="18" t="n">
        <v>717.000000000131</v>
      </c>
      <c r="N98" s="8" t="n"/>
      <c r="O98" s="60">
        <f>O95+O99</f>
        <v/>
      </c>
      <c r="P98" s="60">
        <f>P95+P99</f>
        <v/>
      </c>
      <c r="Q98" s="60">
        <f>Q95+Q99</f>
        <v/>
      </c>
      <c r="R98" s="60">
        <f>R95+R99</f>
        <v/>
      </c>
      <c r="S98" s="60">
        <f>S95+S99</f>
        <v/>
      </c>
      <c r="T98" s="60">
        <f>T95+T99</f>
        <v/>
      </c>
      <c r="U98" s="60">
        <f>U95+U99</f>
        <v/>
      </c>
      <c r="V98" s="60">
        <f>V95+V99</f>
        <v/>
      </c>
      <c r="W98" s="60">
        <f>W95+W99</f>
        <v/>
      </c>
      <c r="X98" s="60">
        <f>X95+X99</f>
        <v/>
      </c>
      <c r="Y98" s="60">
        <f>Y95+Y99</f>
        <v/>
      </c>
      <c r="Z98" s="60">
        <f>Z95+Z99</f>
        <v/>
      </c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>
        <v>-141740.61</v>
      </c>
      <c r="C99" s="18" t="n">
        <v>-161261.61</v>
      </c>
      <c r="D99" s="18" t="n">
        <v>-312669.6999999999</v>
      </c>
      <c r="E99" s="18" t="n">
        <v>-104412.3299999997</v>
      </c>
      <c r="F99" s="18" t="n">
        <v>-72948.60000000002</v>
      </c>
      <c r="G99" s="18" t="n">
        <v>-198388.9599999999</v>
      </c>
      <c r="H99" s="18" t="n">
        <v>-475618.0999999997</v>
      </c>
      <c r="I99" s="18" t="n">
        <v>16824.50999999998</v>
      </c>
      <c r="J99" s="18" t="n">
        <v>96262.11000000007</v>
      </c>
      <c r="K99" s="18" t="n">
        <v>10399.62000000002</v>
      </c>
      <c r="L99" s="18" t="n">
        <v>-166737.34</v>
      </c>
      <c r="M99" s="18" t="n">
        <v>-47043.69</v>
      </c>
      <c r="N99" s="8" t="n"/>
      <c r="O99" s="60">
        <f>SUM('Group TB '!C2:C67)</f>
        <v/>
      </c>
      <c r="P99" s="60">
        <f>SUM('Group TB '!D2:D67)</f>
        <v/>
      </c>
      <c r="Q99" s="60">
        <f>SUM('Group TB '!E2:E67)</f>
        <v/>
      </c>
      <c r="R99" s="60">
        <f>SUM('Group TB '!F2:F67)</f>
        <v/>
      </c>
      <c r="S99" s="60">
        <f>SUM('Group TB '!G2:G67)</f>
        <v/>
      </c>
      <c r="T99" s="60">
        <f>SUM('Group TB '!H2:H67)</f>
        <v/>
      </c>
      <c r="U99" s="60">
        <f>SUM('Group TB '!I2:I67)</f>
        <v/>
      </c>
      <c r="V99" s="60">
        <f>SUM('Group TB '!J2:J67)</f>
        <v/>
      </c>
      <c r="W99" s="60">
        <f>SUM('Group TB '!K2:K67)</f>
        <v/>
      </c>
      <c r="X99" s="60">
        <f>SUM('Group TB '!L2:L67)</f>
        <v/>
      </c>
      <c r="Y99" s="60">
        <f>SUM('Group TB '!M2:M67)</f>
        <v/>
      </c>
      <c r="Z99" s="60">
        <f>SUM('Group TB '!N2:N67)</f>
        <v/>
      </c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Abacus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n"/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5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45121.08</v>
      </c>
      <c r="C8" s="35" t="n">
        <v>48317.09</v>
      </c>
      <c r="D8" s="35" t="n">
        <v>59604</v>
      </c>
      <c r="E8" s="35" t="n">
        <v>58999.57</v>
      </c>
      <c r="F8" s="35" t="n">
        <v>54973.4</v>
      </c>
      <c r="G8" s="35" t="n">
        <v>54200.75</v>
      </c>
      <c r="H8" s="35" t="n">
        <v>68470.83</v>
      </c>
      <c r="I8" s="35" t="n">
        <v>57893.73</v>
      </c>
      <c r="J8" s="35" t="n">
        <v>46302.96</v>
      </c>
      <c r="K8" s="35" t="n">
        <v>47210.81</v>
      </c>
      <c r="L8" s="35" t="n">
        <v>44551.63</v>
      </c>
      <c r="M8" s="35" t="n">
        <v>58823.32</v>
      </c>
      <c r="N8" s="36">
        <f>SUM(B8:M8)</f>
        <v/>
      </c>
      <c r="O8" s="37">
        <f>-SUMIF('ABA TB'!$R:$R,'ABA P&amp;L'!$A8,'ABA TB'!C:C)</f>
        <v/>
      </c>
      <c r="P8" s="37">
        <f>-SUMIF('ABA TB'!$R:$R,'ABA P&amp;L'!$A8,'ABA TB'!D:D)</f>
        <v/>
      </c>
      <c r="Q8" s="37">
        <f>-SUMIF('ABA TB'!$R:$R,'ABA P&amp;L'!$A8,'ABA TB'!E:E)</f>
        <v/>
      </c>
      <c r="R8" s="37">
        <f>-SUMIF('ABA TB'!$R:$R,'ABA P&amp;L'!$A8,'ABA TB'!F:F)</f>
        <v/>
      </c>
      <c r="S8" s="37">
        <f>-SUMIF('ABA TB'!$R:$R,'ABA P&amp;L'!$A8,'ABA TB'!G:G)</f>
        <v/>
      </c>
      <c r="T8" s="37">
        <f>-SUMIF('ABA TB'!$R:$R,'ABA P&amp;L'!$A8,'ABA TB'!H:H)</f>
        <v/>
      </c>
      <c r="U8" s="37">
        <f>-SUMIF('ABA TB'!$R:$R,'ABA P&amp;L'!$A8,'ABA TB'!I:I)</f>
        <v/>
      </c>
      <c r="V8" s="38" t="n">
        <v>69966.50999999999</v>
      </c>
      <c r="W8" s="38" t="n">
        <v>57880</v>
      </c>
      <c r="X8" s="38" t="n">
        <v>57383</v>
      </c>
      <c r="Y8" s="38" t="n">
        <v>63262</v>
      </c>
      <c r="Z8" s="38" t="n">
        <v>82845</v>
      </c>
      <c r="AA8" s="36">
        <f>SUM(O8:U8)</f>
        <v/>
      </c>
      <c r="AB8" s="36">
        <f>SUM(O8:Z8)</f>
        <v/>
      </c>
      <c r="AC8" s="38" t="n">
        <v>105589.88</v>
      </c>
      <c r="AD8" s="38" t="n">
        <v>122011.99</v>
      </c>
      <c r="AE8" s="38" t="n">
        <v>95286.97</v>
      </c>
      <c r="AF8" s="38" t="n">
        <v>109311.06</v>
      </c>
      <c r="AG8" s="38" t="n">
        <v>116010.76</v>
      </c>
      <c r="AH8" s="38" t="n">
        <v>110257.62</v>
      </c>
      <c r="AI8" s="118" t="n">
        <v>110257.62</v>
      </c>
      <c r="AJ8" s="119" t="n">
        <v>110257.62</v>
      </c>
      <c r="AK8" s="119" t="n">
        <v>110257.62</v>
      </c>
      <c r="AL8" s="119" t="n">
        <v>110257.62</v>
      </c>
      <c r="AM8" s="120" t="n">
        <v>110257.62</v>
      </c>
      <c r="AN8" s="118" t="n">
        <v>110257.62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11395.45</v>
      </c>
      <c r="C9" s="35" t="n">
        <v>30240.26</v>
      </c>
      <c r="D9" s="35" t="n">
        <v>33852.92</v>
      </c>
      <c r="E9" s="35" t="n">
        <v>11973.37</v>
      </c>
      <c r="F9" s="35" t="n">
        <v>11973.37</v>
      </c>
      <c r="G9" s="35" t="n">
        <v>44731.22</v>
      </c>
      <c r="H9" s="35" t="n">
        <v>40794.17</v>
      </c>
      <c r="I9" s="35" t="n">
        <v>0</v>
      </c>
      <c r="J9" s="35" t="n">
        <v>12746.69</v>
      </c>
      <c r="K9" s="35" t="n">
        <v>34548.74</v>
      </c>
      <c r="L9" s="35" t="n">
        <v>34548.75</v>
      </c>
      <c r="M9" s="35" t="n">
        <v>37093.27</v>
      </c>
      <c r="N9" s="36">
        <f>SUM(B9:M9)</f>
        <v/>
      </c>
      <c r="O9" s="37">
        <f>-SUMIF('ABA TB'!$R:$R,'ABA P&amp;L'!$A9,'ABA TB'!C:C)</f>
        <v/>
      </c>
      <c r="P9" s="37">
        <f>-SUMIF('ABA TB'!$R:$R,'ABA P&amp;L'!$A9,'ABA TB'!D:D)</f>
        <v/>
      </c>
      <c r="Q9" s="37">
        <f>-SUMIF('ABA TB'!$R:$R,'ABA P&amp;L'!$A9,'ABA TB'!E:E)</f>
        <v/>
      </c>
      <c r="R9" s="37">
        <f>-SUMIF('ABA TB'!$R:$R,'ABA P&amp;L'!$A9,'ABA TB'!F:F)</f>
        <v/>
      </c>
      <c r="S9" s="37">
        <f>-SUMIF('ABA TB'!$R:$R,'ABA P&amp;L'!$A9,'ABA TB'!G:G)</f>
        <v/>
      </c>
      <c r="T9" s="37">
        <f>-SUMIF('ABA TB'!$R:$R,'ABA P&amp;L'!$A9,'ABA TB'!H:H)</f>
        <v/>
      </c>
      <c r="U9" s="37">
        <f>-SUMIF('ABA TB'!$R:$R,'ABA P&amp;L'!$A9,'ABA TB'!I:I)</f>
        <v/>
      </c>
      <c r="V9" s="38" t="n"/>
      <c r="W9" s="38" t="n">
        <v>36619</v>
      </c>
      <c r="X9" s="38" t="n">
        <v>44154</v>
      </c>
      <c r="Y9" s="38" t="n">
        <v>43245</v>
      </c>
      <c r="Z9" s="38" t="n">
        <v>20548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8" t="n">
        <v>0</v>
      </c>
      <c r="AJ9" s="119" t="n">
        <v>0</v>
      </c>
      <c r="AK9" s="119" t="n">
        <v>0</v>
      </c>
      <c r="AL9" s="119" t="n">
        <v>0</v>
      </c>
      <c r="AM9" s="120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1000</v>
      </c>
      <c r="C10" s="35" t="n">
        <v>0</v>
      </c>
      <c r="D10" s="35" t="n">
        <v>0</v>
      </c>
      <c r="E10" s="35" t="n">
        <v>240</v>
      </c>
      <c r="F10" s="35" t="n">
        <v>150</v>
      </c>
      <c r="G10" s="35" t="n">
        <v>150</v>
      </c>
      <c r="H10" s="35" t="n">
        <v>150</v>
      </c>
      <c r="I10" s="35" t="n">
        <v>150</v>
      </c>
      <c r="J10" s="35" t="n">
        <v>150</v>
      </c>
      <c r="K10" s="35" t="n">
        <v>150</v>
      </c>
      <c r="L10" s="35" t="n">
        <v>150</v>
      </c>
      <c r="M10" s="35" t="n">
        <v>150</v>
      </c>
      <c r="N10" s="36">
        <f>SUM(B10:M10)</f>
        <v/>
      </c>
      <c r="O10" s="37">
        <f>-SUMIF('ABA TB'!$R:$R,'ABA P&amp;L'!$A10,'ABA TB'!C:C)</f>
        <v/>
      </c>
      <c r="P10" s="37">
        <f>-SUMIF('ABA TB'!$R:$R,'ABA P&amp;L'!$A10,'ABA TB'!D:D)</f>
        <v/>
      </c>
      <c r="Q10" s="37">
        <f>-SUMIF('ABA TB'!$R:$R,'ABA P&amp;L'!$A10,'ABA TB'!E:E)</f>
        <v/>
      </c>
      <c r="R10" s="37">
        <f>-SUMIF('ABA TB'!$R:$R,'ABA P&amp;L'!$A10,'ABA TB'!F:F)</f>
        <v/>
      </c>
      <c r="S10" s="37">
        <f>-SUMIF('ABA TB'!$R:$R,'ABA P&amp;L'!$A10,'ABA TB'!G:G)</f>
        <v/>
      </c>
      <c r="T10" s="37">
        <f>-SUMIF('ABA TB'!$R:$R,'ABA P&amp;L'!$A10,'ABA TB'!H:H)</f>
        <v/>
      </c>
      <c r="U10" s="37">
        <f>-SUMIF('ABA TB'!$R:$R,'ABA P&amp;L'!$A10,'ABA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8" t="n">
        <v>0</v>
      </c>
      <c r="AJ10" s="119" t="n">
        <v>0</v>
      </c>
      <c r="AK10" s="119" t="n">
        <v>0</v>
      </c>
      <c r="AL10" s="119" t="n">
        <v>0</v>
      </c>
      <c r="AM10" s="120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57516.53</v>
      </c>
      <c r="C11" s="42" t="n">
        <v>78557.34999999999</v>
      </c>
      <c r="D11" s="42" t="n">
        <v>93456.92</v>
      </c>
      <c r="E11" s="42" t="n">
        <v>71212.94</v>
      </c>
      <c r="F11" s="42" t="n">
        <v>67096.77</v>
      </c>
      <c r="G11" s="42" t="n">
        <v>99081.97</v>
      </c>
      <c r="H11" s="42" t="n">
        <v>109415</v>
      </c>
      <c r="I11" s="42" t="n">
        <v>58043.73</v>
      </c>
      <c r="J11" s="42" t="n">
        <v>59199.65</v>
      </c>
      <c r="K11" s="42" t="n">
        <v>81909.55</v>
      </c>
      <c r="L11" s="42" t="n">
        <v>79250.38</v>
      </c>
      <c r="M11" s="42" t="n">
        <v>96066.59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3">
        <f>SUM(AI8:AI10)</f>
        <v/>
      </c>
      <c r="AJ11" s="124">
        <f>SUM(AJ8:AJ10)</f>
        <v/>
      </c>
      <c r="AK11" s="124">
        <f>SUM(AK8:AK10)</f>
        <v/>
      </c>
      <c r="AL11" s="124">
        <f>SUM(AL8:AL10)</f>
        <v/>
      </c>
      <c r="AM11" s="124">
        <f>SUM(AM8:AM10)</f>
        <v/>
      </c>
      <c r="AN11" s="123">
        <f>SUM(AN8:AN10)</f>
        <v/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7" t="n">
        <v>0</v>
      </c>
      <c r="AJ12" s="128" t="n">
        <v>0</v>
      </c>
      <c r="AK12" s="128" t="n">
        <v>0</v>
      </c>
      <c r="AL12" s="128" t="n">
        <v>0</v>
      </c>
      <c r="AM12" s="129" t="n">
        <v>0</v>
      </c>
      <c r="AN12" s="127" t="n">
        <v>0</v>
      </c>
      <c r="AO12" s="121">
        <f>SUM(AC12:AH12)+SUM(AI12:AN12)</f>
        <v/>
      </c>
      <c r="AP12" s="122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 t="n">
        <v>0</v>
      </c>
      <c r="AJ13" s="131" t="n">
        <v>0</v>
      </c>
      <c r="AK13" s="131" t="n">
        <v>0</v>
      </c>
      <c r="AL13" s="131" t="n">
        <v>0</v>
      </c>
      <c r="AM13" s="132" t="n">
        <v>0</v>
      </c>
      <c r="AN13" s="130" t="n">
        <v>0</v>
      </c>
      <c r="AO13" s="133">
        <f>SUM(AC13:AH13)+SUM(AI13:AN13)</f>
        <v/>
      </c>
      <c r="AP13" s="122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31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31316.14</v>
      </c>
      <c r="C16" s="35" t="n">
        <v>32272.71</v>
      </c>
      <c r="D16" s="35" t="n">
        <v>33507.52</v>
      </c>
      <c r="E16" s="35" t="n">
        <v>35857.02</v>
      </c>
      <c r="F16" s="35" t="n">
        <v>36300.07</v>
      </c>
      <c r="G16" s="35" t="n">
        <v>37005.6</v>
      </c>
      <c r="H16" s="35" t="n">
        <v>38811.34</v>
      </c>
      <c r="I16" s="35" t="n">
        <v>36024.66</v>
      </c>
      <c r="J16" s="35" t="n">
        <v>35973.55</v>
      </c>
      <c r="K16" s="35" t="n">
        <v>34210.75</v>
      </c>
      <c r="L16" s="35" t="n">
        <v>33941.4</v>
      </c>
      <c r="M16" s="35" t="n">
        <v>34611.41</v>
      </c>
      <c r="N16" s="36">
        <f>SUM(B16:M16)</f>
        <v/>
      </c>
      <c r="O16" s="37">
        <f>SUMIF('ABA TB'!$R:$R,'ABA P&amp;L'!$A16,'ABA TB'!C:C)</f>
        <v/>
      </c>
      <c r="P16" s="37">
        <f>SUMIF('ABA TB'!$R:$R,'ABA P&amp;L'!$A16,'ABA TB'!D:D)</f>
        <v/>
      </c>
      <c r="Q16" s="37">
        <f>SUMIF('ABA TB'!$R:$R,'ABA P&amp;L'!$A16,'ABA TB'!E:E)</f>
        <v/>
      </c>
      <c r="R16" s="37">
        <f>SUMIF('ABA TB'!$R:$R,'ABA P&amp;L'!$A16,'ABA TB'!F:F)</f>
        <v/>
      </c>
      <c r="S16" s="37">
        <f>SUMIF('ABA TB'!$R:$R,'ABA P&amp;L'!$A16,'ABA TB'!G:G)</f>
        <v/>
      </c>
      <c r="T16" s="37">
        <f>SUMIF('ABA TB'!$R:$R,'ABA P&amp;L'!$A16,'ABA TB'!H:H)</f>
        <v/>
      </c>
      <c r="U16" s="37">
        <f>SUMIF('ABA TB'!$R:$R,'ABA P&amp;L'!$A16,'ABA TB'!I:I)</f>
        <v/>
      </c>
      <c r="V16" s="38" t="n">
        <v>44079.43</v>
      </c>
      <c r="W16" s="38" t="n">
        <v>44079.43</v>
      </c>
      <c r="X16" s="38" t="n">
        <v>44079.43</v>
      </c>
      <c r="Y16" s="38" t="n">
        <v>44079.43</v>
      </c>
      <c r="Z16" s="38" t="n">
        <v>44079.43</v>
      </c>
      <c r="AA16" s="36">
        <f>SUM(O16:U16)</f>
        <v/>
      </c>
      <c r="AB16" s="36">
        <f>SUM(O16:Z16)</f>
        <v/>
      </c>
      <c r="AC16" s="38" t="n">
        <v>44079.43</v>
      </c>
      <c r="AD16" s="38" t="n">
        <v>44079.43</v>
      </c>
      <c r="AE16" s="38" t="n">
        <v>44079.43</v>
      </c>
      <c r="AF16" s="38" t="n">
        <v>44079.43</v>
      </c>
      <c r="AG16" s="38" t="n">
        <v>44079.43</v>
      </c>
      <c r="AH16" s="38" t="n">
        <v>44079.43</v>
      </c>
      <c r="AI16" s="118" t="n">
        <v>44079.43</v>
      </c>
      <c r="AJ16" s="119" t="n">
        <v>44079.43</v>
      </c>
      <c r="AK16" s="119" t="n">
        <v>44079.43</v>
      </c>
      <c r="AL16" s="119" t="n">
        <v>44079.43</v>
      </c>
      <c r="AM16" s="120" t="n">
        <v>44079.43</v>
      </c>
      <c r="AN16" s="118" t="n">
        <v>44079.43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2200.8</v>
      </c>
      <c r="C17" s="35" t="n">
        <v>2181.6</v>
      </c>
      <c r="D17" s="35" t="n">
        <v>2265.66</v>
      </c>
      <c r="E17" s="35" t="n">
        <v>3434.81</v>
      </c>
      <c r="F17" s="35" t="n">
        <v>3452.56</v>
      </c>
      <c r="G17" s="35" t="n">
        <v>3639.83</v>
      </c>
      <c r="H17" s="35" t="n">
        <v>4034.6</v>
      </c>
      <c r="I17" s="35" t="n">
        <v>3525.03</v>
      </c>
      <c r="J17" s="35" t="n">
        <v>3409.27</v>
      </c>
      <c r="K17" s="35" t="n">
        <v>3148</v>
      </c>
      <c r="L17" s="35" t="n">
        <v>3079.55</v>
      </c>
      <c r="M17" s="35" t="n">
        <v>3438.39</v>
      </c>
      <c r="N17" s="36">
        <f>SUM(B17:M17)</f>
        <v/>
      </c>
      <c r="O17" s="37">
        <f>SUMIF('ABA TB'!$R:$R,'ABA P&amp;L'!$A17,'ABA TB'!C:C)</f>
        <v/>
      </c>
      <c r="P17" s="37">
        <f>SUMIF('ABA TB'!$R:$R,'ABA P&amp;L'!$A17,'ABA TB'!D:D)</f>
        <v/>
      </c>
      <c r="Q17" s="37">
        <f>SUMIF('ABA TB'!$R:$R,'ABA P&amp;L'!$A17,'ABA TB'!E:E)</f>
        <v/>
      </c>
      <c r="R17" s="37">
        <f>SUMIF('ABA TB'!$R:$R,'ABA P&amp;L'!$A17,'ABA TB'!F:F)</f>
        <v/>
      </c>
      <c r="S17" s="37">
        <f>SUMIF('ABA TB'!$R:$R,'ABA P&amp;L'!$A17,'ABA TB'!G:G)</f>
        <v/>
      </c>
      <c r="T17" s="37">
        <f>SUMIF('ABA TB'!$R:$R,'ABA P&amp;L'!$A17,'ABA TB'!H:H)</f>
        <v/>
      </c>
      <c r="U17" s="37">
        <f>SUMIF('ABA TB'!$R:$R,'ABA P&amp;L'!$A17,'ABA TB'!I:I)</f>
        <v/>
      </c>
      <c r="V17" s="38" t="n">
        <v>4289.92</v>
      </c>
      <c r="W17" s="38" t="n">
        <v>4289.92</v>
      </c>
      <c r="X17" s="38" t="n">
        <v>4289.92</v>
      </c>
      <c r="Y17" s="38" t="n">
        <v>4289.92</v>
      </c>
      <c r="Z17" s="38" t="n">
        <v>4289.92</v>
      </c>
      <c r="AA17" s="36">
        <f>SUM(O17:U17)</f>
        <v/>
      </c>
      <c r="AB17" s="36">
        <f>SUM(O17:Z17)</f>
        <v/>
      </c>
      <c r="AC17" s="38" t="n">
        <v>4289.92</v>
      </c>
      <c r="AD17" s="38" t="n">
        <v>4289.92</v>
      </c>
      <c r="AE17" s="38" t="n">
        <v>4289.92</v>
      </c>
      <c r="AF17" s="38" t="n">
        <v>4289.92</v>
      </c>
      <c r="AG17" s="38" t="n">
        <v>4289.92</v>
      </c>
      <c r="AH17" s="38" t="n">
        <v>4289.92</v>
      </c>
      <c r="AI17" s="118" t="n">
        <v>4289.92</v>
      </c>
      <c r="AJ17" s="119" t="n">
        <v>4289.92</v>
      </c>
      <c r="AK17" s="119" t="n">
        <v>4289.92</v>
      </c>
      <c r="AL17" s="119" t="n">
        <v>4289.92</v>
      </c>
      <c r="AM17" s="120" t="n">
        <v>4289.92</v>
      </c>
      <c r="AN17" s="118" t="n">
        <v>4289.92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609.12</v>
      </c>
      <c r="C18" s="35" t="n">
        <v>604.7</v>
      </c>
      <c r="D18" s="35" t="n">
        <v>593.33</v>
      </c>
      <c r="E18" s="35" t="n">
        <v>633.2</v>
      </c>
      <c r="F18" s="35" t="n">
        <v>631.9</v>
      </c>
      <c r="G18" s="35" t="n">
        <v>716.47</v>
      </c>
      <c r="H18" s="35" t="n">
        <v>746.36</v>
      </c>
      <c r="I18" s="35" t="n">
        <v>648.61</v>
      </c>
      <c r="J18" s="35" t="n">
        <v>678.39</v>
      </c>
      <c r="K18" s="35" t="n">
        <v>624.58</v>
      </c>
      <c r="L18" s="35" t="n">
        <v>612.97</v>
      </c>
      <c r="M18" s="35" t="n">
        <v>624.6900000000001</v>
      </c>
      <c r="N18" s="36">
        <f>SUM(B18:M18)</f>
        <v/>
      </c>
      <c r="O18" s="37">
        <f>SUMIF('ABA TB'!$R:$R,'ABA P&amp;L'!$A18,'ABA TB'!C:C)</f>
        <v/>
      </c>
      <c r="P18" s="37">
        <f>SUMIF('ABA TB'!$R:$R,'ABA P&amp;L'!$A18,'ABA TB'!D:D)</f>
        <v/>
      </c>
      <c r="Q18" s="37">
        <f>SUMIF('ABA TB'!$R:$R,'ABA P&amp;L'!$A18,'ABA TB'!E:E)</f>
        <v/>
      </c>
      <c r="R18" s="37">
        <f>SUMIF('ABA TB'!$R:$R,'ABA P&amp;L'!$A18,'ABA TB'!F:F)</f>
        <v/>
      </c>
      <c r="S18" s="37">
        <f>SUMIF('ABA TB'!$R:$R,'ABA P&amp;L'!$A18,'ABA TB'!G:G)</f>
        <v/>
      </c>
      <c r="T18" s="37">
        <f>SUMIF('ABA TB'!$R:$R,'ABA P&amp;L'!$A18,'ABA TB'!H:H)</f>
        <v/>
      </c>
      <c r="U18" s="37">
        <f>SUMIF('ABA TB'!$R:$R,'ABA P&amp;L'!$A18,'ABA TB'!I:I)</f>
        <v/>
      </c>
      <c r="V18" s="38" t="n">
        <v>706.29</v>
      </c>
      <c r="W18" s="38" t="n">
        <v>706.29</v>
      </c>
      <c r="X18" s="38" t="n">
        <v>706.29</v>
      </c>
      <c r="Y18" s="38" t="n">
        <v>706.29</v>
      </c>
      <c r="Z18" s="38" t="n">
        <v>706.29</v>
      </c>
      <c r="AA18" s="36">
        <f>SUM(O18:U18)</f>
        <v/>
      </c>
      <c r="AB18" s="36">
        <f>SUM(O18:Z18)</f>
        <v/>
      </c>
      <c r="AC18" s="38" t="n">
        <v>706.29</v>
      </c>
      <c r="AD18" s="38" t="n">
        <v>706.29</v>
      </c>
      <c r="AE18" s="38" t="n">
        <v>706.29</v>
      </c>
      <c r="AF18" s="38" t="n">
        <v>706.29</v>
      </c>
      <c r="AG18" s="38" t="n">
        <v>706.29</v>
      </c>
      <c r="AH18" s="38" t="n">
        <v>706.29</v>
      </c>
      <c r="AI18" s="118" t="n">
        <v>706.29</v>
      </c>
      <c r="AJ18" s="119" t="n">
        <v>706.29</v>
      </c>
      <c r="AK18" s="119" t="n">
        <v>706.29</v>
      </c>
      <c r="AL18" s="119" t="n">
        <v>706.29</v>
      </c>
      <c r="AM18" s="120" t="n">
        <v>706.29</v>
      </c>
      <c r="AN18" s="118" t="n">
        <v>706.29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86.04000000000001</v>
      </c>
      <c r="C19" s="35" t="n">
        <v>0</v>
      </c>
      <c r="D19" s="35" t="n">
        <v>181.94</v>
      </c>
      <c r="E19" s="35" t="n">
        <v>0</v>
      </c>
      <c r="F19" s="35" t="n">
        <v>251.04</v>
      </c>
      <c r="G19" s="35" t="n">
        <v>85.92</v>
      </c>
      <c r="H19" s="35" t="n">
        <v>0</v>
      </c>
      <c r="I19" s="35" t="n">
        <v>0</v>
      </c>
      <c r="J19" s="35" t="n">
        <v>105.66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>
        <f>SUMIF('ABA TB'!$R:$R,'ABA P&amp;L'!$A19,'ABA TB'!C:C)</f>
        <v/>
      </c>
      <c r="P19" s="37">
        <f>SUMIF('ABA TB'!$R:$R,'ABA P&amp;L'!$A19,'ABA TB'!D:D)</f>
        <v/>
      </c>
      <c r="Q19" s="37">
        <f>SUMIF('ABA TB'!$R:$R,'ABA P&amp;L'!$A19,'ABA TB'!E:E)</f>
        <v/>
      </c>
      <c r="R19" s="37">
        <f>SUMIF('ABA TB'!$R:$R,'ABA P&amp;L'!$A19,'ABA TB'!F:F)</f>
        <v/>
      </c>
      <c r="S19" s="37">
        <f>SUMIF('ABA TB'!$R:$R,'ABA P&amp;L'!$A19,'ABA TB'!G:G)</f>
        <v/>
      </c>
      <c r="T19" s="37">
        <f>SUMIF('ABA TB'!$R:$R,'ABA P&amp;L'!$A19,'ABA TB'!H:H)</f>
        <v/>
      </c>
      <c r="U19" s="37">
        <f>SUMIF('ABA TB'!$R:$R,'ABA P&amp;L'!$A19,'ABA TB'!I:I)</f>
        <v/>
      </c>
      <c r="V19" s="38" t="n">
        <v>173</v>
      </c>
      <c r="W19" s="38" t="n">
        <v>173</v>
      </c>
      <c r="X19" s="38" t="n">
        <v>173</v>
      </c>
      <c r="Y19" s="38" t="n">
        <v>173</v>
      </c>
      <c r="Z19" s="38" t="n">
        <v>173</v>
      </c>
      <c r="AA19" s="36">
        <f>SUM(O19:U19)</f>
        <v/>
      </c>
      <c r="AB19" s="36">
        <f>SUM(O19:Z19)</f>
        <v/>
      </c>
      <c r="AC19" s="38" t="n">
        <v>173</v>
      </c>
      <c r="AD19" s="38" t="n">
        <v>173</v>
      </c>
      <c r="AE19" s="38" t="n">
        <v>173</v>
      </c>
      <c r="AF19" s="38" t="n">
        <v>173</v>
      </c>
      <c r="AG19" s="38" t="n">
        <v>173</v>
      </c>
      <c r="AH19" s="38" t="n">
        <v>173</v>
      </c>
      <c r="AI19" s="118" t="n">
        <v>173</v>
      </c>
      <c r="AJ19" s="119" t="n">
        <v>173</v>
      </c>
      <c r="AK19" s="119" t="n">
        <v>173</v>
      </c>
      <c r="AL19" s="119" t="n">
        <v>173</v>
      </c>
      <c r="AM19" s="120" t="n">
        <v>173</v>
      </c>
      <c r="AN19" s="118" t="n">
        <v>173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270</v>
      </c>
      <c r="C20" s="35" t="n">
        <v>66</v>
      </c>
      <c r="D20" s="35" t="n">
        <v>145</v>
      </c>
      <c r="E20" s="35" t="n">
        <v>29.43</v>
      </c>
      <c r="F20" s="35" t="n">
        <v>291.7</v>
      </c>
      <c r="G20" s="35" t="n">
        <v>0</v>
      </c>
      <c r="H20" s="35" t="n">
        <v>298.2</v>
      </c>
      <c r="I20" s="35" t="n">
        <v>0</v>
      </c>
      <c r="J20" s="35" t="n">
        <v>0</v>
      </c>
      <c r="K20" s="35" t="n">
        <v>123.5</v>
      </c>
      <c r="L20" s="35" t="n">
        <v>247.5</v>
      </c>
      <c r="M20" s="35" t="n">
        <v>176.67</v>
      </c>
      <c r="N20" s="36">
        <f>SUM(B20:M20)</f>
        <v/>
      </c>
      <c r="O20" s="37">
        <f>SUMIF('ABA TB'!$R:$R,'ABA P&amp;L'!$A20,'ABA TB'!C:C)</f>
        <v/>
      </c>
      <c r="P20" s="37">
        <f>SUMIF('ABA TB'!$R:$R,'ABA P&amp;L'!$A20,'ABA TB'!D:D)</f>
        <v/>
      </c>
      <c r="Q20" s="37">
        <f>SUMIF('ABA TB'!$R:$R,'ABA P&amp;L'!$A20,'ABA TB'!E:E)</f>
        <v/>
      </c>
      <c r="R20" s="37">
        <f>SUMIF('ABA TB'!$R:$R,'ABA P&amp;L'!$A20,'ABA TB'!F:F)</f>
        <v/>
      </c>
      <c r="S20" s="37">
        <f>SUMIF('ABA TB'!$R:$R,'ABA P&amp;L'!$A20,'ABA TB'!G:G)</f>
        <v/>
      </c>
      <c r="T20" s="37">
        <f>SUMIF('ABA TB'!$R:$R,'ABA P&amp;L'!$A20,'ABA TB'!H:H)</f>
        <v/>
      </c>
      <c r="U20" s="37">
        <f>SUMIF('ABA TB'!$R:$R,'ABA P&amp;L'!$A20,'ABA TB'!I:I)</f>
        <v/>
      </c>
      <c r="V20" s="38" t="n">
        <v>323</v>
      </c>
      <c r="W20" s="38" t="n">
        <v>323</v>
      </c>
      <c r="X20" s="38" t="n">
        <v>323</v>
      </c>
      <c r="Y20" s="38" t="n">
        <v>323</v>
      </c>
      <c r="Z20" s="38" t="n">
        <v>323</v>
      </c>
      <c r="AA20" s="36">
        <f>SUM(O20:U20)</f>
        <v/>
      </c>
      <c r="AB20" s="36">
        <f>SUM(O20:Z20)</f>
        <v/>
      </c>
      <c r="AC20" s="38" t="n">
        <v>323</v>
      </c>
      <c r="AD20" s="38" t="n">
        <v>323</v>
      </c>
      <c r="AE20" s="38" t="n">
        <v>323</v>
      </c>
      <c r="AF20" s="38" t="n">
        <v>323</v>
      </c>
      <c r="AG20" s="38" t="n">
        <v>323</v>
      </c>
      <c r="AH20" s="38" t="n">
        <v>323</v>
      </c>
      <c r="AI20" s="118" t="n">
        <v>323</v>
      </c>
      <c r="AJ20" s="119" t="n">
        <v>323</v>
      </c>
      <c r="AK20" s="119" t="n">
        <v>323</v>
      </c>
      <c r="AL20" s="119" t="n">
        <v>323</v>
      </c>
      <c r="AM20" s="120" t="n">
        <v>323</v>
      </c>
      <c r="AN20" s="118" t="n">
        <v>323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92.7</v>
      </c>
      <c r="C21" s="35" t="n">
        <v>249.13</v>
      </c>
      <c r="D21" s="35" t="n">
        <v>279.46</v>
      </c>
      <c r="E21" s="35" t="n">
        <v>346.01</v>
      </c>
      <c r="F21" s="35" t="n">
        <v>289.41</v>
      </c>
      <c r="G21" s="35" t="n">
        <v>78.06999999999999</v>
      </c>
      <c r="H21" s="35" t="n">
        <v>604.4200000000001</v>
      </c>
      <c r="I21" s="35" t="n">
        <v>209.95</v>
      </c>
      <c r="J21" s="35" t="n">
        <v>136.72</v>
      </c>
      <c r="K21" s="35" t="n">
        <v>248.7</v>
      </c>
      <c r="L21" s="35" t="n">
        <v>246.42</v>
      </c>
      <c r="M21" s="35" t="n">
        <v>79.21000000000001</v>
      </c>
      <c r="N21" s="36">
        <f>SUM(B21:M21)</f>
        <v/>
      </c>
      <c r="O21" s="37">
        <f>SUMIF('ABA TB'!$R:$R,'ABA P&amp;L'!$A21,'ABA TB'!C:C)</f>
        <v/>
      </c>
      <c r="P21" s="37">
        <f>SUMIF('ABA TB'!$R:$R,'ABA P&amp;L'!$A21,'ABA TB'!D:D)</f>
        <v/>
      </c>
      <c r="Q21" s="37">
        <f>SUMIF('ABA TB'!$R:$R,'ABA P&amp;L'!$A21,'ABA TB'!E:E)</f>
        <v/>
      </c>
      <c r="R21" s="37">
        <f>SUMIF('ABA TB'!$R:$R,'ABA P&amp;L'!$A21,'ABA TB'!F:F)</f>
        <v/>
      </c>
      <c r="S21" s="37">
        <f>SUMIF('ABA TB'!$R:$R,'ABA P&amp;L'!$A21,'ABA TB'!G:G)</f>
        <v/>
      </c>
      <c r="T21" s="37">
        <f>SUMIF('ABA TB'!$R:$R,'ABA P&amp;L'!$A21,'ABA TB'!H:H)</f>
        <v/>
      </c>
      <c r="U21" s="37">
        <f>SUMIF('ABA TB'!$R:$R,'ABA P&amp;L'!$A21,'ABA TB'!I:I)</f>
        <v/>
      </c>
      <c r="V21" s="38" t="n">
        <v>211</v>
      </c>
      <c r="W21" s="38" t="n">
        <v>211</v>
      </c>
      <c r="X21" s="38" t="n">
        <v>211</v>
      </c>
      <c r="Y21" s="38" t="n">
        <v>211</v>
      </c>
      <c r="Z21" s="38" t="n">
        <v>211</v>
      </c>
      <c r="AA21" s="36">
        <f>SUM(O21:U21)</f>
        <v/>
      </c>
      <c r="AB21" s="36">
        <f>SUM(O21:Z21)</f>
        <v/>
      </c>
      <c r="AC21" s="38" t="n">
        <v>211</v>
      </c>
      <c r="AD21" s="38" t="n">
        <v>211</v>
      </c>
      <c r="AE21" s="38" t="n">
        <v>211</v>
      </c>
      <c r="AF21" s="38" t="n">
        <v>211</v>
      </c>
      <c r="AG21" s="38" t="n">
        <v>211</v>
      </c>
      <c r="AH21" s="38" t="n">
        <v>211</v>
      </c>
      <c r="AI21" s="118" t="n">
        <v>211</v>
      </c>
      <c r="AJ21" s="119" t="n">
        <v>211</v>
      </c>
      <c r="AK21" s="119" t="n">
        <v>211</v>
      </c>
      <c r="AL21" s="119" t="n">
        <v>211</v>
      </c>
      <c r="AM21" s="120" t="n">
        <v>211</v>
      </c>
      <c r="AN21" s="118" t="n">
        <v>211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SUMIF('ABA TB'!$R:$R,'ABA P&amp;L'!$A22,'ABA TB'!C:C)</f>
        <v/>
      </c>
      <c r="P22" s="37">
        <f>SUMIF('ABA TB'!$R:$R,'ABA P&amp;L'!$A22,'ABA TB'!D:D)</f>
        <v/>
      </c>
      <c r="Q22" s="37">
        <f>SUMIF('ABA TB'!$R:$R,'ABA P&amp;L'!$A22,'ABA TB'!E:E)</f>
        <v/>
      </c>
      <c r="R22" s="37">
        <f>SUMIF('ABA TB'!$R:$R,'ABA P&amp;L'!$A22,'ABA TB'!F:F)</f>
        <v/>
      </c>
      <c r="S22" s="37">
        <f>SUMIF('ABA TB'!$R:$R,'ABA P&amp;L'!$A22,'ABA TB'!G:G)</f>
        <v/>
      </c>
      <c r="T22" s="37">
        <f>SUMIF('ABA TB'!$R:$R,'ABA P&amp;L'!$A22,'ABA TB'!H:H)</f>
        <v/>
      </c>
      <c r="U22" s="37">
        <f>SUMIF('ABA TB'!$R:$R,'ABA P&amp;L'!$A22,'ABA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8" t="n">
        <v>0</v>
      </c>
      <c r="AJ22" s="119" t="n">
        <v>0</v>
      </c>
      <c r="AK22" s="119" t="n">
        <v>0</v>
      </c>
      <c r="AL22" s="119" t="n">
        <v>0</v>
      </c>
      <c r="AM22" s="120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330</v>
      </c>
      <c r="I23" s="35" t="n">
        <v>25</v>
      </c>
      <c r="J23" s="35" t="n">
        <v>0</v>
      </c>
      <c r="K23" s="35" t="n">
        <v>48.95</v>
      </c>
      <c r="L23" s="35" t="n">
        <v>21.64</v>
      </c>
      <c r="M23" s="35" t="n">
        <v>218.89</v>
      </c>
      <c r="N23" s="36">
        <f>SUM(B23:M23)</f>
        <v/>
      </c>
      <c r="O23" s="37">
        <f>SUMIF('ABA TB'!$R:$R,'ABA P&amp;L'!$A23,'ABA TB'!C:C)</f>
        <v/>
      </c>
      <c r="P23" s="37">
        <f>SUMIF('ABA TB'!$R:$R,'ABA P&amp;L'!$A23,'ABA TB'!D:D)</f>
        <v/>
      </c>
      <c r="Q23" s="37">
        <f>SUMIF('ABA TB'!$R:$R,'ABA P&amp;L'!$A23,'ABA TB'!E:E)</f>
        <v/>
      </c>
      <c r="R23" s="37">
        <f>SUMIF('ABA TB'!$R:$R,'ABA P&amp;L'!$A23,'ABA TB'!F:F)</f>
        <v/>
      </c>
      <c r="S23" s="37">
        <f>SUMIF('ABA TB'!$R:$R,'ABA P&amp;L'!$A23,'ABA TB'!G:G)</f>
        <v/>
      </c>
      <c r="T23" s="37">
        <f>SUMIF('ABA TB'!$R:$R,'ABA P&amp;L'!$A23,'ABA TB'!H:H)</f>
        <v/>
      </c>
      <c r="U23" s="37">
        <f>SUMIF('ABA TB'!$R:$R,'ABA P&amp;L'!$A23,'ABA TB'!I:I)</f>
        <v/>
      </c>
      <c r="V23" s="38" t="n">
        <v>121</v>
      </c>
      <c r="W23" s="38" t="n">
        <v>121</v>
      </c>
      <c r="X23" s="38" t="n">
        <v>121</v>
      </c>
      <c r="Y23" s="38" t="n">
        <v>121</v>
      </c>
      <c r="Z23" s="38" t="n">
        <v>121</v>
      </c>
      <c r="AA23" s="36">
        <f>SUM(O23:U23)</f>
        <v/>
      </c>
      <c r="AB23" s="36">
        <f>SUM(O23:Z23)</f>
        <v/>
      </c>
      <c r="AC23" s="38" t="n">
        <v>121</v>
      </c>
      <c r="AD23" s="38" t="n">
        <v>121</v>
      </c>
      <c r="AE23" s="38" t="n">
        <v>121</v>
      </c>
      <c r="AF23" s="38" t="n">
        <v>121</v>
      </c>
      <c r="AG23" s="38" t="n">
        <v>121</v>
      </c>
      <c r="AH23" s="38" t="n">
        <v>121</v>
      </c>
      <c r="AI23" s="118" t="n">
        <v>121</v>
      </c>
      <c r="AJ23" s="119" t="n">
        <v>121</v>
      </c>
      <c r="AK23" s="119" t="n">
        <v>121</v>
      </c>
      <c r="AL23" s="119" t="n">
        <v>121</v>
      </c>
      <c r="AM23" s="120" t="n">
        <v>121</v>
      </c>
      <c r="AN23" s="118" t="n">
        <v>121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SUMIF('ABA TB'!$R:$R,'ABA P&amp;L'!$A24,'ABA TB'!C:C)</f>
        <v/>
      </c>
      <c r="P24" s="37">
        <f>SUMIF('ABA TB'!$R:$R,'ABA P&amp;L'!$A24,'ABA TB'!D:D)</f>
        <v/>
      </c>
      <c r="Q24" s="37">
        <f>SUMIF('ABA TB'!$R:$R,'ABA P&amp;L'!$A24,'ABA TB'!E:E)</f>
        <v/>
      </c>
      <c r="R24" s="37">
        <f>SUMIF('ABA TB'!$R:$R,'ABA P&amp;L'!$A24,'ABA TB'!F:F)</f>
        <v/>
      </c>
      <c r="S24" s="37">
        <f>SUMIF('ABA TB'!$R:$R,'ABA P&amp;L'!$A24,'ABA TB'!G:G)</f>
        <v/>
      </c>
      <c r="T24" s="37">
        <f>SUMIF('ABA TB'!$R:$R,'ABA P&amp;L'!$A24,'ABA TB'!H:H)</f>
        <v/>
      </c>
      <c r="U24" s="37">
        <f>SUMIF('ABA TB'!$R:$R,'ABA P&amp;L'!$A24,'ABA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8" t="n">
        <v>0</v>
      </c>
      <c r="AJ24" s="119" t="n">
        <v>0</v>
      </c>
      <c r="AK24" s="119" t="n">
        <v>0</v>
      </c>
      <c r="AL24" s="119" t="n">
        <v>0</v>
      </c>
      <c r="AM24" s="120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34574.8</v>
      </c>
      <c r="C25" s="42" t="n">
        <v>35374.13999999999</v>
      </c>
      <c r="D25" s="42" t="n">
        <v>36972.91</v>
      </c>
      <c r="E25" s="42" t="n">
        <v>40300.46999999999</v>
      </c>
      <c r="F25" s="42" t="n">
        <v>41216.68</v>
      </c>
      <c r="G25" s="42" t="n">
        <v>41525.89</v>
      </c>
      <c r="H25" s="42" t="n">
        <v>44824.91999999999</v>
      </c>
      <c r="I25" s="42" t="n">
        <v>40433.25</v>
      </c>
      <c r="J25" s="42" t="n">
        <v>40303.59</v>
      </c>
      <c r="K25" s="42" t="n">
        <v>38404.48</v>
      </c>
      <c r="L25" s="42" t="n">
        <v>38149.48</v>
      </c>
      <c r="M25" s="42" t="n">
        <v>39149.26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3">
        <f>SUM(AI16:AI24)</f>
        <v/>
      </c>
      <c r="AJ25" s="124">
        <f>SUM(AJ16:AJ24)</f>
        <v/>
      </c>
      <c r="AK25" s="124">
        <f>SUM(AK16:AK24)</f>
        <v/>
      </c>
      <c r="AL25" s="124">
        <f>SUM(AL16:AL24)</f>
        <v/>
      </c>
      <c r="AM25" s="124">
        <f>SUM(AM16:AM24)</f>
        <v/>
      </c>
      <c r="AN25" s="123">
        <f>SUM(AN16:AN24)</f>
        <v/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7" t="n">
        <v>0</v>
      </c>
      <c r="AJ26" s="128" t="n">
        <v>0</v>
      </c>
      <c r="AK26" s="128" t="n">
        <v>0</v>
      </c>
      <c r="AL26" s="128" t="n">
        <v>0</v>
      </c>
      <c r="AM26" s="129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1524.48</v>
      </c>
      <c r="C27" s="35" t="n">
        <v>2122.3</v>
      </c>
      <c r="D27" s="35" t="n">
        <v>1998.39</v>
      </c>
      <c r="E27" s="35" t="n">
        <v>1391.12</v>
      </c>
      <c r="F27" s="35" t="n">
        <v>1821.4</v>
      </c>
      <c r="G27" s="35" t="n">
        <v>1831.3</v>
      </c>
      <c r="H27" s="35" t="n">
        <v>1657.01</v>
      </c>
      <c r="I27" s="35" t="n">
        <v>1141.58</v>
      </c>
      <c r="J27" s="35" t="n">
        <v>1605.26</v>
      </c>
      <c r="K27" s="35" t="n">
        <v>1538.28</v>
      </c>
      <c r="L27" s="35" t="n">
        <v>1760.83</v>
      </c>
      <c r="M27" s="35" t="n">
        <v>1172.25</v>
      </c>
      <c r="N27" s="36">
        <f>SUM(B27:M27)</f>
        <v/>
      </c>
      <c r="O27" s="37">
        <f>SUMIF('ABA TB'!$R:$R,'ABA P&amp;L'!$A27,'ABA TB'!C:C)</f>
        <v/>
      </c>
      <c r="P27" s="37">
        <f>SUMIF('ABA TB'!$R:$R,'ABA P&amp;L'!$A27,'ABA TB'!D:D)</f>
        <v/>
      </c>
      <c r="Q27" s="37">
        <f>SUMIF('ABA TB'!$R:$R,'ABA P&amp;L'!$A27,'ABA TB'!E:E)</f>
        <v/>
      </c>
      <c r="R27" s="37">
        <f>SUMIF('ABA TB'!$R:$R,'ABA P&amp;L'!$A27,'ABA TB'!F:F)</f>
        <v/>
      </c>
      <c r="S27" s="37">
        <f>SUMIF('ABA TB'!$R:$R,'ABA P&amp;L'!$A27,'ABA TB'!G:G)</f>
        <v/>
      </c>
      <c r="T27" s="37">
        <f>SUMIF('ABA TB'!$R:$R,'ABA P&amp;L'!$A27,'ABA TB'!H:H)</f>
        <v/>
      </c>
      <c r="U27" s="37">
        <f>SUMIF('ABA TB'!$R:$R,'ABA P&amp;L'!$A27,'ABA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18" t="n">
        <v>0</v>
      </c>
      <c r="AJ27" s="119" t="n">
        <v>0</v>
      </c>
      <c r="AK27" s="119" t="n">
        <v>0</v>
      </c>
      <c r="AL27" s="119" t="n">
        <v>0</v>
      </c>
      <c r="AM27" s="120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91.51000000000001</v>
      </c>
      <c r="C28" s="35" t="n">
        <v>452.3</v>
      </c>
      <c r="D28" s="35" t="n">
        <v>327.22</v>
      </c>
      <c r="E28" s="35" t="n">
        <v>103.6</v>
      </c>
      <c r="F28" s="35" t="n">
        <v>851.51</v>
      </c>
      <c r="G28" s="35" t="n">
        <v>37.37</v>
      </c>
      <c r="H28" s="35" t="n">
        <v>2634.18</v>
      </c>
      <c r="I28" s="35" t="n">
        <v>1272.86</v>
      </c>
      <c r="J28" s="35" t="n">
        <v>-132.59</v>
      </c>
      <c r="K28" s="35" t="n">
        <v>313.94</v>
      </c>
      <c r="L28" s="35" t="n">
        <v>334.54</v>
      </c>
      <c r="M28" s="35" t="n">
        <v>543.5300000000001</v>
      </c>
      <c r="N28" s="36">
        <f>SUM(B28:M28)</f>
        <v/>
      </c>
      <c r="O28" s="37">
        <f>SUMIF('ABA TB'!$R:$R,'ABA P&amp;L'!$A28,'ABA TB'!C:C)</f>
        <v/>
      </c>
      <c r="P28" s="37">
        <f>SUMIF('ABA TB'!$R:$R,'ABA P&amp;L'!$A28,'ABA TB'!D:D)</f>
        <v/>
      </c>
      <c r="Q28" s="37">
        <f>SUMIF('ABA TB'!$R:$R,'ABA P&amp;L'!$A28,'ABA TB'!E:E)</f>
        <v/>
      </c>
      <c r="R28" s="37">
        <f>SUMIF('ABA TB'!$R:$R,'ABA P&amp;L'!$A28,'ABA TB'!F:F)</f>
        <v/>
      </c>
      <c r="S28" s="37">
        <f>SUMIF('ABA TB'!$R:$R,'ABA P&amp;L'!$A28,'ABA TB'!G:G)</f>
        <v/>
      </c>
      <c r="T28" s="37">
        <f>SUMIF('ABA TB'!$R:$R,'ABA P&amp;L'!$A28,'ABA TB'!H:H)</f>
        <v/>
      </c>
      <c r="U28" s="37">
        <f>SUMIF('ABA TB'!$R:$R,'ABA P&amp;L'!$A28,'ABA TB'!I:I)</f>
        <v/>
      </c>
      <c r="V28" s="38" t="n">
        <v>100</v>
      </c>
      <c r="W28" s="38" t="n">
        <v>100</v>
      </c>
      <c r="X28" s="38" t="n">
        <v>100</v>
      </c>
      <c r="Y28" s="38" t="n">
        <v>100</v>
      </c>
      <c r="Z28" s="38" t="n">
        <v>100</v>
      </c>
      <c r="AA28" s="36">
        <f>SUM(O28:U28)</f>
        <v/>
      </c>
      <c r="AB28" s="36">
        <f>SUM(O28:Z28)</f>
        <v/>
      </c>
      <c r="AC28" s="38" t="n">
        <v>100</v>
      </c>
      <c r="AD28" s="38" t="n">
        <v>100</v>
      </c>
      <c r="AE28" s="38" t="n">
        <v>100</v>
      </c>
      <c r="AF28" s="38" t="n">
        <v>100</v>
      </c>
      <c r="AG28" s="38" t="n">
        <v>100</v>
      </c>
      <c r="AH28" s="38" t="n">
        <v>100</v>
      </c>
      <c r="AI28" s="118" t="n">
        <v>100</v>
      </c>
      <c r="AJ28" s="119" t="n">
        <v>100</v>
      </c>
      <c r="AK28" s="119" t="n">
        <v>100</v>
      </c>
      <c r="AL28" s="119" t="n">
        <v>100</v>
      </c>
      <c r="AM28" s="120" t="n">
        <v>100</v>
      </c>
      <c r="AN28" s="118" t="n">
        <v>100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167.72</v>
      </c>
      <c r="C29" s="35" t="n">
        <v>267.24</v>
      </c>
      <c r="D29" s="35" t="n">
        <v>282.45</v>
      </c>
      <c r="E29" s="35" t="n">
        <v>372.05</v>
      </c>
      <c r="F29" s="35" t="n">
        <v>127.92</v>
      </c>
      <c r="G29" s="35" t="n">
        <v>246.37</v>
      </c>
      <c r="H29" s="35" t="n">
        <v>201.14</v>
      </c>
      <c r="I29" s="35" t="n">
        <v>0</v>
      </c>
      <c r="J29" s="35" t="n">
        <v>147.48</v>
      </c>
      <c r="K29" s="35" t="n">
        <v>112.1</v>
      </c>
      <c r="L29" s="35" t="n">
        <v>485.16</v>
      </c>
      <c r="M29" s="35" t="n">
        <v>67.34</v>
      </c>
      <c r="N29" s="36">
        <f>SUM(B29:M29)</f>
        <v/>
      </c>
      <c r="O29" s="37">
        <f>SUMIF('ABA TB'!$R:$R,'ABA P&amp;L'!$A29,'ABA TB'!C:C)</f>
        <v/>
      </c>
      <c r="P29" s="37">
        <f>SUMIF('ABA TB'!$R:$R,'ABA P&amp;L'!$A29,'ABA TB'!D:D)</f>
        <v/>
      </c>
      <c r="Q29" s="37">
        <f>SUMIF('ABA TB'!$R:$R,'ABA P&amp;L'!$A29,'ABA TB'!E:E)</f>
        <v/>
      </c>
      <c r="R29" s="37">
        <f>SUMIF('ABA TB'!$R:$R,'ABA P&amp;L'!$A29,'ABA TB'!F:F)</f>
        <v/>
      </c>
      <c r="S29" s="37">
        <f>SUMIF('ABA TB'!$R:$R,'ABA P&amp;L'!$A29,'ABA TB'!G:G)</f>
        <v/>
      </c>
      <c r="T29" s="37">
        <f>SUMIF('ABA TB'!$R:$R,'ABA P&amp;L'!$A29,'ABA TB'!H:H)</f>
        <v/>
      </c>
      <c r="U29" s="37">
        <f>SUMIF('ABA TB'!$R:$R,'ABA P&amp;L'!$A29,'ABA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18" t="n">
        <v>0</v>
      </c>
      <c r="AJ29" s="119" t="n">
        <v>0</v>
      </c>
      <c r="AK29" s="119" t="n">
        <v>0</v>
      </c>
      <c r="AL29" s="119" t="n">
        <v>0</v>
      </c>
      <c r="AM29" s="120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94.15000000000001</v>
      </c>
      <c r="C30" s="35" t="n">
        <v>42.29</v>
      </c>
      <c r="D30" s="35" t="n">
        <v>57.79</v>
      </c>
      <c r="E30" s="35" t="n">
        <v>75.59</v>
      </c>
      <c r="F30" s="35" t="n">
        <v>44.53</v>
      </c>
      <c r="G30" s="35" t="n">
        <v>83.44999999999999</v>
      </c>
      <c r="H30" s="35" t="n">
        <v>34.42</v>
      </c>
      <c r="I30" s="35" t="n">
        <v>28.37</v>
      </c>
      <c r="J30" s="35" t="n">
        <v>31.5</v>
      </c>
      <c r="K30" s="35" t="n">
        <v>12.34</v>
      </c>
      <c r="L30" s="35" t="n">
        <v>338.1</v>
      </c>
      <c r="M30" s="35" t="n">
        <v>33.94</v>
      </c>
      <c r="N30" s="36">
        <f>SUM(B30:M30)</f>
        <v/>
      </c>
      <c r="O30" s="37">
        <f>SUMIF('ABA TB'!$R:$R,'ABA P&amp;L'!$A30,'ABA TB'!C:C)</f>
        <v/>
      </c>
      <c r="P30" s="37">
        <f>SUMIF('ABA TB'!$R:$R,'ABA P&amp;L'!$A30,'ABA TB'!D:D)</f>
        <v/>
      </c>
      <c r="Q30" s="37">
        <f>SUMIF('ABA TB'!$R:$R,'ABA P&amp;L'!$A30,'ABA TB'!E:E)</f>
        <v/>
      </c>
      <c r="R30" s="37">
        <f>SUMIF('ABA TB'!$R:$R,'ABA P&amp;L'!$A30,'ABA TB'!F:F)</f>
        <v/>
      </c>
      <c r="S30" s="37">
        <f>SUMIF('ABA TB'!$R:$R,'ABA P&amp;L'!$A30,'ABA TB'!G:G)</f>
        <v/>
      </c>
      <c r="T30" s="37">
        <f>SUMIF('ABA TB'!$R:$R,'ABA P&amp;L'!$A30,'ABA TB'!H:H)</f>
        <v/>
      </c>
      <c r="U30" s="37">
        <f>SUMIF('ABA TB'!$R:$R,'ABA P&amp;L'!$A30,'ABA TB'!I:I)</f>
        <v/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118" t="n">
        <v>100</v>
      </c>
      <c r="AJ30" s="119" t="n">
        <v>100</v>
      </c>
      <c r="AK30" s="119" t="n">
        <v>100</v>
      </c>
      <c r="AL30" s="119" t="n">
        <v>100</v>
      </c>
      <c r="AM30" s="120" t="n">
        <v>100</v>
      </c>
      <c r="AN30" s="118" t="n">
        <v>100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189.9</v>
      </c>
      <c r="C31" s="35" t="n">
        <v>131.91</v>
      </c>
      <c r="D31" s="35" t="n">
        <v>63.11000000000001</v>
      </c>
      <c r="E31" s="35" t="n">
        <v>17.99</v>
      </c>
      <c r="F31" s="35" t="n">
        <v>140.72</v>
      </c>
      <c r="G31" s="35" t="n">
        <v>671.26</v>
      </c>
      <c r="H31" s="35" t="n">
        <v>453.3</v>
      </c>
      <c r="I31" s="35" t="n">
        <v>32.21</v>
      </c>
      <c r="J31" s="35" t="n">
        <v>25.47</v>
      </c>
      <c r="K31" s="35" t="n">
        <v>59.66</v>
      </c>
      <c r="L31" s="35" t="n">
        <v>94.7</v>
      </c>
      <c r="M31" s="35" t="n">
        <v>57.97</v>
      </c>
      <c r="N31" s="36">
        <f>SUM(B31:M31)</f>
        <v/>
      </c>
      <c r="O31" s="37">
        <f>SUMIF('ABA TB'!$R:$R,'ABA P&amp;L'!$A31,'ABA TB'!C:C)</f>
        <v/>
      </c>
      <c r="P31" s="37">
        <f>SUMIF('ABA TB'!$R:$R,'ABA P&amp;L'!$A31,'ABA TB'!D:D)</f>
        <v/>
      </c>
      <c r="Q31" s="37">
        <f>SUMIF('ABA TB'!$R:$R,'ABA P&amp;L'!$A31,'ABA TB'!E:E)</f>
        <v/>
      </c>
      <c r="R31" s="37">
        <f>SUMIF('ABA TB'!$R:$R,'ABA P&amp;L'!$A31,'ABA TB'!F:F)</f>
        <v/>
      </c>
      <c r="S31" s="37">
        <f>SUMIF('ABA TB'!$R:$R,'ABA P&amp;L'!$A31,'ABA TB'!G:G)</f>
        <v/>
      </c>
      <c r="T31" s="37">
        <f>SUMIF('ABA TB'!$R:$R,'ABA P&amp;L'!$A31,'ABA TB'!H:H)</f>
        <v/>
      </c>
      <c r="U31" s="37">
        <f>SUMIF('ABA TB'!$R:$R,'ABA P&amp;L'!$A31,'ABA TB'!I:I)</f>
        <v/>
      </c>
      <c r="V31" s="38" t="n">
        <v>100</v>
      </c>
      <c r="W31" s="38" t="n">
        <v>100</v>
      </c>
      <c r="X31" s="38" t="n">
        <v>100</v>
      </c>
      <c r="Y31" s="38" t="n">
        <v>100</v>
      </c>
      <c r="Z31" s="38" t="n">
        <v>100</v>
      </c>
      <c r="AA31" s="36">
        <f>SUM(O31:U31)</f>
        <v/>
      </c>
      <c r="AB31" s="36">
        <f>SUM(O31:Z31)</f>
        <v/>
      </c>
      <c r="AC31" s="38" t="n">
        <v>100</v>
      </c>
      <c r="AD31" s="38" t="n">
        <v>100</v>
      </c>
      <c r="AE31" s="38" t="n">
        <v>100</v>
      </c>
      <c r="AF31" s="38" t="n">
        <v>100</v>
      </c>
      <c r="AG31" s="38" t="n">
        <v>100</v>
      </c>
      <c r="AH31" s="38" t="n">
        <v>100</v>
      </c>
      <c r="AI31" s="118" t="n">
        <v>100</v>
      </c>
      <c r="AJ31" s="119" t="n">
        <v>100</v>
      </c>
      <c r="AK31" s="119" t="n">
        <v>100</v>
      </c>
      <c r="AL31" s="119" t="n">
        <v>100</v>
      </c>
      <c r="AM31" s="120" t="n">
        <v>100</v>
      </c>
      <c r="AN31" s="118" t="n">
        <v>100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108.66</v>
      </c>
      <c r="C32" s="35" t="n">
        <v>143.33</v>
      </c>
      <c r="D32" s="35" t="n">
        <v>173.25</v>
      </c>
      <c r="E32" s="35" t="n">
        <v>189.42</v>
      </c>
      <c r="F32" s="35" t="n">
        <v>189.15</v>
      </c>
      <c r="G32" s="35" t="n">
        <v>733.62</v>
      </c>
      <c r="H32" s="35" t="n">
        <v>261.65</v>
      </c>
      <c r="I32" s="35" t="n">
        <v>249.18</v>
      </c>
      <c r="J32" s="35" t="n">
        <v>157.52</v>
      </c>
      <c r="K32" s="35" t="n">
        <v>314.47</v>
      </c>
      <c r="L32" s="35" t="n">
        <v>283.95</v>
      </c>
      <c r="M32" s="35" t="n">
        <v>206.52</v>
      </c>
      <c r="N32" s="36">
        <f>SUM(B32:M32)</f>
        <v/>
      </c>
      <c r="O32" s="37">
        <f>SUMIF('ABA TB'!$R:$R,'ABA P&amp;L'!$A32,'ABA TB'!C:C)</f>
        <v/>
      </c>
      <c r="P32" s="37">
        <f>SUMIF('ABA TB'!$R:$R,'ABA P&amp;L'!$A32,'ABA TB'!D:D)</f>
        <v/>
      </c>
      <c r="Q32" s="37">
        <f>SUMIF('ABA TB'!$R:$R,'ABA P&amp;L'!$A32,'ABA TB'!E:E)</f>
        <v/>
      </c>
      <c r="R32" s="37">
        <f>SUMIF('ABA TB'!$R:$R,'ABA P&amp;L'!$A32,'ABA TB'!F:F)</f>
        <v/>
      </c>
      <c r="S32" s="37">
        <f>SUMIF('ABA TB'!$R:$R,'ABA P&amp;L'!$A32,'ABA TB'!G:G)</f>
        <v/>
      </c>
      <c r="T32" s="37">
        <f>SUMIF('ABA TB'!$R:$R,'ABA P&amp;L'!$A32,'ABA TB'!H:H)</f>
        <v/>
      </c>
      <c r="U32" s="37">
        <f>SUMIF('ABA TB'!$R:$R,'ABA P&amp;L'!$A32,'ABA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18" t="n">
        <v>0</v>
      </c>
      <c r="AJ32" s="119" t="n">
        <v>0</v>
      </c>
      <c r="AK32" s="119" t="n">
        <v>0</v>
      </c>
      <c r="AL32" s="119" t="n">
        <v>0</v>
      </c>
      <c r="AM32" s="120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SUMIF('ABA TB'!$R:$R,'ABA P&amp;L'!$A33,'ABA TB'!C:C)</f>
        <v/>
      </c>
      <c r="P33" s="37">
        <f>SUMIF('ABA TB'!$R:$R,'ABA P&amp;L'!$A33,'ABA TB'!D:D)</f>
        <v/>
      </c>
      <c r="Q33" s="37">
        <f>SUMIF('ABA TB'!$R:$R,'ABA P&amp;L'!$A33,'ABA TB'!E:E)</f>
        <v/>
      </c>
      <c r="R33" s="37">
        <f>SUMIF('ABA TB'!$R:$R,'ABA P&amp;L'!$A33,'ABA TB'!F:F)</f>
        <v/>
      </c>
      <c r="S33" s="37">
        <f>SUMIF('ABA TB'!$R:$R,'ABA P&amp;L'!$A33,'ABA TB'!G:G)</f>
        <v/>
      </c>
      <c r="T33" s="37">
        <f>SUMIF('ABA TB'!$R:$R,'ABA P&amp;L'!$A33,'ABA TB'!H:H)</f>
        <v/>
      </c>
      <c r="U33" s="37">
        <f>SUMIF('ABA TB'!$R:$R,'ABA P&amp;L'!$A33,'ABA TB'!I:I)</f>
        <v/>
      </c>
      <c r="V33" s="38" t="n">
        <v>0</v>
      </c>
      <c r="W33" s="38" t="n">
        <v>0</v>
      </c>
      <c r="X33" s="38" t="n">
        <v>0</v>
      </c>
      <c r="Y33" s="38" t="n">
        <v>0</v>
      </c>
      <c r="Z33" s="38" t="n">
        <v>0</v>
      </c>
      <c r="AA33" s="36">
        <f>SUM(O33:U33)</f>
        <v/>
      </c>
      <c r="AB33" s="36">
        <f>SUM(O33:Z33)</f>
        <v/>
      </c>
      <c r="AC33" s="38" t="n">
        <v>0</v>
      </c>
      <c r="AD33" s="38" t="n">
        <v>0</v>
      </c>
      <c r="AE33" s="38" t="n">
        <v>0</v>
      </c>
      <c r="AF33" s="38" t="n">
        <v>0</v>
      </c>
      <c r="AG33" s="38" t="n">
        <v>0</v>
      </c>
      <c r="AH33" s="38" t="n">
        <v>0</v>
      </c>
      <c r="AI33" s="118" t="n">
        <v>0</v>
      </c>
      <c r="AJ33" s="119" t="n">
        <v>0</v>
      </c>
      <c r="AK33" s="119" t="n">
        <v>0</v>
      </c>
      <c r="AL33" s="119" t="n">
        <v>0</v>
      </c>
      <c r="AM33" s="120" t="n">
        <v>0</v>
      </c>
      <c r="AN33" s="118" t="n">
        <v>0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2176.42</v>
      </c>
      <c r="C34" s="42" t="n">
        <v>3159.37</v>
      </c>
      <c r="D34" s="42" t="n">
        <v>2902.21</v>
      </c>
      <c r="E34" s="42" t="n">
        <v>2149.77</v>
      </c>
      <c r="F34" s="42" t="n">
        <v>3175.23</v>
      </c>
      <c r="G34" s="42" t="n">
        <v>3603.37</v>
      </c>
      <c r="H34" s="42" t="n">
        <v>5241.700000000001</v>
      </c>
      <c r="I34" s="42" t="n">
        <v>2724.2</v>
      </c>
      <c r="J34" s="42" t="n">
        <v>1834.64</v>
      </c>
      <c r="K34" s="42" t="n">
        <v>2350.79</v>
      </c>
      <c r="L34" s="42" t="n">
        <v>3297.279999999999</v>
      </c>
      <c r="M34" s="42" t="n">
        <v>2081.55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3">
        <f>SUM(AI27:AI33)</f>
        <v/>
      </c>
      <c r="AJ34" s="124">
        <f>SUM(AJ27:AJ33)</f>
        <v/>
      </c>
      <c r="AK34" s="124">
        <f>SUM(AK27:AK33)</f>
        <v/>
      </c>
      <c r="AL34" s="124">
        <f>SUM(AL27:AL33)</f>
        <v/>
      </c>
      <c r="AM34" s="124">
        <f>SUM(AM27:AM33)</f>
        <v/>
      </c>
      <c r="AN34" s="123">
        <f>SUM(AN27:AN33)</f>
        <v/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7" t="n">
        <v>0</v>
      </c>
      <c r="AJ35" s="128" t="n">
        <v>0</v>
      </c>
      <c r="AK35" s="128" t="n">
        <v>0</v>
      </c>
      <c r="AL35" s="128" t="n">
        <v>0</v>
      </c>
      <c r="AM35" s="129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SUMIF('ABA TB'!$R:$R,'ABA P&amp;L'!$A36,'ABA TB'!C:C)</f>
        <v/>
      </c>
      <c r="P36" s="37">
        <f>SUMIF('ABA TB'!$R:$R,'ABA P&amp;L'!$A36,'ABA TB'!D:D)</f>
        <v/>
      </c>
      <c r="Q36" s="37">
        <f>SUMIF('ABA TB'!$R:$R,'ABA P&amp;L'!$A36,'ABA TB'!E:E)</f>
        <v/>
      </c>
      <c r="R36" s="37">
        <f>SUMIF('ABA TB'!$R:$R,'ABA P&amp;L'!$A36,'ABA TB'!F:F)</f>
        <v/>
      </c>
      <c r="S36" s="37">
        <f>SUMIF('ABA TB'!$R:$R,'ABA P&amp;L'!$A36,'ABA TB'!G:G)</f>
        <v/>
      </c>
      <c r="T36" s="37">
        <f>SUMIF('ABA TB'!$R:$R,'ABA P&amp;L'!$A36,'ABA TB'!H:H)</f>
        <v/>
      </c>
      <c r="U36" s="37">
        <f>SUMIF('ABA TB'!$R:$R,'ABA P&amp;L'!$A36,'ABA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8" t="n">
        <v>0</v>
      </c>
      <c r="AJ36" s="119" t="n">
        <v>0</v>
      </c>
      <c r="AK36" s="119" t="n">
        <v>0</v>
      </c>
      <c r="AL36" s="119" t="n">
        <v>0</v>
      </c>
      <c r="AM36" s="120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1704.92</v>
      </c>
      <c r="C37" s="35" t="n">
        <v>1704.92</v>
      </c>
      <c r="D37" s="35" t="n">
        <v>1704.92</v>
      </c>
      <c r="E37" s="35" t="n">
        <v>1704.92</v>
      </c>
      <c r="F37" s="35" t="n">
        <v>1704.92</v>
      </c>
      <c r="G37" s="35" t="n">
        <v>1704.92</v>
      </c>
      <c r="H37" s="35" t="n">
        <v>1704.92</v>
      </c>
      <c r="I37" s="35" t="n">
        <v>1704.92</v>
      </c>
      <c r="J37" s="35" t="n">
        <v>1704.92</v>
      </c>
      <c r="K37" s="35" t="n">
        <v>1704.92</v>
      </c>
      <c r="L37" s="35" t="n">
        <v>1704.92</v>
      </c>
      <c r="M37" s="35" t="n">
        <v>1704.92</v>
      </c>
      <c r="N37" s="36">
        <f>SUM(B37:M37)</f>
        <v/>
      </c>
      <c r="O37" s="37">
        <f>SUMIF('ABA TB'!$R:$R,'ABA P&amp;L'!$A37,'ABA TB'!C:C)</f>
        <v/>
      </c>
      <c r="P37" s="37">
        <f>SUMIF('ABA TB'!$R:$R,'ABA P&amp;L'!$A37,'ABA TB'!D:D)</f>
        <v/>
      </c>
      <c r="Q37" s="37">
        <f>SUMIF('ABA TB'!$R:$R,'ABA P&amp;L'!$A37,'ABA TB'!E:E)</f>
        <v/>
      </c>
      <c r="R37" s="37">
        <f>SUMIF('ABA TB'!$R:$R,'ABA P&amp;L'!$A37,'ABA TB'!F:F)</f>
        <v/>
      </c>
      <c r="S37" s="37">
        <f>SUMIF('ABA TB'!$R:$R,'ABA P&amp;L'!$A37,'ABA TB'!G:G)</f>
        <v/>
      </c>
      <c r="T37" s="37">
        <f>SUMIF('ABA TB'!$R:$R,'ABA P&amp;L'!$A37,'ABA TB'!H:H)</f>
        <v/>
      </c>
      <c r="U37" s="37">
        <f>SUMIF('ABA TB'!$R:$R,'ABA P&amp;L'!$A37,'ABA TB'!I:I)</f>
        <v/>
      </c>
      <c r="V37" s="38" t="n">
        <v>1823.25</v>
      </c>
      <c r="W37" s="38" t="n">
        <v>1823.25</v>
      </c>
      <c r="X37" s="38" t="n">
        <v>1823.25</v>
      </c>
      <c r="Y37" s="38" t="n">
        <v>1823.25</v>
      </c>
      <c r="Z37" s="38" t="n">
        <v>1823.25</v>
      </c>
      <c r="AA37" s="36">
        <f>SUM(O37:U37)</f>
        <v/>
      </c>
      <c r="AB37" s="36">
        <f>SUM(O37:Z37)</f>
        <v/>
      </c>
      <c r="AC37" s="38" t="n">
        <v>1823.25</v>
      </c>
      <c r="AD37" s="38" t="n">
        <v>1823.25</v>
      </c>
      <c r="AE37" s="38" t="n">
        <v>1823.25</v>
      </c>
      <c r="AF37" s="38" t="n">
        <v>1823.25</v>
      </c>
      <c r="AG37" s="38" t="n">
        <v>1823.25</v>
      </c>
      <c r="AH37" s="38" t="n">
        <v>1823.25</v>
      </c>
      <c r="AI37" s="118" t="n">
        <v>1823.25</v>
      </c>
      <c r="AJ37" s="119" t="n">
        <v>1823.25</v>
      </c>
      <c r="AK37" s="119" t="n">
        <v>1823.25</v>
      </c>
      <c r="AL37" s="119" t="n">
        <v>1823.25</v>
      </c>
      <c r="AM37" s="120" t="n">
        <v>1823.25</v>
      </c>
      <c r="AN37" s="118" t="n">
        <v>1823.25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895.97</v>
      </c>
      <c r="C38" s="35" t="n">
        <v>27.47</v>
      </c>
      <c r="D38" s="35" t="n">
        <v>1315.56</v>
      </c>
      <c r="E38" s="35" t="n">
        <v>712.0700000000001</v>
      </c>
      <c r="F38" s="35" t="n">
        <v>4544.52</v>
      </c>
      <c r="G38" s="35" t="n">
        <v>684.5699999999999</v>
      </c>
      <c r="H38" s="35" t="n">
        <v>627.64</v>
      </c>
      <c r="I38" s="35" t="n">
        <v>514.1999999999999</v>
      </c>
      <c r="J38" s="35" t="n">
        <v>-607.48</v>
      </c>
      <c r="K38" s="35" t="n">
        <v>4237.07</v>
      </c>
      <c r="L38" s="35" t="n">
        <v>769.03</v>
      </c>
      <c r="M38" s="35" t="n">
        <v>2369.66</v>
      </c>
      <c r="N38" s="36">
        <f>SUM(B38:M38)</f>
        <v/>
      </c>
      <c r="O38" s="37">
        <f>SUMIF('ABA TB'!$R:$R,'ABA P&amp;L'!$A38,'ABA TB'!C:C)</f>
        <v/>
      </c>
      <c r="P38" s="37">
        <f>SUMIF('ABA TB'!$R:$R,'ABA P&amp;L'!$A38,'ABA TB'!D:D)</f>
        <v/>
      </c>
      <c r="Q38" s="37">
        <f>SUMIF('ABA TB'!$R:$R,'ABA P&amp;L'!$A38,'ABA TB'!E:E)</f>
        <v/>
      </c>
      <c r="R38" s="37">
        <f>SUMIF('ABA TB'!$R:$R,'ABA P&amp;L'!$A38,'ABA TB'!F:F)</f>
        <v/>
      </c>
      <c r="S38" s="37">
        <f>SUMIF('ABA TB'!$R:$R,'ABA P&amp;L'!$A38,'ABA TB'!G:G)</f>
        <v/>
      </c>
      <c r="T38" s="37">
        <f>SUMIF('ABA TB'!$R:$R,'ABA P&amp;L'!$A38,'ABA TB'!H:H)</f>
        <v/>
      </c>
      <c r="U38" s="37">
        <f>SUMIF('ABA TB'!$R:$R,'ABA P&amp;L'!$A38,'ABA TB'!I:I)</f>
        <v/>
      </c>
      <c r="V38" s="38" t="n">
        <v>1429</v>
      </c>
      <c r="W38" s="38" t="n">
        <v>1429</v>
      </c>
      <c r="X38" s="38" t="n">
        <v>1429</v>
      </c>
      <c r="Y38" s="38" t="n">
        <v>1429</v>
      </c>
      <c r="Z38" s="38" t="n">
        <v>1429</v>
      </c>
      <c r="AA38" s="36">
        <f>SUM(O38:U38)</f>
        <v/>
      </c>
      <c r="AB38" s="36">
        <f>SUM(O38:Z38)</f>
        <v/>
      </c>
      <c r="AC38" s="38" t="n">
        <v>1429</v>
      </c>
      <c r="AD38" s="38" t="n">
        <v>1429</v>
      </c>
      <c r="AE38" s="38" t="n">
        <v>1429</v>
      </c>
      <c r="AF38" s="38" t="n">
        <v>1429</v>
      </c>
      <c r="AG38" s="38" t="n">
        <v>1429</v>
      </c>
      <c r="AH38" s="38" t="n">
        <v>1429</v>
      </c>
      <c r="AI38" s="118" t="n">
        <v>1429</v>
      </c>
      <c r="AJ38" s="119" t="n">
        <v>1429</v>
      </c>
      <c r="AK38" s="119" t="n">
        <v>1429</v>
      </c>
      <c r="AL38" s="119" t="n">
        <v>1429</v>
      </c>
      <c r="AM38" s="120" t="n">
        <v>1429</v>
      </c>
      <c r="AN38" s="118" t="n">
        <v>1429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46.95</v>
      </c>
      <c r="C39" s="35" t="n">
        <v>4832.910000000001</v>
      </c>
      <c r="D39" s="35" t="n">
        <v>603.49</v>
      </c>
      <c r="E39" s="35" t="n">
        <v>179.64</v>
      </c>
      <c r="F39" s="35" t="n">
        <v>504.08</v>
      </c>
      <c r="G39" s="35" t="n">
        <v>1430</v>
      </c>
      <c r="H39" s="35" t="n">
        <v>0</v>
      </c>
      <c r="I39" s="35" t="n">
        <v>5.99</v>
      </c>
      <c r="J39" s="35" t="n">
        <v>14</v>
      </c>
      <c r="K39" s="35" t="n">
        <v>0</v>
      </c>
      <c r="L39" s="35" t="n">
        <v>55.29</v>
      </c>
      <c r="M39" s="35" t="n">
        <v>225.21</v>
      </c>
      <c r="N39" s="36">
        <f>SUM(B39:M39)</f>
        <v/>
      </c>
      <c r="O39" s="37">
        <f>SUMIF('ABA TB'!$R:$R,'ABA P&amp;L'!$A39,'ABA TB'!C:C)</f>
        <v/>
      </c>
      <c r="P39" s="37">
        <f>SUMIF('ABA TB'!$R:$R,'ABA P&amp;L'!$A39,'ABA TB'!D:D)</f>
        <v/>
      </c>
      <c r="Q39" s="37">
        <f>SUMIF('ABA TB'!$R:$R,'ABA P&amp;L'!$A39,'ABA TB'!E:E)</f>
        <v/>
      </c>
      <c r="R39" s="37">
        <f>SUMIF('ABA TB'!$R:$R,'ABA P&amp;L'!$A39,'ABA TB'!F:F)</f>
        <v/>
      </c>
      <c r="S39" s="37">
        <f>SUMIF('ABA TB'!$R:$R,'ABA P&amp;L'!$A39,'ABA TB'!G:G)</f>
        <v/>
      </c>
      <c r="T39" s="37">
        <f>SUMIF('ABA TB'!$R:$R,'ABA P&amp;L'!$A39,'ABA TB'!H:H)</f>
        <v/>
      </c>
      <c r="U39" s="37">
        <f>SUMIF('ABA TB'!$R:$R,'ABA P&amp;L'!$A39,'ABA TB'!I:I)</f>
        <v/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8" t="n">
        <v>0</v>
      </c>
      <c r="AJ39" s="119" t="n">
        <v>0</v>
      </c>
      <c r="AK39" s="119" t="n">
        <v>0</v>
      </c>
      <c r="AL39" s="119" t="n">
        <v>0</v>
      </c>
      <c r="AM39" s="120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1610.41</v>
      </c>
      <c r="C40" s="35" t="n">
        <v>1341.28</v>
      </c>
      <c r="D40" s="35" t="n">
        <v>618.85</v>
      </c>
      <c r="E40" s="35" t="n">
        <v>1357.49</v>
      </c>
      <c r="F40" s="35" t="n">
        <v>1371.67</v>
      </c>
      <c r="G40" s="35" t="n">
        <v>703.42</v>
      </c>
      <c r="H40" s="35" t="n">
        <v>477.23</v>
      </c>
      <c r="I40" s="35" t="n">
        <v>1549.67</v>
      </c>
      <c r="J40" s="35" t="n">
        <v>1414.78</v>
      </c>
      <c r="K40" s="35" t="n">
        <v>1644.37</v>
      </c>
      <c r="L40" s="35" t="n">
        <v>1432.79</v>
      </c>
      <c r="M40" s="35" t="n">
        <v>1367.21</v>
      </c>
      <c r="N40" s="36">
        <f>SUM(B40:M40)</f>
        <v/>
      </c>
      <c r="O40" s="37">
        <f>SUMIF('ABA TB'!$R:$R,'ABA P&amp;L'!$A40,'ABA TB'!C:C)</f>
        <v/>
      </c>
      <c r="P40" s="37">
        <f>SUMIF('ABA TB'!$R:$R,'ABA P&amp;L'!$A40,'ABA TB'!D:D)</f>
        <v/>
      </c>
      <c r="Q40" s="37">
        <f>SUMIF('ABA TB'!$R:$R,'ABA P&amp;L'!$A40,'ABA TB'!E:E)</f>
        <v/>
      </c>
      <c r="R40" s="37">
        <f>SUMIF('ABA TB'!$R:$R,'ABA P&amp;L'!$A40,'ABA TB'!F:F)</f>
        <v/>
      </c>
      <c r="S40" s="37">
        <f>SUMIF('ABA TB'!$R:$R,'ABA P&amp;L'!$A40,'ABA TB'!G:G)</f>
        <v/>
      </c>
      <c r="T40" s="37">
        <f>SUMIF('ABA TB'!$R:$R,'ABA P&amp;L'!$A40,'ABA TB'!H:H)</f>
        <v/>
      </c>
      <c r="U40" s="37">
        <f>SUMIF('ABA TB'!$R:$R,'ABA P&amp;L'!$A40,'ABA TB'!I:I)</f>
        <v/>
      </c>
      <c r="V40" s="38" t="n">
        <v>400</v>
      </c>
      <c r="W40" s="38" t="n">
        <v>400</v>
      </c>
      <c r="X40" s="38" t="n">
        <v>400</v>
      </c>
      <c r="Y40" s="38" t="n">
        <v>400</v>
      </c>
      <c r="Z40" s="38" t="n">
        <v>400</v>
      </c>
      <c r="AA40" s="36">
        <f>SUM(O40:U40)</f>
        <v/>
      </c>
      <c r="AB40" s="36">
        <f>SUM(O40:Z40)</f>
        <v/>
      </c>
      <c r="AC40" s="38" t="n">
        <v>400</v>
      </c>
      <c r="AD40" s="38" t="n">
        <v>400</v>
      </c>
      <c r="AE40" s="38" t="n">
        <v>400</v>
      </c>
      <c r="AF40" s="38" t="n">
        <v>400</v>
      </c>
      <c r="AG40" s="38" t="n">
        <v>400</v>
      </c>
      <c r="AH40" s="38" t="n">
        <v>400</v>
      </c>
      <c r="AI40" s="118" t="n">
        <v>400</v>
      </c>
      <c r="AJ40" s="119" t="n">
        <v>400</v>
      </c>
      <c r="AK40" s="119" t="n">
        <v>400</v>
      </c>
      <c r="AL40" s="119" t="n">
        <v>400</v>
      </c>
      <c r="AM40" s="120" t="n">
        <v>400</v>
      </c>
      <c r="AN40" s="118" t="n">
        <v>400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384.51</v>
      </c>
      <c r="C41" s="35" t="n">
        <v>339.51</v>
      </c>
      <c r="D41" s="35" t="n">
        <v>605.71</v>
      </c>
      <c r="E41" s="35" t="n">
        <v>354.44</v>
      </c>
      <c r="F41" s="35" t="n">
        <v>460.6900000000001</v>
      </c>
      <c r="G41" s="35" t="n">
        <v>328.31</v>
      </c>
      <c r="H41" s="35" t="n">
        <v>432.13</v>
      </c>
      <c r="I41" s="35" t="n">
        <v>328.31</v>
      </c>
      <c r="J41" s="35" t="n">
        <v>474.42</v>
      </c>
      <c r="K41" s="35" t="n">
        <v>328.32</v>
      </c>
      <c r="L41" s="35" t="n">
        <v>445.29</v>
      </c>
      <c r="M41" s="35" t="n">
        <v>381.72</v>
      </c>
      <c r="N41" s="36">
        <f>SUM(B41:M41)</f>
        <v/>
      </c>
      <c r="O41" s="37">
        <f>SUMIF('ABA TB'!$R:$R,'ABA P&amp;L'!$A41,'ABA TB'!C:C)</f>
        <v/>
      </c>
      <c r="P41" s="37">
        <f>SUMIF('ABA TB'!$R:$R,'ABA P&amp;L'!$A41,'ABA TB'!D:D)</f>
        <v/>
      </c>
      <c r="Q41" s="37">
        <f>SUMIF('ABA TB'!$R:$R,'ABA P&amp;L'!$A41,'ABA TB'!E:E)</f>
        <v/>
      </c>
      <c r="R41" s="37">
        <f>SUMIF('ABA TB'!$R:$R,'ABA P&amp;L'!$A41,'ABA TB'!F:F)</f>
        <v/>
      </c>
      <c r="S41" s="37">
        <f>SUMIF('ABA TB'!$R:$R,'ABA P&amp;L'!$A41,'ABA TB'!G:G)</f>
        <v/>
      </c>
      <c r="T41" s="37">
        <f>SUMIF('ABA TB'!$R:$R,'ABA P&amp;L'!$A41,'ABA TB'!H:H)</f>
        <v/>
      </c>
      <c r="U41" s="37">
        <f>SUMIF('ABA TB'!$R:$R,'ABA P&amp;L'!$A41,'ABA TB'!I:I)</f>
        <v/>
      </c>
      <c r="V41" s="38" t="n">
        <v>400</v>
      </c>
      <c r="W41" s="38" t="n">
        <v>400</v>
      </c>
      <c r="X41" s="38" t="n">
        <v>400</v>
      </c>
      <c r="Y41" s="38" t="n">
        <v>400</v>
      </c>
      <c r="Z41" s="38" t="n">
        <v>400</v>
      </c>
      <c r="AA41" s="36">
        <f>SUM(O41:U41)</f>
        <v/>
      </c>
      <c r="AB41" s="36">
        <f>SUM(O41:Z41)</f>
        <v/>
      </c>
      <c r="AC41" s="38" t="n">
        <v>400</v>
      </c>
      <c r="AD41" s="38" t="n">
        <v>400</v>
      </c>
      <c r="AE41" s="38" t="n">
        <v>400</v>
      </c>
      <c r="AF41" s="38" t="n">
        <v>400</v>
      </c>
      <c r="AG41" s="38" t="n">
        <v>400</v>
      </c>
      <c r="AH41" s="38" t="n">
        <v>400</v>
      </c>
      <c r="AI41" s="118" t="n">
        <v>400</v>
      </c>
      <c r="AJ41" s="119" t="n">
        <v>400</v>
      </c>
      <c r="AK41" s="119" t="n">
        <v>400</v>
      </c>
      <c r="AL41" s="119" t="n">
        <v>400</v>
      </c>
      <c r="AM41" s="120" t="n">
        <v>400</v>
      </c>
      <c r="AN41" s="118" t="n">
        <v>400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137.34</v>
      </c>
      <c r="C42" s="35" t="n">
        <v>73.97</v>
      </c>
      <c r="D42" s="35" t="n">
        <v>80.18000000000001</v>
      </c>
      <c r="E42" s="35" t="n">
        <v>84.22999999999999</v>
      </c>
      <c r="F42" s="35" t="n">
        <v>71.16</v>
      </c>
      <c r="G42" s="35" t="n">
        <v>66.28</v>
      </c>
      <c r="H42" s="35" t="n">
        <v>105.45</v>
      </c>
      <c r="I42" s="35" t="n">
        <v>71.08</v>
      </c>
      <c r="J42" s="35" t="n">
        <v>92.42</v>
      </c>
      <c r="K42" s="35" t="n">
        <v>81.83</v>
      </c>
      <c r="L42" s="35" t="n">
        <v>67.48999999999999</v>
      </c>
      <c r="M42" s="35" t="n">
        <v>78.18000000000001</v>
      </c>
      <c r="N42" s="36">
        <f>SUM(B42:M42)</f>
        <v/>
      </c>
      <c r="O42" s="37">
        <f>SUMIF('ABA TB'!$R:$R,'ABA P&amp;L'!$A42,'ABA TB'!C:C)</f>
        <v/>
      </c>
      <c r="P42" s="37">
        <f>SUMIF('ABA TB'!$R:$R,'ABA P&amp;L'!$A42,'ABA TB'!D:D)</f>
        <v/>
      </c>
      <c r="Q42" s="37">
        <f>SUMIF('ABA TB'!$R:$R,'ABA P&amp;L'!$A42,'ABA TB'!E:E)</f>
        <v/>
      </c>
      <c r="R42" s="37">
        <f>SUMIF('ABA TB'!$R:$R,'ABA P&amp;L'!$A42,'ABA TB'!F:F)</f>
        <v/>
      </c>
      <c r="S42" s="37">
        <f>SUMIF('ABA TB'!$R:$R,'ABA P&amp;L'!$A42,'ABA TB'!G:G)</f>
        <v/>
      </c>
      <c r="T42" s="37">
        <f>SUMIF('ABA TB'!$R:$R,'ABA P&amp;L'!$A42,'ABA TB'!H:H)</f>
        <v/>
      </c>
      <c r="U42" s="37">
        <f>SUMIF('ABA TB'!$R:$R,'ABA P&amp;L'!$A42,'ABA TB'!I:I)</f>
        <v/>
      </c>
      <c r="V42" s="38" t="n">
        <v>106</v>
      </c>
      <c r="W42" s="38" t="n">
        <v>106</v>
      </c>
      <c r="X42" s="38" t="n">
        <v>106</v>
      </c>
      <c r="Y42" s="38" t="n">
        <v>106</v>
      </c>
      <c r="Z42" s="38" t="n">
        <v>106</v>
      </c>
      <c r="AA42" s="36">
        <f>SUM(O42:U42)</f>
        <v/>
      </c>
      <c r="AB42" s="36">
        <f>SUM(O42:Z42)</f>
        <v/>
      </c>
      <c r="AC42" s="38" t="n">
        <v>106</v>
      </c>
      <c r="AD42" s="38" t="n">
        <v>106</v>
      </c>
      <c r="AE42" s="38" t="n">
        <v>106</v>
      </c>
      <c r="AF42" s="38" t="n">
        <v>106</v>
      </c>
      <c r="AG42" s="38" t="n">
        <v>106</v>
      </c>
      <c r="AH42" s="38" t="n">
        <v>106</v>
      </c>
      <c r="AI42" s="118" t="n">
        <v>106</v>
      </c>
      <c r="AJ42" s="119" t="n">
        <v>106</v>
      </c>
      <c r="AK42" s="119" t="n">
        <v>106</v>
      </c>
      <c r="AL42" s="119" t="n">
        <v>106</v>
      </c>
      <c r="AM42" s="120" t="n">
        <v>106</v>
      </c>
      <c r="AN42" s="118" t="n">
        <v>106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SUMIF('ABA TB'!$R:$R,'ABA P&amp;L'!$A43,'ABA TB'!C:C)</f>
        <v/>
      </c>
      <c r="P43" s="37">
        <f>SUMIF('ABA TB'!$R:$R,'ABA P&amp;L'!$A43,'ABA TB'!D:D)</f>
        <v/>
      </c>
      <c r="Q43" s="37">
        <f>SUMIF('ABA TB'!$R:$R,'ABA P&amp;L'!$A43,'ABA TB'!E:E)</f>
        <v/>
      </c>
      <c r="R43" s="37">
        <f>SUMIF('ABA TB'!$R:$R,'ABA P&amp;L'!$A43,'ABA TB'!F:F)</f>
        <v/>
      </c>
      <c r="S43" s="37">
        <f>SUMIF('ABA TB'!$R:$R,'ABA P&amp;L'!$A43,'ABA TB'!G:G)</f>
        <v/>
      </c>
      <c r="T43" s="37">
        <f>SUMIF('ABA TB'!$R:$R,'ABA P&amp;L'!$A43,'ABA TB'!H:H)</f>
        <v/>
      </c>
      <c r="U43" s="37">
        <f>SUMIF('ABA TB'!$R:$R,'ABA P&amp;L'!$A43,'ABA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8" t="n">
        <v>0</v>
      </c>
      <c r="AJ43" s="119" t="n">
        <v>0</v>
      </c>
      <c r="AK43" s="119" t="n">
        <v>0</v>
      </c>
      <c r="AL43" s="119" t="n">
        <v>0</v>
      </c>
      <c r="AM43" s="120" t="n">
        <v>0</v>
      </c>
      <c r="AN43" s="118" t="n">
        <v>0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SUMIF('ABA TB'!$R:$R,'ABA P&amp;L'!$A44,'ABA TB'!C:C)</f>
        <v/>
      </c>
      <c r="P44" s="37">
        <f>SUMIF('ABA TB'!$R:$R,'ABA P&amp;L'!$A44,'ABA TB'!D:D)</f>
        <v/>
      </c>
      <c r="Q44" s="37">
        <f>SUMIF('ABA TB'!$R:$R,'ABA P&amp;L'!$A44,'ABA TB'!E:E)</f>
        <v/>
      </c>
      <c r="R44" s="37">
        <f>SUMIF('ABA TB'!$R:$R,'ABA P&amp;L'!$A44,'ABA TB'!F:F)</f>
        <v/>
      </c>
      <c r="S44" s="37">
        <f>SUMIF('ABA TB'!$R:$R,'ABA P&amp;L'!$A44,'ABA TB'!G:G)</f>
        <v/>
      </c>
      <c r="T44" s="37">
        <f>SUMIF('ABA TB'!$R:$R,'ABA P&amp;L'!$A44,'ABA TB'!H:H)</f>
        <v/>
      </c>
      <c r="U44" s="37">
        <f>SUMIF('ABA TB'!$R:$R,'ABA P&amp;L'!$A44,'ABA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8" t="n">
        <v>0</v>
      </c>
      <c r="AJ44" s="119" t="n">
        <v>0</v>
      </c>
      <c r="AK44" s="119" t="n">
        <v>0</v>
      </c>
      <c r="AL44" s="119" t="n">
        <v>0</v>
      </c>
      <c r="AM44" s="120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588.8100000000001</v>
      </c>
      <c r="E45" s="35" t="n">
        <v>0</v>
      </c>
      <c r="F45" s="35" t="n">
        <v>0</v>
      </c>
      <c r="G45" s="35" t="n">
        <v>45</v>
      </c>
      <c r="H45" s="35" t="n">
        <v>0</v>
      </c>
      <c r="I45" s="35" t="n">
        <v>45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SUMIF('ABA TB'!$R:$R,'ABA P&amp;L'!$A45,'ABA TB'!C:C)</f>
        <v/>
      </c>
      <c r="P45" s="37">
        <f>SUMIF('ABA TB'!$R:$R,'ABA P&amp;L'!$A45,'ABA TB'!D:D)</f>
        <v/>
      </c>
      <c r="Q45" s="37">
        <f>SUMIF('ABA TB'!$R:$R,'ABA P&amp;L'!$A45,'ABA TB'!E:E)</f>
        <v/>
      </c>
      <c r="R45" s="37">
        <f>SUMIF('ABA TB'!$R:$R,'ABA P&amp;L'!$A45,'ABA TB'!F:F)</f>
        <v/>
      </c>
      <c r="S45" s="37">
        <f>SUMIF('ABA TB'!$R:$R,'ABA P&amp;L'!$A45,'ABA TB'!G:G)</f>
        <v/>
      </c>
      <c r="T45" s="37">
        <f>SUMIF('ABA TB'!$R:$R,'ABA P&amp;L'!$A45,'ABA TB'!H:H)</f>
        <v/>
      </c>
      <c r="U45" s="37">
        <f>SUMIF('ABA TB'!$R:$R,'ABA P&amp;L'!$A45,'ABA TB'!I:I)</f>
        <v/>
      </c>
      <c r="V45" s="38" t="n">
        <v>106</v>
      </c>
      <c r="W45" s="38" t="n">
        <v>106</v>
      </c>
      <c r="X45" s="38" t="n">
        <v>106</v>
      </c>
      <c r="Y45" s="38" t="n">
        <v>106</v>
      </c>
      <c r="Z45" s="38" t="n">
        <v>106</v>
      </c>
      <c r="AA45" s="36">
        <f>SUM(O45:U45)</f>
        <v/>
      </c>
      <c r="AB45" s="36">
        <f>SUM(O45:Z45)</f>
        <v/>
      </c>
      <c r="AC45" s="38" t="n">
        <v>106</v>
      </c>
      <c r="AD45" s="38" t="n">
        <v>106</v>
      </c>
      <c r="AE45" s="38" t="n">
        <v>106</v>
      </c>
      <c r="AF45" s="38" t="n">
        <v>106</v>
      </c>
      <c r="AG45" s="38" t="n">
        <v>106</v>
      </c>
      <c r="AH45" s="38" t="n">
        <v>106</v>
      </c>
      <c r="AI45" s="118" t="n">
        <v>106</v>
      </c>
      <c r="AJ45" s="119" t="n">
        <v>106</v>
      </c>
      <c r="AK45" s="119" t="n">
        <v>106</v>
      </c>
      <c r="AL45" s="119" t="n">
        <v>106</v>
      </c>
      <c r="AM45" s="120" t="n">
        <v>106</v>
      </c>
      <c r="AN45" s="118" t="n">
        <v>106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SUMIF('ABA TB'!$R:$R,'ABA P&amp;L'!$A46,'ABA TB'!C:C)</f>
        <v/>
      </c>
      <c r="P46" s="37">
        <f>SUMIF('ABA TB'!$R:$R,'ABA P&amp;L'!$A46,'ABA TB'!D:D)</f>
        <v/>
      </c>
      <c r="Q46" s="37">
        <f>SUMIF('ABA TB'!$R:$R,'ABA P&amp;L'!$A46,'ABA TB'!E:E)</f>
        <v/>
      </c>
      <c r="R46" s="37">
        <f>SUMIF('ABA TB'!$R:$R,'ABA P&amp;L'!$A46,'ABA TB'!F:F)</f>
        <v/>
      </c>
      <c r="S46" s="37">
        <f>SUMIF('ABA TB'!$R:$R,'ABA P&amp;L'!$A46,'ABA TB'!G:G)</f>
        <v/>
      </c>
      <c r="T46" s="37">
        <f>SUMIF('ABA TB'!$R:$R,'ABA P&amp;L'!$A46,'ABA TB'!H:H)</f>
        <v/>
      </c>
      <c r="U46" s="37">
        <f>SUMIF('ABA TB'!$R:$R,'ABA P&amp;L'!$A46,'ABA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8" t="n">
        <v>0</v>
      </c>
      <c r="AJ46" s="119" t="n">
        <v>0</v>
      </c>
      <c r="AK46" s="119" t="n">
        <v>0</v>
      </c>
      <c r="AL46" s="119" t="n">
        <v>0</v>
      </c>
      <c r="AM46" s="120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4780.1</v>
      </c>
      <c r="C47" s="42" t="n">
        <v>8320.059999999999</v>
      </c>
      <c r="D47" s="42" t="n">
        <v>5517.520000000001</v>
      </c>
      <c r="E47" s="42" t="n">
        <v>4392.789999999999</v>
      </c>
      <c r="F47" s="42" t="n">
        <v>8657.039999999999</v>
      </c>
      <c r="G47" s="42" t="n">
        <v>4962.5</v>
      </c>
      <c r="H47" s="42" t="n">
        <v>3347.37</v>
      </c>
      <c r="I47" s="42" t="n">
        <v>4219.17</v>
      </c>
      <c r="J47" s="42" t="n">
        <v>3093.06</v>
      </c>
      <c r="K47" s="42" t="n">
        <v>7996.509999999999</v>
      </c>
      <c r="L47" s="42" t="n">
        <v>4474.809999999999</v>
      </c>
      <c r="M47" s="42" t="n">
        <v>6126.900000000001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3">
        <f>SUM(AI36:AI46)</f>
        <v/>
      </c>
      <c r="AJ47" s="124">
        <f>SUM(AJ36:AJ46)</f>
        <v/>
      </c>
      <c r="AK47" s="124">
        <f>SUM(AK36:AK46)</f>
        <v/>
      </c>
      <c r="AL47" s="124">
        <f>SUM(AL36:AL46)</f>
        <v/>
      </c>
      <c r="AM47" s="137">
        <f>SUM(AM36:AM46)</f>
        <v/>
      </c>
      <c r="AN47" s="123">
        <f>SUM(AN36:AN46)</f>
        <v/>
      </c>
      <c r="AO47" s="125">
        <f>SUM(AC47:AH47)+SUM(AI47:AN47)</f>
        <v/>
      </c>
      <c r="AP47" s="126">
        <f>IF(AB47&lt;&gt;0,(AO47-AB47)/ABS(AB47),0)</f>
        <v/>
      </c>
    </row>
    <row r="48">
      <c r="A48" s="28" t="inlineStr">
        <is>
          <t>Total Direct Costs</t>
        </is>
      </c>
      <c r="B48" s="29" t="n">
        <v>41531.32</v>
      </c>
      <c r="C48" s="29" t="n">
        <v>46853.56999999999</v>
      </c>
      <c r="D48" s="29" t="n">
        <v>45392.64</v>
      </c>
      <c r="E48" s="29" t="n">
        <v>46843.02999999999</v>
      </c>
      <c r="F48" s="29" t="n">
        <v>53048.95</v>
      </c>
      <c r="G48" s="29" t="n">
        <v>50091.76</v>
      </c>
      <c r="H48" s="29" t="n">
        <v>53413.99</v>
      </c>
      <c r="I48" s="29" t="n">
        <v>47376.62</v>
      </c>
      <c r="J48" s="29" t="n">
        <v>45231.29</v>
      </c>
      <c r="K48" s="29" t="n">
        <v>48751.78</v>
      </c>
      <c r="L48" s="29" t="n">
        <v>45921.57</v>
      </c>
      <c r="M48" s="29" t="n">
        <v>47357.71000000001</v>
      </c>
      <c r="N48" s="36">
        <f>SUM(B48:M48)</f>
        <v/>
      </c>
      <c r="O48" s="31">
        <f t="array" ref="O48">O25+O34+_xlfn.ANCHORARRAY(O47)</f>
        <v/>
      </c>
      <c r="P48" s="31">
        <f t="array" ref="P48">P25+P34+_xlfn.ANCHORARRAY(P47)</f>
        <v/>
      </c>
      <c r="Q48" s="31">
        <f t="array" ref="Q48">Q25+Q34+_xlfn.ANCHORARRAY(Q47)</f>
        <v/>
      </c>
      <c r="R48" s="31">
        <f t="array" ref="R48">R25+R34+_xlfn.ANCHORARRAY(R47)</f>
        <v/>
      </c>
      <c r="S48" s="31">
        <f t="array" ref="S48">S25+S34+_xlfn.ANCHORARRAY(S47)</f>
        <v/>
      </c>
      <c r="T48" s="31">
        <f t="array" ref="T48">T25+T34+_xlfn.ANCHORARRAY(T47)</f>
        <v/>
      </c>
      <c r="U48" s="31">
        <f t="array" ref="U48">U25+U34+_xlfn.ANCHORARRAY(U47)</f>
        <v/>
      </c>
      <c r="V48" s="32">
        <f>V25+V34+V47</f>
        <v/>
      </c>
      <c r="W48" s="32">
        <f>W25+W34+W47</f>
        <v/>
      </c>
      <c r="X48" s="32">
        <f>X25+X34+X47</f>
        <v/>
      </c>
      <c r="Y48" s="32">
        <f>Y25+Y34+Y47</f>
        <v/>
      </c>
      <c r="Z48" s="32">
        <f>Z25+Z34+Z47</f>
        <v/>
      </c>
      <c r="AA48" s="36">
        <f>AA25+AA34+AA47</f>
        <v/>
      </c>
      <c r="AB48" s="36">
        <f>AB25+AB34+AB47</f>
        <v/>
      </c>
      <c r="AC48" s="32">
        <f>AC25+AC34+AC47</f>
        <v/>
      </c>
      <c r="AD48" s="32">
        <f>AD25+AD34+AD47</f>
        <v/>
      </c>
      <c r="AE48" s="32">
        <f>AE25+AE34+AE47</f>
        <v/>
      </c>
      <c r="AF48" s="32">
        <f>AF25+AF34+AF47</f>
        <v/>
      </c>
      <c r="AG48" s="32">
        <f>AG25+AG34+AG47</f>
        <v/>
      </c>
      <c r="AH48" s="32">
        <f>AH25+AH34+AH47</f>
        <v/>
      </c>
      <c r="AI48" s="138">
        <f>AI25+AI34+AI47</f>
        <v/>
      </c>
      <c r="AJ48" s="139">
        <f>AJ25+AJ34+AJ47</f>
        <v/>
      </c>
      <c r="AK48" s="139">
        <f>AK25+AK34+AK47</f>
        <v/>
      </c>
      <c r="AL48" s="139">
        <f>AL25+AL34+AL47</f>
        <v/>
      </c>
      <c r="AM48" s="139">
        <f>AM25+AM34+AM47</f>
        <v/>
      </c>
      <c r="AN48" s="138">
        <f>AN25+AN34+AN47</f>
        <v/>
      </c>
      <c r="AO48" s="121">
        <f>SUM(AC48:AH48)+SUM(AI48:AN48)</f>
        <v/>
      </c>
      <c r="AP48" s="122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15985.21</v>
      </c>
      <c r="C50" s="55" t="n">
        <v>31703.78</v>
      </c>
      <c r="D50" s="55" t="n">
        <v>48064.28</v>
      </c>
      <c r="E50" s="55" t="n">
        <v>24369.91000000001</v>
      </c>
      <c r="F50" s="55" t="n">
        <v>14047.82</v>
      </c>
      <c r="G50" s="55" t="n">
        <v>48990.21</v>
      </c>
      <c r="H50" s="55" t="n">
        <v>56001.01</v>
      </c>
      <c r="I50" s="55" t="n">
        <v>10667.11</v>
      </c>
      <c r="J50" s="55" t="n">
        <v>13968.36</v>
      </c>
      <c r="K50" s="55" t="n">
        <v>33157.77</v>
      </c>
      <c r="L50" s="55" t="n">
        <v>33328.81</v>
      </c>
      <c r="M50" s="55" t="n">
        <v>48708.87999999999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SUM(O50:Z50)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0">
        <f>AI11-AI48</f>
        <v/>
      </c>
      <c r="AJ50" s="140">
        <f>AJ11-AJ48</f>
        <v/>
      </c>
      <c r="AK50" s="140">
        <f>AK11-AK48</f>
        <v/>
      </c>
      <c r="AL50" s="140">
        <f>AL11-AL48</f>
        <v/>
      </c>
      <c r="AM50" s="140">
        <f>AM11-AM48</f>
        <v/>
      </c>
      <c r="AN50" s="140">
        <f>AN11-AN48</f>
        <v/>
      </c>
      <c r="AO50" s="141">
        <f>SUM(AC50:AH50)+SUM(AI50:AN50)</f>
        <v/>
      </c>
      <c r="AP50" s="14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SUMIF('ABA TB'!$R:$R,'ABA P&amp;L'!$A53,'ABA TB'!C:C)</f>
        <v/>
      </c>
      <c r="P53" s="37">
        <f>SUMIF('ABA TB'!$R:$R,'ABA P&amp;L'!$A53,'ABA TB'!D:D)</f>
        <v/>
      </c>
      <c r="Q53" s="37">
        <f>SUMIF('ABA TB'!$R:$R,'ABA P&amp;L'!$A53,'ABA TB'!E:E)</f>
        <v/>
      </c>
      <c r="R53" s="37">
        <f>SUMIF('ABA TB'!$R:$R,'ABA P&amp;L'!$A53,'ABA TB'!F:F)</f>
        <v/>
      </c>
      <c r="S53" s="37">
        <f>SUMIF('ABA TB'!$R:$R,'ABA P&amp;L'!$A53,'ABA TB'!G:G)</f>
        <v/>
      </c>
      <c r="T53" s="37">
        <f>SUMIF('ABA TB'!$R:$R,'ABA P&amp;L'!$A53,'ABA TB'!H:H)</f>
        <v/>
      </c>
      <c r="U53" s="37">
        <f>SUMIF('ABA TB'!$R:$R,'ABA P&amp;L'!$A53,'ABA TB'!I:I)</f>
        <v/>
      </c>
      <c r="V53" s="38" t="n">
        <v>0</v>
      </c>
      <c r="W53" s="38" t="n">
        <v>0</v>
      </c>
      <c r="X53" s="38" t="n">
        <v>0</v>
      </c>
      <c r="Y53" s="38" t="n">
        <v>0</v>
      </c>
      <c r="Z53" s="38" t="n">
        <v>0</v>
      </c>
      <c r="AA53" s="36">
        <f>SUM(O53:U53)</f>
        <v/>
      </c>
      <c r="AB53" s="36">
        <f>SUM(O53:Z53)</f>
        <v/>
      </c>
      <c r="AC53" s="38" t="n">
        <v>0</v>
      </c>
      <c r="AD53" s="38" t="n">
        <v>0</v>
      </c>
      <c r="AE53" s="38" t="n">
        <v>0</v>
      </c>
      <c r="AF53" s="38" t="n">
        <v>0</v>
      </c>
      <c r="AG53" s="38" t="n">
        <v>0</v>
      </c>
      <c r="AH53" s="38" t="n">
        <v>0</v>
      </c>
      <c r="AI53" s="118" t="n">
        <v>0</v>
      </c>
      <c r="AJ53" s="119" t="n">
        <v>0</v>
      </c>
      <c r="AK53" s="119" t="n">
        <v>0</v>
      </c>
      <c r="AL53" s="119" t="n">
        <v>0</v>
      </c>
      <c r="AM53" s="120" t="n">
        <v>0</v>
      </c>
      <c r="AN53" s="118" t="n">
        <v>0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SUMIF('ABA TB'!$R:$R,'ABA P&amp;L'!$A54,'ABA TB'!C:C)</f>
        <v/>
      </c>
      <c r="P54" s="37">
        <f>SUMIF('ABA TB'!$R:$R,'ABA P&amp;L'!$A54,'ABA TB'!D:D)</f>
        <v/>
      </c>
      <c r="Q54" s="37">
        <f>SUMIF('ABA TB'!$R:$R,'ABA P&amp;L'!$A54,'ABA TB'!E:E)</f>
        <v/>
      </c>
      <c r="R54" s="37">
        <f>SUMIF('ABA TB'!$R:$R,'ABA P&amp;L'!$A54,'ABA TB'!F:F)</f>
        <v/>
      </c>
      <c r="S54" s="37">
        <f>SUMIF('ABA TB'!$R:$R,'ABA P&amp;L'!$A54,'ABA TB'!G:G)</f>
        <v/>
      </c>
      <c r="T54" s="37">
        <f>SUMIF('ABA TB'!$R:$R,'ABA P&amp;L'!$A54,'ABA TB'!H:H)</f>
        <v/>
      </c>
      <c r="U54" s="37">
        <f>SUMIF('ABA TB'!$R:$R,'ABA P&amp;L'!$A54,'ABA TB'!I:I)</f>
        <v/>
      </c>
      <c r="V54" s="38" t="n">
        <v>0</v>
      </c>
      <c r="W54" s="38" t="n">
        <v>0</v>
      </c>
      <c r="X54" s="38" t="n">
        <v>0</v>
      </c>
      <c r="Y54" s="38" t="n">
        <v>0</v>
      </c>
      <c r="Z54" s="38" t="n">
        <v>0</v>
      </c>
      <c r="AA54" s="36">
        <f>SUM(O54:U54)</f>
        <v/>
      </c>
      <c r="AB54" s="36">
        <f>SUM(O54:Z54)</f>
        <v/>
      </c>
      <c r="AC54" s="38" t="n">
        <v>0</v>
      </c>
      <c r="AD54" s="38" t="n">
        <v>0</v>
      </c>
      <c r="AE54" s="38" t="n">
        <v>0</v>
      </c>
      <c r="AF54" s="38" t="n">
        <v>0</v>
      </c>
      <c r="AG54" s="38" t="n">
        <v>0</v>
      </c>
      <c r="AH54" s="38" t="n">
        <v>0</v>
      </c>
      <c r="AI54" s="118" t="n">
        <v>0</v>
      </c>
      <c r="AJ54" s="119" t="n">
        <v>0</v>
      </c>
      <c r="AK54" s="119" t="n">
        <v>0</v>
      </c>
      <c r="AL54" s="119" t="n">
        <v>0</v>
      </c>
      <c r="AM54" s="120" t="n">
        <v>0</v>
      </c>
      <c r="AN54" s="118" t="n">
        <v>0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SUMIF('ABA TB'!$R:$R,'ABA P&amp;L'!$A55,'ABA TB'!C:C)</f>
        <v/>
      </c>
      <c r="P55" s="37">
        <f>SUMIF('ABA TB'!$R:$R,'ABA P&amp;L'!$A55,'ABA TB'!D:D)</f>
        <v/>
      </c>
      <c r="Q55" s="37">
        <f>SUMIF('ABA TB'!$R:$R,'ABA P&amp;L'!$A55,'ABA TB'!E:E)</f>
        <v/>
      </c>
      <c r="R55" s="37">
        <f>SUMIF('ABA TB'!$R:$R,'ABA P&amp;L'!$A55,'ABA TB'!F:F)</f>
        <v/>
      </c>
      <c r="S55" s="37">
        <f>SUMIF('ABA TB'!$R:$R,'ABA P&amp;L'!$A55,'ABA TB'!G:G)</f>
        <v/>
      </c>
      <c r="T55" s="37">
        <f>SUMIF('ABA TB'!$R:$R,'ABA P&amp;L'!$A55,'ABA TB'!H:H)</f>
        <v/>
      </c>
      <c r="U55" s="37">
        <f>SUMIF('ABA TB'!$R:$R,'ABA P&amp;L'!$A55,'ABA TB'!I:I)</f>
        <v/>
      </c>
      <c r="V55" s="38" t="n">
        <v>0</v>
      </c>
      <c r="W55" s="38" t="n">
        <v>0</v>
      </c>
      <c r="X55" s="38" t="n">
        <v>0</v>
      </c>
      <c r="Y55" s="38" t="n">
        <v>0</v>
      </c>
      <c r="Z55" s="38" t="n">
        <v>0</v>
      </c>
      <c r="AA55" s="36">
        <f>SUM(O55:U55)</f>
        <v/>
      </c>
      <c r="AB55" s="36">
        <f>SUM(O55:Z55)</f>
        <v/>
      </c>
      <c r="AC55" s="38" t="n">
        <v>0</v>
      </c>
      <c r="AD55" s="38" t="n">
        <v>0</v>
      </c>
      <c r="AE55" s="38" t="n">
        <v>0</v>
      </c>
      <c r="AF55" s="38" t="n">
        <v>0</v>
      </c>
      <c r="AG55" s="38" t="n">
        <v>0</v>
      </c>
      <c r="AH55" s="38" t="n">
        <v>0</v>
      </c>
      <c r="AI55" s="118" t="n">
        <v>0</v>
      </c>
      <c r="AJ55" s="119" t="n">
        <v>0</v>
      </c>
      <c r="AK55" s="119" t="n">
        <v>0</v>
      </c>
      <c r="AL55" s="119" t="n">
        <v>0</v>
      </c>
      <c r="AM55" s="120" t="n">
        <v>0</v>
      </c>
      <c r="AN55" s="118" t="n">
        <v>0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SUMIF('ABA TB'!$R:$R,'ABA P&amp;L'!$A56,'ABA TB'!C:C)</f>
        <v/>
      </c>
      <c r="P56" s="37">
        <f>SUMIF('ABA TB'!$R:$R,'ABA P&amp;L'!$A56,'ABA TB'!D:D)</f>
        <v/>
      </c>
      <c r="Q56" s="37">
        <f>SUMIF('ABA TB'!$R:$R,'ABA P&amp;L'!$A56,'ABA TB'!E:E)</f>
        <v/>
      </c>
      <c r="R56" s="37">
        <f>SUMIF('ABA TB'!$R:$R,'ABA P&amp;L'!$A56,'ABA TB'!F:F)</f>
        <v/>
      </c>
      <c r="S56" s="37">
        <f>SUMIF('ABA TB'!$R:$R,'ABA P&amp;L'!$A56,'ABA TB'!G:G)</f>
        <v/>
      </c>
      <c r="T56" s="37">
        <f>SUMIF('ABA TB'!$R:$R,'ABA P&amp;L'!$A56,'ABA TB'!H:H)</f>
        <v/>
      </c>
      <c r="U56" s="37">
        <f>SUMIF('ABA TB'!$R:$R,'ABA P&amp;L'!$A56,'ABA TB'!I:I)</f>
        <v/>
      </c>
      <c r="V56" s="38" t="n">
        <v>0</v>
      </c>
      <c r="W56" s="38" t="n">
        <v>0</v>
      </c>
      <c r="X56" s="38" t="n">
        <v>0</v>
      </c>
      <c r="Y56" s="38" t="n">
        <v>0</v>
      </c>
      <c r="Z56" s="38" t="n">
        <v>0</v>
      </c>
      <c r="AA56" s="36">
        <f>SUM(O56:U56)</f>
        <v/>
      </c>
      <c r="AB56" s="36">
        <f>SUM(O56:Z56)</f>
        <v/>
      </c>
      <c r="AC56" s="38" t="n">
        <v>0</v>
      </c>
      <c r="AD56" s="38" t="n">
        <v>0</v>
      </c>
      <c r="AE56" s="38" t="n">
        <v>0</v>
      </c>
      <c r="AF56" s="38" t="n">
        <v>0</v>
      </c>
      <c r="AG56" s="38" t="n">
        <v>0</v>
      </c>
      <c r="AH56" s="38" t="n">
        <v>0</v>
      </c>
      <c r="AI56" s="118" t="n">
        <v>0</v>
      </c>
      <c r="AJ56" s="119" t="n">
        <v>0</v>
      </c>
      <c r="AK56" s="119" t="n">
        <v>0</v>
      </c>
      <c r="AL56" s="119" t="n">
        <v>0</v>
      </c>
      <c r="AM56" s="120" t="n">
        <v>0</v>
      </c>
      <c r="AN56" s="118" t="n">
        <v>0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80</v>
      </c>
      <c r="M57" s="35" t="n">
        <v>321.43</v>
      </c>
      <c r="N57" s="36">
        <f>SUM(B57:M57)</f>
        <v/>
      </c>
      <c r="O57" s="37">
        <f>SUMIF('ABA TB'!$R:$R,'ABA P&amp;L'!$A57,'ABA TB'!C:C)</f>
        <v/>
      </c>
      <c r="P57" s="37">
        <f>SUMIF('ABA TB'!$R:$R,'ABA P&amp;L'!$A57,'ABA TB'!D:D)</f>
        <v/>
      </c>
      <c r="Q57" s="37">
        <f>SUMIF('ABA TB'!$R:$R,'ABA P&amp;L'!$A57,'ABA TB'!E:E)</f>
        <v/>
      </c>
      <c r="R57" s="37">
        <f>SUMIF('ABA TB'!$R:$R,'ABA P&amp;L'!$A57,'ABA TB'!F:F)</f>
        <v/>
      </c>
      <c r="S57" s="37">
        <f>SUMIF('ABA TB'!$R:$R,'ABA P&amp;L'!$A57,'ABA TB'!G:G)</f>
        <v/>
      </c>
      <c r="T57" s="37">
        <f>SUMIF('ABA TB'!$R:$R,'ABA P&amp;L'!$A57,'ABA TB'!H:H)</f>
        <v/>
      </c>
      <c r="U57" s="37">
        <f>SUMIF('ABA TB'!$R:$R,'ABA P&amp;L'!$A57,'ABA TB'!I:I)</f>
        <v/>
      </c>
      <c r="V57" s="38" t="n">
        <v>0</v>
      </c>
      <c r="W57" s="38" t="n">
        <v>0</v>
      </c>
      <c r="X57" s="38" t="n">
        <v>0</v>
      </c>
      <c r="Y57" s="38" t="n">
        <v>0</v>
      </c>
      <c r="Z57" s="38">
        <f>19*30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18" t="n">
        <v>0</v>
      </c>
      <c r="AJ57" s="119" t="n">
        <v>0</v>
      </c>
      <c r="AK57" s="119" t="n">
        <v>0</v>
      </c>
      <c r="AL57" s="119" t="n">
        <v>0</v>
      </c>
      <c r="AM57" s="120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SUMIF('ABA TB'!$R:$R,'ABA P&amp;L'!$A58,'ABA TB'!C:C)</f>
        <v/>
      </c>
      <c r="P58" s="37">
        <f>SUMIF('ABA TB'!$R:$R,'ABA P&amp;L'!$A58,'ABA TB'!D:D)</f>
        <v/>
      </c>
      <c r="Q58" s="37">
        <f>SUMIF('ABA TB'!$R:$R,'ABA P&amp;L'!$A58,'ABA TB'!E:E)</f>
        <v/>
      </c>
      <c r="R58" s="37">
        <f>SUMIF('ABA TB'!$R:$R,'ABA P&amp;L'!$A58,'ABA TB'!F:F)</f>
        <v/>
      </c>
      <c r="S58" s="37">
        <f>SUMIF('ABA TB'!$R:$R,'ABA P&amp;L'!$A58,'ABA TB'!G:G)</f>
        <v/>
      </c>
      <c r="T58" s="37">
        <f>SUMIF('ABA TB'!$R:$R,'ABA P&amp;L'!$A58,'ABA TB'!H:H)</f>
        <v/>
      </c>
      <c r="U58" s="37">
        <f>SUMIF('ABA TB'!$R:$R,'ABA P&amp;L'!$A58,'ABA TB'!I:I)</f>
        <v/>
      </c>
      <c r="V58" s="38" t="n">
        <v>0</v>
      </c>
      <c r="W58" s="38" t="n">
        <v>0</v>
      </c>
      <c r="X58" s="38" t="n">
        <v>0</v>
      </c>
      <c r="Y58" s="38" t="n">
        <v>0</v>
      </c>
      <c r="Z58" s="38" t="n">
        <v>0</v>
      </c>
      <c r="AA58" s="36">
        <f>SUM(O58:U58)</f>
        <v/>
      </c>
      <c r="AB58" s="36">
        <f>SUM(O58:Z58)</f>
        <v/>
      </c>
      <c r="AC58" s="38" t="n">
        <v>0</v>
      </c>
      <c r="AD58" s="38" t="n">
        <v>0</v>
      </c>
      <c r="AE58" s="38" t="n">
        <v>0</v>
      </c>
      <c r="AF58" s="38" t="n">
        <v>0</v>
      </c>
      <c r="AG58" s="38" t="n">
        <v>0</v>
      </c>
      <c r="AH58" s="38" t="n">
        <v>0</v>
      </c>
      <c r="AI58" s="118" t="n">
        <v>0</v>
      </c>
      <c r="AJ58" s="119" t="n">
        <v>0</v>
      </c>
      <c r="AK58" s="119" t="n">
        <v>0</v>
      </c>
      <c r="AL58" s="119" t="n">
        <v>0</v>
      </c>
      <c r="AM58" s="120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SUMIF('ABA TB'!$R:$R,'ABA P&amp;L'!$A59,'ABA TB'!C:C)</f>
        <v/>
      </c>
      <c r="P59" s="37">
        <f>SUMIF('ABA TB'!$R:$R,'ABA P&amp;L'!$A59,'ABA TB'!D:D)</f>
        <v/>
      </c>
      <c r="Q59" s="37">
        <f>SUMIF('ABA TB'!$R:$R,'ABA P&amp;L'!$A59,'ABA TB'!E:E)</f>
        <v/>
      </c>
      <c r="R59" s="37">
        <f>SUMIF('ABA TB'!$R:$R,'ABA P&amp;L'!$A59,'ABA TB'!F:F)</f>
        <v/>
      </c>
      <c r="S59" s="37">
        <f>SUMIF('ABA TB'!$R:$R,'ABA P&amp;L'!$A59,'ABA TB'!G:G)</f>
        <v/>
      </c>
      <c r="T59" s="37">
        <f>SUMIF('ABA TB'!$R:$R,'ABA P&amp;L'!$A59,'ABA TB'!H:H)</f>
        <v/>
      </c>
      <c r="U59" s="37">
        <f>SUMIF('ABA TB'!$R:$R,'ABA P&amp;L'!$A59,'ABA TB'!I:I)</f>
        <v/>
      </c>
      <c r="V59" s="38">
        <f>215*1.06</f>
        <v/>
      </c>
      <c r="W59" s="38">
        <f>215*1.06</f>
        <v/>
      </c>
      <c r="X59" s="38">
        <f>215*1.06</f>
        <v/>
      </c>
      <c r="Y59" s="38">
        <f>215*1.06</f>
        <v/>
      </c>
      <c r="Z59" s="38">
        <f>215*1.06</f>
        <v/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18" t="n">
        <v>0</v>
      </c>
      <c r="AJ59" s="119" t="n">
        <v>0</v>
      </c>
      <c r="AK59" s="119" t="n">
        <v>0</v>
      </c>
      <c r="AL59" s="119" t="n">
        <v>0</v>
      </c>
      <c r="AM59" s="120" t="n">
        <v>0</v>
      </c>
      <c r="AN59" s="118" t="n">
        <v>0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6</v>
      </c>
      <c r="C60" s="35" t="n">
        <v>6.6</v>
      </c>
      <c r="D60" s="35" t="n">
        <v>6.6</v>
      </c>
      <c r="E60" s="35" t="n">
        <v>7.2</v>
      </c>
      <c r="F60" s="35" t="n">
        <v>7.199999999999999</v>
      </c>
      <c r="G60" s="35" t="n">
        <v>6.6</v>
      </c>
      <c r="H60" s="35" t="n">
        <v>7.8</v>
      </c>
      <c r="I60" s="35" t="n">
        <v>6</v>
      </c>
      <c r="J60" s="35" t="n">
        <v>5.4</v>
      </c>
      <c r="K60" s="35" t="n">
        <v>70.59999999999999</v>
      </c>
      <c r="L60" s="35" t="n">
        <v>3.6</v>
      </c>
      <c r="M60" s="35" t="n">
        <v>3</v>
      </c>
      <c r="N60" s="36">
        <f>SUM(B60:M60)</f>
        <v/>
      </c>
      <c r="O60" s="37">
        <f>SUMIF('ABA TB'!$R:$R,'ABA P&amp;L'!$A60,'ABA TB'!C:C)</f>
        <v/>
      </c>
      <c r="P60" s="37">
        <f>SUMIF('ABA TB'!$R:$R,'ABA P&amp;L'!$A60,'ABA TB'!D:D)</f>
        <v/>
      </c>
      <c r="Q60" s="37">
        <f>SUMIF('ABA TB'!$R:$R,'ABA P&amp;L'!$A60,'ABA TB'!E:E)</f>
        <v/>
      </c>
      <c r="R60" s="37">
        <f>SUMIF('ABA TB'!$R:$R,'ABA P&amp;L'!$A60,'ABA TB'!F:F)</f>
        <v/>
      </c>
      <c r="S60" s="37">
        <f>SUMIF('ABA TB'!$R:$R,'ABA P&amp;L'!$A60,'ABA TB'!G:G)</f>
        <v/>
      </c>
      <c r="T60" s="37">
        <f>SUMIF('ABA TB'!$R:$R,'ABA P&amp;L'!$A60,'ABA TB'!H:H)</f>
        <v/>
      </c>
      <c r="U60" s="37">
        <f>SUMIF('ABA TB'!$R:$R,'ABA P&amp;L'!$A60,'ABA TB'!I:I)</f>
        <v/>
      </c>
      <c r="V60" s="38" t="n">
        <v>5</v>
      </c>
      <c r="W60" s="38" t="n">
        <v>5</v>
      </c>
      <c r="X60" s="38" t="n">
        <v>5</v>
      </c>
      <c r="Y60" s="38" t="n">
        <v>5</v>
      </c>
      <c r="Z60" s="38" t="n">
        <v>5</v>
      </c>
      <c r="AA60" s="36">
        <f>SUM(O60:U60)</f>
        <v/>
      </c>
      <c r="AB60" s="36">
        <f>SUM(O60:Z60)</f>
        <v/>
      </c>
      <c r="AC60" s="38" t="n">
        <v>5</v>
      </c>
      <c r="AD60" s="38" t="n">
        <v>5</v>
      </c>
      <c r="AE60" s="38" t="n">
        <v>5</v>
      </c>
      <c r="AF60" s="38" t="n">
        <v>5</v>
      </c>
      <c r="AG60" s="38" t="n">
        <v>5</v>
      </c>
      <c r="AH60" s="38" t="n">
        <v>5</v>
      </c>
      <c r="AI60" s="118" t="n">
        <v>5</v>
      </c>
      <c r="AJ60" s="119" t="n">
        <v>5</v>
      </c>
      <c r="AK60" s="119" t="n">
        <v>5</v>
      </c>
      <c r="AL60" s="119" t="n">
        <v>5</v>
      </c>
      <c r="AM60" s="120" t="n">
        <v>5</v>
      </c>
      <c r="AN60" s="118" t="n">
        <v>5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22.04</v>
      </c>
      <c r="E61" s="35" t="n">
        <v>21.36</v>
      </c>
      <c r="F61" s="35" t="n">
        <v>39.06</v>
      </c>
      <c r="G61" s="35" t="n">
        <v>6.99</v>
      </c>
      <c r="H61" s="35" t="n">
        <v>0</v>
      </c>
      <c r="I61" s="35" t="n">
        <v>0</v>
      </c>
      <c r="J61" s="35" t="n">
        <v>0</v>
      </c>
      <c r="K61" s="35" t="n">
        <v>52.6</v>
      </c>
      <c r="L61" s="35" t="n">
        <v>54.23</v>
      </c>
      <c r="M61" s="35" t="n">
        <v>0</v>
      </c>
      <c r="N61" s="36">
        <f>SUM(B61:M61)</f>
        <v/>
      </c>
      <c r="O61" s="37">
        <f>SUMIF('ABA TB'!$R:$R,'ABA P&amp;L'!$A61,'ABA TB'!C:C)</f>
        <v/>
      </c>
      <c r="P61" s="37">
        <f>SUMIF('ABA TB'!$R:$R,'ABA P&amp;L'!$A61,'ABA TB'!D:D)</f>
        <v/>
      </c>
      <c r="Q61" s="37">
        <f>SUMIF('ABA TB'!$R:$R,'ABA P&amp;L'!$A61,'ABA TB'!E:E)</f>
        <v/>
      </c>
      <c r="R61" s="37">
        <f>SUMIF('ABA TB'!$R:$R,'ABA P&amp;L'!$A61,'ABA TB'!F:F)</f>
        <v/>
      </c>
      <c r="S61" s="37">
        <f>SUMIF('ABA TB'!$R:$R,'ABA P&amp;L'!$A61,'ABA TB'!G:G)</f>
        <v/>
      </c>
      <c r="T61" s="37">
        <f>SUMIF('ABA TB'!$R:$R,'ABA P&amp;L'!$A61,'ABA TB'!H:H)</f>
        <v/>
      </c>
      <c r="U61" s="37">
        <f>SUMIF('ABA TB'!$R:$R,'ABA P&amp;L'!$A61,'ABA TB'!I:I)</f>
        <v/>
      </c>
      <c r="V61" s="38" t="n">
        <v>0</v>
      </c>
      <c r="W61" s="38" t="n">
        <v>0</v>
      </c>
      <c r="X61" s="38" t="n">
        <v>0</v>
      </c>
      <c r="Y61" s="38" t="n">
        <v>0</v>
      </c>
      <c r="Z61" s="38" t="n">
        <v>0</v>
      </c>
      <c r="AA61" s="36">
        <f>SUM(O61:U61)</f>
        <v/>
      </c>
      <c r="AB61" s="36">
        <f>SUM(O61:Z61)</f>
        <v/>
      </c>
      <c r="AC61" s="38" t="n">
        <v>0</v>
      </c>
      <c r="AD61" s="38" t="n">
        <v>0</v>
      </c>
      <c r="AE61" s="38" t="n">
        <v>0</v>
      </c>
      <c r="AF61" s="38" t="n">
        <v>0</v>
      </c>
      <c r="AG61" s="38" t="n">
        <v>0</v>
      </c>
      <c r="AH61" s="38" t="n">
        <v>0</v>
      </c>
      <c r="AI61" s="118" t="n">
        <v>0</v>
      </c>
      <c r="AJ61" s="119" t="n">
        <v>0</v>
      </c>
      <c r="AK61" s="119" t="n">
        <v>0</v>
      </c>
      <c r="AL61" s="119" t="n">
        <v>0</v>
      </c>
      <c r="AM61" s="120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1.5</v>
      </c>
      <c r="D62" s="35" t="n">
        <v>67</v>
      </c>
      <c r="E62" s="35" t="n">
        <v>107</v>
      </c>
      <c r="F62" s="35" t="n">
        <v>58</v>
      </c>
      <c r="G62" s="35" t="n">
        <v>35.6</v>
      </c>
      <c r="H62" s="35" t="n">
        <v>0</v>
      </c>
      <c r="I62" s="35" t="n">
        <v>60</v>
      </c>
      <c r="J62" s="35" t="n">
        <v>0</v>
      </c>
      <c r="K62" s="35" t="n">
        <v>0</v>
      </c>
      <c r="L62" s="35" t="n">
        <v>11.2</v>
      </c>
      <c r="M62" s="35" t="n">
        <v>3.4</v>
      </c>
      <c r="N62" s="36">
        <f>SUM(B62:M62)</f>
        <v/>
      </c>
      <c r="O62" s="37">
        <f>SUMIF('ABA TB'!$R:$R,'ABA P&amp;L'!$A62,'ABA TB'!C:C)</f>
        <v/>
      </c>
      <c r="P62" s="37">
        <f>SUMIF('ABA TB'!$R:$R,'ABA P&amp;L'!$A62,'ABA TB'!D:D)</f>
        <v/>
      </c>
      <c r="Q62" s="37">
        <f>SUMIF('ABA TB'!$R:$R,'ABA P&amp;L'!$A62,'ABA TB'!E:E)</f>
        <v/>
      </c>
      <c r="R62" s="37">
        <f>SUMIF('ABA TB'!$R:$R,'ABA P&amp;L'!$A62,'ABA TB'!F:F)</f>
        <v/>
      </c>
      <c r="S62" s="37">
        <f>SUMIF('ABA TB'!$R:$R,'ABA P&amp;L'!$A62,'ABA TB'!G:G)</f>
        <v/>
      </c>
      <c r="T62" s="37">
        <f>SUMIF('ABA TB'!$R:$R,'ABA P&amp;L'!$A62,'ABA TB'!H:H)</f>
        <v/>
      </c>
      <c r="U62" s="37">
        <f>SUMIF('ABA TB'!$R:$R,'ABA P&amp;L'!$A62,'ABA TB'!I:I)</f>
        <v/>
      </c>
      <c r="V62" s="38" t="n">
        <v>0</v>
      </c>
      <c r="W62" s="38" t="n">
        <v>0</v>
      </c>
      <c r="X62" s="38" t="n">
        <v>0</v>
      </c>
      <c r="Y62" s="38" t="n">
        <v>0</v>
      </c>
      <c r="Z62" s="38" t="n">
        <v>0</v>
      </c>
      <c r="AA62" s="36">
        <f>SUM(O62:U62)</f>
        <v/>
      </c>
      <c r="AB62" s="36">
        <f>SUM(O62:Z62)</f>
        <v/>
      </c>
      <c r="AC62" s="38" t="n">
        <v>0</v>
      </c>
      <c r="AD62" s="38" t="n">
        <v>0</v>
      </c>
      <c r="AE62" s="38" t="n">
        <v>0</v>
      </c>
      <c r="AF62" s="38" t="n">
        <v>0</v>
      </c>
      <c r="AG62" s="38" t="n">
        <v>0</v>
      </c>
      <c r="AH62" s="38" t="n">
        <v>0</v>
      </c>
      <c r="AI62" s="118" t="n">
        <v>0</v>
      </c>
      <c r="AJ62" s="119" t="n">
        <v>0</v>
      </c>
      <c r="AK62" s="119" t="n">
        <v>0</v>
      </c>
      <c r="AL62" s="119" t="n">
        <v>0</v>
      </c>
      <c r="AM62" s="120" t="n">
        <v>0</v>
      </c>
      <c r="AN62" s="118" t="n">
        <v>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SUMIF('ABA TB'!$R:$R,'ABA P&amp;L'!$A63,'ABA TB'!C:C)</f>
        <v/>
      </c>
      <c r="P63" s="37">
        <f>SUMIF('ABA TB'!$R:$R,'ABA P&amp;L'!$A63,'ABA TB'!D:D)</f>
        <v/>
      </c>
      <c r="Q63" s="37">
        <f>SUMIF('ABA TB'!$R:$R,'ABA P&amp;L'!$A63,'ABA TB'!E:E)</f>
        <v/>
      </c>
      <c r="R63" s="37">
        <f>SUMIF('ABA TB'!$R:$R,'ABA P&amp;L'!$A63,'ABA TB'!F:F)</f>
        <v/>
      </c>
      <c r="S63" s="37">
        <f>SUMIF('ABA TB'!$R:$R,'ABA P&amp;L'!$A63,'ABA TB'!G:G)</f>
        <v/>
      </c>
      <c r="T63" s="37">
        <f>SUMIF('ABA TB'!$R:$R,'ABA P&amp;L'!$A63,'ABA TB'!H:H)</f>
        <v/>
      </c>
      <c r="U63" s="37">
        <f>SUMIF('ABA TB'!$R:$R,'ABA P&amp;L'!$A63,'ABA TB'!I:I)</f>
        <v/>
      </c>
      <c r="V63" s="38" t="n">
        <v>0</v>
      </c>
      <c r="W63" s="38" t="n">
        <v>0</v>
      </c>
      <c r="X63" s="38" t="n">
        <v>0</v>
      </c>
      <c r="Y63" s="38" t="n">
        <v>0</v>
      </c>
      <c r="Z63" s="38" t="n">
        <v>0</v>
      </c>
      <c r="AA63" s="36">
        <f>SUM(O63:U63)</f>
        <v/>
      </c>
      <c r="AB63" s="36">
        <f>SUM(O63:Z63)</f>
        <v/>
      </c>
      <c r="AC63" s="38" t="n">
        <v>0</v>
      </c>
      <c r="AD63" s="38" t="n">
        <v>0</v>
      </c>
      <c r="AE63" s="38" t="n">
        <v>0</v>
      </c>
      <c r="AF63" s="38" t="n">
        <v>0</v>
      </c>
      <c r="AG63" s="38" t="n">
        <v>0</v>
      </c>
      <c r="AH63" s="38" t="n">
        <v>0</v>
      </c>
      <c r="AI63" s="118" t="n">
        <v>0</v>
      </c>
      <c r="AJ63" s="119" t="n">
        <v>0</v>
      </c>
      <c r="AK63" s="119" t="n">
        <v>0</v>
      </c>
      <c r="AL63" s="119" t="n">
        <v>0</v>
      </c>
      <c r="AM63" s="120" t="n">
        <v>0</v>
      </c>
      <c r="AN63" s="118" t="n">
        <v>0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SUMIF('ABA TB'!$R:$R,'ABA P&amp;L'!$A64,'ABA TB'!C:C)</f>
        <v/>
      </c>
      <c r="P64" s="37">
        <f>SUMIF('ABA TB'!$R:$R,'ABA P&amp;L'!$A64,'ABA TB'!D:D)</f>
        <v/>
      </c>
      <c r="Q64" s="37">
        <f>SUMIF('ABA TB'!$R:$R,'ABA P&amp;L'!$A64,'ABA TB'!E:E)</f>
        <v/>
      </c>
      <c r="R64" s="37">
        <f>SUMIF('ABA TB'!$R:$R,'ABA P&amp;L'!$A64,'ABA TB'!F:F)</f>
        <v/>
      </c>
      <c r="S64" s="37">
        <f>SUMIF('ABA TB'!$R:$R,'ABA P&amp;L'!$A64,'ABA TB'!G:G)</f>
        <v/>
      </c>
      <c r="T64" s="37">
        <f>SUMIF('ABA TB'!$R:$R,'ABA P&amp;L'!$A64,'ABA TB'!H:H)</f>
        <v/>
      </c>
      <c r="U64" s="37">
        <f>SUMIF('ABA TB'!$R:$R,'ABA P&amp;L'!$A64,'ABA TB'!I:I)</f>
        <v/>
      </c>
      <c r="V64" s="38" t="n">
        <v>0</v>
      </c>
      <c r="W64" s="38" t="n">
        <v>0</v>
      </c>
      <c r="X64" s="38" t="n">
        <v>0</v>
      </c>
      <c r="Y64" s="38" t="n">
        <v>0</v>
      </c>
      <c r="Z64" s="38" t="n">
        <v>0</v>
      </c>
      <c r="AA64" s="36">
        <f>SUM(O64:U64)</f>
        <v/>
      </c>
      <c r="AB64" s="36">
        <f>SUM(O64:Z64)</f>
        <v/>
      </c>
      <c r="AC64" s="38" t="n">
        <v>0</v>
      </c>
      <c r="AD64" s="38" t="n">
        <v>0</v>
      </c>
      <c r="AE64" s="38" t="n">
        <v>0</v>
      </c>
      <c r="AF64" s="38" t="n">
        <v>0</v>
      </c>
      <c r="AG64" s="38" t="n">
        <v>0</v>
      </c>
      <c r="AH64" s="38" t="n">
        <v>0</v>
      </c>
      <c r="AI64" s="118" t="n">
        <v>0</v>
      </c>
      <c r="AJ64" s="119" t="n">
        <v>0</v>
      </c>
      <c r="AK64" s="119" t="n">
        <v>0</v>
      </c>
      <c r="AL64" s="119" t="n">
        <v>0</v>
      </c>
      <c r="AM64" s="120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SUMIF('ABA TB'!$R:$R,'ABA P&amp;L'!$A65,'ABA TB'!C:C)</f>
        <v/>
      </c>
      <c r="P65" s="37">
        <f>SUMIF('ABA TB'!$R:$R,'ABA P&amp;L'!$A65,'ABA TB'!D:D)</f>
        <v/>
      </c>
      <c r="Q65" s="37">
        <f>SUMIF('ABA TB'!$R:$R,'ABA P&amp;L'!$A65,'ABA TB'!E:E)</f>
        <v/>
      </c>
      <c r="R65" s="37">
        <f>SUMIF('ABA TB'!$R:$R,'ABA P&amp;L'!$A65,'ABA TB'!F:F)</f>
        <v/>
      </c>
      <c r="S65" s="37">
        <f>SUMIF('ABA TB'!$R:$R,'ABA P&amp;L'!$A65,'ABA TB'!G:G)</f>
        <v/>
      </c>
      <c r="T65" s="37">
        <f>SUMIF('ABA TB'!$R:$R,'ABA P&amp;L'!$A65,'ABA TB'!H:H)</f>
        <v/>
      </c>
      <c r="U65" s="37">
        <f>SUMIF('ABA TB'!$R:$R,'ABA P&amp;L'!$A65,'ABA TB'!I:I)</f>
        <v/>
      </c>
      <c r="V65" s="38" t="n">
        <v>0</v>
      </c>
      <c r="W65" s="38" t="n">
        <v>0</v>
      </c>
      <c r="X65" s="38" t="n">
        <v>0</v>
      </c>
      <c r="Y65" s="38" t="n">
        <v>0</v>
      </c>
      <c r="Z65" s="38" t="n">
        <v>0</v>
      </c>
      <c r="AA65" s="36">
        <f>SUM(O65:U65)</f>
        <v/>
      </c>
      <c r="AB65" s="36">
        <f>SUM(O65:Z65)</f>
        <v/>
      </c>
      <c r="AC65" s="38" t="n">
        <v>0</v>
      </c>
      <c r="AD65" s="38" t="n">
        <v>0</v>
      </c>
      <c r="AE65" s="38" t="n">
        <v>0</v>
      </c>
      <c r="AF65" s="38" t="n">
        <v>0</v>
      </c>
      <c r="AG65" s="38" t="n">
        <v>0</v>
      </c>
      <c r="AH65" s="38" t="n">
        <v>0</v>
      </c>
      <c r="AI65" s="118" t="n">
        <v>0</v>
      </c>
      <c r="AJ65" s="119" t="n">
        <v>0</v>
      </c>
      <c r="AK65" s="119" t="n">
        <v>0</v>
      </c>
      <c r="AL65" s="119" t="n">
        <v>0</v>
      </c>
      <c r="AM65" s="120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SUMIF('ABA TB'!$R:$R,'ABA P&amp;L'!$A66,'ABA TB'!C:C)</f>
        <v/>
      </c>
      <c r="P66" s="37">
        <f>SUMIF('ABA TB'!$R:$R,'ABA P&amp;L'!$A66,'ABA TB'!D:D)</f>
        <v/>
      </c>
      <c r="Q66" s="37">
        <f>SUMIF('ABA TB'!$R:$R,'ABA P&amp;L'!$A66,'ABA TB'!E:E)</f>
        <v/>
      </c>
      <c r="R66" s="37">
        <f>SUMIF('ABA TB'!$R:$R,'ABA P&amp;L'!$A66,'ABA TB'!F:F)</f>
        <v/>
      </c>
      <c r="S66" s="37">
        <f>SUMIF('ABA TB'!$R:$R,'ABA P&amp;L'!$A66,'ABA TB'!G:G)</f>
        <v/>
      </c>
      <c r="T66" s="37">
        <f>SUMIF('ABA TB'!$R:$R,'ABA P&amp;L'!$A66,'ABA TB'!H:H)</f>
        <v/>
      </c>
      <c r="U66" s="37">
        <f>SUMIF('ABA TB'!$R:$R,'ABA P&amp;L'!$A66,'ABA TB'!I:I)</f>
        <v/>
      </c>
      <c r="V66" s="38" t="n">
        <v>0</v>
      </c>
      <c r="W66" s="38" t="n">
        <v>0</v>
      </c>
      <c r="X66" s="38" t="n">
        <v>0</v>
      </c>
      <c r="Y66" s="38" t="n">
        <v>0</v>
      </c>
      <c r="Z66" s="38" t="n">
        <v>0</v>
      </c>
      <c r="AA66" s="36">
        <f>SUM(O66:U66)</f>
        <v/>
      </c>
      <c r="AB66" s="36">
        <f>SUM(O66:Z66)</f>
        <v/>
      </c>
      <c r="AC66" s="38" t="n">
        <v>0</v>
      </c>
      <c r="AD66" s="38" t="n">
        <v>0</v>
      </c>
      <c r="AE66" s="38" t="n">
        <v>0</v>
      </c>
      <c r="AF66" s="38" t="n">
        <v>0</v>
      </c>
      <c r="AG66" s="38" t="n">
        <v>0</v>
      </c>
      <c r="AH66" s="38" t="n">
        <v>0</v>
      </c>
      <c r="AI66" s="118" t="n">
        <v>0</v>
      </c>
      <c r="AJ66" s="119" t="n">
        <v>0</v>
      </c>
      <c r="AK66" s="119" t="n">
        <v>0</v>
      </c>
      <c r="AL66" s="119" t="n">
        <v>0</v>
      </c>
      <c r="AM66" s="120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220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SUMIF('ABA TB'!$R:$R,'ABA P&amp;L'!$A67,'ABA TB'!C:C)</f>
        <v/>
      </c>
      <c r="P67" s="37">
        <f>SUMIF('ABA TB'!$R:$R,'ABA P&amp;L'!$A67,'ABA TB'!D:D)</f>
        <v/>
      </c>
      <c r="Q67" s="37">
        <f>SUMIF('ABA TB'!$R:$R,'ABA P&amp;L'!$A67,'ABA TB'!E:E)</f>
        <v/>
      </c>
      <c r="R67" s="37">
        <f>SUMIF('ABA TB'!$R:$R,'ABA P&amp;L'!$A67,'ABA TB'!F:F)</f>
        <v/>
      </c>
      <c r="S67" s="37">
        <f>SUMIF('ABA TB'!$R:$R,'ABA P&amp;L'!$A67,'ABA TB'!G:G)</f>
        <v/>
      </c>
      <c r="T67" s="37">
        <f>SUMIF('ABA TB'!$R:$R,'ABA P&amp;L'!$A67,'ABA TB'!H:H)</f>
        <v/>
      </c>
      <c r="U67" s="37">
        <f>SUMIF('ABA TB'!$R:$R,'ABA P&amp;L'!$A67,'ABA TB'!I:I)</f>
        <v/>
      </c>
      <c r="V67" s="38" t="n">
        <v>0</v>
      </c>
      <c r="W67" s="38" t="n">
        <v>0</v>
      </c>
      <c r="X67" s="38" t="n">
        <v>0</v>
      </c>
      <c r="Y67" s="38" t="n">
        <v>0</v>
      </c>
      <c r="Z67" s="38" t="n">
        <v>0</v>
      </c>
      <c r="AA67" s="36">
        <f>SUM(O67:U67)</f>
        <v/>
      </c>
      <c r="AB67" s="36">
        <f>SUM(O67:Z67)</f>
        <v/>
      </c>
      <c r="AC67" s="38" t="n">
        <v>0</v>
      </c>
      <c r="AD67" s="38" t="n">
        <v>0</v>
      </c>
      <c r="AE67" s="38" t="n">
        <v>0</v>
      </c>
      <c r="AF67" s="38" t="n">
        <v>0</v>
      </c>
      <c r="AG67" s="38" t="n">
        <v>0</v>
      </c>
      <c r="AH67" s="38" t="n">
        <v>0</v>
      </c>
      <c r="AI67" s="118" t="n">
        <v>0</v>
      </c>
      <c r="AJ67" s="119" t="n">
        <v>0</v>
      </c>
      <c r="AK67" s="119" t="n">
        <v>0</v>
      </c>
      <c r="AL67" s="119" t="n">
        <v>0</v>
      </c>
      <c r="AM67" s="120" t="n">
        <v>0</v>
      </c>
      <c r="AN67" s="118" t="n">
        <v>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SUMIF('ABA TB'!$R:$R,'ABA P&amp;L'!$A68,'ABA TB'!C:C)</f>
        <v/>
      </c>
      <c r="P68" s="37">
        <f>SUMIF('ABA TB'!$R:$R,'ABA P&amp;L'!$A68,'ABA TB'!D:D)</f>
        <v/>
      </c>
      <c r="Q68" s="37">
        <f>SUMIF('ABA TB'!$R:$R,'ABA P&amp;L'!$A68,'ABA TB'!E:E)</f>
        <v/>
      </c>
      <c r="R68" s="37">
        <f>SUMIF('ABA TB'!$R:$R,'ABA P&amp;L'!$A68,'ABA TB'!F:F)</f>
        <v/>
      </c>
      <c r="S68" s="37">
        <f>SUMIF('ABA TB'!$R:$R,'ABA P&amp;L'!$A68,'ABA TB'!G:G)</f>
        <v/>
      </c>
      <c r="T68" s="37">
        <f>SUMIF('ABA TB'!$R:$R,'ABA P&amp;L'!$A68,'ABA TB'!H:H)</f>
        <v/>
      </c>
      <c r="U68" s="37">
        <f>SUMIF('ABA TB'!$R:$R,'ABA P&amp;L'!$A68,'ABA TB'!I:I)</f>
        <v/>
      </c>
      <c r="V68" s="38" t="n">
        <v>0</v>
      </c>
      <c r="W68" s="38" t="n">
        <v>0</v>
      </c>
      <c r="X68" s="38" t="n">
        <v>0</v>
      </c>
      <c r="Y68" s="38" t="n">
        <v>0</v>
      </c>
      <c r="Z68" s="38" t="n">
        <v>0</v>
      </c>
      <c r="AA68" s="36">
        <f>SUM(O68:U68)</f>
        <v/>
      </c>
      <c r="AB68" s="36">
        <f>SUM(O68:Z68)</f>
        <v/>
      </c>
      <c r="AC68" s="38" t="n">
        <v>0</v>
      </c>
      <c r="AD68" s="38" t="n">
        <v>0</v>
      </c>
      <c r="AE68" s="38" t="n">
        <v>0</v>
      </c>
      <c r="AF68" s="38" t="n">
        <v>0</v>
      </c>
      <c r="AG68" s="38" t="n">
        <v>0</v>
      </c>
      <c r="AH68" s="38" t="n">
        <v>0</v>
      </c>
      <c r="AI68" s="118" t="n">
        <v>0</v>
      </c>
      <c r="AJ68" s="119" t="n">
        <v>0</v>
      </c>
      <c r="AK68" s="119" t="n">
        <v>0</v>
      </c>
      <c r="AL68" s="119" t="n">
        <v>0</v>
      </c>
      <c r="AM68" s="120" t="n">
        <v>0</v>
      </c>
      <c r="AN68" s="118" t="n">
        <v>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207.38</v>
      </c>
      <c r="C69" s="42" t="n">
        <v>209.48</v>
      </c>
      <c r="D69" s="42" t="n">
        <v>297.02</v>
      </c>
      <c r="E69" s="42" t="n">
        <v>336.94</v>
      </c>
      <c r="F69" s="42" t="n">
        <v>305.64</v>
      </c>
      <c r="G69" s="42" t="n">
        <v>470.57</v>
      </c>
      <c r="H69" s="42" t="n">
        <v>209.18</v>
      </c>
      <c r="I69" s="42" t="n">
        <v>267.38</v>
      </c>
      <c r="J69" s="42" t="n">
        <v>206.78</v>
      </c>
      <c r="K69" s="42" t="n">
        <v>338</v>
      </c>
      <c r="L69" s="42" t="n">
        <v>363.83</v>
      </c>
      <c r="M69" s="42" t="n">
        <v>542.63</v>
      </c>
      <c r="N69" s="43">
        <f>SUM(B69:M69)</f>
        <v/>
      </c>
      <c r="O69" s="44">
        <f>SUM(O53:O68)</f>
        <v/>
      </c>
      <c r="P69" s="44">
        <f>SUM(P53:P68)</f>
        <v/>
      </c>
      <c r="Q69" s="44">
        <f>SUM(Q53:Q68)</f>
        <v/>
      </c>
      <c r="R69" s="44">
        <f>SUM(R53:R68)</f>
        <v/>
      </c>
      <c r="S69" s="44">
        <f>SUM(S53:S68)</f>
        <v/>
      </c>
      <c r="T69" s="44">
        <f>SUM(T53:T68)</f>
        <v/>
      </c>
      <c r="U69" s="44">
        <f>SUM(U53:U68)</f>
        <v/>
      </c>
      <c r="V69" s="45">
        <f>SUM(V53:V68)</f>
        <v/>
      </c>
      <c r="W69" s="45">
        <f>SUM(W53:W68)</f>
        <v/>
      </c>
      <c r="X69" s="45">
        <f>SUM(X53:X68)</f>
        <v/>
      </c>
      <c r="Y69" s="45">
        <f>SUM(Y53:Y68)</f>
        <v/>
      </c>
      <c r="Z69" s="45">
        <f>SUM(Z53:Z68)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3">
        <f>SUM(AI53:AI68)</f>
        <v/>
      </c>
      <c r="AJ69" s="124">
        <f>SUM(AJ53:AJ68)</f>
        <v/>
      </c>
      <c r="AK69" s="124">
        <f>SUM(AK53:AK68)</f>
        <v/>
      </c>
      <c r="AL69" s="124">
        <f>SUM(AL53:AL68)</f>
        <v/>
      </c>
      <c r="AM69" s="124">
        <f>SUM(AM53:AM68)</f>
        <v/>
      </c>
      <c r="AN69" s="123">
        <f>SUM(AN53:AN68)</f>
        <v/>
      </c>
      <c r="AO69" s="125">
        <f>SUM(AC69:AH69)+SUM(AI69:AN69)</f>
        <v/>
      </c>
      <c r="AP69" s="126">
        <f>IF(AB69&lt;&gt;0,(AO69-AB69)/ABS(AB69),0)</f>
        <v/>
      </c>
    </row>
    <row r="70">
      <c r="A70" s="54" t="inlineStr">
        <is>
          <t>EBITDA</t>
        </is>
      </c>
      <c r="B70" s="55" t="n">
        <v>15777.83</v>
      </c>
      <c r="C70" s="55" t="n">
        <v>31494.3</v>
      </c>
      <c r="D70" s="55" t="n">
        <v>47767.26</v>
      </c>
      <c r="E70" s="55" t="n">
        <v>24032.97000000001</v>
      </c>
      <c r="F70" s="55" t="n">
        <v>13742.18</v>
      </c>
      <c r="G70" s="55" t="n">
        <v>48519.64</v>
      </c>
      <c r="H70" s="55" t="n">
        <v>55791.83</v>
      </c>
      <c r="I70" s="55" t="n">
        <v>10399.73</v>
      </c>
      <c r="J70" s="55" t="n">
        <v>13761.58</v>
      </c>
      <c r="K70" s="55" t="n">
        <v>32819.77</v>
      </c>
      <c r="L70" s="55" t="n">
        <v>32964.98</v>
      </c>
      <c r="M70" s="55" t="n">
        <v>48166.24999999999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SUM(O70:Z70)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0">
        <f>AI50-AI69</f>
        <v/>
      </c>
      <c r="AJ70" s="140">
        <f>AJ50-AJ69</f>
        <v/>
      </c>
      <c r="AK70" s="140">
        <f>AK50-AK69</f>
        <v/>
      </c>
      <c r="AL70" s="140">
        <f>AL50-AL69</f>
        <v/>
      </c>
      <c r="AM70" s="140">
        <f>AM50-AM69</f>
        <v/>
      </c>
      <c r="AN70" s="140">
        <f>AN50-AN69</f>
        <v/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28" t="n"/>
      <c r="B71" s="57" t="n"/>
      <c r="C71" s="57" t="n"/>
      <c r="D71" s="57" t="n"/>
      <c r="E71" s="57" t="n"/>
      <c r="F71" s="57" t="n"/>
      <c r="G71" s="57" t="n"/>
      <c r="H71" s="57" t="n"/>
      <c r="I71" s="57" t="n"/>
      <c r="J71" s="57" t="n"/>
      <c r="K71" s="57" t="n"/>
      <c r="L71" s="57" t="n"/>
      <c r="M71" s="57" t="n"/>
      <c r="N71" s="56">
        <f>SUM(B71:M71)</f>
        <v/>
      </c>
      <c r="O71" s="56" t="n"/>
      <c r="P71" s="56" t="n"/>
      <c r="Q71" s="56" t="n"/>
      <c r="R71" s="56" t="n"/>
      <c r="S71" s="56" t="n"/>
      <c r="T71" s="56" t="n"/>
      <c r="U71" s="56" t="n"/>
      <c r="V71" s="58" t="n"/>
      <c r="W71" s="58" t="n"/>
      <c r="X71" s="58" t="n"/>
      <c r="Y71" s="58" t="n"/>
      <c r="Z71" s="58" t="n"/>
      <c r="AA71" s="56">
        <f>SUM(O71:T71)</f>
        <v/>
      </c>
      <c r="AB71" s="56" t="n"/>
      <c r="AC71" s="58" t="n"/>
      <c r="AD71" s="58" t="n"/>
      <c r="AE71" s="58" t="n"/>
      <c r="AF71" s="58" t="n"/>
      <c r="AG71" s="58" t="n"/>
      <c r="AH71" s="58" t="n"/>
      <c r="AI71" s="8" t="n"/>
      <c r="AJ71" s="56" t="n"/>
      <c r="AK71" s="56" t="n"/>
      <c r="AL71" s="56" t="n"/>
      <c r="AM71" s="56" t="n"/>
      <c r="AN71" s="56" t="n"/>
      <c r="AO71" s="56" t="n"/>
      <c r="AP71" s="56" t="n"/>
    </row>
    <row r="72">
      <c r="A72" s="28" t="n"/>
      <c r="B72" s="57" t="n"/>
      <c r="C72" s="57" t="n"/>
      <c r="D72" s="57" t="n"/>
      <c r="E72" s="57" t="n"/>
      <c r="F72" s="57" t="n"/>
      <c r="G72" s="57" t="n"/>
      <c r="H72" s="57" t="n"/>
      <c r="I72" s="57" t="n"/>
      <c r="J72" s="57" t="n"/>
      <c r="K72" s="57" t="n"/>
      <c r="L72" s="57" t="n"/>
      <c r="M72" s="57" t="n"/>
      <c r="N72" s="56">
        <f>SUM(B72:M72)</f>
        <v/>
      </c>
      <c r="O72" s="56" t="n"/>
      <c r="P72" s="56" t="n"/>
      <c r="Q72" s="56" t="n"/>
      <c r="R72" s="56" t="n"/>
      <c r="S72" s="56" t="n"/>
      <c r="T72" s="56" t="n"/>
      <c r="U72" s="56" t="n"/>
      <c r="V72" s="58" t="n"/>
      <c r="W72" s="58" t="n"/>
      <c r="X72" s="58" t="n"/>
      <c r="Y72" s="58" t="n"/>
      <c r="Z72" s="58" t="n"/>
      <c r="AA72" s="56">
        <f>SUM(O72:T72)</f>
        <v/>
      </c>
      <c r="AB72" s="56" t="n"/>
      <c r="AC72" s="58" t="n"/>
      <c r="AD72" s="58" t="n"/>
      <c r="AE72" s="58" t="n"/>
      <c r="AF72" s="58" t="n"/>
      <c r="AG72" s="58" t="n"/>
      <c r="AH72" s="58" t="n"/>
      <c r="AI72" s="8" t="n"/>
      <c r="AJ72" s="56" t="n"/>
      <c r="AK72" s="56" t="n"/>
      <c r="AL72" s="56" t="n"/>
      <c r="AM72" s="56" t="n"/>
      <c r="AN72" s="56" t="n"/>
      <c r="AO72" s="56" t="n"/>
      <c r="AP72" s="56" t="n"/>
    </row>
    <row r="73">
      <c r="A73" s="28" t="n"/>
      <c r="B73" s="57" t="n"/>
      <c r="C73" s="57" t="n"/>
      <c r="D73" s="57" t="n"/>
      <c r="E73" s="57" t="n"/>
      <c r="F73" s="57" t="n"/>
      <c r="G73" s="57" t="n"/>
      <c r="H73" s="57" t="n"/>
      <c r="I73" s="57" t="n"/>
      <c r="J73" s="57" t="n"/>
      <c r="K73" s="57" t="n"/>
      <c r="L73" s="57" t="n"/>
      <c r="M73" s="57" t="n"/>
      <c r="N73" s="56">
        <f>SUM(B73:M73)</f>
        <v/>
      </c>
      <c r="O73" s="56" t="n"/>
      <c r="P73" s="56" t="n"/>
      <c r="Q73" s="56" t="n"/>
      <c r="R73" s="56" t="n"/>
      <c r="S73" s="56" t="n"/>
      <c r="T73" s="56" t="n"/>
      <c r="U73" s="56" t="n"/>
      <c r="V73" s="58" t="n"/>
      <c r="W73" s="58" t="n"/>
      <c r="X73" s="58" t="n"/>
      <c r="Y73" s="58" t="n"/>
      <c r="Z73" s="58" t="n"/>
      <c r="AA73" s="56">
        <f>SUM(O73:T73)</f>
        <v/>
      </c>
      <c r="AB73" s="56" t="n"/>
      <c r="AC73" s="58" t="n"/>
      <c r="AD73" s="58" t="n"/>
      <c r="AE73" s="58" t="n"/>
      <c r="AF73" s="58" t="n"/>
      <c r="AG73" s="58" t="n"/>
      <c r="AH73" s="58" t="n"/>
      <c r="AI73" s="8" t="n"/>
      <c r="AJ73" s="59" t="inlineStr">
        <is>
          <t>Model assumptions 2027:</t>
        </is>
      </c>
      <c r="AK73" s="8" t="n"/>
      <c r="AL73" s="8" t="n"/>
      <c r="AM73" s="8" t="n"/>
      <c r="AN73" s="56" t="n"/>
      <c r="AO73" s="56" t="n"/>
      <c r="AP73" s="56" t="n"/>
    </row>
    <row r="74">
      <c r="A74" s="22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60">
        <f>SUM(B74:M74)</f>
        <v/>
      </c>
      <c r="O74" s="8" t="n"/>
      <c r="P74" s="8" t="n"/>
      <c r="Q74" s="8" t="n"/>
      <c r="R74" s="8" t="n"/>
      <c r="S74" s="8" t="n"/>
      <c r="T74" s="8" t="n"/>
      <c r="U74" s="8" t="n"/>
      <c r="V74" s="20" t="n"/>
      <c r="W74" s="20" t="n"/>
      <c r="X74" s="20" t="n"/>
      <c r="Y74" s="20" t="n"/>
      <c r="Z74" s="20" t="n"/>
      <c r="AA74" s="60">
        <f>SUM(O74:T74)</f>
        <v/>
      </c>
      <c r="AB74" s="8" t="n"/>
      <c r="AC74" s="20" t="n"/>
      <c r="AD74" s="20" t="n"/>
      <c r="AE74" s="20" t="n"/>
      <c r="AF74" s="20" t="n"/>
      <c r="AG74" s="20" t="n"/>
      <c r="AH74" s="20" t="n"/>
      <c r="AI74" s="8" t="n"/>
      <c r="AJ74" s="8" t="inlineStr">
        <is>
          <t>Salary Uplift</t>
        </is>
      </c>
      <c r="AK74" s="8" t="n"/>
      <c r="AL74" s="61" t="n">
        <v>0.05</v>
      </c>
      <c r="AM74" s="62" t="n"/>
      <c r="AN74" s="8" t="n"/>
      <c r="AO74" s="8" t="n"/>
      <c r="AP74" s="8" t="n"/>
    </row>
    <row r="75">
      <c r="A75" s="22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60">
        <f>SUM(B75:M75)</f>
        <v/>
      </c>
      <c r="O75" s="8" t="n"/>
      <c r="P75" s="8" t="n"/>
      <c r="Q75" s="8" t="n"/>
      <c r="R75" s="8" t="n"/>
      <c r="S75" s="8" t="n"/>
      <c r="T75" s="8" t="n"/>
      <c r="U75" s="8" t="n"/>
      <c r="V75" s="20" t="n"/>
      <c r="W75" s="20" t="n"/>
      <c r="X75" s="20" t="n"/>
      <c r="Y75" s="20" t="n"/>
      <c r="Z75" s="20" t="n"/>
      <c r="AA75" s="60">
        <f>SUM(O75:T75)</f>
        <v/>
      </c>
      <c r="AB75" s="8" t="n"/>
      <c r="AC75" s="20" t="n"/>
      <c r="AD75" s="20" t="n"/>
      <c r="AE75" s="20" t="n"/>
      <c r="AF75" s="20" t="n"/>
      <c r="AG75" s="20" t="n"/>
      <c r="AH75" s="20" t="n"/>
      <c r="AI75" s="8" t="n"/>
      <c r="AJ75" s="8" t="inlineStr">
        <is>
          <t>Fee uplift</t>
        </is>
      </c>
      <c r="AK75" s="8" t="n"/>
      <c r="AL75" s="61" t="n">
        <v>0.07000000000000001</v>
      </c>
      <c r="AM75" s="60" t="inlineStr">
        <is>
          <t>Fee Uplift not yet in calcs - offer changing this is purely on FAMLY current data</t>
        </is>
      </c>
      <c r="AN75" s="8" t="n"/>
      <c r="AO75" s="8" t="n"/>
      <c r="AP75" s="8" t="n"/>
    </row>
    <row r="76">
      <c r="A76" s="63" t="inlineStr">
        <is>
          <t>Memo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60">
        <f>SUM(B76:M76)</f>
        <v/>
      </c>
      <c r="O76" s="8" t="n"/>
      <c r="P76" s="8" t="n"/>
      <c r="Q76" s="8" t="n"/>
      <c r="R76" s="8" t="n"/>
      <c r="S76" s="8" t="n"/>
      <c r="T76" s="8" t="n"/>
      <c r="U76" s="8" t="n"/>
      <c r="V76" s="20" t="n"/>
      <c r="W76" s="20" t="n"/>
      <c r="X76" s="20" t="n"/>
      <c r="Y76" s="20" t="n"/>
      <c r="Z76" s="20" t="n"/>
      <c r="AA76" s="60">
        <f>SUM(O76:T76)</f>
        <v/>
      </c>
      <c r="AB76" s="8" t="n"/>
      <c r="AC76" s="20" t="n"/>
      <c r="AD76" s="20" t="n"/>
      <c r="AE76" s="20" t="n"/>
      <c r="AF76" s="20" t="n"/>
      <c r="AG76" s="20" t="n"/>
      <c r="AH76" s="20" t="n"/>
      <c r="AI76" s="134" t="n">
        <v>0</v>
      </c>
      <c r="AJ76" s="134" t="n">
        <v>0</v>
      </c>
      <c r="AK76" s="134" t="n">
        <v>0</v>
      </c>
      <c r="AL76" s="134" t="n">
        <v>0</v>
      </c>
      <c r="AM76" s="134" t="n">
        <v>0</v>
      </c>
      <c r="AN76" s="134" t="n">
        <v>0</v>
      </c>
      <c r="AO76" s="144">
        <f>SUM(AC76:AH76)+SUM(AI76:AN76)</f>
        <v/>
      </c>
      <c r="AP76" s="142">
        <f>IF(AB76&lt;&gt;0,(AO76-AB76)/ABS(AB76),0)</f>
        <v/>
      </c>
    </row>
    <row r="77">
      <c r="A77" s="34" t="inlineStr">
        <is>
          <t>Direct - Sales</t>
        </is>
      </c>
      <c r="B77" s="18" t="n">
        <v>57516.53</v>
      </c>
      <c r="C77" s="18" t="n">
        <v>78557.34999999999</v>
      </c>
      <c r="D77" s="18" t="n">
        <v>93456.92</v>
      </c>
      <c r="E77" s="18" t="n">
        <v>71212.94</v>
      </c>
      <c r="F77" s="18" t="n">
        <v>67096.77</v>
      </c>
      <c r="G77" s="18" t="n">
        <v>99081.97</v>
      </c>
      <c r="H77" s="18" t="n">
        <v>109415</v>
      </c>
      <c r="I77" s="18" t="n">
        <v>58043.73</v>
      </c>
      <c r="J77" s="18" t="n">
        <v>59199.65</v>
      </c>
      <c r="K77" s="18" t="n">
        <v>81909.55</v>
      </c>
      <c r="L77" s="18" t="n">
        <v>79250.38</v>
      </c>
      <c r="M77" s="18" t="n">
        <v>96066.59</v>
      </c>
      <c r="N77" s="60">
        <f>SUM(B77:M77)</f>
        <v/>
      </c>
      <c r="O77" s="60">
        <f>-SUMIF('ABA TB'!$T:$T,'ABA P&amp;L'!$A77,'ABA TB'!C:C)</f>
        <v/>
      </c>
      <c r="P77" s="60">
        <f>-SUMIF('ABA TB'!$T:$T,'ABA P&amp;L'!$A77,'ABA TB'!D:D)</f>
        <v/>
      </c>
      <c r="Q77" s="60">
        <f>-SUMIF('ABA TB'!$T:$T,'ABA P&amp;L'!$A77,'ABA TB'!E:E)</f>
        <v/>
      </c>
      <c r="R77" s="60">
        <f>-SUMIF('ABA TB'!$T:$T,'ABA P&amp;L'!$A77,'ABA TB'!F:F)</f>
        <v/>
      </c>
      <c r="S77" s="60">
        <f>-SUMIF('ABA TB'!$T:$T,'ABA P&amp;L'!$A77,'ABA TB'!G:G)</f>
        <v/>
      </c>
      <c r="T77" s="60">
        <f>-SUMIF('ABA TB'!$T:$T,'ABA P&amp;L'!$A77,'ABA TB'!H:H)</f>
        <v/>
      </c>
      <c r="U77" s="60">
        <f>-SUMIF('ABA TB'!$T:$T,'ABA P&amp;L'!$A77,'ABA TB'!I:I)</f>
        <v/>
      </c>
      <c r="V77" s="20" t="n"/>
      <c r="W77" s="20" t="n"/>
      <c r="X77" s="20" t="n"/>
      <c r="Y77" s="20" t="n"/>
      <c r="Z77" s="20" t="n"/>
      <c r="AA77" s="60">
        <f>SUM(O77:T77)</f>
        <v/>
      </c>
      <c r="AB77" s="8" t="n"/>
      <c r="AC77" s="20" t="n"/>
      <c r="AD77" s="20" t="n"/>
      <c r="AE77" s="20" t="n"/>
      <c r="AF77" s="20" t="n"/>
      <c r="AG77" s="20" t="n"/>
      <c r="AH77" s="20" t="n"/>
      <c r="AI77" s="134" t="n">
        <v>0</v>
      </c>
      <c r="AJ77" s="134" t="n">
        <v>0</v>
      </c>
      <c r="AK77" s="134" t="n">
        <v>0</v>
      </c>
      <c r="AL77" s="134" t="n">
        <v>0</v>
      </c>
      <c r="AM77" s="134" t="n">
        <v>0</v>
      </c>
      <c r="AN77" s="134" t="n">
        <v>0</v>
      </c>
      <c r="AO77" s="144">
        <f>SUM(AC77:AH77)+SUM(AI77:AN77)</f>
        <v/>
      </c>
      <c r="AP77" s="142">
        <f>IF(AB77&lt;&gt;0,(AO77-AB77)/ABS(AB77),0)</f>
        <v/>
      </c>
    </row>
    <row r="78">
      <c r="A78" s="34" t="inlineStr">
        <is>
          <t>Direct - Staff Cost</t>
        </is>
      </c>
      <c r="B78" s="18" t="n">
        <v>-34574.8</v>
      </c>
      <c r="C78" s="18" t="n">
        <v>-35374.13999999999</v>
      </c>
      <c r="D78" s="18" t="n">
        <v>-36972.91</v>
      </c>
      <c r="E78" s="18" t="n">
        <v>-40300.46999999999</v>
      </c>
      <c r="F78" s="18" t="n">
        <v>-41216.68</v>
      </c>
      <c r="G78" s="18" t="n">
        <v>-41525.89</v>
      </c>
      <c r="H78" s="18" t="n">
        <v>-44824.91999999999</v>
      </c>
      <c r="I78" s="18" t="n">
        <v>-40433.25</v>
      </c>
      <c r="J78" s="18" t="n">
        <v>-40303.59</v>
      </c>
      <c r="K78" s="18" t="n">
        <v>-38404.48</v>
      </c>
      <c r="L78" s="18" t="n">
        <v>-38149.48</v>
      </c>
      <c r="M78" s="18" t="n">
        <v>-39149.26</v>
      </c>
      <c r="N78" s="60">
        <f>SUM(B78:M78)</f>
        <v/>
      </c>
      <c r="O78" s="60">
        <f>-SUMIF('ABA TB'!$T:$T,'ABA P&amp;L'!$A78,'ABA TB'!C:C)</f>
        <v/>
      </c>
      <c r="P78" s="60">
        <f>-SUMIF('ABA TB'!$T:$T,'ABA P&amp;L'!$A78,'ABA TB'!D:D)</f>
        <v/>
      </c>
      <c r="Q78" s="60">
        <f>-SUMIF('ABA TB'!$T:$T,'ABA P&amp;L'!$A78,'ABA TB'!E:E)</f>
        <v/>
      </c>
      <c r="R78" s="60">
        <f>-SUMIF('ABA TB'!$T:$T,'ABA P&amp;L'!$A78,'ABA TB'!F:F)</f>
        <v/>
      </c>
      <c r="S78" s="60">
        <f>-SUMIF('ABA TB'!$T:$T,'ABA P&amp;L'!$A78,'ABA TB'!G:G)</f>
        <v/>
      </c>
      <c r="T78" s="60">
        <f>-SUMIF('ABA TB'!$T:$T,'ABA P&amp;L'!$A78,'ABA TB'!H:H)</f>
        <v/>
      </c>
      <c r="U78" s="60">
        <f>-SUMIF('ABA TB'!$T:$T,'ABA P&amp;L'!$A78,'ABA TB'!I:I)</f>
        <v/>
      </c>
      <c r="V78" s="20" t="n"/>
      <c r="W78" s="20" t="n"/>
      <c r="X78" s="20" t="n"/>
      <c r="Y78" s="20" t="n"/>
      <c r="Z78" s="20" t="n"/>
      <c r="AA78" s="60">
        <f>SUM(O78:T78)</f>
        <v/>
      </c>
      <c r="AB78" s="8" t="n"/>
      <c r="AC78" s="20" t="n"/>
      <c r="AD78" s="20" t="n"/>
      <c r="AE78" s="20" t="n"/>
      <c r="AF78" s="20" t="n"/>
      <c r="AG78" s="20" t="n"/>
      <c r="AH78" s="20" t="n"/>
      <c r="AI78" s="134" t="n">
        <v>0</v>
      </c>
      <c r="AJ78" s="134" t="n">
        <v>0</v>
      </c>
      <c r="AK78" s="134" t="n">
        <v>0</v>
      </c>
      <c r="AL78" s="134" t="n">
        <v>0</v>
      </c>
      <c r="AM78" s="134" t="n">
        <v>0</v>
      </c>
      <c r="AN78" s="134" t="n">
        <v>0</v>
      </c>
      <c r="AO78" s="144">
        <f>SUM(AC78:AH78)+SUM(AI78:AN78)</f>
        <v/>
      </c>
      <c r="AP78" s="142">
        <f>IF(AB78&lt;&gt;0,(AO78-AB78)/ABS(AB78),0)</f>
        <v/>
      </c>
    </row>
    <row r="79">
      <c r="A79" s="60" t="inlineStr">
        <is>
          <t>Direct - Childcare Cost</t>
        </is>
      </c>
      <c r="B79" s="18" t="n">
        <v>-2176.42</v>
      </c>
      <c r="C79" s="18" t="n">
        <v>-3159.37</v>
      </c>
      <c r="D79" s="18" t="n">
        <v>-2902.21</v>
      </c>
      <c r="E79" s="18" t="n">
        <v>-2149.77</v>
      </c>
      <c r="F79" s="18" t="n">
        <v>-3175.23</v>
      </c>
      <c r="G79" s="18" t="n">
        <v>-3603.37</v>
      </c>
      <c r="H79" s="18" t="n">
        <v>-5241.700000000001</v>
      </c>
      <c r="I79" s="18" t="n">
        <v>-2724.2</v>
      </c>
      <c r="J79" s="18" t="n">
        <v>-1834.64</v>
      </c>
      <c r="K79" s="18" t="n">
        <v>-2350.79</v>
      </c>
      <c r="L79" s="18" t="n">
        <v>-3297.279999999999</v>
      </c>
      <c r="M79" s="18" t="n">
        <v>-2081.55</v>
      </c>
      <c r="N79" s="60">
        <f>SUM(B79:M79)</f>
        <v/>
      </c>
      <c r="O79" s="60">
        <f>-SUMIF('ABA TB'!$T:$T,'ABA P&amp;L'!$A79,'ABA TB'!C:C)</f>
        <v/>
      </c>
      <c r="P79" s="60">
        <f>-SUMIF('ABA TB'!$T:$T,'ABA P&amp;L'!$A79,'ABA TB'!D:D)</f>
        <v/>
      </c>
      <c r="Q79" s="60">
        <f>-SUMIF('ABA TB'!$T:$T,'ABA P&amp;L'!$A79,'ABA TB'!E:E)</f>
        <v/>
      </c>
      <c r="R79" s="60">
        <f>-SUMIF('ABA TB'!$T:$T,'ABA P&amp;L'!$A79,'ABA TB'!F:F)</f>
        <v/>
      </c>
      <c r="S79" s="60">
        <f>-SUMIF('ABA TB'!$T:$T,'ABA P&amp;L'!$A79,'ABA TB'!G:G)</f>
        <v/>
      </c>
      <c r="T79" s="60">
        <f>-SUMIF('ABA TB'!$T:$T,'ABA P&amp;L'!$A79,'ABA TB'!H:H)</f>
        <v/>
      </c>
      <c r="U79" s="60">
        <f>-SUMIF('ABA TB'!$T:$T,'ABA P&amp;L'!$A79,'ABA TB'!I:I)</f>
        <v/>
      </c>
      <c r="V79" s="20" t="n"/>
      <c r="W79" s="20" t="n"/>
      <c r="X79" s="20" t="n"/>
      <c r="Y79" s="20" t="n"/>
      <c r="Z79" s="20" t="n"/>
      <c r="AA79" s="60">
        <f>SUM(O79:T79)</f>
        <v/>
      </c>
      <c r="AB79" s="8" t="n"/>
      <c r="AC79" s="20" t="n"/>
      <c r="AD79" s="20" t="n"/>
      <c r="AE79" s="20" t="n"/>
      <c r="AF79" s="20" t="n"/>
      <c r="AG79" s="20" t="n"/>
      <c r="AH79" s="20" t="n"/>
      <c r="AI79" s="134" t="n">
        <v>0</v>
      </c>
      <c r="AJ79" s="134" t="n">
        <v>0</v>
      </c>
      <c r="AK79" s="134" t="n">
        <v>0</v>
      </c>
      <c r="AL79" s="134" t="n">
        <v>0</v>
      </c>
      <c r="AM79" s="134" t="n">
        <v>0</v>
      </c>
      <c r="AN79" s="134" t="n">
        <v>0</v>
      </c>
      <c r="AO79" s="144">
        <f>SUM(AC79:AH79)+SUM(AI79:AN79)</f>
        <v/>
      </c>
      <c r="AP79" s="142">
        <f>IF(AB79&lt;&gt;0,(AO79-AB79)/ABS(AB79),0)</f>
        <v/>
      </c>
    </row>
    <row r="80">
      <c r="A80" s="60" t="inlineStr">
        <is>
          <t>Direct - Premises &amp; Admin</t>
        </is>
      </c>
      <c r="B80" s="18" t="n">
        <v>-4780.1</v>
      </c>
      <c r="C80" s="18" t="n">
        <v>-8320.059999999999</v>
      </c>
      <c r="D80" s="18" t="n">
        <v>-5517.520000000001</v>
      </c>
      <c r="E80" s="18" t="n">
        <v>-4392.789999999999</v>
      </c>
      <c r="F80" s="18" t="n">
        <v>-8657.039999999999</v>
      </c>
      <c r="G80" s="18" t="n">
        <v>-4962.5</v>
      </c>
      <c r="H80" s="18" t="n">
        <v>-3347.37</v>
      </c>
      <c r="I80" s="18" t="n">
        <v>-4219.17</v>
      </c>
      <c r="J80" s="18" t="n">
        <v>-3093.06</v>
      </c>
      <c r="K80" s="18" t="n">
        <v>-7996.509999999999</v>
      </c>
      <c r="L80" s="18" t="n">
        <v>-4474.809999999999</v>
      </c>
      <c r="M80" s="18" t="n">
        <v>-6126.900000000001</v>
      </c>
      <c r="N80" s="60">
        <f>SUM(B80:M80)</f>
        <v/>
      </c>
      <c r="O80" s="60">
        <f>-SUMIF('ABA TB'!$T:$T,'ABA P&amp;L'!$A80,'ABA TB'!C:C)</f>
        <v/>
      </c>
      <c r="P80" s="60">
        <f>-SUMIF('ABA TB'!$T:$T,'ABA P&amp;L'!$A80,'ABA TB'!D:D)</f>
        <v/>
      </c>
      <c r="Q80" s="60">
        <f>-SUMIF('ABA TB'!$T:$T,'ABA P&amp;L'!$A80,'ABA TB'!E:E)</f>
        <v/>
      </c>
      <c r="R80" s="60">
        <f>-SUMIF('ABA TB'!$T:$T,'ABA P&amp;L'!$A80,'ABA TB'!F:F)</f>
        <v/>
      </c>
      <c r="S80" s="60">
        <f>-SUMIF('ABA TB'!$T:$T,'ABA P&amp;L'!$A80,'ABA TB'!G:G)</f>
        <v/>
      </c>
      <c r="T80" s="60">
        <f>-SUMIF('ABA TB'!$T:$T,'ABA P&amp;L'!$A80,'ABA TB'!H:H)</f>
        <v/>
      </c>
      <c r="U80" s="60">
        <f>-SUMIF('ABA TB'!$T:$T,'ABA P&amp;L'!$A80,'ABA TB'!I:I)</f>
        <v/>
      </c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134" t="n">
        <v>0</v>
      </c>
      <c r="AJ80" s="134" t="n">
        <v>0</v>
      </c>
      <c r="AK80" s="134" t="n">
        <v>0</v>
      </c>
      <c r="AL80" s="134" t="n">
        <v>0</v>
      </c>
      <c r="AM80" s="134" t="n">
        <v>0</v>
      </c>
      <c r="AN80" s="134" t="n">
        <v>0</v>
      </c>
      <c r="AO80" s="144">
        <f>SUM(AC80:AH80)+SUM(AI80:AN80)</f>
        <v/>
      </c>
      <c r="AP80" s="142">
        <f>IF(AB80&lt;&gt;0,(AO80-AB80)/ABS(AB80),0)</f>
        <v/>
      </c>
    </row>
    <row r="81">
      <c r="A81" s="60" t="inlineStr">
        <is>
          <t>In-Direct - Staff Cost</t>
        </is>
      </c>
      <c r="B81" s="60" t="n">
        <v>0</v>
      </c>
      <c r="C81" s="60" t="n">
        <v>0</v>
      </c>
      <c r="D81" s="60" t="n">
        <v>0</v>
      </c>
      <c r="E81" s="60" t="n">
        <v>0</v>
      </c>
      <c r="F81" s="60" t="n">
        <v>0</v>
      </c>
      <c r="G81" s="60" t="n">
        <v>0</v>
      </c>
      <c r="H81" s="60" t="n">
        <v>0</v>
      </c>
      <c r="I81" s="60" t="n">
        <v>0</v>
      </c>
      <c r="J81" s="60" t="n">
        <v>0</v>
      </c>
      <c r="K81" s="60" t="n">
        <v>0</v>
      </c>
      <c r="L81" s="60" t="n">
        <v>0</v>
      </c>
      <c r="M81" s="60" t="n">
        <v>0</v>
      </c>
      <c r="N81" s="60">
        <f>SUM(B81:M81)</f>
        <v/>
      </c>
      <c r="O81" s="60">
        <f>-SUMIF('ABA TB'!$T:$T,'ABA P&amp;L'!$A81,'ABA TB'!C:C)</f>
        <v/>
      </c>
      <c r="P81" s="60">
        <f>-SUMIF('ABA TB'!$T:$T,'ABA P&amp;L'!$A81,'ABA TB'!D:D)</f>
        <v/>
      </c>
      <c r="Q81" s="60">
        <f>-SUMIF('ABA TB'!$T:$T,'ABA P&amp;L'!$A81,'ABA TB'!E:E)</f>
        <v/>
      </c>
      <c r="R81" s="60">
        <f>-SUMIF('ABA TB'!$T:$T,'ABA P&amp;L'!$A81,'ABA TB'!F:F)</f>
        <v/>
      </c>
      <c r="S81" s="60">
        <f>-SUMIF('ABA TB'!$T:$T,'ABA P&amp;L'!$A81,'ABA TB'!G:G)</f>
        <v/>
      </c>
      <c r="T81" s="60">
        <f>-SUMIF('ABA TB'!$T:$T,'ABA P&amp;L'!$A81,'ABA TB'!H:H)</f>
        <v/>
      </c>
      <c r="U81" s="60">
        <f>-SUMIF('ABA TB'!$T:$T,'ABA P&amp;L'!$A81,'ABA TB'!I:I)</f>
        <v/>
      </c>
      <c r="V81" s="60">
        <f>-SUMIF('ABA TB'!$T:$T,'ABA P&amp;L'!$A81,'ABA TB'!J:J)</f>
        <v/>
      </c>
      <c r="W81" s="60">
        <f>-SUMIF('ABA TB'!$T:$T,'ABA P&amp;L'!$A81,'ABA TB'!K:K)</f>
        <v/>
      </c>
      <c r="X81" s="60">
        <f>-SUMIF('ABA TB'!$T:$T,'ABA P&amp;L'!$A81,'ABA TB'!L:L)</f>
        <v/>
      </c>
      <c r="Y81" s="60">
        <f>-SUMIF('ABA TB'!$T:$T,'ABA P&amp;L'!$A81,'ABA TB'!M:M)</f>
        <v/>
      </c>
      <c r="Z81" s="60">
        <f>-SUMIF('ABA TB'!$T:$T,'ABA P&amp;L'!$A81,'ABA TB'!N:N)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34" t="n">
        <v>0</v>
      </c>
      <c r="AJ81" s="134" t="n">
        <v>0</v>
      </c>
      <c r="AK81" s="134" t="n">
        <v>0</v>
      </c>
      <c r="AL81" s="134" t="n">
        <v>0</v>
      </c>
      <c r="AM81" s="134" t="n">
        <v>0</v>
      </c>
      <c r="AN81" s="134" t="n">
        <v>0</v>
      </c>
      <c r="AO81" s="145">
        <f>SUM(AC81:AH81)+SUM(AI81:AN81)</f>
        <v/>
      </c>
      <c r="AP81" s="142">
        <f>IF(AB81&lt;&gt;0,(AO81-AB81)/ABS(AB81),0)</f>
        <v/>
      </c>
    </row>
    <row r="82">
      <c r="A82" s="60" t="inlineStr">
        <is>
          <t>In-Direct - Overheads</t>
        </is>
      </c>
      <c r="B82" s="18" t="n">
        <v>-207.38</v>
      </c>
      <c r="C82" s="18" t="n">
        <v>-209.48</v>
      </c>
      <c r="D82" s="18" t="n">
        <v>-297.02</v>
      </c>
      <c r="E82" s="18" t="n">
        <v>-336.94</v>
      </c>
      <c r="F82" s="18" t="n">
        <v>-305.64</v>
      </c>
      <c r="G82" s="18" t="n">
        <v>-470.57</v>
      </c>
      <c r="H82" s="18" t="n">
        <v>-209.18</v>
      </c>
      <c r="I82" s="18" t="n">
        <v>-267.38</v>
      </c>
      <c r="J82" s="18" t="n">
        <v>-206.78</v>
      </c>
      <c r="K82" s="18" t="n">
        <v>-338</v>
      </c>
      <c r="L82" s="18" t="n">
        <v>-363.83</v>
      </c>
      <c r="M82" s="18" t="n"/>
      <c r="N82" s="8" t="n"/>
      <c r="O82" s="60">
        <f>-SUMIF('ABA TB'!$T:$T,'ABA P&amp;L'!$A82,'ABA TB'!C:C)</f>
        <v/>
      </c>
      <c r="P82" s="60">
        <f>-SUMIF('ABA TB'!$T:$T,'ABA P&amp;L'!$A82,'ABA TB'!D:D)</f>
        <v/>
      </c>
      <c r="Q82" s="60">
        <f>-SUMIF('ABA TB'!$T:$T,'ABA P&amp;L'!$A82,'ABA TB'!E:E)</f>
        <v/>
      </c>
      <c r="R82" s="60">
        <f>-SUMIF('ABA TB'!$T:$T,'ABA P&amp;L'!$A82,'ABA TB'!F:F)</f>
        <v/>
      </c>
      <c r="S82" s="60">
        <f>-SUMIF('ABA TB'!$T:$T,'ABA P&amp;L'!$A82,'ABA TB'!G:G)</f>
        <v/>
      </c>
      <c r="T82" s="60">
        <f>-SUMIF('ABA TB'!$T:$T,'ABA P&amp;L'!$A82,'ABA TB'!H:H)</f>
        <v/>
      </c>
      <c r="U82" s="60">
        <f>-SUMIF('ABA TB'!$T:$T,'ABA P&amp;L'!$A82,'ABA TB'!I:I)</f>
        <v/>
      </c>
      <c r="V82" s="60">
        <f>-SUMIF('ABA TB'!$T:$T,'ABA P&amp;L'!$A82,'ABA TB'!J:J)</f>
        <v/>
      </c>
      <c r="W82" s="60">
        <f>-SUMIF('ABA TB'!$T:$T,'ABA P&amp;L'!$A82,'ABA TB'!K:K)</f>
        <v/>
      </c>
      <c r="X82" s="60">
        <f>-SUMIF('ABA TB'!$T:$T,'ABA P&amp;L'!$A82,'ABA TB'!L:L)</f>
        <v/>
      </c>
      <c r="Y82" s="60">
        <f>-SUMIF('ABA TB'!$T:$T,'ABA P&amp;L'!$A82,'ABA TB'!M:M)</f>
        <v/>
      </c>
      <c r="Z82" s="60">
        <f>-SUMIF('ABA TB'!$T:$T,'ABA P&amp;L'!$A82,'ABA TB'!N:N)</f>
        <v/>
      </c>
      <c r="AA82" s="8" t="n"/>
      <c r="AB82" s="8" t="n"/>
      <c r="AC82" s="8" t="n"/>
      <c r="AD82" s="8" t="n"/>
      <c r="AE82" s="8" t="n"/>
      <c r="AF82" s="8" t="n"/>
      <c r="AG82" s="8" t="n"/>
      <c r="AH82" s="8" t="n"/>
      <c r="AI82" s="134" t="n">
        <v>0</v>
      </c>
      <c r="AJ82" s="134" t="n">
        <v>0</v>
      </c>
      <c r="AK82" s="134" t="n">
        <v>0</v>
      </c>
      <c r="AL82" s="134" t="n">
        <v>0</v>
      </c>
      <c r="AM82" s="134" t="n">
        <v>0</v>
      </c>
      <c r="AN82" s="134" t="n">
        <v>0</v>
      </c>
      <c r="AO82" s="144">
        <f>SUM(AC82:AH82)+SUM(AI82:AN82)</f>
        <v/>
      </c>
      <c r="AP82" s="142">
        <f>IF(AB82&lt;&gt;0,(AO82-AB82)/ABS(AB82),0)</f>
        <v/>
      </c>
    </row>
    <row r="83" ht="15.75" customHeight="1">
      <c r="A83" s="64" t="n"/>
      <c r="B83" s="64" t="n">
        <v>15777.83</v>
      </c>
      <c r="C83" s="64" t="n">
        <v>31494.3</v>
      </c>
      <c r="D83" s="64" t="n">
        <v>47767.26</v>
      </c>
      <c r="E83" s="64" t="n">
        <v>24032.97000000001</v>
      </c>
      <c r="F83" s="64" t="n">
        <v>13742.18000000001</v>
      </c>
      <c r="G83" s="64" t="n">
        <v>48519.64</v>
      </c>
      <c r="H83" s="64" t="n">
        <v>55791.83</v>
      </c>
      <c r="I83" s="64" t="n">
        <v>10399.73</v>
      </c>
      <c r="J83" s="64" t="n">
        <v>13761.58</v>
      </c>
      <c r="K83" s="64" t="n">
        <v>32819.77</v>
      </c>
      <c r="L83" s="64" t="n">
        <v>32964.98</v>
      </c>
      <c r="M83" s="64" t="n"/>
      <c r="N83" s="64" t="n"/>
      <c r="O83" s="64">
        <f>SUM(O77:O82)</f>
        <v/>
      </c>
      <c r="P83" s="64">
        <f>SUM(P77:P82)</f>
        <v/>
      </c>
      <c r="Q83" s="64">
        <f>SUM(Q77:Q82)</f>
        <v/>
      </c>
      <c r="R83" s="64">
        <f>SUM(R77:R82)</f>
        <v/>
      </c>
      <c r="S83" s="64">
        <f>SUM(S77:S82)</f>
        <v/>
      </c>
      <c r="T83" s="64">
        <f>SUM(T77:T82)</f>
        <v/>
      </c>
      <c r="U83" s="64">
        <f>SUM(U77:U82)</f>
        <v/>
      </c>
      <c r="V83" s="64">
        <f>SUM(V77:V82)</f>
        <v/>
      </c>
      <c r="W83" s="64">
        <f>SUM(W77:W82)</f>
        <v/>
      </c>
      <c r="X83" s="64">
        <f>SUM(X77:X82)</f>
        <v/>
      </c>
      <c r="Y83" s="64">
        <f>SUM(Y77:Y82)</f>
        <v/>
      </c>
      <c r="Z83" s="64">
        <f>SUM(Z77:Z82)</f>
        <v/>
      </c>
      <c r="AA83" s="8" t="n"/>
      <c r="AB83" s="8" t="n"/>
      <c r="AC83" s="64" t="n"/>
      <c r="AD83" s="64" t="n"/>
      <c r="AE83" s="64" t="n"/>
      <c r="AF83" s="64" t="n"/>
      <c r="AG83" s="64" t="n"/>
      <c r="AH83" s="64" t="n"/>
      <c r="AI83" s="134" t="n">
        <v>0</v>
      </c>
      <c r="AJ83" s="134" t="n">
        <v>0</v>
      </c>
      <c r="AK83" s="134" t="n">
        <v>0</v>
      </c>
      <c r="AL83" s="134" t="n">
        <v>0</v>
      </c>
      <c r="AM83" s="134" t="n">
        <v>0</v>
      </c>
      <c r="AN83" s="134" t="n">
        <v>0</v>
      </c>
      <c r="AO83" s="145">
        <f>SUM(AC83:AH83)+SUM(AI83:AN83)</f>
        <v/>
      </c>
      <c r="AP83" s="142">
        <f>IF(AB83&lt;&gt;0,(AO83-AB83)/ABS(AB83),0)</f>
        <v/>
      </c>
    </row>
    <row r="84" ht="15.75" customHeight="1">
      <c r="A84" s="8" t="n"/>
      <c r="B84" s="60" t="n">
        <v>0</v>
      </c>
      <c r="C84" s="60" t="n">
        <v>0</v>
      </c>
      <c r="D84" s="60" t="n">
        <v>0</v>
      </c>
      <c r="E84" s="60" t="n">
        <v>0</v>
      </c>
      <c r="F84" s="60" t="n">
        <v>0</v>
      </c>
      <c r="G84" s="60" t="n">
        <v>0</v>
      </c>
      <c r="H84" s="60" t="n">
        <v>0</v>
      </c>
      <c r="I84" s="60" t="n">
        <v>0</v>
      </c>
      <c r="J84" s="60" t="n">
        <v>0</v>
      </c>
      <c r="K84" s="60" t="n">
        <v>0</v>
      </c>
      <c r="L84" s="60" t="n">
        <v>0</v>
      </c>
      <c r="M84" s="8" t="n"/>
      <c r="N84" s="8" t="n"/>
      <c r="O84" s="60">
        <f>+O70-O83</f>
        <v/>
      </c>
      <c r="P84" s="60">
        <f>+P70-P83</f>
        <v/>
      </c>
      <c r="Q84" s="60">
        <f>+Q70-Q83</f>
        <v/>
      </c>
      <c r="R84" s="60">
        <f>+R70-R83</f>
        <v/>
      </c>
      <c r="S84" s="60">
        <f>+S70-S83</f>
        <v/>
      </c>
      <c r="T84" s="60">
        <f>+T70-T83</f>
        <v/>
      </c>
      <c r="U84" s="60">
        <f>+U70-U83</f>
        <v/>
      </c>
      <c r="V84" s="60">
        <f>+V70-V83</f>
        <v/>
      </c>
      <c r="W84" s="60">
        <f>+W70-W83</f>
        <v/>
      </c>
      <c r="X84" s="60">
        <f>+X70-X83</f>
        <v/>
      </c>
      <c r="Y84" s="60">
        <f>+Y70-Y83</f>
        <v/>
      </c>
      <c r="Z84" s="60">
        <f>+Z70-Z83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134" t="n">
        <v>0</v>
      </c>
      <c r="AJ84" s="134" t="n">
        <v>0</v>
      </c>
      <c r="AK84" s="134" t="n">
        <v>0</v>
      </c>
      <c r="AL84" s="134" t="n">
        <v>0</v>
      </c>
      <c r="AM84" s="134" t="n">
        <v>0</v>
      </c>
      <c r="AN84" s="134" t="n">
        <v>0</v>
      </c>
      <c r="AO84" s="145">
        <f>SUM(AC84:AH84)+SUM(AI84:AN84)</f>
        <v/>
      </c>
      <c r="AP84" s="142">
        <f>IF(AB84&lt;&gt;0,(AO84-AB84)/ABS(AB84),0)</f>
        <v/>
      </c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5" t="inlineStr">
        <is>
          <t>CHECK TO TB</t>
        </is>
      </c>
      <c r="B86" s="65" t="n">
        <v>0</v>
      </c>
      <c r="C86" s="65" t="n">
        <v>0</v>
      </c>
      <c r="D86" s="65" t="n">
        <v>0</v>
      </c>
      <c r="E86" s="65" t="n">
        <v>0</v>
      </c>
      <c r="F86" s="65" t="n">
        <v>0</v>
      </c>
      <c r="G86" s="65" t="n">
        <v>0</v>
      </c>
      <c r="H86" s="65" t="n">
        <v>0</v>
      </c>
      <c r="I86" s="65" t="n">
        <v>0</v>
      </c>
      <c r="J86" s="65" t="n">
        <v>0</v>
      </c>
      <c r="K86" s="65" t="n"/>
      <c r="L86" s="65" t="n"/>
      <c r="M86" s="65" t="n"/>
      <c r="N86" s="8" t="n"/>
      <c r="O86" s="65">
        <f>O83+O87</f>
        <v/>
      </c>
      <c r="P86" s="65">
        <f>P83+P87</f>
        <v/>
      </c>
      <c r="Q86" s="65">
        <f>Q83+Q87</f>
        <v/>
      </c>
      <c r="R86" s="65">
        <f>R83+R87</f>
        <v/>
      </c>
      <c r="S86" s="65">
        <f>S83+S87</f>
        <v/>
      </c>
      <c r="T86" s="65">
        <f>T83+T87</f>
        <v/>
      </c>
      <c r="U86" s="65">
        <f>U83+U87</f>
        <v/>
      </c>
      <c r="V86" s="65">
        <f>V83+V87</f>
        <v/>
      </c>
      <c r="W86" s="65">
        <f>W83+W87</f>
        <v/>
      </c>
      <c r="X86" s="65">
        <f>X83+X87</f>
        <v/>
      </c>
      <c r="Y86" s="65">
        <f>Y83+Y87</f>
        <v/>
      </c>
      <c r="Z86" s="65">
        <f>Z83+Z87</f>
        <v/>
      </c>
      <c r="AA86" s="8" t="n"/>
      <c r="AB86" s="8" t="n"/>
      <c r="AC86" s="65" t="n"/>
      <c r="AD86" s="65" t="n"/>
      <c r="AE86" s="65" t="n"/>
      <c r="AF86" s="65" t="n"/>
      <c r="AG86" s="65" t="n"/>
      <c r="AH86" s="65" t="n"/>
      <c r="AI86" s="134" t="n">
        <v>0</v>
      </c>
      <c r="AJ86" s="134" t="n">
        <v>0</v>
      </c>
      <c r="AK86" s="134" t="n">
        <v>0</v>
      </c>
      <c r="AL86" s="134" t="n">
        <v>0</v>
      </c>
      <c r="AM86" s="134" t="n">
        <v>0</v>
      </c>
      <c r="AN86" s="134" t="n">
        <v>0</v>
      </c>
      <c r="AO86" s="146">
        <f>SUM(AC86:AH86)+SUM(AI86:AN86)</f>
        <v/>
      </c>
      <c r="AP86" s="142">
        <f>IF(AB86&lt;&gt;0,(AO86-AB86)/ABS(AB86),0)</f>
        <v/>
      </c>
    </row>
    <row r="87">
      <c r="A87" s="65" t="n"/>
      <c r="B87" s="65" t="n">
        <v>-15777.83</v>
      </c>
      <c r="C87" s="65" t="n">
        <v>-31494.3</v>
      </c>
      <c r="D87" s="65" t="n">
        <v>-47767.26000000002</v>
      </c>
      <c r="E87" s="65" t="n">
        <v>-24032.97</v>
      </c>
      <c r="F87" s="65" t="n">
        <v>-13742.18</v>
      </c>
      <c r="G87" s="65" t="n">
        <v>-48519.64000000001</v>
      </c>
      <c r="H87" s="65" t="n">
        <v>-55791.83</v>
      </c>
      <c r="I87" s="65" t="n">
        <v>-10399.73</v>
      </c>
      <c r="J87" s="65" t="n">
        <v>-13761.58</v>
      </c>
      <c r="K87" s="65" t="n"/>
      <c r="L87" s="65" t="n"/>
      <c r="M87" s="65" t="n"/>
      <c r="N87" s="8" t="n"/>
      <c r="O87" s="65">
        <f>SUM('ABA TB'!C2:C44)</f>
        <v/>
      </c>
      <c r="P87" s="65">
        <f>SUM('ABA TB'!D2:D44)</f>
        <v/>
      </c>
      <c r="Q87" s="65">
        <f>SUM('ABA TB'!E2:E44)</f>
        <v/>
      </c>
      <c r="R87" s="65">
        <f>SUM('ABA TB'!F2:F44)</f>
        <v/>
      </c>
      <c r="S87" s="65">
        <f>SUM('ABA TB'!G2:G44)</f>
        <v/>
      </c>
      <c r="T87" s="65">
        <f>SUM('ABA TB'!H2:H44)</f>
        <v/>
      </c>
      <c r="U87" s="65">
        <f>SUM('ABA TB'!I2:I44)</f>
        <v/>
      </c>
      <c r="V87" s="65">
        <f>SUM('ABA TB'!J2:J44)</f>
        <v/>
      </c>
      <c r="W87" s="65">
        <f>SUM('ABA TB'!K2:K44)</f>
        <v/>
      </c>
      <c r="X87" s="65">
        <f>SUM('ABA TB'!L2:L44)</f>
        <v/>
      </c>
      <c r="Y87" s="65">
        <f>SUM('ABA TB'!M2:M44)</f>
        <v/>
      </c>
      <c r="Z87" s="65">
        <f>SUM('ABA TB'!N2:N44)</f>
        <v/>
      </c>
      <c r="AA87" s="8" t="n"/>
      <c r="AB87" s="8" t="n"/>
      <c r="AC87" s="65" t="n"/>
      <c r="AD87" s="65" t="n"/>
      <c r="AE87" s="65" t="n"/>
      <c r="AF87" s="65" t="n"/>
      <c r="AG87" s="65" t="n"/>
      <c r="AH87" s="65" t="n"/>
      <c r="AI87" s="134" t="n">
        <v>0</v>
      </c>
      <c r="AJ87" s="134" t="n">
        <v>0</v>
      </c>
      <c r="AK87" s="134" t="n">
        <v>0</v>
      </c>
      <c r="AL87" s="134" t="n">
        <v>0</v>
      </c>
      <c r="AM87" s="134" t="n">
        <v>0</v>
      </c>
      <c r="AN87" s="134" t="n">
        <v>0</v>
      </c>
      <c r="AO87" s="146">
        <f>SUM(AC87:AH87)+SUM(AI87:AN87)</f>
        <v/>
      </c>
      <c r="AP87" s="142">
        <f>IF(AB87&lt;&gt;0,(AO87-AB87)/ABS(AB87),0)</f>
        <v/>
      </c>
    </row>
    <row r="88">
      <c r="A88" s="22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28515625" customWidth="1" min="27" max="27"/>
    <col width="8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Bees Knees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n"/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>
        <f>SUM(O8:O9)</f>
        <v/>
      </c>
      <c r="P6" s="31">
        <f>SUM(P8:P9)</f>
        <v/>
      </c>
      <c r="Q6" s="31">
        <f>SUM(Q8:Q9)</f>
        <v/>
      </c>
      <c r="R6" s="31">
        <f>SUM(R8:R9)</f>
        <v/>
      </c>
      <c r="S6" s="31">
        <f>SUM(S8:S9)</f>
        <v/>
      </c>
      <c r="T6" s="31">
        <f>SUM(T8:T9)</f>
        <v/>
      </c>
      <c r="U6" s="31">
        <f>SUM(U8:U9)</f>
        <v/>
      </c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127" t="n">
        <v>0</v>
      </c>
      <c r="AJ6" s="128" t="n">
        <v>0</v>
      </c>
      <c r="AK6" s="128" t="n">
        <v>0</v>
      </c>
      <c r="AL6" s="128" t="n">
        <v>0</v>
      </c>
      <c r="AM6" s="129" t="n">
        <v>0</v>
      </c>
      <c r="AN6" s="127" t="n">
        <v>0</v>
      </c>
      <c r="AO6" s="121">
        <f>SUM(AC6:AH6)+SUM(AI6:AN6)</f>
        <v/>
      </c>
      <c r="AP6" s="122">
        <f>IF(AB6&lt;&gt;0,(AO6-AB6)/ABS(AB6),0)</f>
        <v/>
      </c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28822.91</v>
      </c>
      <c r="C8" s="35" t="n">
        <v>27527.48</v>
      </c>
      <c r="D8" s="35" t="n">
        <v>31969.83</v>
      </c>
      <c r="E8" s="35" t="n">
        <v>35157.71</v>
      </c>
      <c r="F8" s="35" t="n">
        <v>28423.99</v>
      </c>
      <c r="G8" s="35" t="n">
        <v>26822.46</v>
      </c>
      <c r="H8" s="35" t="n">
        <v>35071.73</v>
      </c>
      <c r="I8" s="35" t="n">
        <v>29292.16</v>
      </c>
      <c r="J8" s="35" t="n">
        <v>20414.75</v>
      </c>
      <c r="K8" s="35" t="n">
        <v>19819.13</v>
      </c>
      <c r="L8" s="35" t="n">
        <v>18348.67</v>
      </c>
      <c r="M8" s="35" t="n">
        <v>27249.99</v>
      </c>
      <c r="N8" s="36">
        <f>SUM(B8:M8)</f>
        <v/>
      </c>
      <c r="O8" s="37">
        <f>-SUMIF('BK TB '!$R:$R,'BK P&amp;L'!$A8,'BK TB '!C:C)</f>
        <v/>
      </c>
      <c r="P8" s="37">
        <f>-SUMIF('BK TB '!$R:$R,'BK P&amp;L'!$A8,'BK TB '!D:D)</f>
        <v/>
      </c>
      <c r="Q8" s="37">
        <f>-SUMIF('BK TB '!$R:$R,'BK P&amp;L'!$A8,'BK TB '!E:E)</f>
        <v/>
      </c>
      <c r="R8" s="37">
        <f>-SUMIF('BK TB '!$R:$R,'BK P&amp;L'!$A8,'BK TB '!F:F)</f>
        <v/>
      </c>
      <c r="S8" s="37">
        <f>-SUMIF('BK TB '!$R:$R,'BK P&amp;L'!$A8,'BK TB '!G:G)</f>
        <v/>
      </c>
      <c r="T8" s="37">
        <f>-SUMIF('BK TB '!$R:$R,'BK P&amp;L'!$A8,'BK TB '!H:H)</f>
        <v/>
      </c>
      <c r="U8" s="37">
        <f>-SUMIF('BK TB '!$R:$R,'BK P&amp;L'!$A8,'BK TB '!I:I)</f>
        <v/>
      </c>
      <c r="V8" s="38" t="n">
        <v>22776</v>
      </c>
      <c r="W8" s="38" t="n">
        <v>16164</v>
      </c>
      <c r="X8" s="38" t="n">
        <v>15373</v>
      </c>
      <c r="Y8" s="38" t="n">
        <v>14600</v>
      </c>
      <c r="Z8" s="38" t="n">
        <v>19758</v>
      </c>
      <c r="AA8" s="36">
        <f>SUM(O8:U8)</f>
        <v/>
      </c>
      <c r="AB8" s="36">
        <f>SUM(O8:Z8)</f>
        <v/>
      </c>
      <c r="AC8" s="38" t="n">
        <v>33849.27</v>
      </c>
      <c r="AD8" s="38" t="n">
        <v>40863.29</v>
      </c>
      <c r="AE8" s="38" t="n">
        <v>33168.87</v>
      </c>
      <c r="AF8" s="38" t="n">
        <v>37302.1</v>
      </c>
      <c r="AG8" s="38" t="n">
        <v>39624.94</v>
      </c>
      <c r="AH8" s="38" t="n">
        <v>49227.72</v>
      </c>
      <c r="AI8" s="118" t="n">
        <v>49227.72</v>
      </c>
      <c r="AJ8" s="119" t="n">
        <v>49227.72</v>
      </c>
      <c r="AK8" s="119" t="n">
        <v>49227.72</v>
      </c>
      <c r="AL8" s="119" t="n">
        <v>49227.72</v>
      </c>
      <c r="AM8" s="120" t="n">
        <v>49227.72</v>
      </c>
      <c r="AN8" s="118" t="n">
        <v>49227.72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8562.4</v>
      </c>
      <c r="C9" s="35" t="n">
        <v>8562.4</v>
      </c>
      <c r="D9" s="35" t="n">
        <v>33256.45</v>
      </c>
      <c r="E9" s="35" t="n">
        <v>10591.2</v>
      </c>
      <c r="F9" s="35" t="n">
        <v>10591.2</v>
      </c>
      <c r="G9" s="35" t="n">
        <v>21480.3</v>
      </c>
      <c r="H9" s="35" t="n">
        <v>21480.3</v>
      </c>
      <c r="I9" s="35" t="n">
        <v>0</v>
      </c>
      <c r="J9" s="35" t="n">
        <v>15872.22</v>
      </c>
      <c r="K9" s="35" t="n">
        <v>15872.22</v>
      </c>
      <c r="L9" s="35" t="n">
        <v>18615.75</v>
      </c>
      <c r="M9" s="35" t="n">
        <v>19798.35</v>
      </c>
      <c r="N9" s="36">
        <f>SUM(B9:M9)</f>
        <v/>
      </c>
      <c r="O9" s="37">
        <f>-SUMIF('BK TB '!$R:$R,'BK P&amp;L'!$A9,'BK TB '!C:C)</f>
        <v/>
      </c>
      <c r="P9" s="37">
        <f>-SUMIF('BK TB '!$R:$R,'BK P&amp;L'!$A9,'BK TB '!D:D)</f>
        <v/>
      </c>
      <c r="Q9" s="37">
        <f>-SUMIF('BK TB '!$R:$R,'BK P&amp;L'!$A9,'BK TB '!E:E)</f>
        <v/>
      </c>
      <c r="R9" s="37">
        <f>-SUMIF('BK TB '!$R:$R,'BK P&amp;L'!$A9,'BK TB '!F:F)</f>
        <v/>
      </c>
      <c r="S9" s="37">
        <f>-SUMIF('BK TB '!$R:$R,'BK P&amp;L'!$A9,'BK TB '!G:G)</f>
        <v/>
      </c>
      <c r="T9" s="37">
        <f>-SUMIF('BK TB '!$R:$R,'BK P&amp;L'!$A9,'BK TB '!H:H)</f>
        <v/>
      </c>
      <c r="U9" s="37">
        <f>-SUMIF('BK TB '!$R:$R,'BK P&amp;L'!$A9,'BK TB '!I:I)</f>
        <v/>
      </c>
      <c r="V9" s="38" t="n"/>
      <c r="W9" s="38" t="n">
        <v>16184.02</v>
      </c>
      <c r="X9" s="38" t="n">
        <v>17636</v>
      </c>
      <c r="Y9" s="38" t="n">
        <v>17121</v>
      </c>
      <c r="Z9" s="38" t="n">
        <v>9939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8" t="n">
        <v>0</v>
      </c>
      <c r="AJ9" s="119" t="n">
        <v>0</v>
      </c>
      <c r="AK9" s="119" t="n">
        <v>0</v>
      </c>
      <c r="AL9" s="119" t="n">
        <v>0</v>
      </c>
      <c r="AM9" s="120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100</v>
      </c>
      <c r="C10" s="35" t="n">
        <v>0</v>
      </c>
      <c r="D10" s="35" t="n">
        <v>100</v>
      </c>
      <c r="E10" s="35" t="n">
        <v>300</v>
      </c>
      <c r="F10" s="35" t="n">
        <v>0</v>
      </c>
      <c r="G10" s="35" t="n">
        <v>300</v>
      </c>
      <c r="H10" s="35" t="n">
        <v>0</v>
      </c>
      <c r="I10" s="35" t="n">
        <v>2568.76</v>
      </c>
      <c r="J10" s="35" t="n">
        <v>450</v>
      </c>
      <c r="K10" s="35" t="n">
        <v>150</v>
      </c>
      <c r="L10" s="35" t="n">
        <v>300</v>
      </c>
      <c r="M10" s="35" t="n">
        <v>300</v>
      </c>
      <c r="N10" s="36">
        <f>SUM(B10:M10)</f>
        <v/>
      </c>
      <c r="O10" s="37">
        <f>-SUMIF('BK TB '!$R:$R,'BK P&amp;L'!$A10,'BK TB '!C:C)</f>
        <v/>
      </c>
      <c r="P10" s="37">
        <f>-SUMIF('BK TB '!$R:$R,'BK P&amp;L'!$A10,'BK TB '!D:D)</f>
        <v/>
      </c>
      <c r="Q10" s="37">
        <f>-SUMIF('BK TB '!$R:$R,'BK P&amp;L'!$A10,'BK TB '!E:E)</f>
        <v/>
      </c>
      <c r="R10" s="37">
        <f>-SUMIF('BK TB '!$R:$R,'BK P&amp;L'!$A10,'BK TB '!F:F)</f>
        <v/>
      </c>
      <c r="S10" s="37">
        <f>-SUMIF('BK TB '!$R:$R,'BK P&amp;L'!$A10,'BK TB '!G:G)</f>
        <v/>
      </c>
      <c r="T10" s="37">
        <f>-SUMIF('BK TB '!$R:$R,'BK P&amp;L'!$A10,'BK TB '!H:H)</f>
        <v/>
      </c>
      <c r="U10" s="37">
        <f>-SUMIF('BK TB '!$R:$R,'BK P&amp;L'!$A10,'BK TB 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8" t="n">
        <v>0</v>
      </c>
      <c r="AJ10" s="119" t="n">
        <v>0</v>
      </c>
      <c r="AK10" s="119" t="n">
        <v>0</v>
      </c>
      <c r="AL10" s="119" t="n">
        <v>0</v>
      </c>
      <c r="AM10" s="120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37485.31</v>
      </c>
      <c r="C11" s="42" t="n">
        <v>36089.88</v>
      </c>
      <c r="D11" s="42" t="n">
        <v>65326.28</v>
      </c>
      <c r="E11" s="42" t="n">
        <v>46048.91</v>
      </c>
      <c r="F11" s="42" t="n">
        <v>39015.19</v>
      </c>
      <c r="G11" s="42" t="n">
        <v>48602.76</v>
      </c>
      <c r="H11" s="42" t="n">
        <v>56552.03</v>
      </c>
      <c r="I11" s="42" t="n">
        <v>31860.92</v>
      </c>
      <c r="J11" s="42" t="n">
        <v>36736.97</v>
      </c>
      <c r="K11" s="42" t="n">
        <v>35841.35</v>
      </c>
      <c r="L11" s="42" t="n">
        <v>37264.42</v>
      </c>
      <c r="M11" s="42" t="n">
        <v>47348.34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3">
        <f>SUM(AI8:AI10)</f>
        <v/>
      </c>
      <c r="AJ11" s="124">
        <f>SUM(AJ8:AJ10)</f>
        <v/>
      </c>
      <c r="AK11" s="124">
        <f>SUM(AK8:AK10)</f>
        <v/>
      </c>
      <c r="AL11" s="124">
        <f>SUM(AL8:AL10)</f>
        <v/>
      </c>
      <c r="AM11" s="124">
        <f>SUM(AM8:AM10)</f>
        <v/>
      </c>
      <c r="AN11" s="123">
        <f>SUM(AN8:AN10)</f>
        <v/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7" t="n">
        <v>0</v>
      </c>
      <c r="AJ12" s="128" t="n">
        <v>0</v>
      </c>
      <c r="AK12" s="128" t="n">
        <v>0</v>
      </c>
      <c r="AL12" s="128" t="n">
        <v>0</v>
      </c>
      <c r="AM12" s="129" t="n">
        <v>0</v>
      </c>
      <c r="AN12" s="127" t="n">
        <v>0</v>
      </c>
      <c r="AO12" s="121">
        <f>SUM(AC12:AH12)+SUM(AI12:AN12)</f>
        <v/>
      </c>
      <c r="AP12" s="122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 t="n">
        <v>0</v>
      </c>
      <c r="AJ13" s="131" t="n">
        <v>0</v>
      </c>
      <c r="AK13" s="131" t="n">
        <v>0</v>
      </c>
      <c r="AL13" s="131" t="n">
        <v>0</v>
      </c>
      <c r="AM13" s="132" t="n">
        <v>0</v>
      </c>
      <c r="AN13" s="130" t="n">
        <v>0</v>
      </c>
      <c r="AO13" s="133">
        <f>SUM(AC13:AH13)+SUM(AI13:AN13)</f>
        <v/>
      </c>
      <c r="AP13" s="122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17812.5</v>
      </c>
      <c r="C16" s="35" t="n">
        <v>17339.68</v>
      </c>
      <c r="D16" s="35" t="n">
        <v>20177.72</v>
      </c>
      <c r="E16" s="35" t="n">
        <v>22232.54</v>
      </c>
      <c r="F16" s="35" t="n">
        <v>22270.94</v>
      </c>
      <c r="G16" s="35" t="n">
        <v>23588.71</v>
      </c>
      <c r="H16" s="35" t="n">
        <v>23343.5</v>
      </c>
      <c r="I16" s="35" t="n">
        <v>23511.85</v>
      </c>
      <c r="J16" s="35" t="n">
        <v>20681.56</v>
      </c>
      <c r="K16" s="35" t="n">
        <v>22301.58</v>
      </c>
      <c r="L16" s="35" t="n">
        <v>19748.45</v>
      </c>
      <c r="M16" s="35" t="n">
        <v>21714.13</v>
      </c>
      <c r="N16" s="36">
        <f>SUM(B16:M16)</f>
        <v/>
      </c>
      <c r="O16" s="37">
        <f>SUMIF('BK TB '!$R:$R,'BK P&amp;L'!$A16,'BK TB '!C:C)</f>
        <v/>
      </c>
      <c r="P16" s="37">
        <f>SUMIF('BK TB '!$R:$R,'BK P&amp;L'!$A16,'BK TB '!D:D)</f>
        <v/>
      </c>
      <c r="Q16" s="37">
        <f>SUMIF('BK TB '!$R:$R,'BK P&amp;L'!$A16,'BK TB '!E:E)</f>
        <v/>
      </c>
      <c r="R16" s="37">
        <f>SUMIF('BK TB '!$R:$R,'BK P&amp;L'!$A16,'BK TB '!F:F)</f>
        <v/>
      </c>
      <c r="S16" s="37">
        <f>SUMIF('BK TB '!$R:$R,'BK P&amp;L'!$A16,'BK TB '!G:G)</f>
        <v/>
      </c>
      <c r="T16" s="37">
        <f>SUMIF('BK TB '!$R:$R,'BK P&amp;L'!$A16,'BK TB '!H:H)</f>
        <v/>
      </c>
      <c r="U16" s="37">
        <f>SUMIF('BK TB '!$R:$R,'BK P&amp;L'!$A16,'BK TB '!I:I)</f>
        <v/>
      </c>
      <c r="V16" s="38" t="n">
        <v>23226.6</v>
      </c>
      <c r="W16" s="38" t="n">
        <v>23226.6</v>
      </c>
      <c r="X16" s="38" t="n">
        <v>23226.6</v>
      </c>
      <c r="Y16" s="38" t="n">
        <v>23226.6</v>
      </c>
      <c r="Z16" s="38" t="n">
        <v>23226.6</v>
      </c>
      <c r="AA16" s="36">
        <f>SUM(O16:U16)</f>
        <v/>
      </c>
      <c r="AB16" s="36">
        <f>SUM(O16:Z16)</f>
        <v/>
      </c>
      <c r="AC16" s="38" t="n">
        <v>23226.6</v>
      </c>
      <c r="AD16" s="38" t="n">
        <v>23226.6</v>
      </c>
      <c r="AE16" s="38" t="n">
        <v>23226.6</v>
      </c>
      <c r="AF16" s="38" t="n">
        <v>23226.6</v>
      </c>
      <c r="AG16" s="38" t="n">
        <v>23226.6</v>
      </c>
      <c r="AH16" s="38" t="n">
        <v>23226.6</v>
      </c>
      <c r="AI16" s="118" t="n">
        <v>23226.6</v>
      </c>
      <c r="AJ16" s="119" t="n">
        <v>23226.6</v>
      </c>
      <c r="AK16" s="119" t="n">
        <v>23226.6</v>
      </c>
      <c r="AL16" s="119" t="n">
        <v>23226.6</v>
      </c>
      <c r="AM16" s="120" t="n">
        <v>23226.6</v>
      </c>
      <c r="AN16" s="118" t="n">
        <v>23226.6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1475.26</v>
      </c>
      <c r="C17" s="35" t="n">
        <v>1417.07</v>
      </c>
      <c r="D17" s="35" t="n">
        <v>1686.46</v>
      </c>
      <c r="E17" s="35" t="n">
        <v>2563.92</v>
      </c>
      <c r="F17" s="35" t="n">
        <v>2567.89</v>
      </c>
      <c r="G17" s="35" t="n">
        <v>2767.34</v>
      </c>
      <c r="H17" s="35" t="n">
        <v>2749.77</v>
      </c>
      <c r="I17" s="35" t="n">
        <v>2755.82</v>
      </c>
      <c r="J17" s="35" t="n">
        <v>2340.87</v>
      </c>
      <c r="K17" s="35" t="n">
        <v>2518.95</v>
      </c>
      <c r="L17" s="35" t="n">
        <v>2309.57</v>
      </c>
      <c r="M17" s="35" t="n">
        <v>2480.48</v>
      </c>
      <c r="N17" s="36">
        <f>SUM(B17:M17)</f>
        <v/>
      </c>
      <c r="O17" s="37">
        <f>SUMIF('BK TB '!$R:$R,'BK P&amp;L'!$A17,'BK TB '!C:C)</f>
        <v/>
      </c>
      <c r="P17" s="37">
        <f>SUMIF('BK TB '!$R:$R,'BK P&amp;L'!$A17,'BK TB '!D:D)</f>
        <v/>
      </c>
      <c r="Q17" s="37">
        <f>SUMIF('BK TB '!$R:$R,'BK P&amp;L'!$A17,'BK TB '!E:E)</f>
        <v/>
      </c>
      <c r="R17" s="37">
        <f>SUMIF('BK TB '!$R:$R,'BK P&amp;L'!$A17,'BK TB '!F:F)</f>
        <v/>
      </c>
      <c r="S17" s="37">
        <f>SUMIF('BK TB '!$R:$R,'BK P&amp;L'!$A17,'BK TB '!G:G)</f>
        <v/>
      </c>
      <c r="T17" s="37">
        <f>SUMIF('BK TB '!$R:$R,'BK P&amp;L'!$A17,'BK TB '!H:H)</f>
        <v/>
      </c>
      <c r="U17" s="37">
        <f>SUMIF('BK TB '!$R:$R,'BK P&amp;L'!$A17,'BK TB '!I:I)</f>
        <v/>
      </c>
      <c r="V17" s="38" t="n">
        <v>2177.1</v>
      </c>
      <c r="W17" s="38" t="n">
        <v>2177.1</v>
      </c>
      <c r="X17" s="38" t="n">
        <v>2177.1</v>
      </c>
      <c r="Y17" s="38" t="n">
        <v>2177.1</v>
      </c>
      <c r="Z17" s="38" t="n">
        <v>2177.1</v>
      </c>
      <c r="AA17" s="36">
        <f>SUM(O17:U17)</f>
        <v/>
      </c>
      <c r="AB17" s="36">
        <f>SUM(O17:Z17)</f>
        <v/>
      </c>
      <c r="AC17" s="38" t="n">
        <v>2177.1</v>
      </c>
      <c r="AD17" s="38" t="n">
        <v>2177.1</v>
      </c>
      <c r="AE17" s="38" t="n">
        <v>2177.1</v>
      </c>
      <c r="AF17" s="38" t="n">
        <v>2177.1</v>
      </c>
      <c r="AG17" s="38" t="n">
        <v>2177.1</v>
      </c>
      <c r="AH17" s="38" t="n">
        <v>2177.1</v>
      </c>
      <c r="AI17" s="118" t="n">
        <v>2177.1</v>
      </c>
      <c r="AJ17" s="119" t="n">
        <v>2177.1</v>
      </c>
      <c r="AK17" s="119" t="n">
        <v>2177.1</v>
      </c>
      <c r="AL17" s="119" t="n">
        <v>2177.1</v>
      </c>
      <c r="AM17" s="120" t="n">
        <v>2177.1</v>
      </c>
      <c r="AN17" s="118" t="n">
        <v>2177.1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347.13</v>
      </c>
      <c r="C18" s="35" t="n">
        <v>330.13</v>
      </c>
      <c r="D18" s="35" t="n">
        <v>333.41</v>
      </c>
      <c r="E18" s="35" t="n">
        <v>342.51</v>
      </c>
      <c r="F18" s="35" t="n">
        <v>397.67</v>
      </c>
      <c r="G18" s="35" t="n">
        <v>473.08</v>
      </c>
      <c r="H18" s="35" t="n">
        <v>489.34</v>
      </c>
      <c r="I18" s="35" t="n">
        <v>523.3099999999999</v>
      </c>
      <c r="J18" s="35" t="n">
        <v>440.32</v>
      </c>
      <c r="K18" s="35" t="n">
        <v>418.9</v>
      </c>
      <c r="L18" s="35" t="n">
        <v>382.73</v>
      </c>
      <c r="M18" s="35" t="n">
        <v>421.5700000000001</v>
      </c>
      <c r="N18" s="36">
        <f>SUM(B18:M18)</f>
        <v/>
      </c>
      <c r="O18" s="37">
        <f>SUMIF('BK TB '!$R:$R,'BK P&amp;L'!$A18,'BK TB '!C:C)</f>
        <v/>
      </c>
      <c r="P18" s="37">
        <f>SUMIF('BK TB '!$R:$R,'BK P&amp;L'!$A18,'BK TB '!D:D)</f>
        <v/>
      </c>
      <c r="Q18" s="37">
        <f>SUMIF('BK TB '!$R:$R,'BK P&amp;L'!$A18,'BK TB '!E:E)</f>
        <v/>
      </c>
      <c r="R18" s="37">
        <f>SUMIF('BK TB '!$R:$R,'BK P&amp;L'!$A18,'BK TB '!F:F)</f>
        <v/>
      </c>
      <c r="S18" s="37">
        <f>SUMIF('BK TB '!$R:$R,'BK P&amp;L'!$A18,'BK TB '!G:G)</f>
        <v/>
      </c>
      <c r="T18" s="37">
        <f>SUMIF('BK TB '!$R:$R,'BK P&amp;L'!$A18,'BK TB '!H:H)</f>
        <v/>
      </c>
      <c r="U18" s="37">
        <f>SUMIF('BK TB '!$R:$R,'BK P&amp;L'!$A18,'BK TB '!I:I)</f>
        <v/>
      </c>
      <c r="V18" s="38" t="n">
        <v>413.76</v>
      </c>
      <c r="W18" s="38" t="n">
        <v>413.76</v>
      </c>
      <c r="X18" s="38" t="n">
        <v>413.76</v>
      </c>
      <c r="Y18" s="38" t="n">
        <v>413.76</v>
      </c>
      <c r="Z18" s="38" t="n">
        <v>413.76</v>
      </c>
      <c r="AA18" s="36">
        <f>SUM(O18:U18)</f>
        <v/>
      </c>
      <c r="AB18" s="36">
        <f>SUM(O18:Z18)</f>
        <v/>
      </c>
      <c r="AC18" s="38" t="n">
        <v>413.76</v>
      </c>
      <c r="AD18" s="38" t="n">
        <v>413.76</v>
      </c>
      <c r="AE18" s="38" t="n">
        <v>413.76</v>
      </c>
      <c r="AF18" s="38" t="n">
        <v>413.76</v>
      </c>
      <c r="AG18" s="38" t="n">
        <v>413.76</v>
      </c>
      <c r="AH18" s="38" t="n">
        <v>413.76</v>
      </c>
      <c r="AI18" s="118" t="n">
        <v>413.76</v>
      </c>
      <c r="AJ18" s="119" t="n">
        <v>413.76</v>
      </c>
      <c r="AK18" s="119" t="n">
        <v>413.76</v>
      </c>
      <c r="AL18" s="119" t="n">
        <v>413.76</v>
      </c>
      <c r="AM18" s="120" t="n">
        <v>413.76</v>
      </c>
      <c r="AN18" s="118" t="n">
        <v>413.76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59.28</v>
      </c>
      <c r="D19" s="35" t="n">
        <v>0</v>
      </c>
      <c r="E19" s="35" t="n">
        <v>105.18</v>
      </c>
      <c r="F19" s="35" t="n">
        <v>155.4</v>
      </c>
      <c r="G19" s="35" t="n">
        <v>104.69</v>
      </c>
      <c r="H19" s="35" t="n">
        <v>11.99</v>
      </c>
      <c r="I19" s="35" t="n">
        <v>0</v>
      </c>
      <c r="J19" s="35" t="n">
        <v>0</v>
      </c>
      <c r="K19" s="35" t="n">
        <v>0</v>
      </c>
      <c r="L19" s="35" t="n">
        <v>0</v>
      </c>
      <c r="M19" s="35" t="n">
        <v>401.76</v>
      </c>
      <c r="N19" s="36">
        <f>SUM(B19:M19)</f>
        <v/>
      </c>
      <c r="O19" s="37">
        <f>SUMIF('BK TB '!$R:$R,'BK P&amp;L'!$A19,'BK TB '!C:C)</f>
        <v/>
      </c>
      <c r="P19" s="37">
        <f>SUMIF('BK TB '!$R:$R,'BK P&amp;L'!$A19,'BK TB '!D:D)</f>
        <v/>
      </c>
      <c r="Q19" s="37">
        <f>SUMIF('BK TB '!$R:$R,'BK P&amp;L'!$A19,'BK TB '!E:E)</f>
        <v/>
      </c>
      <c r="R19" s="37">
        <f>SUMIF('BK TB '!$R:$R,'BK P&amp;L'!$A19,'BK TB '!F:F)</f>
        <v/>
      </c>
      <c r="S19" s="37">
        <f>SUMIF('BK TB '!$R:$R,'BK P&amp;L'!$A19,'BK TB '!G:G)</f>
        <v/>
      </c>
      <c r="T19" s="37">
        <f>SUMIF('BK TB '!$R:$R,'BK P&amp;L'!$A19,'BK TB '!H:H)</f>
        <v/>
      </c>
      <c r="U19" s="37">
        <f>SUMIF('BK TB '!$R:$R,'BK P&amp;L'!$A19,'BK TB '!I:I)</f>
        <v/>
      </c>
      <c r="V19" s="38" t="n">
        <v>50</v>
      </c>
      <c r="W19" s="38" t="n">
        <v>50</v>
      </c>
      <c r="X19" s="38" t="n">
        <v>50</v>
      </c>
      <c r="Y19" s="38" t="n">
        <v>50</v>
      </c>
      <c r="Z19" s="38" t="n">
        <v>50</v>
      </c>
      <c r="AA19" s="36">
        <f>SUM(O19:U19)</f>
        <v/>
      </c>
      <c r="AB19" s="36">
        <f>SUM(O19:Z19)</f>
        <v/>
      </c>
      <c r="AC19" s="38" t="n">
        <v>50</v>
      </c>
      <c r="AD19" s="38" t="n">
        <v>50</v>
      </c>
      <c r="AE19" s="38" t="n">
        <v>50</v>
      </c>
      <c r="AF19" s="38" t="n">
        <v>50</v>
      </c>
      <c r="AG19" s="38" t="n">
        <v>50</v>
      </c>
      <c r="AH19" s="38" t="n">
        <v>50</v>
      </c>
      <c r="AI19" s="118" t="n">
        <v>50</v>
      </c>
      <c r="AJ19" s="119" t="n">
        <v>50</v>
      </c>
      <c r="AK19" s="119" t="n">
        <v>50</v>
      </c>
      <c r="AL19" s="119" t="n">
        <v>50</v>
      </c>
      <c r="AM19" s="120" t="n">
        <v>50</v>
      </c>
      <c r="AN19" s="118" t="n">
        <v>50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57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24</v>
      </c>
      <c r="H20" s="35" t="n">
        <v>0</v>
      </c>
      <c r="I20" s="35" t="n">
        <v>33</v>
      </c>
      <c r="J20" s="35" t="n">
        <v>0</v>
      </c>
      <c r="K20" s="35" t="n">
        <v>684</v>
      </c>
      <c r="L20" s="35" t="n">
        <v>172.6</v>
      </c>
      <c r="M20" s="35" t="n">
        <v>384</v>
      </c>
      <c r="N20" s="36">
        <f>SUM(B20:M20)</f>
        <v/>
      </c>
      <c r="O20" s="37">
        <f>SUMIF('BK TB '!$R:$R,'BK P&amp;L'!$A20,'BK TB '!C:C)</f>
        <v/>
      </c>
      <c r="P20" s="37">
        <f>SUMIF('BK TB '!$R:$R,'BK P&amp;L'!$A20,'BK TB '!D:D)</f>
        <v/>
      </c>
      <c r="Q20" s="37">
        <f>SUMIF('BK TB '!$R:$R,'BK P&amp;L'!$A20,'BK TB '!E:E)</f>
        <v/>
      </c>
      <c r="R20" s="37">
        <f>SUMIF('BK TB '!$R:$R,'BK P&amp;L'!$A20,'BK TB '!F:F)</f>
        <v/>
      </c>
      <c r="S20" s="37">
        <f>SUMIF('BK TB '!$R:$R,'BK P&amp;L'!$A20,'BK TB '!G:G)</f>
        <v/>
      </c>
      <c r="T20" s="37">
        <f>SUMIF('BK TB '!$R:$R,'BK P&amp;L'!$A20,'BK TB '!H:H)</f>
        <v/>
      </c>
      <c r="U20" s="37">
        <f>SUMIF('BK TB '!$R:$R,'BK P&amp;L'!$A20,'BK TB '!I:I)</f>
        <v/>
      </c>
      <c r="V20" s="38" t="n">
        <v>0</v>
      </c>
      <c r="W20" s="38" t="n">
        <v>0</v>
      </c>
      <c r="X20" s="38" t="n">
        <v>0</v>
      </c>
      <c r="Y20" s="38" t="n">
        <v>0</v>
      </c>
      <c r="Z20" s="38" t="n">
        <v>0</v>
      </c>
      <c r="AA20" s="36">
        <f>SUM(O20:U20)</f>
        <v/>
      </c>
      <c r="AB20" s="36">
        <f>SUM(O20:Z20)</f>
        <v/>
      </c>
      <c r="AC20" s="38" t="n">
        <v>0</v>
      </c>
      <c r="AD20" s="38" t="n">
        <v>0</v>
      </c>
      <c r="AE20" s="38" t="n">
        <v>0</v>
      </c>
      <c r="AF20" s="38" t="n">
        <v>0</v>
      </c>
      <c r="AG20" s="38" t="n">
        <v>0</v>
      </c>
      <c r="AH20" s="38" t="n">
        <v>0</v>
      </c>
      <c r="AI20" s="118" t="n">
        <v>0</v>
      </c>
      <c r="AJ20" s="119" t="n">
        <v>0</v>
      </c>
      <c r="AK20" s="119" t="n">
        <v>0</v>
      </c>
      <c r="AL20" s="119" t="n">
        <v>0</v>
      </c>
      <c r="AM20" s="120" t="n">
        <v>0</v>
      </c>
      <c r="AN20" s="118" t="n">
        <v>0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53.68</v>
      </c>
      <c r="C21" s="35" t="n">
        <v>350.21</v>
      </c>
      <c r="D21" s="35" t="n">
        <v>17.06</v>
      </c>
      <c r="E21" s="35" t="n">
        <v>46.05</v>
      </c>
      <c r="F21" s="35" t="n">
        <v>300.11</v>
      </c>
      <c r="G21" s="35" t="n">
        <v>272.05</v>
      </c>
      <c r="H21" s="35" t="n">
        <v>224.64</v>
      </c>
      <c r="I21" s="35" t="n">
        <v>246.79</v>
      </c>
      <c r="J21" s="35" t="n">
        <v>129.2</v>
      </c>
      <c r="K21" s="35" t="n">
        <v>88.43000000000001</v>
      </c>
      <c r="L21" s="35" t="n">
        <v>342.9</v>
      </c>
      <c r="M21" s="35" t="n">
        <v>243.13</v>
      </c>
      <c r="N21" s="36">
        <f>SUM(B21:M21)</f>
        <v/>
      </c>
      <c r="O21" s="37">
        <f>SUMIF('BK TB '!$R:$R,'BK P&amp;L'!$A21,'BK TB '!C:C)</f>
        <v/>
      </c>
      <c r="P21" s="37">
        <f>SUMIF('BK TB '!$R:$R,'BK P&amp;L'!$A21,'BK TB '!D:D)</f>
        <v/>
      </c>
      <c r="Q21" s="37">
        <f>SUMIF('BK TB '!$R:$R,'BK P&amp;L'!$A21,'BK TB '!E:E)</f>
        <v/>
      </c>
      <c r="R21" s="37">
        <f>SUMIF('BK TB '!$R:$R,'BK P&amp;L'!$A21,'BK TB '!F:F)</f>
        <v/>
      </c>
      <c r="S21" s="37">
        <f>SUMIF('BK TB '!$R:$R,'BK P&amp;L'!$A21,'BK TB '!G:G)</f>
        <v/>
      </c>
      <c r="T21" s="37">
        <f>SUMIF('BK TB '!$R:$R,'BK P&amp;L'!$A21,'BK TB '!H:H)</f>
        <v/>
      </c>
      <c r="U21" s="37">
        <f>SUMIF('BK TB '!$R:$R,'BK P&amp;L'!$A21,'BK TB '!I:I)</f>
        <v/>
      </c>
      <c r="V21" s="38" t="n">
        <v>80</v>
      </c>
      <c r="W21" s="38" t="n">
        <v>80</v>
      </c>
      <c r="X21" s="38" t="n">
        <v>80</v>
      </c>
      <c r="Y21" s="38" t="n">
        <v>80</v>
      </c>
      <c r="Z21" s="38" t="n">
        <v>80</v>
      </c>
      <c r="AA21" s="36">
        <f>SUM(O21:U21)</f>
        <v/>
      </c>
      <c r="AB21" s="36">
        <f>SUM(O21:Z21)</f>
        <v/>
      </c>
      <c r="AC21" s="38" t="n">
        <v>80</v>
      </c>
      <c r="AD21" s="38" t="n">
        <v>80</v>
      </c>
      <c r="AE21" s="38" t="n">
        <v>80</v>
      </c>
      <c r="AF21" s="38" t="n">
        <v>80</v>
      </c>
      <c r="AG21" s="38" t="n">
        <v>80</v>
      </c>
      <c r="AH21" s="38" t="n">
        <v>80</v>
      </c>
      <c r="AI21" s="118" t="n">
        <v>80</v>
      </c>
      <c r="AJ21" s="119" t="n">
        <v>80</v>
      </c>
      <c r="AK21" s="119" t="n">
        <v>80</v>
      </c>
      <c r="AL21" s="119" t="n">
        <v>80</v>
      </c>
      <c r="AM21" s="120" t="n">
        <v>80</v>
      </c>
      <c r="AN21" s="118" t="n">
        <v>80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3861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SUMIF('BK TB '!$R:$R,'BK P&amp;L'!$A22,'BK TB '!C:C)</f>
        <v/>
      </c>
      <c r="P22" s="37">
        <f>SUMIF('BK TB '!$R:$R,'BK P&amp;L'!$A22,'BK TB '!D:D)</f>
        <v/>
      </c>
      <c r="Q22" s="37">
        <f>SUMIF('BK TB '!$R:$R,'BK P&amp;L'!$A22,'BK TB '!E:E)</f>
        <v/>
      </c>
      <c r="R22" s="37">
        <f>SUMIF('BK TB '!$R:$R,'BK P&amp;L'!$A22,'BK TB '!F:F)</f>
        <v/>
      </c>
      <c r="S22" s="37">
        <f>SUMIF('BK TB '!$R:$R,'BK P&amp;L'!$A22,'BK TB '!G:G)</f>
        <v/>
      </c>
      <c r="T22" s="37">
        <f>SUMIF('BK TB '!$R:$R,'BK P&amp;L'!$A22,'BK TB '!H:H)</f>
        <v/>
      </c>
      <c r="U22" s="37">
        <f>SUMIF('BK TB '!$R:$R,'BK P&amp;L'!$A22,'BK TB 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8" t="n">
        <v>0</v>
      </c>
      <c r="AJ22" s="119" t="n">
        <v>0</v>
      </c>
      <c r="AK22" s="119" t="n">
        <v>0</v>
      </c>
      <c r="AL22" s="119" t="n">
        <v>0</v>
      </c>
      <c r="AM22" s="120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12.8</v>
      </c>
      <c r="I23" s="35" t="n">
        <v>0</v>
      </c>
      <c r="J23" s="35" t="n">
        <v>22.88</v>
      </c>
      <c r="K23" s="35" t="n">
        <v>0</v>
      </c>
      <c r="L23" s="35" t="n">
        <v>50.97</v>
      </c>
      <c r="M23" s="35" t="n">
        <v>88.44</v>
      </c>
      <c r="N23" s="36">
        <f>SUM(B23:M23)</f>
        <v/>
      </c>
      <c r="O23" s="37">
        <f>SUMIF('BK TB '!$R:$R,'BK P&amp;L'!$A23,'BK TB '!C:C)</f>
        <v/>
      </c>
      <c r="P23" s="37">
        <f>SUMIF('BK TB '!$R:$R,'BK P&amp;L'!$A23,'BK TB '!D:D)</f>
        <v/>
      </c>
      <c r="Q23" s="37">
        <f>SUMIF('BK TB '!$R:$R,'BK P&amp;L'!$A23,'BK TB '!E:E)</f>
        <v/>
      </c>
      <c r="R23" s="37">
        <f>SUMIF('BK TB '!$R:$R,'BK P&amp;L'!$A23,'BK TB '!F:F)</f>
        <v/>
      </c>
      <c r="S23" s="37">
        <f>SUMIF('BK TB '!$R:$R,'BK P&amp;L'!$A23,'BK TB '!G:G)</f>
        <v/>
      </c>
      <c r="T23" s="37">
        <f>SUMIF('BK TB '!$R:$R,'BK P&amp;L'!$A23,'BK TB '!H:H)</f>
        <v/>
      </c>
      <c r="U23" s="37">
        <f>SUMIF('BK TB '!$R:$R,'BK P&amp;L'!$A23,'BK TB '!I:I)</f>
        <v/>
      </c>
      <c r="V23" s="38" t="n">
        <v>33</v>
      </c>
      <c r="W23" s="38" t="n">
        <v>33</v>
      </c>
      <c r="X23" s="38" t="n">
        <v>33</v>
      </c>
      <c r="Y23" s="38" t="n">
        <v>33</v>
      </c>
      <c r="Z23" s="38" t="n">
        <v>33</v>
      </c>
      <c r="AA23" s="36">
        <f>SUM(O23:U23)</f>
        <v/>
      </c>
      <c r="AB23" s="36">
        <f>SUM(O23:Z23)</f>
        <v/>
      </c>
      <c r="AC23" s="38" t="n">
        <v>33</v>
      </c>
      <c r="AD23" s="38" t="n">
        <v>33</v>
      </c>
      <c r="AE23" s="38" t="n">
        <v>33</v>
      </c>
      <c r="AF23" s="38" t="n">
        <v>33</v>
      </c>
      <c r="AG23" s="38" t="n">
        <v>33</v>
      </c>
      <c r="AH23" s="38" t="n">
        <v>33</v>
      </c>
      <c r="AI23" s="118" t="n">
        <v>33</v>
      </c>
      <c r="AJ23" s="119" t="n">
        <v>33</v>
      </c>
      <c r="AK23" s="119" t="n">
        <v>33</v>
      </c>
      <c r="AL23" s="119" t="n">
        <v>33</v>
      </c>
      <c r="AM23" s="120" t="n">
        <v>33</v>
      </c>
      <c r="AN23" s="118" t="n">
        <v>33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475.44</v>
      </c>
      <c r="L24" s="35" t="n">
        <v>0</v>
      </c>
      <c r="M24" s="35" t="n">
        <v>0</v>
      </c>
      <c r="N24" s="36">
        <f>SUM(B24:M24)</f>
        <v/>
      </c>
      <c r="O24" s="37">
        <f>SUMIF('BK TB '!$R:$R,'BK P&amp;L'!$A24,'BK TB '!C:C)</f>
        <v/>
      </c>
      <c r="P24" s="37">
        <f>SUMIF('BK TB '!$R:$R,'BK P&amp;L'!$A24,'BK TB '!D:D)</f>
        <v/>
      </c>
      <c r="Q24" s="37">
        <f>SUMIF('BK TB '!$R:$R,'BK P&amp;L'!$A24,'BK TB '!E:E)</f>
        <v/>
      </c>
      <c r="R24" s="37">
        <f>SUMIF('BK TB '!$R:$R,'BK P&amp;L'!$A24,'BK TB '!F:F)</f>
        <v/>
      </c>
      <c r="S24" s="37">
        <f>SUMIF('BK TB '!$R:$R,'BK P&amp;L'!$A24,'BK TB '!G:G)</f>
        <v/>
      </c>
      <c r="T24" s="37">
        <f>SUMIF('BK TB '!$R:$R,'BK P&amp;L'!$A24,'BK TB '!H:H)</f>
        <v/>
      </c>
      <c r="U24" s="37">
        <f>SUMIF('BK TB '!$R:$R,'BK P&amp;L'!$A24,'BK TB 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8" t="n">
        <v>0</v>
      </c>
      <c r="AJ24" s="119" t="n">
        <v>0</v>
      </c>
      <c r="AK24" s="119" t="n">
        <v>0</v>
      </c>
      <c r="AL24" s="119" t="n">
        <v>0</v>
      </c>
      <c r="AM24" s="120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19745.57</v>
      </c>
      <c r="C25" s="42" t="n">
        <v>19496.37</v>
      </c>
      <c r="D25" s="42" t="n">
        <v>22214.65</v>
      </c>
      <c r="E25" s="42" t="n">
        <v>25290.2</v>
      </c>
      <c r="F25" s="42" t="n">
        <v>25692.01</v>
      </c>
      <c r="G25" s="42" t="n">
        <v>27229.87</v>
      </c>
      <c r="H25" s="42" t="n">
        <v>26832.04</v>
      </c>
      <c r="I25" s="42" t="n">
        <v>27070.77</v>
      </c>
      <c r="J25" s="42" t="n">
        <v>27475.83</v>
      </c>
      <c r="K25" s="42" t="n">
        <v>26487.3</v>
      </c>
      <c r="L25" s="42" t="n">
        <v>23007.22</v>
      </c>
      <c r="M25" s="42" t="n">
        <v>25733.51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3">
        <f>SUM(AI16:AI24)</f>
        <v/>
      </c>
      <c r="AJ25" s="124">
        <f>SUM(AJ16:AJ24)</f>
        <v/>
      </c>
      <c r="AK25" s="124">
        <f>SUM(AK16:AK24)</f>
        <v/>
      </c>
      <c r="AL25" s="124">
        <f>SUM(AL16:AL24)</f>
        <v/>
      </c>
      <c r="AM25" s="124">
        <f>SUM(AM16:AM24)</f>
        <v/>
      </c>
      <c r="AN25" s="123">
        <f>SUM(AN16:AN24)</f>
        <v/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7" t="n">
        <v>0</v>
      </c>
      <c r="AJ26" s="128" t="n">
        <v>0</v>
      </c>
      <c r="AK26" s="128" t="n">
        <v>0</v>
      </c>
      <c r="AL26" s="128" t="n">
        <v>0</v>
      </c>
      <c r="AM26" s="129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1233.99</v>
      </c>
      <c r="C27" s="35" t="n">
        <v>1338.85</v>
      </c>
      <c r="D27" s="35" t="n">
        <v>1128.13</v>
      </c>
      <c r="E27" s="35" t="n">
        <v>869.38</v>
      </c>
      <c r="F27" s="35" t="n">
        <v>1023.76</v>
      </c>
      <c r="G27" s="35" t="n">
        <v>988.9300000000001</v>
      </c>
      <c r="H27" s="35" t="n">
        <v>877.88</v>
      </c>
      <c r="I27" s="35" t="n">
        <v>1121.08</v>
      </c>
      <c r="J27" s="35" t="n">
        <v>1015.23</v>
      </c>
      <c r="K27" s="35" t="n">
        <v>1080.66</v>
      </c>
      <c r="L27" s="35" t="n">
        <v>1029.29</v>
      </c>
      <c r="M27" s="35" t="n">
        <v>1043.87</v>
      </c>
      <c r="N27" s="36">
        <f>SUM(B27:M27)</f>
        <v/>
      </c>
      <c r="O27" s="37">
        <f>SUMIF('BK TB '!$R:$R,'BK P&amp;L'!$A27,'BK TB '!C:C)</f>
        <v/>
      </c>
      <c r="P27" s="37">
        <f>SUMIF('BK TB '!$R:$R,'BK P&amp;L'!$A27,'BK TB '!D:D)</f>
        <v/>
      </c>
      <c r="Q27" s="37">
        <f>SUMIF('BK TB '!$R:$R,'BK P&amp;L'!$A27,'BK TB '!E:E)</f>
        <v/>
      </c>
      <c r="R27" s="37">
        <f>SUMIF('BK TB '!$R:$R,'BK P&amp;L'!$A27,'BK TB '!F:F)</f>
        <v/>
      </c>
      <c r="S27" s="37">
        <f>SUMIF('BK TB '!$R:$R,'BK P&amp;L'!$A27,'BK TB '!G:G)</f>
        <v/>
      </c>
      <c r="T27" s="37">
        <f>SUMIF('BK TB '!$R:$R,'BK P&amp;L'!$A27,'BK TB '!H:H)</f>
        <v/>
      </c>
      <c r="U27" s="37">
        <f>SUMIF('BK TB '!$R:$R,'BK P&amp;L'!$A27,'BK TB 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18" t="n">
        <v>0</v>
      </c>
      <c r="AJ27" s="119" t="n">
        <v>0</v>
      </c>
      <c r="AK27" s="119" t="n">
        <v>0</v>
      </c>
      <c r="AL27" s="119" t="n">
        <v>0</v>
      </c>
      <c r="AM27" s="120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85.72</v>
      </c>
      <c r="C28" s="35" t="n">
        <v>41.48999999999999</v>
      </c>
      <c r="D28" s="35" t="n">
        <v>55.22</v>
      </c>
      <c r="E28" s="35" t="n">
        <v>133.77</v>
      </c>
      <c r="F28" s="35" t="n">
        <v>115.2</v>
      </c>
      <c r="G28" s="35" t="n">
        <v>40.97</v>
      </c>
      <c r="H28" s="35" t="n">
        <v>119.18</v>
      </c>
      <c r="I28" s="35" t="n">
        <v>0</v>
      </c>
      <c r="J28" s="35" t="n">
        <v>937.3900000000001</v>
      </c>
      <c r="K28" s="35" t="n">
        <v>75.81999999999999</v>
      </c>
      <c r="L28" s="35" t="n">
        <v>34</v>
      </c>
      <c r="M28" s="35" t="n">
        <v>44.21</v>
      </c>
      <c r="N28" s="36">
        <f>SUM(B28:M28)</f>
        <v/>
      </c>
      <c r="O28" s="37">
        <f>SUMIF('BK TB '!$R:$R,'BK P&amp;L'!$A28,'BK TB '!C:C)</f>
        <v/>
      </c>
      <c r="P28" s="37">
        <f>SUMIF('BK TB '!$R:$R,'BK P&amp;L'!$A28,'BK TB '!D:D)</f>
        <v/>
      </c>
      <c r="Q28" s="37">
        <f>SUMIF('BK TB '!$R:$R,'BK P&amp;L'!$A28,'BK TB '!E:E)</f>
        <v/>
      </c>
      <c r="R28" s="37">
        <f>SUMIF('BK TB '!$R:$R,'BK P&amp;L'!$A28,'BK TB '!F:F)</f>
        <v/>
      </c>
      <c r="S28" s="37">
        <f>SUMIF('BK TB '!$R:$R,'BK P&amp;L'!$A28,'BK TB '!G:G)</f>
        <v/>
      </c>
      <c r="T28" s="37">
        <f>SUMIF('BK TB '!$R:$R,'BK P&amp;L'!$A28,'BK TB '!H:H)</f>
        <v/>
      </c>
      <c r="U28" s="37">
        <f>SUMIF('BK TB '!$R:$R,'BK P&amp;L'!$A28,'BK TB '!I:I)</f>
        <v/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118" t="n">
        <v>50</v>
      </c>
      <c r="AJ28" s="119" t="n">
        <v>50</v>
      </c>
      <c r="AK28" s="119" t="n">
        <v>50</v>
      </c>
      <c r="AL28" s="119" t="n">
        <v>50</v>
      </c>
      <c r="AM28" s="120" t="n">
        <v>50</v>
      </c>
      <c r="AN28" s="118" t="n">
        <v>50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17.82</v>
      </c>
      <c r="C29" s="35" t="n">
        <v>8.99</v>
      </c>
      <c r="D29" s="35" t="n">
        <v>190.08</v>
      </c>
      <c r="E29" s="35" t="n">
        <v>3.2</v>
      </c>
      <c r="F29" s="35" t="n">
        <v>10.24</v>
      </c>
      <c r="G29" s="35" t="n">
        <v>47.9</v>
      </c>
      <c r="H29" s="35" t="n">
        <v>43.28</v>
      </c>
      <c r="I29" s="35" t="n">
        <v>42.43</v>
      </c>
      <c r="J29" s="35" t="n">
        <v>148.76</v>
      </c>
      <c r="K29" s="35" t="n">
        <v>21.97</v>
      </c>
      <c r="L29" s="35" t="n">
        <v>152.01</v>
      </c>
      <c r="M29" s="35" t="n">
        <v>29.59</v>
      </c>
      <c r="N29" s="36">
        <f>SUM(B29:M29)</f>
        <v/>
      </c>
      <c r="O29" s="37">
        <f>SUMIF('BK TB '!$R:$R,'BK P&amp;L'!$A29,'BK TB '!C:C)</f>
        <v/>
      </c>
      <c r="P29" s="37">
        <f>SUMIF('BK TB '!$R:$R,'BK P&amp;L'!$A29,'BK TB '!D:D)</f>
        <v/>
      </c>
      <c r="Q29" s="37">
        <f>SUMIF('BK TB '!$R:$R,'BK P&amp;L'!$A29,'BK TB '!E:E)</f>
        <v/>
      </c>
      <c r="R29" s="37">
        <f>SUMIF('BK TB '!$R:$R,'BK P&amp;L'!$A29,'BK TB '!F:F)</f>
        <v/>
      </c>
      <c r="S29" s="37">
        <f>SUMIF('BK TB '!$R:$R,'BK P&amp;L'!$A29,'BK TB '!G:G)</f>
        <v/>
      </c>
      <c r="T29" s="37">
        <f>SUMIF('BK TB '!$R:$R,'BK P&amp;L'!$A29,'BK TB '!H:H)</f>
        <v/>
      </c>
      <c r="U29" s="37">
        <f>SUMIF('BK TB '!$R:$R,'BK P&amp;L'!$A29,'BK TB 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18" t="n">
        <v>0</v>
      </c>
      <c r="AJ29" s="119" t="n">
        <v>0</v>
      </c>
      <c r="AK29" s="119" t="n">
        <v>0</v>
      </c>
      <c r="AL29" s="119" t="n">
        <v>0</v>
      </c>
      <c r="AM29" s="120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7.64</v>
      </c>
      <c r="C30" s="35" t="n">
        <v>23.2</v>
      </c>
      <c r="D30" s="35" t="n">
        <v>31.14</v>
      </c>
      <c r="E30" s="35" t="n">
        <v>14.94</v>
      </c>
      <c r="F30" s="35" t="n">
        <v>11.95</v>
      </c>
      <c r="G30" s="35" t="n">
        <v>23.88</v>
      </c>
      <c r="H30" s="35" t="n">
        <v>107.69</v>
      </c>
      <c r="I30" s="35" t="n">
        <v>201.64</v>
      </c>
      <c r="J30" s="35" t="n">
        <v>13.58</v>
      </c>
      <c r="K30" s="35" t="n">
        <v>61.35</v>
      </c>
      <c r="L30" s="35" t="n">
        <v>13.78</v>
      </c>
      <c r="M30" s="35" t="n">
        <v>158.03</v>
      </c>
      <c r="N30" s="36">
        <f>SUM(B30:M30)</f>
        <v/>
      </c>
      <c r="O30" s="37">
        <f>SUMIF('BK TB '!$R:$R,'BK P&amp;L'!$A30,'BK TB '!C:C)</f>
        <v/>
      </c>
      <c r="P30" s="37">
        <f>SUMIF('BK TB '!$R:$R,'BK P&amp;L'!$A30,'BK TB '!D:D)</f>
        <v/>
      </c>
      <c r="Q30" s="37">
        <f>SUMIF('BK TB '!$R:$R,'BK P&amp;L'!$A30,'BK TB '!E:E)</f>
        <v/>
      </c>
      <c r="R30" s="37">
        <f>SUMIF('BK TB '!$R:$R,'BK P&amp;L'!$A30,'BK TB '!F:F)</f>
        <v/>
      </c>
      <c r="S30" s="37">
        <f>SUMIF('BK TB '!$R:$R,'BK P&amp;L'!$A30,'BK TB '!G:G)</f>
        <v/>
      </c>
      <c r="T30" s="37">
        <f>SUMIF('BK TB '!$R:$R,'BK P&amp;L'!$A30,'BK TB '!H:H)</f>
        <v/>
      </c>
      <c r="U30" s="37">
        <f>SUMIF('BK TB '!$R:$R,'BK P&amp;L'!$A30,'BK TB '!I:I)</f>
        <v/>
      </c>
      <c r="V30" s="38" t="n">
        <v>50</v>
      </c>
      <c r="W30" s="38" t="n">
        <v>50</v>
      </c>
      <c r="X30" s="38" t="n">
        <v>50</v>
      </c>
      <c r="Y30" s="38" t="n">
        <v>50</v>
      </c>
      <c r="Z30" s="38" t="n">
        <v>50</v>
      </c>
      <c r="AA30" s="36">
        <f>SUM(O30:U30)</f>
        <v/>
      </c>
      <c r="AB30" s="36">
        <f>SUM(O30:Z30)</f>
        <v/>
      </c>
      <c r="AC30" s="38" t="n">
        <v>50</v>
      </c>
      <c r="AD30" s="38" t="n">
        <v>50</v>
      </c>
      <c r="AE30" s="38" t="n">
        <v>50</v>
      </c>
      <c r="AF30" s="38" t="n">
        <v>50</v>
      </c>
      <c r="AG30" s="38" t="n">
        <v>50</v>
      </c>
      <c r="AH30" s="38" t="n">
        <v>50</v>
      </c>
      <c r="AI30" s="118" t="n">
        <v>50</v>
      </c>
      <c r="AJ30" s="119" t="n">
        <v>50</v>
      </c>
      <c r="AK30" s="119" t="n">
        <v>50</v>
      </c>
      <c r="AL30" s="119" t="n">
        <v>50</v>
      </c>
      <c r="AM30" s="120" t="n">
        <v>50</v>
      </c>
      <c r="AN30" s="118" t="n">
        <v>50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7.99</v>
      </c>
      <c r="C31" s="35" t="n">
        <v>25.96</v>
      </c>
      <c r="D31" s="35" t="n">
        <v>0</v>
      </c>
      <c r="E31" s="35" t="n">
        <v>57.87</v>
      </c>
      <c r="F31" s="35" t="n">
        <v>0</v>
      </c>
      <c r="G31" s="35" t="n">
        <v>152.18</v>
      </c>
      <c r="H31" s="35" t="n">
        <v>18.98</v>
      </c>
      <c r="I31" s="35" t="n">
        <v>40.86</v>
      </c>
      <c r="J31" s="35" t="n">
        <v>0</v>
      </c>
      <c r="K31" s="35" t="n">
        <v>337.45</v>
      </c>
      <c r="L31" s="35" t="n">
        <v>777.25</v>
      </c>
      <c r="M31" s="35" t="n">
        <v>160.58</v>
      </c>
      <c r="N31" s="36">
        <f>SUM(B31:M31)</f>
        <v/>
      </c>
      <c r="O31" s="37">
        <f>SUMIF('BK TB '!$R:$R,'BK P&amp;L'!$A31,'BK TB '!C:C)</f>
        <v/>
      </c>
      <c r="P31" s="37">
        <f>SUMIF('BK TB '!$R:$R,'BK P&amp;L'!$A31,'BK TB '!D:D)</f>
        <v/>
      </c>
      <c r="Q31" s="37">
        <f>SUMIF('BK TB '!$R:$R,'BK P&amp;L'!$A31,'BK TB '!E:E)</f>
        <v/>
      </c>
      <c r="R31" s="37">
        <f>SUMIF('BK TB '!$R:$R,'BK P&amp;L'!$A31,'BK TB '!F:F)</f>
        <v/>
      </c>
      <c r="S31" s="37">
        <f>SUMIF('BK TB '!$R:$R,'BK P&amp;L'!$A31,'BK TB '!G:G)</f>
        <v/>
      </c>
      <c r="T31" s="37">
        <f>SUMIF('BK TB '!$R:$R,'BK P&amp;L'!$A31,'BK TB '!H:H)</f>
        <v/>
      </c>
      <c r="U31" s="37">
        <f>SUMIF('BK TB '!$R:$R,'BK P&amp;L'!$A31,'BK TB 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8" t="n">
        <v>50</v>
      </c>
      <c r="AJ31" s="119" t="n">
        <v>50</v>
      </c>
      <c r="AK31" s="119" t="n">
        <v>50</v>
      </c>
      <c r="AL31" s="119" t="n">
        <v>50</v>
      </c>
      <c r="AM31" s="120" t="n">
        <v>50</v>
      </c>
      <c r="AN31" s="118" t="n">
        <v>50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57.29</v>
      </c>
      <c r="C32" s="35" t="n">
        <v>0</v>
      </c>
      <c r="D32" s="35" t="n">
        <v>187.84</v>
      </c>
      <c r="E32" s="35" t="n">
        <v>89.67</v>
      </c>
      <c r="F32" s="35" t="n">
        <v>67.45999999999999</v>
      </c>
      <c r="G32" s="35" t="n">
        <v>182.26</v>
      </c>
      <c r="H32" s="35" t="n">
        <v>260.64</v>
      </c>
      <c r="I32" s="35" t="n">
        <v>87.45</v>
      </c>
      <c r="J32" s="35" t="n">
        <v>226.34</v>
      </c>
      <c r="K32" s="35" t="n">
        <v>71.45</v>
      </c>
      <c r="L32" s="35" t="n">
        <v>328.1</v>
      </c>
      <c r="M32" s="35" t="n">
        <v>161.95</v>
      </c>
      <c r="N32" s="36">
        <f>SUM(B32:M32)</f>
        <v/>
      </c>
      <c r="O32" s="37">
        <f>SUMIF('BK TB '!$R:$R,'BK P&amp;L'!$A32,'BK TB '!C:C)</f>
        <v/>
      </c>
      <c r="P32" s="37">
        <f>SUMIF('BK TB '!$R:$R,'BK P&amp;L'!$A32,'BK TB '!D:D)</f>
        <v/>
      </c>
      <c r="Q32" s="37">
        <f>SUMIF('BK TB '!$R:$R,'BK P&amp;L'!$A32,'BK TB '!E:E)</f>
        <v/>
      </c>
      <c r="R32" s="37">
        <f>SUMIF('BK TB '!$R:$R,'BK P&amp;L'!$A32,'BK TB '!F:F)</f>
        <v/>
      </c>
      <c r="S32" s="37">
        <f>SUMIF('BK TB '!$R:$R,'BK P&amp;L'!$A32,'BK TB '!G:G)</f>
        <v/>
      </c>
      <c r="T32" s="37">
        <f>SUMIF('BK TB '!$R:$R,'BK P&amp;L'!$A32,'BK TB '!H:H)</f>
        <v/>
      </c>
      <c r="U32" s="37">
        <f>SUMIF('BK TB '!$R:$R,'BK P&amp;L'!$A32,'BK TB 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18" t="n">
        <v>0</v>
      </c>
      <c r="AJ32" s="119" t="n">
        <v>0</v>
      </c>
      <c r="AK32" s="119" t="n">
        <v>0</v>
      </c>
      <c r="AL32" s="119" t="n">
        <v>0</v>
      </c>
      <c r="AM32" s="120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SUMIF('BK TB '!$R:$R,'BK P&amp;L'!$A33,'BK TB '!C:C)</f>
        <v/>
      </c>
      <c r="P33" s="37">
        <f>SUMIF('BK TB '!$R:$R,'BK P&amp;L'!$A33,'BK TB '!D:D)</f>
        <v/>
      </c>
      <c r="Q33" s="37">
        <f>SUMIF('BK TB '!$R:$R,'BK P&amp;L'!$A33,'BK TB '!E:E)</f>
        <v/>
      </c>
      <c r="R33" s="37">
        <f>SUMIF('BK TB '!$R:$R,'BK P&amp;L'!$A33,'BK TB '!F:F)</f>
        <v/>
      </c>
      <c r="S33" s="37">
        <f>SUMIF('BK TB '!$R:$R,'BK P&amp;L'!$A33,'BK TB '!G:G)</f>
        <v/>
      </c>
      <c r="T33" s="37">
        <f>SUMIF('BK TB '!$R:$R,'BK P&amp;L'!$A33,'BK TB '!H:H)</f>
        <v/>
      </c>
      <c r="U33" s="37">
        <f>SUMIF('BK TB '!$R:$R,'BK P&amp;L'!$A33,'BK TB 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8" t="n">
        <v>0</v>
      </c>
      <c r="AJ33" s="119" t="n">
        <v>0</v>
      </c>
      <c r="AK33" s="119" t="n">
        <v>0</v>
      </c>
      <c r="AL33" s="119" t="n">
        <v>0</v>
      </c>
      <c r="AM33" s="120" t="n">
        <v>0</v>
      </c>
      <c r="AN33" s="118" t="n">
        <v>0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1410.45</v>
      </c>
      <c r="C34" s="42" t="n">
        <v>1438.49</v>
      </c>
      <c r="D34" s="42" t="n">
        <v>1592.41</v>
      </c>
      <c r="E34" s="42" t="n">
        <v>1168.83</v>
      </c>
      <c r="F34" s="42" t="n">
        <v>1228.61</v>
      </c>
      <c r="G34" s="42" t="n">
        <v>1436.12</v>
      </c>
      <c r="H34" s="42" t="n">
        <v>1427.65</v>
      </c>
      <c r="I34" s="42" t="n">
        <v>1493.46</v>
      </c>
      <c r="J34" s="42" t="n">
        <v>2341.3</v>
      </c>
      <c r="K34" s="42" t="n">
        <v>1648.7</v>
      </c>
      <c r="L34" s="42" t="n">
        <v>2334.43</v>
      </c>
      <c r="M34" s="42" t="n">
        <v>1598.23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3">
        <f>SUM(AI27:AI33)</f>
        <v/>
      </c>
      <c r="AJ34" s="124">
        <f>SUM(AJ27:AJ33)</f>
        <v/>
      </c>
      <c r="AK34" s="124">
        <f>SUM(AK27:AK33)</f>
        <v/>
      </c>
      <c r="AL34" s="124">
        <f>SUM(AL27:AL33)</f>
        <v/>
      </c>
      <c r="AM34" s="124">
        <f>SUM(AM27:AM33)</f>
        <v/>
      </c>
      <c r="AN34" s="123">
        <f>SUM(AN27:AN33)</f>
        <v/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7" t="n">
        <v>0</v>
      </c>
      <c r="AJ35" s="128" t="n">
        <v>0</v>
      </c>
      <c r="AK35" s="128" t="n">
        <v>0</v>
      </c>
      <c r="AL35" s="128" t="n">
        <v>0</v>
      </c>
      <c r="AM35" s="129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SUMIF('BK TB '!$R:$R,'BK P&amp;L'!$A36,'BK TB '!C:C)</f>
        <v/>
      </c>
      <c r="P36" s="37">
        <f>SUMIF('BK TB '!$R:$R,'BK P&amp;L'!$A36,'BK TB '!D:D)</f>
        <v/>
      </c>
      <c r="Q36" s="37">
        <f>SUMIF('BK TB '!$R:$R,'BK P&amp;L'!$A36,'BK TB '!E:E)</f>
        <v/>
      </c>
      <c r="R36" s="37">
        <f>SUMIF('BK TB '!$R:$R,'BK P&amp;L'!$A36,'BK TB '!F:F)</f>
        <v/>
      </c>
      <c r="S36" s="37">
        <f>SUMIF('BK TB '!$R:$R,'BK P&amp;L'!$A36,'BK TB '!G:G)</f>
        <v/>
      </c>
      <c r="T36" s="37">
        <f>SUMIF('BK TB '!$R:$R,'BK P&amp;L'!$A36,'BK TB '!H:H)</f>
        <v/>
      </c>
      <c r="U36" s="37">
        <f>SUMIF('BK TB '!$R:$R,'BK P&amp;L'!$A36,'BK TB 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8" t="n">
        <v>0</v>
      </c>
      <c r="AJ36" s="119" t="n">
        <v>0</v>
      </c>
      <c r="AK36" s="119" t="n">
        <v>0</v>
      </c>
      <c r="AL36" s="119" t="n">
        <v>0</v>
      </c>
      <c r="AM36" s="120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1060.38</v>
      </c>
      <c r="C37" s="35" t="n">
        <v>1060.38</v>
      </c>
      <c r="D37" s="35" t="n">
        <v>1060.38</v>
      </c>
      <c r="E37" s="35" t="n">
        <v>1060.38</v>
      </c>
      <c r="F37" s="35" t="n">
        <v>1060.38</v>
      </c>
      <c r="G37" s="35" t="n">
        <v>1060.38</v>
      </c>
      <c r="H37" s="35" t="n">
        <v>1060.38</v>
      </c>
      <c r="I37" s="35" t="n">
        <v>1060.38</v>
      </c>
      <c r="J37" s="35" t="n">
        <v>1060.38</v>
      </c>
      <c r="K37" s="35" t="n">
        <v>1060.38</v>
      </c>
      <c r="L37" s="35" t="n">
        <v>1060.38</v>
      </c>
      <c r="M37" s="35" t="n">
        <v>1060.38</v>
      </c>
      <c r="N37" s="36">
        <f>SUM(B37:M37)</f>
        <v/>
      </c>
      <c r="O37" s="37">
        <f>SUMIF('BK TB '!$R:$R,'BK P&amp;L'!$A37,'BK TB '!C:C)</f>
        <v/>
      </c>
      <c r="P37" s="37">
        <f>SUMIF('BK TB '!$R:$R,'BK P&amp;L'!$A37,'BK TB '!D:D)</f>
        <v/>
      </c>
      <c r="Q37" s="37">
        <f>SUMIF('BK TB '!$R:$R,'BK P&amp;L'!$A37,'BK TB '!E:E)</f>
        <v/>
      </c>
      <c r="R37" s="37">
        <f>SUMIF('BK TB '!$R:$R,'BK P&amp;L'!$A37,'BK TB '!F:F)</f>
        <v/>
      </c>
      <c r="S37" s="37">
        <f>SUMIF('BK TB '!$R:$R,'BK P&amp;L'!$A37,'BK TB '!G:G)</f>
        <v/>
      </c>
      <c r="T37" s="37">
        <f>SUMIF('BK TB '!$R:$R,'BK P&amp;L'!$A37,'BK TB '!H:H)</f>
        <v/>
      </c>
      <c r="U37" s="37">
        <f>SUMIF('BK TB '!$R:$R,'BK P&amp;L'!$A37,'BK TB '!I:I)</f>
        <v/>
      </c>
      <c r="V37" s="38" t="n">
        <v>1178.666666666667</v>
      </c>
      <c r="W37" s="38" t="n">
        <v>1178.666666666667</v>
      </c>
      <c r="X37" s="38" t="n">
        <v>1178.666666666667</v>
      </c>
      <c r="Y37" s="38" t="n">
        <v>1178.666666666667</v>
      </c>
      <c r="Z37" s="38" t="n">
        <v>1178.666666666667</v>
      </c>
      <c r="AA37" s="36">
        <f>SUM(O37:U37)</f>
        <v/>
      </c>
      <c r="AB37" s="36">
        <f>SUM(O37:Z37)</f>
        <v/>
      </c>
      <c r="AC37" s="38" t="n">
        <v>1178.666666666667</v>
      </c>
      <c r="AD37" s="38" t="n">
        <v>1178.666666666667</v>
      </c>
      <c r="AE37" s="38" t="n">
        <v>1178.666666666667</v>
      </c>
      <c r="AF37" s="38" t="n">
        <v>1178.666666666667</v>
      </c>
      <c r="AG37" s="38" t="n">
        <v>1178.666666666667</v>
      </c>
      <c r="AH37" s="38" t="n">
        <v>1178.666666666667</v>
      </c>
      <c r="AI37" s="118" t="n">
        <v>1178.666666666667</v>
      </c>
      <c r="AJ37" s="119" t="n">
        <v>1178.666666666667</v>
      </c>
      <c r="AK37" s="119" t="n">
        <v>1178.666666666667</v>
      </c>
      <c r="AL37" s="119" t="n">
        <v>1178.666666666667</v>
      </c>
      <c r="AM37" s="120" t="n">
        <v>1178.666666666667</v>
      </c>
      <c r="AN37" s="118" t="n">
        <v>1178.666666666667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1084.35</v>
      </c>
      <c r="C38" s="35" t="n">
        <v>1856.09</v>
      </c>
      <c r="D38" s="35" t="n">
        <v>680.11</v>
      </c>
      <c r="E38" s="35" t="n">
        <v>1041.36</v>
      </c>
      <c r="F38" s="35" t="n">
        <v>1404.7</v>
      </c>
      <c r="G38" s="35" t="n">
        <v>49.78000000000003</v>
      </c>
      <c r="H38" s="35" t="n">
        <v>566.46</v>
      </c>
      <c r="I38" s="35" t="n">
        <v>748.4400000000001</v>
      </c>
      <c r="J38" s="35" t="n">
        <v>123.63</v>
      </c>
      <c r="K38" s="35" t="n">
        <v>557.7</v>
      </c>
      <c r="L38" s="35" t="n">
        <v>914.73</v>
      </c>
      <c r="M38" s="35" t="n">
        <v>843.45</v>
      </c>
      <c r="N38" s="36">
        <f>SUM(B38:M38)</f>
        <v/>
      </c>
      <c r="O38" s="37">
        <f>SUMIF('BK TB '!$R:$R,'BK P&amp;L'!$A38,'BK TB '!C:C)</f>
        <v/>
      </c>
      <c r="P38" s="37">
        <f>SUMIF('BK TB '!$R:$R,'BK P&amp;L'!$A38,'BK TB '!D:D)</f>
        <v/>
      </c>
      <c r="Q38" s="37">
        <f>SUMIF('BK TB '!$R:$R,'BK P&amp;L'!$A38,'BK TB '!E:E)</f>
        <v/>
      </c>
      <c r="R38" s="37">
        <f>SUMIF('BK TB '!$R:$R,'BK P&amp;L'!$A38,'BK TB '!F:F)</f>
        <v/>
      </c>
      <c r="S38" s="37">
        <f>SUMIF('BK TB '!$R:$R,'BK P&amp;L'!$A38,'BK TB '!G:G)</f>
        <v/>
      </c>
      <c r="T38" s="37">
        <f>SUMIF('BK TB '!$R:$R,'BK P&amp;L'!$A38,'BK TB '!H:H)</f>
        <v/>
      </c>
      <c r="U38" s="37">
        <f>SUMIF('BK TB '!$R:$R,'BK P&amp;L'!$A38,'BK TB '!I:I)</f>
        <v/>
      </c>
      <c r="V38" s="38" t="n">
        <v>808</v>
      </c>
      <c r="W38" s="38" t="n">
        <v>808</v>
      </c>
      <c r="X38" s="38" t="n">
        <v>808</v>
      </c>
      <c r="Y38" s="38" t="n">
        <v>808</v>
      </c>
      <c r="Z38" s="38" t="n">
        <v>808</v>
      </c>
      <c r="AA38" s="36">
        <f>SUM(O38:U38)</f>
        <v/>
      </c>
      <c r="AB38" s="36">
        <f>SUM(O38:Z38)</f>
        <v/>
      </c>
      <c r="AC38" s="38" t="n">
        <v>808</v>
      </c>
      <c r="AD38" s="38" t="n">
        <v>808</v>
      </c>
      <c r="AE38" s="38" t="n">
        <v>808</v>
      </c>
      <c r="AF38" s="38" t="n">
        <v>808</v>
      </c>
      <c r="AG38" s="38" t="n">
        <v>808</v>
      </c>
      <c r="AH38" s="38" t="n">
        <v>808</v>
      </c>
      <c r="AI38" s="118" t="n">
        <v>808</v>
      </c>
      <c r="AJ38" s="119" t="n">
        <v>808</v>
      </c>
      <c r="AK38" s="119" t="n">
        <v>808</v>
      </c>
      <c r="AL38" s="119" t="n">
        <v>808</v>
      </c>
      <c r="AM38" s="120" t="n">
        <v>808</v>
      </c>
      <c r="AN38" s="118" t="n">
        <v>808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1970.4</v>
      </c>
      <c r="C39" s="35" t="n">
        <v>4574.36</v>
      </c>
      <c r="D39" s="35" t="n">
        <v>3343.43</v>
      </c>
      <c r="E39" s="35" t="n">
        <v>2248.52</v>
      </c>
      <c r="F39" s="35" t="n">
        <v>1000.26</v>
      </c>
      <c r="G39" s="35" t="n">
        <v>36.5</v>
      </c>
      <c r="H39" s="35" t="n">
        <v>1663.64</v>
      </c>
      <c r="I39" s="35" t="n">
        <v>470.86</v>
      </c>
      <c r="J39" s="35" t="n">
        <v>14.64</v>
      </c>
      <c r="K39" s="35" t="n">
        <v>856.8200000000001</v>
      </c>
      <c r="L39" s="35" t="n">
        <v>36</v>
      </c>
      <c r="M39" s="35" t="n">
        <v>171.36</v>
      </c>
      <c r="N39" s="36">
        <f>SUM(B39:M39)</f>
        <v/>
      </c>
      <c r="O39" s="37">
        <f>SUMIF('BK TB '!$R:$R,'BK P&amp;L'!$A39,'BK TB '!C:C)</f>
        <v/>
      </c>
      <c r="P39" s="37">
        <f>SUMIF('BK TB '!$R:$R,'BK P&amp;L'!$A39,'BK TB '!D:D)</f>
        <v/>
      </c>
      <c r="Q39" s="37">
        <f>SUMIF('BK TB '!$R:$R,'BK P&amp;L'!$A39,'BK TB '!E:E)</f>
        <v/>
      </c>
      <c r="R39" s="37">
        <f>SUMIF('BK TB '!$R:$R,'BK P&amp;L'!$A39,'BK TB '!F:F)</f>
        <v/>
      </c>
      <c r="S39" s="37">
        <f>SUMIF('BK TB '!$R:$R,'BK P&amp;L'!$A39,'BK TB '!G:G)</f>
        <v/>
      </c>
      <c r="T39" s="37">
        <f>SUMIF('BK TB '!$R:$R,'BK P&amp;L'!$A39,'BK TB '!H:H)</f>
        <v/>
      </c>
      <c r="U39" s="37">
        <f>SUMIF('BK TB '!$R:$R,'BK P&amp;L'!$A39,'BK TB '!I:I)</f>
        <v/>
      </c>
      <c r="V39" s="38" t="n">
        <v>4000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8" t="n">
        <v>0</v>
      </c>
      <c r="AJ39" s="119" t="n">
        <v>0</v>
      </c>
      <c r="AK39" s="119" t="n">
        <v>0</v>
      </c>
      <c r="AL39" s="119" t="n">
        <v>0</v>
      </c>
      <c r="AM39" s="120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188.6</v>
      </c>
      <c r="C40" s="35" t="n">
        <v>249.73</v>
      </c>
      <c r="D40" s="35" t="n">
        <v>292.16</v>
      </c>
      <c r="E40" s="35" t="n">
        <v>49.57</v>
      </c>
      <c r="F40" s="35" t="n">
        <v>542.98</v>
      </c>
      <c r="G40" s="35" t="n">
        <v>335.03</v>
      </c>
      <c r="H40" s="35" t="n">
        <v>284.16</v>
      </c>
      <c r="I40" s="35" t="n">
        <v>299.86</v>
      </c>
      <c r="J40" s="35" t="n">
        <v>559.89</v>
      </c>
      <c r="K40" s="35" t="n">
        <v>291.24</v>
      </c>
      <c r="L40" s="35" t="n">
        <v>101.59</v>
      </c>
      <c r="M40" s="35" t="n">
        <v>113.21</v>
      </c>
      <c r="N40" s="36">
        <f>SUM(B40:M40)</f>
        <v/>
      </c>
      <c r="O40" s="37">
        <f>SUMIF('BK TB '!$R:$R,'BK P&amp;L'!$A40,'BK TB '!C:C)</f>
        <v/>
      </c>
      <c r="P40" s="37">
        <f>SUMIF('BK TB '!$R:$R,'BK P&amp;L'!$A40,'BK TB '!D:D)</f>
        <v/>
      </c>
      <c r="Q40" s="37">
        <f>SUMIF('BK TB '!$R:$R,'BK P&amp;L'!$A40,'BK TB '!E:E)</f>
        <v/>
      </c>
      <c r="R40" s="37">
        <f>SUMIF('BK TB '!$R:$R,'BK P&amp;L'!$A40,'BK TB '!F:F)</f>
        <v/>
      </c>
      <c r="S40" s="37">
        <f>SUMIF('BK TB '!$R:$R,'BK P&amp;L'!$A40,'BK TB '!G:G)</f>
        <v/>
      </c>
      <c r="T40" s="37">
        <f>SUMIF('BK TB '!$R:$R,'BK P&amp;L'!$A40,'BK TB '!H:H)</f>
        <v/>
      </c>
      <c r="U40" s="37">
        <f>SUMIF('BK TB '!$R:$R,'BK P&amp;L'!$A40,'BK TB '!I:I)</f>
        <v/>
      </c>
      <c r="V40" s="38" t="n">
        <v>310</v>
      </c>
      <c r="W40" s="38" t="n">
        <v>310</v>
      </c>
      <c r="X40" s="38" t="n">
        <v>310</v>
      </c>
      <c r="Y40" s="38" t="n">
        <v>310</v>
      </c>
      <c r="Z40" s="38" t="n">
        <v>310</v>
      </c>
      <c r="AA40" s="36">
        <f>SUM(O40:U40)</f>
        <v/>
      </c>
      <c r="AB40" s="36">
        <f>SUM(O40:Z40)</f>
        <v/>
      </c>
      <c r="AC40" s="38" t="n">
        <v>310</v>
      </c>
      <c r="AD40" s="38" t="n">
        <v>310</v>
      </c>
      <c r="AE40" s="38" t="n">
        <v>310</v>
      </c>
      <c r="AF40" s="38" t="n">
        <v>310</v>
      </c>
      <c r="AG40" s="38" t="n">
        <v>310</v>
      </c>
      <c r="AH40" s="38" t="n">
        <v>310</v>
      </c>
      <c r="AI40" s="118" t="n">
        <v>310</v>
      </c>
      <c r="AJ40" s="119" t="n">
        <v>310</v>
      </c>
      <c r="AK40" s="119" t="n">
        <v>310</v>
      </c>
      <c r="AL40" s="119" t="n">
        <v>310</v>
      </c>
      <c r="AM40" s="120" t="n">
        <v>310</v>
      </c>
      <c r="AN40" s="118" t="n">
        <v>310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332.71</v>
      </c>
      <c r="C41" s="35" t="n">
        <v>364.75</v>
      </c>
      <c r="D41" s="35" t="n">
        <v>380.11</v>
      </c>
      <c r="E41" s="35" t="n">
        <v>561.51</v>
      </c>
      <c r="F41" s="35" t="n">
        <v>426.52</v>
      </c>
      <c r="G41" s="35" t="n">
        <v>400.96</v>
      </c>
      <c r="H41" s="35" t="n">
        <v>339.75</v>
      </c>
      <c r="I41" s="35" t="n">
        <v>354.05</v>
      </c>
      <c r="J41" s="35" t="n">
        <v>630.6600000000001</v>
      </c>
      <c r="K41" s="35" t="n">
        <v>354.05</v>
      </c>
      <c r="L41" s="35" t="n">
        <v>404.45</v>
      </c>
      <c r="M41" s="35" t="n">
        <v>415.26</v>
      </c>
      <c r="N41" s="36">
        <f>SUM(B41:M41)</f>
        <v/>
      </c>
      <c r="O41" s="37">
        <f>SUMIF('BK TB '!$R:$R,'BK P&amp;L'!$A41,'BK TB '!C:C)</f>
        <v/>
      </c>
      <c r="P41" s="37">
        <f>SUMIF('BK TB '!$R:$R,'BK P&amp;L'!$A41,'BK TB '!D:D)</f>
        <v/>
      </c>
      <c r="Q41" s="37">
        <f>SUMIF('BK TB '!$R:$R,'BK P&amp;L'!$A41,'BK TB '!E:E)</f>
        <v/>
      </c>
      <c r="R41" s="37">
        <f>SUMIF('BK TB '!$R:$R,'BK P&amp;L'!$A41,'BK TB '!F:F)</f>
        <v/>
      </c>
      <c r="S41" s="37">
        <f>SUMIF('BK TB '!$R:$R,'BK P&amp;L'!$A41,'BK TB '!G:G)</f>
        <v/>
      </c>
      <c r="T41" s="37">
        <f>SUMIF('BK TB '!$R:$R,'BK P&amp;L'!$A41,'BK TB '!H:H)</f>
        <v/>
      </c>
      <c r="U41" s="37">
        <f>SUMIF('BK TB '!$R:$R,'BK P&amp;L'!$A41,'BK TB '!I:I)</f>
        <v/>
      </c>
      <c r="V41" s="38" t="n">
        <v>385</v>
      </c>
      <c r="W41" s="38" t="n">
        <v>385</v>
      </c>
      <c r="X41" s="38" t="n">
        <v>385</v>
      </c>
      <c r="Y41" s="38" t="n">
        <v>385</v>
      </c>
      <c r="Z41" s="38" t="n">
        <v>385</v>
      </c>
      <c r="AA41" s="36">
        <f>SUM(O41:U41)</f>
        <v/>
      </c>
      <c r="AB41" s="36">
        <f>SUM(O41:Z41)</f>
        <v/>
      </c>
      <c r="AC41" s="38" t="n">
        <v>385</v>
      </c>
      <c r="AD41" s="38" t="n">
        <v>385</v>
      </c>
      <c r="AE41" s="38" t="n">
        <v>385</v>
      </c>
      <c r="AF41" s="38" t="n">
        <v>385</v>
      </c>
      <c r="AG41" s="38" t="n">
        <v>385</v>
      </c>
      <c r="AH41" s="38" t="n">
        <v>385</v>
      </c>
      <c r="AI41" s="118" t="n">
        <v>385</v>
      </c>
      <c r="AJ41" s="119" t="n">
        <v>385</v>
      </c>
      <c r="AK41" s="119" t="n">
        <v>385</v>
      </c>
      <c r="AL41" s="119" t="n">
        <v>385</v>
      </c>
      <c r="AM41" s="120" t="n">
        <v>385</v>
      </c>
      <c r="AN41" s="118" t="n">
        <v>385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52.03</v>
      </c>
      <c r="C42" s="35" t="n">
        <v>23.34</v>
      </c>
      <c r="D42" s="35" t="n">
        <v>21.74</v>
      </c>
      <c r="E42" s="35" t="n">
        <v>61.92</v>
      </c>
      <c r="F42" s="35" t="n">
        <v>81.43000000000001</v>
      </c>
      <c r="G42" s="35" t="n">
        <v>32.69</v>
      </c>
      <c r="H42" s="35" t="n">
        <v>84.15000000000001</v>
      </c>
      <c r="I42" s="35" t="n">
        <v>53.12</v>
      </c>
      <c r="J42" s="35" t="n">
        <v>75.13</v>
      </c>
      <c r="K42" s="35" t="n">
        <v>81.78999999999999</v>
      </c>
      <c r="L42" s="35" t="n">
        <v>68.56999999999999</v>
      </c>
      <c r="M42" s="35" t="n">
        <v>86.96000000000001</v>
      </c>
      <c r="N42" s="36">
        <f>SUM(B42:M42)</f>
        <v/>
      </c>
      <c r="O42" s="37">
        <f>SUMIF('BK TB '!$R:$R,'BK P&amp;L'!$A42,'BK TB '!C:C)</f>
        <v/>
      </c>
      <c r="P42" s="37">
        <f>SUMIF('BK TB '!$R:$R,'BK P&amp;L'!$A42,'BK TB '!D:D)</f>
        <v/>
      </c>
      <c r="Q42" s="37">
        <f>SUMIF('BK TB '!$R:$R,'BK P&amp;L'!$A42,'BK TB '!E:E)</f>
        <v/>
      </c>
      <c r="R42" s="37">
        <f>SUMIF('BK TB '!$R:$R,'BK P&amp;L'!$A42,'BK TB '!F:F)</f>
        <v/>
      </c>
      <c r="S42" s="37">
        <f>SUMIF('BK TB '!$R:$R,'BK P&amp;L'!$A42,'BK TB '!G:G)</f>
        <v/>
      </c>
      <c r="T42" s="37">
        <f>SUMIF('BK TB '!$R:$R,'BK P&amp;L'!$A42,'BK TB '!H:H)</f>
        <v/>
      </c>
      <c r="U42" s="37">
        <f>SUMIF('BK TB '!$R:$R,'BK P&amp;L'!$A42,'BK TB 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8" t="n">
        <v>0</v>
      </c>
      <c r="AJ42" s="119" t="n">
        <v>0</v>
      </c>
      <c r="AK42" s="119" t="n">
        <v>0</v>
      </c>
      <c r="AL42" s="119" t="n">
        <v>0</v>
      </c>
      <c r="AM42" s="120" t="n">
        <v>0</v>
      </c>
      <c r="AN42" s="118" t="n">
        <v>0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SUMIF('BK TB '!$R:$R,'BK P&amp;L'!$A43,'BK TB '!C:C)</f>
        <v/>
      </c>
      <c r="P43" s="37">
        <f>SUMIF('BK TB '!$R:$R,'BK P&amp;L'!$A43,'BK TB '!D:D)</f>
        <v/>
      </c>
      <c r="Q43" s="37">
        <f>SUMIF('BK TB '!$R:$R,'BK P&amp;L'!$A43,'BK TB '!E:E)</f>
        <v/>
      </c>
      <c r="R43" s="37">
        <f>SUMIF('BK TB '!$R:$R,'BK P&amp;L'!$A43,'BK TB '!F:F)</f>
        <v/>
      </c>
      <c r="S43" s="37">
        <f>SUMIF('BK TB '!$R:$R,'BK P&amp;L'!$A43,'BK TB '!G:G)</f>
        <v/>
      </c>
      <c r="T43" s="37">
        <f>SUMIF('BK TB '!$R:$R,'BK P&amp;L'!$A43,'BK TB '!H:H)</f>
        <v/>
      </c>
      <c r="U43" s="37">
        <f>SUMIF('BK TB '!$R:$R,'BK P&amp;L'!$A43,'BK TB 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8" t="n">
        <v>0</v>
      </c>
      <c r="AJ43" s="119" t="n">
        <v>0</v>
      </c>
      <c r="AK43" s="119" t="n">
        <v>0</v>
      </c>
      <c r="AL43" s="119" t="n">
        <v>0</v>
      </c>
      <c r="AM43" s="120" t="n">
        <v>0</v>
      </c>
      <c r="AN43" s="118" t="n">
        <v>0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SUMIF('BK TB '!$R:$R,'BK P&amp;L'!$A44,'BK TB '!C:C)</f>
        <v/>
      </c>
      <c r="P44" s="37">
        <f>SUMIF('BK TB '!$R:$R,'BK P&amp;L'!$A44,'BK TB '!D:D)</f>
        <v/>
      </c>
      <c r="Q44" s="37">
        <f>SUMIF('BK TB '!$R:$R,'BK P&amp;L'!$A44,'BK TB '!E:E)</f>
        <v/>
      </c>
      <c r="R44" s="37">
        <f>SUMIF('BK TB '!$R:$R,'BK P&amp;L'!$A44,'BK TB '!F:F)</f>
        <v/>
      </c>
      <c r="S44" s="37">
        <f>SUMIF('BK TB '!$R:$R,'BK P&amp;L'!$A44,'BK TB '!G:G)</f>
        <v/>
      </c>
      <c r="T44" s="37">
        <f>SUMIF('BK TB '!$R:$R,'BK P&amp;L'!$A44,'BK TB '!H:H)</f>
        <v/>
      </c>
      <c r="U44" s="37">
        <f>SUMIF('BK TB '!$R:$R,'BK P&amp;L'!$A44,'BK TB 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8" t="n">
        <v>0</v>
      </c>
      <c r="AJ44" s="119" t="n">
        <v>0</v>
      </c>
      <c r="AK44" s="119" t="n">
        <v>0</v>
      </c>
      <c r="AL44" s="119" t="n">
        <v>0</v>
      </c>
      <c r="AM44" s="120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14.58</v>
      </c>
      <c r="C45" s="35" t="n">
        <v>14.58</v>
      </c>
      <c r="D45" s="35" t="n">
        <v>149.79</v>
      </c>
      <c r="E45" s="35" t="n">
        <v>234.58</v>
      </c>
      <c r="F45" s="35" t="n">
        <v>1.59</v>
      </c>
      <c r="G45" s="35" t="n">
        <v>46.59</v>
      </c>
      <c r="H45" s="35" t="n">
        <v>-1.3</v>
      </c>
      <c r="I45" s="35" t="n">
        <v>45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SUMIF('BK TB '!$R:$R,'BK P&amp;L'!$A45,'BK TB '!C:C)</f>
        <v/>
      </c>
      <c r="P45" s="37">
        <f>SUMIF('BK TB '!$R:$R,'BK P&amp;L'!$A45,'BK TB '!D:D)</f>
        <v/>
      </c>
      <c r="Q45" s="37">
        <f>SUMIF('BK TB '!$R:$R,'BK P&amp;L'!$A45,'BK TB '!E:E)</f>
        <v/>
      </c>
      <c r="R45" s="37">
        <f>SUMIF('BK TB '!$R:$R,'BK P&amp;L'!$A45,'BK TB '!F:F)</f>
        <v/>
      </c>
      <c r="S45" s="37">
        <f>SUMIF('BK TB '!$R:$R,'BK P&amp;L'!$A45,'BK TB '!G:G)</f>
        <v/>
      </c>
      <c r="T45" s="37">
        <f>SUMIF('BK TB '!$R:$R,'BK P&amp;L'!$A45,'BK TB '!H:H)</f>
        <v/>
      </c>
      <c r="U45" s="37">
        <f>SUMIF('BK TB '!$R:$R,'BK P&amp;L'!$A45,'BK TB 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8" t="n">
        <v>100</v>
      </c>
      <c r="AJ45" s="119" t="n">
        <v>100</v>
      </c>
      <c r="AK45" s="119" t="n">
        <v>100</v>
      </c>
      <c r="AL45" s="119" t="n">
        <v>100</v>
      </c>
      <c r="AM45" s="120" t="n">
        <v>100</v>
      </c>
      <c r="AN45" s="118" t="n">
        <v>100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SUMIF('BK TB '!$R:$R,'BK P&amp;L'!$A46,'BK TB '!C:C)</f>
        <v/>
      </c>
      <c r="P46" s="37">
        <f>SUMIF('BK TB '!$R:$R,'BK P&amp;L'!$A46,'BK TB '!D:D)</f>
        <v/>
      </c>
      <c r="Q46" s="37">
        <f>SUMIF('BK TB '!$R:$R,'BK P&amp;L'!$A46,'BK TB '!E:E)</f>
        <v/>
      </c>
      <c r="R46" s="37">
        <f>SUMIF('BK TB '!$R:$R,'BK P&amp;L'!$A46,'BK TB '!F:F)</f>
        <v/>
      </c>
      <c r="S46" s="37">
        <f>SUMIF('BK TB '!$R:$R,'BK P&amp;L'!$A46,'BK TB '!G:G)</f>
        <v/>
      </c>
      <c r="T46" s="37">
        <f>SUMIF('BK TB '!$R:$R,'BK P&amp;L'!$A46,'BK TB '!H:H)</f>
        <v/>
      </c>
      <c r="U46" s="37">
        <f>SUMIF('BK TB '!$R:$R,'BK P&amp;L'!$A46,'BK TB 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8" t="n">
        <v>0</v>
      </c>
      <c r="AJ46" s="119" t="n">
        <v>0</v>
      </c>
      <c r="AK46" s="119" t="n">
        <v>0</v>
      </c>
      <c r="AL46" s="119" t="n">
        <v>0</v>
      </c>
      <c r="AM46" s="120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4703.050000000001</v>
      </c>
      <c r="C47" s="42" t="n">
        <v>8143.23</v>
      </c>
      <c r="D47" s="42" t="n">
        <v>5927.719999999999</v>
      </c>
      <c r="E47" s="42" t="n">
        <v>5257.84</v>
      </c>
      <c r="F47" s="42" t="n">
        <v>4517.860000000001</v>
      </c>
      <c r="G47" s="42" t="n">
        <v>1961.93</v>
      </c>
      <c r="H47" s="42" t="n">
        <v>3997.24</v>
      </c>
      <c r="I47" s="42" t="n">
        <v>3031.71</v>
      </c>
      <c r="J47" s="42" t="n">
        <v>2464.33</v>
      </c>
      <c r="K47" s="42" t="n">
        <v>3201.98</v>
      </c>
      <c r="L47" s="42" t="n">
        <v>2585.72</v>
      </c>
      <c r="M47" s="42" t="n">
        <v>2690.62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3">
        <f>SUM(AI36:AI46)</f>
        <v/>
      </c>
      <c r="AJ47" s="124">
        <f>SUM(AJ36:AJ46)</f>
        <v/>
      </c>
      <c r="AK47" s="124">
        <f>SUM(AK36:AK46)</f>
        <v/>
      </c>
      <c r="AL47" s="124">
        <f>SUM(AL36:AL46)</f>
        <v/>
      </c>
      <c r="AM47" s="137">
        <f>SUM(AM36:AM46)</f>
        <v/>
      </c>
      <c r="AN47" s="123">
        <f>SUM(AN36:AN46)</f>
        <v/>
      </c>
      <c r="AO47" s="125">
        <f>SUM(AC47:AH47)+SUM(AI47:AN47)</f>
        <v/>
      </c>
      <c r="AP47" s="126">
        <f>IF(AB47&lt;&gt;0,(AO47-AB47)/ABS(AB47),0)</f>
        <v/>
      </c>
    </row>
    <row r="48">
      <c r="A48" s="22" t="inlineStr">
        <is>
          <t>Total Direct Costs</t>
        </is>
      </c>
      <c r="B48" s="23" t="n">
        <v>25859.07</v>
      </c>
      <c r="C48" s="23" t="n">
        <v>29078.09</v>
      </c>
      <c r="D48" s="23" t="n">
        <v>29734.78</v>
      </c>
      <c r="E48" s="23" t="n">
        <v>31716.87</v>
      </c>
      <c r="F48" s="23" t="n">
        <v>31438.48</v>
      </c>
      <c r="G48" s="23" t="n">
        <v>30627.92</v>
      </c>
      <c r="H48" s="23" t="n">
        <v>32256.93</v>
      </c>
      <c r="I48" s="23" t="n">
        <v>31595.94</v>
      </c>
      <c r="J48" s="23" t="n">
        <v>32281.46</v>
      </c>
      <c r="K48" s="23" t="n">
        <v>31337.98</v>
      </c>
      <c r="L48" s="23" t="n">
        <v>27927.37</v>
      </c>
      <c r="M48" s="23" t="n">
        <v>30022.36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3">
        <f>AI25+AI34+AI47</f>
        <v/>
      </c>
      <c r="AJ48" s="147">
        <f>AJ25+AJ34+AJ47</f>
        <v/>
      </c>
      <c r="AK48" s="147">
        <f>AK25+AK34+AK47</f>
        <v/>
      </c>
      <c r="AL48" s="147">
        <f>AL25+AL34+AL47</f>
        <v/>
      </c>
      <c r="AM48" s="147">
        <f>AM25+AM34+AM47</f>
        <v/>
      </c>
      <c r="AN48" s="123">
        <f>AN25+AN34+AN47</f>
        <v/>
      </c>
      <c r="AO48" s="121">
        <f>SUM(AC48:AH48)+SUM(AI48:AN48)</f>
        <v/>
      </c>
      <c r="AP48" s="122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11626.24</v>
      </c>
      <c r="C50" s="55" t="n">
        <v>7011.790000000001</v>
      </c>
      <c r="D50" s="55" t="n">
        <v>35591.5</v>
      </c>
      <c r="E50" s="55" t="n">
        <v>14332.04</v>
      </c>
      <c r="F50" s="55" t="n">
        <v>7576.710000000003</v>
      </c>
      <c r="G50" s="55" t="n">
        <v>17974.84</v>
      </c>
      <c r="H50" s="55" t="n">
        <v>24295.09999999999</v>
      </c>
      <c r="I50" s="55" t="n">
        <v>264.9799999999996</v>
      </c>
      <c r="J50" s="55" t="n">
        <v>4455.510000000002</v>
      </c>
      <c r="K50" s="55" t="n">
        <v>4503.369999999995</v>
      </c>
      <c r="L50" s="55" t="n">
        <v>9337.049999999996</v>
      </c>
      <c r="M50" s="55" t="n">
        <v>17325.98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0">
        <f>AI11-AI48</f>
        <v/>
      </c>
      <c r="AJ50" s="140">
        <f>AJ11-AJ48</f>
        <v/>
      </c>
      <c r="AK50" s="140">
        <f>AK11-AK48</f>
        <v/>
      </c>
      <c r="AL50" s="140">
        <f>AL11-AL48</f>
        <v/>
      </c>
      <c r="AM50" s="140">
        <f>AM11-AM48</f>
        <v/>
      </c>
      <c r="AN50" s="140">
        <f>AN11-AN48</f>
        <v/>
      </c>
      <c r="AO50" s="141">
        <f>SUM(AC50:AH50)+SUM(AI50:AN50)</f>
        <v/>
      </c>
      <c r="AP50" s="14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SUMIF('BK TB '!$R:$R,'BK P&amp;L'!$A53,'BK TB '!C:C)</f>
        <v/>
      </c>
      <c r="P53" s="37">
        <f>SUMIF('BK TB '!$R:$R,'BK P&amp;L'!$A53,'BK TB '!D:D)</f>
        <v/>
      </c>
      <c r="Q53" s="37">
        <f>SUMIF('BK TB '!$R:$R,'BK P&amp;L'!$A53,'BK TB '!E:E)</f>
        <v/>
      </c>
      <c r="R53" s="37">
        <f>SUMIF('BK TB '!$R:$R,'BK P&amp;L'!$A53,'BK TB '!F:F)</f>
        <v/>
      </c>
      <c r="S53" s="37">
        <f>SUMIF('BK TB '!$R:$R,'BK P&amp;L'!$A53,'BK TB '!G:G)</f>
        <v/>
      </c>
      <c r="T53" s="37">
        <f>SUMIF('BK TB '!$R:$R,'BK P&amp;L'!$A53,'BK TB '!H:H)</f>
        <v/>
      </c>
      <c r="U53" s="37">
        <f>SUMIF('BK TB '!$R:$R,'BK P&amp;L'!$A53,'BK TB '!I:I)</f>
        <v/>
      </c>
      <c r="V53" s="38" t="n">
        <v>0</v>
      </c>
      <c r="W53" s="38" t="n">
        <v>0</v>
      </c>
      <c r="X53" s="38" t="n">
        <v>0</v>
      </c>
      <c r="Y53" s="38" t="n">
        <v>0</v>
      </c>
      <c r="Z53" s="38" t="n">
        <v>0</v>
      </c>
      <c r="AA53" s="36">
        <f>SUM(O53:U53)</f>
        <v/>
      </c>
      <c r="AB53" s="36">
        <f>SUM(O53:Z53)</f>
        <v/>
      </c>
      <c r="AC53" s="38" t="n">
        <v>0</v>
      </c>
      <c r="AD53" s="38" t="n">
        <v>0</v>
      </c>
      <c r="AE53" s="38" t="n">
        <v>0</v>
      </c>
      <c r="AF53" s="38" t="n">
        <v>0</v>
      </c>
      <c r="AG53" s="38" t="n">
        <v>0</v>
      </c>
      <c r="AH53" s="38" t="n">
        <v>0</v>
      </c>
      <c r="AI53" s="118" t="n">
        <v>0</v>
      </c>
      <c r="AJ53" s="119" t="n">
        <v>0</v>
      </c>
      <c r="AK53" s="119" t="n">
        <v>0</v>
      </c>
      <c r="AL53" s="119" t="n">
        <v>0</v>
      </c>
      <c r="AM53" s="120" t="n">
        <v>0</v>
      </c>
      <c r="AN53" s="118" t="n">
        <v>0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SUMIF('BK TB '!$R:$R,'BK P&amp;L'!$A54,'BK TB '!C:C)</f>
        <v/>
      </c>
      <c r="P54" s="37">
        <f>SUMIF('BK TB '!$R:$R,'BK P&amp;L'!$A54,'BK TB '!D:D)</f>
        <v/>
      </c>
      <c r="Q54" s="37">
        <f>SUMIF('BK TB '!$R:$R,'BK P&amp;L'!$A54,'BK TB '!E:E)</f>
        <v/>
      </c>
      <c r="R54" s="37">
        <f>SUMIF('BK TB '!$R:$R,'BK P&amp;L'!$A54,'BK TB '!F:F)</f>
        <v/>
      </c>
      <c r="S54" s="37">
        <f>SUMIF('BK TB '!$R:$R,'BK P&amp;L'!$A54,'BK TB '!G:G)</f>
        <v/>
      </c>
      <c r="T54" s="37">
        <f>SUMIF('BK TB '!$R:$R,'BK P&amp;L'!$A54,'BK TB '!H:H)</f>
        <v/>
      </c>
      <c r="U54" s="37">
        <f>SUMIF('BK TB '!$R:$R,'BK P&amp;L'!$A54,'BK TB '!I:I)</f>
        <v/>
      </c>
      <c r="V54" s="38" t="n">
        <v>0</v>
      </c>
      <c r="W54" s="38" t="n">
        <v>0</v>
      </c>
      <c r="X54" s="38" t="n">
        <v>0</v>
      </c>
      <c r="Y54" s="38" t="n">
        <v>0</v>
      </c>
      <c r="Z54" s="38" t="n">
        <v>0</v>
      </c>
      <c r="AA54" s="36">
        <f>SUM(O54:U54)</f>
        <v/>
      </c>
      <c r="AB54" s="36">
        <f>SUM(O54:Z54)</f>
        <v/>
      </c>
      <c r="AC54" s="38" t="n">
        <v>0</v>
      </c>
      <c r="AD54" s="38" t="n">
        <v>0</v>
      </c>
      <c r="AE54" s="38" t="n">
        <v>0</v>
      </c>
      <c r="AF54" s="38" t="n">
        <v>0</v>
      </c>
      <c r="AG54" s="38" t="n">
        <v>0</v>
      </c>
      <c r="AH54" s="38" t="n">
        <v>0</v>
      </c>
      <c r="AI54" s="118" t="n">
        <v>0</v>
      </c>
      <c r="AJ54" s="119" t="n">
        <v>0</v>
      </c>
      <c r="AK54" s="119" t="n">
        <v>0</v>
      </c>
      <c r="AL54" s="119" t="n">
        <v>0</v>
      </c>
      <c r="AM54" s="120" t="n">
        <v>0</v>
      </c>
      <c r="AN54" s="118" t="n">
        <v>0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SUMIF('BK TB '!$R:$R,'BK P&amp;L'!$A55,'BK TB '!C:C)</f>
        <v/>
      </c>
      <c r="P55" s="37">
        <f>SUMIF('BK TB '!$R:$R,'BK P&amp;L'!$A55,'BK TB '!D:D)</f>
        <v/>
      </c>
      <c r="Q55" s="37">
        <f>SUMIF('BK TB '!$R:$R,'BK P&amp;L'!$A55,'BK TB '!E:E)</f>
        <v/>
      </c>
      <c r="R55" s="37">
        <f>SUMIF('BK TB '!$R:$R,'BK P&amp;L'!$A55,'BK TB '!F:F)</f>
        <v/>
      </c>
      <c r="S55" s="37">
        <f>SUMIF('BK TB '!$R:$R,'BK P&amp;L'!$A55,'BK TB '!G:G)</f>
        <v/>
      </c>
      <c r="T55" s="37">
        <f>SUMIF('BK TB '!$R:$R,'BK P&amp;L'!$A55,'BK TB '!H:H)</f>
        <v/>
      </c>
      <c r="U55" s="37">
        <f>SUMIF('BK TB '!$R:$R,'BK P&amp;L'!$A55,'BK TB '!I:I)</f>
        <v/>
      </c>
      <c r="V55" s="38" t="n">
        <v>0</v>
      </c>
      <c r="W55" s="38" t="n">
        <v>0</v>
      </c>
      <c r="X55" s="38" t="n">
        <v>0</v>
      </c>
      <c r="Y55" s="38" t="n">
        <v>0</v>
      </c>
      <c r="Z55" s="38" t="n">
        <v>0</v>
      </c>
      <c r="AA55" s="36">
        <f>SUM(O55:U55)</f>
        <v/>
      </c>
      <c r="AB55" s="36">
        <f>SUM(O55:Z55)</f>
        <v/>
      </c>
      <c r="AC55" s="38" t="n">
        <v>0</v>
      </c>
      <c r="AD55" s="38" t="n">
        <v>0</v>
      </c>
      <c r="AE55" s="38" t="n">
        <v>0</v>
      </c>
      <c r="AF55" s="38" t="n">
        <v>0</v>
      </c>
      <c r="AG55" s="38" t="n">
        <v>0</v>
      </c>
      <c r="AH55" s="38" t="n">
        <v>0</v>
      </c>
      <c r="AI55" s="118" t="n">
        <v>0</v>
      </c>
      <c r="AJ55" s="119" t="n">
        <v>0</v>
      </c>
      <c r="AK55" s="119" t="n">
        <v>0</v>
      </c>
      <c r="AL55" s="119" t="n">
        <v>0</v>
      </c>
      <c r="AM55" s="120" t="n">
        <v>0</v>
      </c>
      <c r="AN55" s="118" t="n">
        <v>0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SUMIF('BK TB '!$R:$R,'BK P&amp;L'!$A56,'BK TB '!C:C)</f>
        <v/>
      </c>
      <c r="P56" s="37">
        <f>SUMIF('BK TB '!$R:$R,'BK P&amp;L'!$A56,'BK TB '!D:D)</f>
        <v/>
      </c>
      <c r="Q56" s="37">
        <f>SUMIF('BK TB '!$R:$R,'BK P&amp;L'!$A56,'BK TB '!E:E)</f>
        <v/>
      </c>
      <c r="R56" s="37">
        <f>SUMIF('BK TB '!$R:$R,'BK P&amp;L'!$A56,'BK TB '!F:F)</f>
        <v/>
      </c>
      <c r="S56" s="37">
        <f>SUMIF('BK TB '!$R:$R,'BK P&amp;L'!$A56,'BK TB '!G:G)</f>
        <v/>
      </c>
      <c r="T56" s="37">
        <f>SUMIF('BK TB '!$R:$R,'BK P&amp;L'!$A56,'BK TB '!H:H)</f>
        <v/>
      </c>
      <c r="U56" s="37">
        <f>SUMIF('BK TB '!$R:$R,'BK P&amp;L'!$A56,'BK TB '!I:I)</f>
        <v/>
      </c>
      <c r="V56" s="38" t="n">
        <v>0</v>
      </c>
      <c r="W56" s="38" t="n">
        <v>0</v>
      </c>
      <c r="X56" s="38" t="n">
        <v>0</v>
      </c>
      <c r="Y56" s="38" t="n">
        <v>0</v>
      </c>
      <c r="Z56" s="38" t="n">
        <v>0</v>
      </c>
      <c r="AA56" s="36">
        <f>SUM(O56:U56)</f>
        <v/>
      </c>
      <c r="AB56" s="36">
        <f>SUM(O56:Z56)</f>
        <v/>
      </c>
      <c r="AC56" s="38" t="n">
        <v>0</v>
      </c>
      <c r="AD56" s="38" t="n">
        <v>0</v>
      </c>
      <c r="AE56" s="38" t="n">
        <v>0</v>
      </c>
      <c r="AF56" s="38" t="n">
        <v>0</v>
      </c>
      <c r="AG56" s="38" t="n">
        <v>0</v>
      </c>
      <c r="AH56" s="38" t="n">
        <v>0</v>
      </c>
      <c r="AI56" s="118" t="n">
        <v>0</v>
      </c>
      <c r="AJ56" s="119" t="n">
        <v>0</v>
      </c>
      <c r="AK56" s="119" t="n">
        <v>0</v>
      </c>
      <c r="AL56" s="119" t="n">
        <v>0</v>
      </c>
      <c r="AM56" s="120" t="n">
        <v>0</v>
      </c>
      <c r="AN56" s="118" t="n">
        <v>0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0</v>
      </c>
      <c r="N57" s="36">
        <f>SUM(B57:M57)</f>
        <v/>
      </c>
      <c r="O57" s="37">
        <f>SUMIF('BK TB '!$R:$R,'BK P&amp;L'!$A57,'BK TB '!C:C)</f>
        <v/>
      </c>
      <c r="P57" s="37">
        <f>SUMIF('BK TB '!$R:$R,'BK P&amp;L'!$A57,'BK TB '!D:D)</f>
        <v/>
      </c>
      <c r="Q57" s="37">
        <f>SUMIF('BK TB '!$R:$R,'BK P&amp;L'!$A57,'BK TB '!E:E)</f>
        <v/>
      </c>
      <c r="R57" s="37">
        <f>SUMIF('BK TB '!$R:$R,'BK P&amp;L'!$A57,'BK TB '!F:F)</f>
        <v/>
      </c>
      <c r="S57" s="37">
        <f>SUMIF('BK TB '!$R:$R,'BK P&amp;L'!$A57,'BK TB '!G:G)</f>
        <v/>
      </c>
      <c r="T57" s="37">
        <f>SUMIF('BK TB '!$R:$R,'BK P&amp;L'!$A57,'BK TB '!H:H)</f>
        <v/>
      </c>
      <c r="U57" s="37">
        <f>SUMIF('BK TB '!$R:$R,'BK P&amp;L'!$A57,'BK TB '!I:I)</f>
        <v/>
      </c>
      <c r="V57" s="38" t="n">
        <v>0</v>
      </c>
      <c r="W57" s="38" t="n">
        <v>0</v>
      </c>
      <c r="X57" s="38" t="n">
        <v>0</v>
      </c>
      <c r="Y57" s="38" t="n">
        <v>0</v>
      </c>
      <c r="Z57" s="38">
        <f>30*8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18" t="n">
        <v>0</v>
      </c>
      <c r="AJ57" s="119" t="n">
        <v>0</v>
      </c>
      <c r="AK57" s="119" t="n">
        <v>0</v>
      </c>
      <c r="AL57" s="119" t="n">
        <v>0</v>
      </c>
      <c r="AM57" s="120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SUMIF('BK TB '!$R:$R,'BK P&amp;L'!$A58,'BK TB '!C:C)</f>
        <v/>
      </c>
      <c r="P58" s="37">
        <f>SUMIF('BK TB '!$R:$R,'BK P&amp;L'!$A58,'BK TB '!D:D)</f>
        <v/>
      </c>
      <c r="Q58" s="37">
        <f>SUMIF('BK TB '!$R:$R,'BK P&amp;L'!$A58,'BK TB '!E:E)</f>
        <v/>
      </c>
      <c r="R58" s="37">
        <f>SUMIF('BK TB '!$R:$R,'BK P&amp;L'!$A58,'BK TB '!F:F)</f>
        <v/>
      </c>
      <c r="S58" s="37">
        <f>SUMIF('BK TB '!$R:$R,'BK P&amp;L'!$A58,'BK TB '!G:G)</f>
        <v/>
      </c>
      <c r="T58" s="37">
        <f>SUMIF('BK TB '!$R:$R,'BK P&amp;L'!$A58,'BK TB '!H:H)</f>
        <v/>
      </c>
      <c r="U58" s="37">
        <f>SUMIF('BK TB '!$R:$R,'BK P&amp;L'!$A58,'BK TB '!I:I)</f>
        <v/>
      </c>
      <c r="V58" s="38" t="n">
        <v>0</v>
      </c>
      <c r="W58" s="38" t="n">
        <v>0</v>
      </c>
      <c r="X58" s="38" t="n">
        <v>0</v>
      </c>
      <c r="Y58" s="38" t="n">
        <v>0</v>
      </c>
      <c r="Z58" s="38" t="n">
        <v>0</v>
      </c>
      <c r="AA58" s="36">
        <f>SUM(O58:U58)</f>
        <v/>
      </c>
      <c r="AB58" s="36">
        <f>SUM(O58:Z58)</f>
        <v/>
      </c>
      <c r="AC58" s="38" t="n">
        <v>0</v>
      </c>
      <c r="AD58" s="38" t="n">
        <v>0</v>
      </c>
      <c r="AE58" s="38" t="n">
        <v>0</v>
      </c>
      <c r="AF58" s="38" t="n">
        <v>0</v>
      </c>
      <c r="AG58" s="38" t="n">
        <v>0</v>
      </c>
      <c r="AH58" s="38" t="n">
        <v>0</v>
      </c>
      <c r="AI58" s="118" t="n">
        <v>0</v>
      </c>
      <c r="AJ58" s="119" t="n">
        <v>0</v>
      </c>
      <c r="AK58" s="119" t="n">
        <v>0</v>
      </c>
      <c r="AL58" s="119" t="n">
        <v>0</v>
      </c>
      <c r="AM58" s="120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345.38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SUMIF('BK TB '!$R:$R,'BK P&amp;L'!$A59,'BK TB '!C:C)</f>
        <v/>
      </c>
      <c r="P59" s="37">
        <f>SUMIF('BK TB '!$R:$R,'BK P&amp;L'!$A59,'BK TB '!D:D)</f>
        <v/>
      </c>
      <c r="Q59" s="37">
        <f>SUMIF('BK TB '!$R:$R,'BK P&amp;L'!$A59,'BK TB '!E:E)</f>
        <v/>
      </c>
      <c r="R59" s="37">
        <f>SUMIF('BK TB '!$R:$R,'BK P&amp;L'!$A59,'BK TB '!F:F)</f>
        <v/>
      </c>
      <c r="S59" s="37">
        <f>SUMIF('BK TB '!$R:$R,'BK P&amp;L'!$A59,'BK TB '!G:G)</f>
        <v/>
      </c>
      <c r="T59" s="37">
        <f>SUMIF('BK TB '!$R:$R,'BK P&amp;L'!$A59,'BK TB '!H:H)</f>
        <v/>
      </c>
      <c r="U59" s="37">
        <f>SUMIF('BK TB '!$R:$R,'BK P&amp;L'!$A59,'BK TB 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18" t="n">
        <v>0</v>
      </c>
      <c r="AJ59" s="119" t="n">
        <v>0</v>
      </c>
      <c r="AK59" s="119" t="n">
        <v>0</v>
      </c>
      <c r="AL59" s="119" t="n">
        <v>0</v>
      </c>
      <c r="AM59" s="120" t="n">
        <v>0</v>
      </c>
      <c r="AN59" s="118" t="n">
        <v>0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2.4</v>
      </c>
      <c r="C60" s="35" t="n">
        <v>1.2</v>
      </c>
      <c r="D60" s="35" t="n">
        <v>1.2</v>
      </c>
      <c r="E60" s="35" t="n">
        <v>3</v>
      </c>
      <c r="F60" s="35" t="n">
        <v>1.8</v>
      </c>
      <c r="G60" s="35" t="n">
        <v>1.8</v>
      </c>
      <c r="H60" s="35" t="n">
        <v>2.4</v>
      </c>
      <c r="I60" s="35" t="n">
        <v>0.6</v>
      </c>
      <c r="J60" s="35" t="n">
        <v>1.8</v>
      </c>
      <c r="K60" s="35" t="n">
        <v>68.8</v>
      </c>
      <c r="L60" s="35" t="n">
        <v>3.6</v>
      </c>
      <c r="M60" s="35" t="n">
        <v>2.4</v>
      </c>
      <c r="N60" s="36">
        <f>SUM(B60:M60)</f>
        <v/>
      </c>
      <c r="O60" s="37">
        <f>SUMIF('BK TB '!$R:$R,'BK P&amp;L'!$A60,'BK TB '!C:C)</f>
        <v/>
      </c>
      <c r="P60" s="37">
        <f>SUMIF('BK TB '!$R:$R,'BK P&amp;L'!$A60,'BK TB '!D:D)</f>
        <v/>
      </c>
      <c r="Q60" s="37">
        <f>SUMIF('BK TB '!$R:$R,'BK P&amp;L'!$A60,'BK TB '!E:E)</f>
        <v/>
      </c>
      <c r="R60" s="37">
        <f>SUMIF('BK TB '!$R:$R,'BK P&amp;L'!$A60,'BK TB '!F:F)</f>
        <v/>
      </c>
      <c r="S60" s="37">
        <f>SUMIF('BK TB '!$R:$R,'BK P&amp;L'!$A60,'BK TB '!G:G)</f>
        <v/>
      </c>
      <c r="T60" s="37">
        <f>SUMIF('BK TB '!$R:$R,'BK P&amp;L'!$A60,'BK TB '!H:H)</f>
        <v/>
      </c>
      <c r="U60" s="37">
        <f>SUMIF('BK TB '!$R:$R,'BK P&amp;L'!$A60,'BK TB '!I:I)</f>
        <v/>
      </c>
      <c r="V60" s="38" t="n">
        <v>0</v>
      </c>
      <c r="W60" s="38" t="n">
        <v>0</v>
      </c>
      <c r="X60" s="38" t="n">
        <v>0</v>
      </c>
      <c r="Y60" s="38" t="n">
        <v>0</v>
      </c>
      <c r="Z60" s="38" t="n">
        <v>0</v>
      </c>
      <c r="AA60" s="36">
        <f>SUM(O60:U60)</f>
        <v/>
      </c>
      <c r="AB60" s="36">
        <f>SUM(O60:Z60)</f>
        <v/>
      </c>
      <c r="AC60" s="38" t="n">
        <v>0</v>
      </c>
      <c r="AD60" s="38" t="n">
        <v>0</v>
      </c>
      <c r="AE60" s="38" t="n">
        <v>0</v>
      </c>
      <c r="AF60" s="38" t="n">
        <v>0</v>
      </c>
      <c r="AG60" s="38" t="n">
        <v>0</v>
      </c>
      <c r="AH60" s="38" t="n">
        <v>0</v>
      </c>
      <c r="AI60" s="118" t="n">
        <v>0</v>
      </c>
      <c r="AJ60" s="119" t="n">
        <v>0</v>
      </c>
      <c r="AK60" s="119" t="n">
        <v>0</v>
      </c>
      <c r="AL60" s="119" t="n">
        <v>0</v>
      </c>
      <c r="AM60" s="120" t="n">
        <v>0</v>
      </c>
      <c r="AN60" s="118" t="n">
        <v>0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28.97</v>
      </c>
      <c r="G61" s="35" t="n">
        <v>0</v>
      </c>
      <c r="H61" s="35" t="n">
        <v>50.14</v>
      </c>
      <c r="I61" s="35" t="n">
        <v>0</v>
      </c>
      <c r="J61" s="35" t="n">
        <v>0</v>
      </c>
      <c r="K61" s="35" t="n">
        <v>25.85</v>
      </c>
      <c r="L61" s="35" t="n">
        <v>26.84</v>
      </c>
      <c r="M61" s="35" t="n">
        <v>79.79999999999998</v>
      </c>
      <c r="N61" s="36">
        <f>SUM(B61:M61)</f>
        <v/>
      </c>
      <c r="O61" s="37">
        <f>SUMIF('BK TB '!$R:$R,'BK P&amp;L'!$A61,'BK TB '!C:C)</f>
        <v/>
      </c>
      <c r="P61" s="37">
        <f>SUMIF('BK TB '!$R:$R,'BK P&amp;L'!$A61,'BK TB '!D:D)</f>
        <v/>
      </c>
      <c r="Q61" s="37">
        <f>SUMIF('BK TB '!$R:$R,'BK P&amp;L'!$A61,'BK TB '!E:E)</f>
        <v/>
      </c>
      <c r="R61" s="37">
        <f>SUMIF('BK TB '!$R:$R,'BK P&amp;L'!$A61,'BK TB '!F:F)</f>
        <v/>
      </c>
      <c r="S61" s="37">
        <f>SUMIF('BK TB '!$R:$R,'BK P&amp;L'!$A61,'BK TB '!G:G)</f>
        <v/>
      </c>
      <c r="T61" s="37">
        <f>SUMIF('BK TB '!$R:$R,'BK P&amp;L'!$A61,'BK TB '!H:H)</f>
        <v/>
      </c>
      <c r="U61" s="37">
        <f>SUMIF('BK TB '!$R:$R,'BK P&amp;L'!$A61,'BK TB '!I:I)</f>
        <v/>
      </c>
      <c r="V61" s="38" t="n">
        <v>0</v>
      </c>
      <c r="W61" s="38" t="n">
        <v>0</v>
      </c>
      <c r="X61" s="38" t="n">
        <v>0</v>
      </c>
      <c r="Y61" s="38" t="n">
        <v>0</v>
      </c>
      <c r="Z61" s="38" t="n">
        <v>0</v>
      </c>
      <c r="AA61" s="36">
        <f>SUM(O61:U61)</f>
        <v/>
      </c>
      <c r="AB61" s="36">
        <f>SUM(O61:Z61)</f>
        <v/>
      </c>
      <c r="AC61" s="38" t="n">
        <v>0</v>
      </c>
      <c r="AD61" s="38" t="n">
        <v>0</v>
      </c>
      <c r="AE61" s="38" t="n">
        <v>0</v>
      </c>
      <c r="AF61" s="38" t="n">
        <v>0</v>
      </c>
      <c r="AG61" s="38" t="n">
        <v>0</v>
      </c>
      <c r="AH61" s="38" t="n">
        <v>0</v>
      </c>
      <c r="AI61" s="118" t="n">
        <v>0</v>
      </c>
      <c r="AJ61" s="119" t="n">
        <v>0</v>
      </c>
      <c r="AK61" s="119" t="n">
        <v>0</v>
      </c>
      <c r="AL61" s="119" t="n">
        <v>0</v>
      </c>
      <c r="AM61" s="120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104</v>
      </c>
      <c r="D62" s="35" t="n">
        <v>36</v>
      </c>
      <c r="E62" s="35" t="n">
        <v>77.34</v>
      </c>
      <c r="F62" s="35" t="n">
        <v>0</v>
      </c>
      <c r="G62" s="35" t="n">
        <v>169</v>
      </c>
      <c r="H62" s="35" t="n">
        <v>22</v>
      </c>
      <c r="I62" s="35" t="n">
        <v>0</v>
      </c>
      <c r="J62" s="35" t="n">
        <v>0</v>
      </c>
      <c r="K62" s="35" t="n">
        <v>150</v>
      </c>
      <c r="L62" s="35" t="n">
        <v>0</v>
      </c>
      <c r="M62" s="35" t="n">
        <v>0</v>
      </c>
      <c r="N62" s="36">
        <f>SUM(B62:M62)</f>
        <v/>
      </c>
      <c r="O62" s="37">
        <f>SUMIF('BK TB '!$R:$R,'BK P&amp;L'!$A62,'BK TB '!C:C)</f>
        <v/>
      </c>
      <c r="P62" s="37">
        <f>SUMIF('BK TB '!$R:$R,'BK P&amp;L'!$A62,'BK TB '!D:D)</f>
        <v/>
      </c>
      <c r="Q62" s="37">
        <f>SUMIF('BK TB '!$R:$R,'BK P&amp;L'!$A62,'BK TB '!E:E)</f>
        <v/>
      </c>
      <c r="R62" s="37">
        <f>SUMIF('BK TB '!$R:$R,'BK P&amp;L'!$A62,'BK TB '!F:F)</f>
        <v/>
      </c>
      <c r="S62" s="37">
        <f>SUMIF('BK TB '!$R:$R,'BK P&amp;L'!$A62,'BK TB '!G:G)</f>
        <v/>
      </c>
      <c r="T62" s="37">
        <f>SUMIF('BK TB '!$R:$R,'BK P&amp;L'!$A62,'BK TB '!H:H)</f>
        <v/>
      </c>
      <c r="U62" s="37">
        <f>SUMIF('BK TB '!$R:$R,'BK P&amp;L'!$A62,'BK TB '!I:I)</f>
        <v/>
      </c>
      <c r="V62" s="38" t="n">
        <v>0</v>
      </c>
      <c r="W62" s="38" t="n">
        <v>0</v>
      </c>
      <c r="X62" s="38" t="n">
        <v>0</v>
      </c>
      <c r="Y62" s="38" t="n">
        <v>0</v>
      </c>
      <c r="Z62" s="38" t="n">
        <v>0</v>
      </c>
      <c r="AA62" s="36">
        <f>SUM(O62:U62)</f>
        <v/>
      </c>
      <c r="AB62" s="36">
        <f>SUM(O62:Z62)</f>
        <v/>
      </c>
      <c r="AC62" s="38" t="n">
        <v>0</v>
      </c>
      <c r="AD62" s="38" t="n">
        <v>0</v>
      </c>
      <c r="AE62" s="38" t="n">
        <v>0</v>
      </c>
      <c r="AF62" s="38" t="n">
        <v>0</v>
      </c>
      <c r="AG62" s="38" t="n">
        <v>0</v>
      </c>
      <c r="AH62" s="38" t="n">
        <v>0</v>
      </c>
      <c r="AI62" s="118" t="n">
        <v>0</v>
      </c>
      <c r="AJ62" s="119" t="n">
        <v>0</v>
      </c>
      <c r="AK62" s="119" t="n">
        <v>0</v>
      </c>
      <c r="AL62" s="119" t="n">
        <v>0</v>
      </c>
      <c r="AM62" s="120" t="n">
        <v>0</v>
      </c>
      <c r="AN62" s="118" t="n">
        <v>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SUMIF('BK TB '!$R:$R,'BK P&amp;L'!$A63,'BK TB '!C:C)</f>
        <v/>
      </c>
      <c r="P63" s="37">
        <f>SUMIF('BK TB '!$R:$R,'BK P&amp;L'!$A63,'BK TB '!D:D)</f>
        <v/>
      </c>
      <c r="Q63" s="37">
        <f>SUMIF('BK TB '!$R:$R,'BK P&amp;L'!$A63,'BK TB '!E:E)</f>
        <v/>
      </c>
      <c r="R63" s="37">
        <f>SUMIF('BK TB '!$R:$R,'BK P&amp;L'!$A63,'BK TB '!F:F)</f>
        <v/>
      </c>
      <c r="S63" s="37">
        <f>SUMIF('BK TB '!$R:$R,'BK P&amp;L'!$A63,'BK TB '!G:G)</f>
        <v/>
      </c>
      <c r="T63" s="37">
        <f>SUMIF('BK TB '!$R:$R,'BK P&amp;L'!$A63,'BK TB '!H:H)</f>
        <v/>
      </c>
      <c r="U63" s="37">
        <f>SUMIF('BK TB '!$R:$R,'BK P&amp;L'!$A63,'BK TB '!I:I)</f>
        <v/>
      </c>
      <c r="V63" s="38" t="n">
        <v>0</v>
      </c>
      <c r="W63" s="38" t="n">
        <v>0</v>
      </c>
      <c r="X63" s="38" t="n">
        <v>0</v>
      </c>
      <c r="Y63" s="38" t="n">
        <v>0</v>
      </c>
      <c r="Z63" s="38" t="n">
        <v>0</v>
      </c>
      <c r="AA63" s="36">
        <f>SUM(O63:U63)</f>
        <v/>
      </c>
      <c r="AB63" s="36">
        <f>SUM(O63:Z63)</f>
        <v/>
      </c>
      <c r="AC63" s="38" t="n">
        <v>0</v>
      </c>
      <c r="AD63" s="38" t="n">
        <v>0</v>
      </c>
      <c r="AE63" s="38" t="n">
        <v>0</v>
      </c>
      <c r="AF63" s="38" t="n">
        <v>0</v>
      </c>
      <c r="AG63" s="38" t="n">
        <v>0</v>
      </c>
      <c r="AH63" s="38" t="n">
        <v>0</v>
      </c>
      <c r="AI63" s="118" t="n">
        <v>0</v>
      </c>
      <c r="AJ63" s="119" t="n">
        <v>0</v>
      </c>
      <c r="AK63" s="119" t="n">
        <v>0</v>
      </c>
      <c r="AL63" s="119" t="n">
        <v>0</v>
      </c>
      <c r="AM63" s="120" t="n">
        <v>0</v>
      </c>
      <c r="AN63" s="118" t="n">
        <v>0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SUMIF('BK TB '!$R:$R,'BK P&amp;L'!$A64,'BK TB '!C:C)</f>
        <v/>
      </c>
      <c r="P64" s="37">
        <f>SUMIF('BK TB '!$R:$R,'BK P&amp;L'!$A64,'BK TB '!D:D)</f>
        <v/>
      </c>
      <c r="Q64" s="37">
        <f>SUMIF('BK TB '!$R:$R,'BK P&amp;L'!$A64,'BK TB '!E:E)</f>
        <v/>
      </c>
      <c r="R64" s="37">
        <f>SUMIF('BK TB '!$R:$R,'BK P&amp;L'!$A64,'BK TB '!F:F)</f>
        <v/>
      </c>
      <c r="S64" s="37">
        <f>SUMIF('BK TB '!$R:$R,'BK P&amp;L'!$A64,'BK TB '!G:G)</f>
        <v/>
      </c>
      <c r="T64" s="37">
        <f>SUMIF('BK TB '!$R:$R,'BK P&amp;L'!$A64,'BK TB '!H:H)</f>
        <v/>
      </c>
      <c r="U64" s="37">
        <f>SUMIF('BK TB '!$R:$R,'BK P&amp;L'!$A64,'BK TB '!I:I)</f>
        <v/>
      </c>
      <c r="V64" s="38" t="n">
        <v>0</v>
      </c>
      <c r="W64" s="38" t="n">
        <v>0</v>
      </c>
      <c r="X64" s="38" t="n">
        <v>0</v>
      </c>
      <c r="Y64" s="38" t="n">
        <v>0</v>
      </c>
      <c r="Z64" s="38" t="n">
        <v>0</v>
      </c>
      <c r="AA64" s="36">
        <f>SUM(O64:U64)</f>
        <v/>
      </c>
      <c r="AB64" s="36">
        <f>SUM(O64:Z64)</f>
        <v/>
      </c>
      <c r="AC64" s="38" t="n">
        <v>0</v>
      </c>
      <c r="AD64" s="38" t="n">
        <v>0</v>
      </c>
      <c r="AE64" s="38" t="n">
        <v>0</v>
      </c>
      <c r="AF64" s="38" t="n">
        <v>0</v>
      </c>
      <c r="AG64" s="38" t="n">
        <v>0</v>
      </c>
      <c r="AH64" s="38" t="n">
        <v>0</v>
      </c>
      <c r="AI64" s="118" t="n">
        <v>0</v>
      </c>
      <c r="AJ64" s="119" t="n">
        <v>0</v>
      </c>
      <c r="AK64" s="119" t="n">
        <v>0</v>
      </c>
      <c r="AL64" s="119" t="n">
        <v>0</v>
      </c>
      <c r="AM64" s="120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SUMIF('BK TB '!$R:$R,'BK P&amp;L'!$A65,'BK TB '!C:C)</f>
        <v/>
      </c>
      <c r="P65" s="37">
        <f>SUMIF('BK TB '!$R:$R,'BK P&amp;L'!$A65,'BK TB '!D:D)</f>
        <v/>
      </c>
      <c r="Q65" s="37">
        <f>SUMIF('BK TB '!$R:$R,'BK P&amp;L'!$A65,'BK TB '!E:E)</f>
        <v/>
      </c>
      <c r="R65" s="37">
        <f>SUMIF('BK TB '!$R:$R,'BK P&amp;L'!$A65,'BK TB '!F:F)</f>
        <v/>
      </c>
      <c r="S65" s="37">
        <f>SUMIF('BK TB '!$R:$R,'BK P&amp;L'!$A65,'BK TB '!G:G)</f>
        <v/>
      </c>
      <c r="T65" s="37">
        <f>SUMIF('BK TB '!$R:$R,'BK P&amp;L'!$A65,'BK TB '!H:H)</f>
        <v/>
      </c>
      <c r="U65" s="37">
        <f>SUMIF('BK TB '!$R:$R,'BK P&amp;L'!$A65,'BK TB '!I:I)</f>
        <v/>
      </c>
      <c r="V65" s="38" t="n">
        <v>0</v>
      </c>
      <c r="W65" s="38" t="n">
        <v>0</v>
      </c>
      <c r="X65" s="38" t="n">
        <v>0</v>
      </c>
      <c r="Y65" s="38" t="n">
        <v>0</v>
      </c>
      <c r="Z65" s="38" t="n">
        <v>0</v>
      </c>
      <c r="AA65" s="36">
        <f>SUM(O65:U65)</f>
        <v/>
      </c>
      <c r="AB65" s="36">
        <f>SUM(O65:Z65)</f>
        <v/>
      </c>
      <c r="AC65" s="38" t="n">
        <v>0</v>
      </c>
      <c r="AD65" s="38" t="n">
        <v>0</v>
      </c>
      <c r="AE65" s="38" t="n">
        <v>0</v>
      </c>
      <c r="AF65" s="38" t="n">
        <v>0</v>
      </c>
      <c r="AG65" s="38" t="n">
        <v>0</v>
      </c>
      <c r="AH65" s="38" t="n">
        <v>0</v>
      </c>
      <c r="AI65" s="118" t="n">
        <v>0</v>
      </c>
      <c r="AJ65" s="119" t="n">
        <v>0</v>
      </c>
      <c r="AK65" s="119" t="n">
        <v>0</v>
      </c>
      <c r="AL65" s="119" t="n">
        <v>0</v>
      </c>
      <c r="AM65" s="120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SUMIF('BK TB '!$R:$R,'BK P&amp;L'!$A66,'BK TB '!C:C)</f>
        <v/>
      </c>
      <c r="P66" s="37">
        <f>SUMIF('BK TB '!$R:$R,'BK P&amp;L'!$A66,'BK TB '!D:D)</f>
        <v/>
      </c>
      <c r="Q66" s="37">
        <f>SUMIF('BK TB '!$R:$R,'BK P&amp;L'!$A66,'BK TB '!E:E)</f>
        <v/>
      </c>
      <c r="R66" s="37">
        <f>SUMIF('BK TB '!$R:$R,'BK P&amp;L'!$A66,'BK TB '!F:F)</f>
        <v/>
      </c>
      <c r="S66" s="37">
        <f>SUMIF('BK TB '!$R:$R,'BK P&amp;L'!$A66,'BK TB '!G:G)</f>
        <v/>
      </c>
      <c r="T66" s="37">
        <f>SUMIF('BK TB '!$R:$R,'BK P&amp;L'!$A66,'BK TB '!H:H)</f>
        <v/>
      </c>
      <c r="U66" s="37">
        <f>SUMIF('BK TB '!$R:$R,'BK P&amp;L'!$A66,'BK TB '!I:I)</f>
        <v/>
      </c>
      <c r="V66" s="38" t="n">
        <v>0</v>
      </c>
      <c r="W66" s="38" t="n">
        <v>0</v>
      </c>
      <c r="X66" s="38" t="n">
        <v>0</v>
      </c>
      <c r="Y66" s="38" t="n">
        <v>0</v>
      </c>
      <c r="Z66" s="38" t="n">
        <v>0</v>
      </c>
      <c r="AA66" s="36">
        <f>SUM(O66:U66)</f>
        <v/>
      </c>
      <c r="AB66" s="36">
        <f>SUM(O66:Z66)</f>
        <v/>
      </c>
      <c r="AC66" s="38" t="n">
        <v>0</v>
      </c>
      <c r="AD66" s="38" t="n">
        <v>0</v>
      </c>
      <c r="AE66" s="38" t="n">
        <v>0</v>
      </c>
      <c r="AF66" s="38" t="n">
        <v>0</v>
      </c>
      <c r="AG66" s="38" t="n">
        <v>0</v>
      </c>
      <c r="AH66" s="38" t="n">
        <v>0</v>
      </c>
      <c r="AI66" s="118" t="n">
        <v>0</v>
      </c>
      <c r="AJ66" s="119" t="n">
        <v>0</v>
      </c>
      <c r="AK66" s="119" t="n">
        <v>0</v>
      </c>
      <c r="AL66" s="119" t="n">
        <v>0</v>
      </c>
      <c r="AM66" s="120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SUMIF('BK TB '!$R:$R,'BK P&amp;L'!$A67,'BK TB '!C:C)</f>
        <v/>
      </c>
      <c r="P67" s="37">
        <f>SUMIF('BK TB '!$R:$R,'BK P&amp;L'!$A67,'BK TB '!D:D)</f>
        <v/>
      </c>
      <c r="Q67" s="37">
        <f>SUMIF('BK TB '!$R:$R,'BK P&amp;L'!$A67,'BK TB '!E:E)</f>
        <v/>
      </c>
      <c r="R67" s="37">
        <f>SUMIF('BK TB '!$R:$R,'BK P&amp;L'!$A67,'BK TB '!F:F)</f>
        <v/>
      </c>
      <c r="S67" s="37">
        <f>SUMIF('BK TB '!$R:$R,'BK P&amp;L'!$A67,'BK TB '!G:G)</f>
        <v/>
      </c>
      <c r="T67" s="37">
        <f>SUMIF('BK TB '!$R:$R,'BK P&amp;L'!$A67,'BK TB '!H:H)</f>
        <v/>
      </c>
      <c r="U67" s="37">
        <f>SUMIF('BK TB '!$R:$R,'BK P&amp;L'!$A67,'BK TB '!I:I)</f>
        <v/>
      </c>
      <c r="V67" s="38" t="n">
        <v>0</v>
      </c>
      <c r="W67" s="38" t="n">
        <v>0</v>
      </c>
      <c r="X67" s="38" t="n">
        <v>0</v>
      </c>
      <c r="Y67" s="38" t="n">
        <v>0</v>
      </c>
      <c r="Z67" s="38" t="n">
        <v>0</v>
      </c>
      <c r="AA67" s="36">
        <f>SUM(O67:U67)</f>
        <v/>
      </c>
      <c r="AB67" s="36">
        <f>SUM(O67:Z67)</f>
        <v/>
      </c>
      <c r="AC67" s="38" t="n">
        <v>0</v>
      </c>
      <c r="AD67" s="38" t="n">
        <v>0</v>
      </c>
      <c r="AE67" s="38" t="n">
        <v>0</v>
      </c>
      <c r="AF67" s="38" t="n">
        <v>0</v>
      </c>
      <c r="AG67" s="38" t="n">
        <v>0</v>
      </c>
      <c r="AH67" s="38" t="n">
        <v>0</v>
      </c>
      <c r="AI67" s="118" t="n">
        <v>0</v>
      </c>
      <c r="AJ67" s="119" t="n">
        <v>0</v>
      </c>
      <c r="AK67" s="119" t="n">
        <v>0</v>
      </c>
      <c r="AL67" s="119" t="n">
        <v>0</v>
      </c>
      <c r="AM67" s="120" t="n">
        <v>0</v>
      </c>
      <c r="AN67" s="118" t="n">
        <v>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SUMIF('BK TB '!$R:$R,'BK P&amp;L'!$A68,'BK TB '!C:C)</f>
        <v/>
      </c>
      <c r="P68" s="37">
        <f>SUMIF('BK TB '!$R:$R,'BK P&amp;L'!$A68,'BK TB '!D:D)</f>
        <v/>
      </c>
      <c r="Q68" s="37">
        <f>SUMIF('BK TB '!$R:$R,'BK P&amp;L'!$A68,'BK TB '!E:E)</f>
        <v/>
      </c>
      <c r="R68" s="37">
        <f>SUMIF('BK TB '!$R:$R,'BK P&amp;L'!$A68,'BK TB '!F:F)</f>
        <v/>
      </c>
      <c r="S68" s="37">
        <f>SUMIF('BK TB '!$R:$R,'BK P&amp;L'!$A68,'BK TB '!G:G)</f>
        <v/>
      </c>
      <c r="T68" s="37">
        <f>SUMIF('BK TB '!$R:$R,'BK P&amp;L'!$A68,'BK TB '!H:H)</f>
        <v/>
      </c>
      <c r="U68" s="37">
        <f>SUMIF('BK TB '!$R:$R,'BK P&amp;L'!$A68,'BK TB '!I:I)</f>
        <v/>
      </c>
      <c r="V68" s="38" t="n">
        <v>0</v>
      </c>
      <c r="W68" s="38" t="n">
        <v>0</v>
      </c>
      <c r="X68" s="38" t="n">
        <v>0</v>
      </c>
      <c r="Y68" s="38" t="n">
        <v>0</v>
      </c>
      <c r="Z68" s="38" t="n">
        <v>0</v>
      </c>
      <c r="AA68" s="36">
        <f>SUM(O68:U68)</f>
        <v/>
      </c>
      <c r="AB68" s="36">
        <f>SUM(O68:Z68)</f>
        <v/>
      </c>
      <c r="AC68" s="38" t="n">
        <v>0</v>
      </c>
      <c r="AD68" s="38" t="n">
        <v>0</v>
      </c>
      <c r="AE68" s="38" t="n">
        <v>0</v>
      </c>
      <c r="AF68" s="38" t="n">
        <v>0</v>
      </c>
      <c r="AG68" s="38" t="n">
        <v>0</v>
      </c>
      <c r="AH68" s="38" t="n">
        <v>0</v>
      </c>
      <c r="AI68" s="118" t="n">
        <v>0</v>
      </c>
      <c r="AJ68" s="119" t="n">
        <v>0</v>
      </c>
      <c r="AK68" s="119" t="n">
        <v>0</v>
      </c>
      <c r="AL68" s="119" t="n">
        <v>0</v>
      </c>
      <c r="AM68" s="120" t="n">
        <v>0</v>
      </c>
      <c r="AN68" s="118" t="n">
        <v>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347.78</v>
      </c>
      <c r="C69" s="42" t="n">
        <v>306.58</v>
      </c>
      <c r="D69" s="42" t="n">
        <v>238.58</v>
      </c>
      <c r="E69" s="42" t="n">
        <v>281.72</v>
      </c>
      <c r="F69" s="42" t="n">
        <v>232.15</v>
      </c>
      <c r="G69" s="42" t="n">
        <v>372.18</v>
      </c>
      <c r="H69" s="42" t="n">
        <v>275.92</v>
      </c>
      <c r="I69" s="42" t="n">
        <v>201.98</v>
      </c>
      <c r="J69" s="42" t="n">
        <v>203.18</v>
      </c>
      <c r="K69" s="42" t="n">
        <v>459.45</v>
      </c>
      <c r="L69" s="42" t="n">
        <v>245.24</v>
      </c>
      <c r="M69" s="42" t="n">
        <v>297</v>
      </c>
      <c r="N69" s="43">
        <f>SUM(B69:M69)</f>
        <v/>
      </c>
      <c r="O69" s="44">
        <f>SUM(O53:O68)</f>
        <v/>
      </c>
      <c r="P69" s="44">
        <f>SUM(P53:P68)</f>
        <v/>
      </c>
      <c r="Q69" s="44">
        <f>SUM(Q53:Q68)</f>
        <v/>
      </c>
      <c r="R69" s="44">
        <f>SUM(R53:R68)</f>
        <v/>
      </c>
      <c r="S69" s="44">
        <f>SUM(S53:S68)</f>
        <v/>
      </c>
      <c r="T69" s="44">
        <f>SUM(T53:T68)</f>
        <v/>
      </c>
      <c r="U69" s="44">
        <f>SUM(U53:U68)</f>
        <v/>
      </c>
      <c r="V69" s="45">
        <f>SUM(V53:V68)</f>
        <v/>
      </c>
      <c r="W69" s="45">
        <f>SUM(W53:W68)</f>
        <v/>
      </c>
      <c r="X69" s="45">
        <f>SUM(X53:X68)</f>
        <v/>
      </c>
      <c r="Y69" s="45">
        <f>SUM(Y53:Y68)</f>
        <v/>
      </c>
      <c r="Z69" s="45">
        <f>SUM(Z53:Z68)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3">
        <f>SUM(AI53:AI68)</f>
        <v/>
      </c>
      <c r="AJ69" s="124">
        <f>SUM(AJ53:AJ68)</f>
        <v/>
      </c>
      <c r="AK69" s="124">
        <f>SUM(AK53:AK68)</f>
        <v/>
      </c>
      <c r="AL69" s="124">
        <f>SUM(AL53:AL68)</f>
        <v/>
      </c>
      <c r="AM69" s="124">
        <f>SUM(AM53:AM68)</f>
        <v/>
      </c>
      <c r="AN69" s="123">
        <f>SUM(AN53:AN68)</f>
        <v/>
      </c>
      <c r="AO69" s="125">
        <f>SUM(AC69:AH69)+SUM(AI69:AN69)</f>
        <v/>
      </c>
      <c r="AP69" s="126">
        <f>IF(AB69&lt;&gt;0,(AO69-AB69)/ABS(AB69),0)</f>
        <v/>
      </c>
    </row>
    <row r="70">
      <c r="A70" s="54" t="inlineStr">
        <is>
          <t>EBITDA</t>
        </is>
      </c>
      <c r="B70" s="55" t="n">
        <v>11278.46</v>
      </c>
      <c r="C70" s="55" t="n">
        <v>6705.210000000001</v>
      </c>
      <c r="D70" s="55" t="n">
        <v>35352.92</v>
      </c>
      <c r="E70" s="55" t="n">
        <v>14050.32000000001</v>
      </c>
      <c r="F70" s="55" t="n">
        <v>7344.560000000003</v>
      </c>
      <c r="G70" s="55" t="n">
        <v>17602.66</v>
      </c>
      <c r="H70" s="55" t="n">
        <v>24019.18</v>
      </c>
      <c r="I70" s="55" t="n">
        <v>62.99999999999957</v>
      </c>
      <c r="J70" s="55" t="n">
        <v>4252.330000000002</v>
      </c>
      <c r="K70" s="55" t="n">
        <v>4043.919999999996</v>
      </c>
      <c r="L70" s="55" t="n">
        <v>9091.809999999996</v>
      </c>
      <c r="M70" s="55" t="n">
        <v>17028.98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0">
        <f>AI50-AI69</f>
        <v/>
      </c>
      <c r="AJ70" s="140">
        <f>AJ50-AJ69</f>
        <v/>
      </c>
      <c r="AK70" s="140">
        <f>AK50-AK69</f>
        <v/>
      </c>
      <c r="AL70" s="140">
        <f>AL50-AL69</f>
        <v/>
      </c>
      <c r="AM70" s="140">
        <f>AM50-AM69</f>
        <v/>
      </c>
      <c r="AN70" s="140">
        <f>AN50-AN69</f>
        <v/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63" t="inlineStr">
        <is>
          <t>Memo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60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60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4">
        <f>SUM(AC72:AH72)+SUM(AI72:AN72)</f>
        <v/>
      </c>
      <c r="AP72" s="142">
        <f>IF(AB72&lt;&gt;0,(AO72-AB72)/ABS(AB72),0)</f>
        <v/>
      </c>
    </row>
    <row r="73">
      <c r="A73" s="34" t="inlineStr">
        <is>
          <t>Direct - Sales</t>
        </is>
      </c>
      <c r="B73" s="18" t="n">
        <v>37485.31</v>
      </c>
      <c r="C73" s="18" t="n">
        <v>36089.88</v>
      </c>
      <c r="D73" s="18" t="n">
        <v>65326.28</v>
      </c>
      <c r="E73" s="18" t="n">
        <v>46048.91</v>
      </c>
      <c r="F73" s="18" t="n">
        <v>39015.19</v>
      </c>
      <c r="G73" s="18" t="n">
        <v>48602.76</v>
      </c>
      <c r="H73" s="18" t="n">
        <v>56552.03</v>
      </c>
      <c r="I73" s="18" t="n">
        <v>31860.92</v>
      </c>
      <c r="J73" s="18" t="n">
        <v>36736.97</v>
      </c>
      <c r="K73" s="18" t="n">
        <v>35841.35</v>
      </c>
      <c r="L73" s="18" t="n">
        <v>37264.42</v>
      </c>
      <c r="M73" s="18" t="n">
        <v>47348.34</v>
      </c>
      <c r="N73" s="34">
        <f>SUM(B73:M73)</f>
        <v/>
      </c>
      <c r="O73" s="60">
        <f>-SUMIF('BK TB '!$T:$T,'BK P&amp;L'!$A73,'BK TB '!C:C)</f>
        <v/>
      </c>
      <c r="P73" s="60">
        <f>-SUMIF('BK TB '!$T:$T,'BK P&amp;L'!$A73,'BK TB '!D:D)</f>
        <v/>
      </c>
      <c r="Q73" s="60">
        <f>-SUMIF('BK TB '!$T:$T,'BK P&amp;L'!$A73,'BK TB '!E:E)</f>
        <v/>
      </c>
      <c r="R73" s="60">
        <f>-SUMIF('BK TB '!$T:$T,'BK P&amp;L'!$A73,'BK TB '!F:F)</f>
        <v/>
      </c>
      <c r="S73" s="60">
        <f>-SUMIF('BK TB '!$T:$T,'BK P&amp;L'!$A73,'BK TB '!G:G)</f>
        <v/>
      </c>
      <c r="T73" s="60">
        <f>-SUMIF('BK TB '!$T:$T,'BK P&amp;L'!$A73,'BK TB '!H:H)</f>
        <v/>
      </c>
      <c r="U73" s="60">
        <f>-SUMIF('BK TB '!$T:$T,'BK P&amp;L'!$A73,'BK TB '!I:I)</f>
        <v/>
      </c>
      <c r="V73" s="20" t="n"/>
      <c r="W73" s="20" t="n"/>
      <c r="X73" s="20" t="n"/>
      <c r="Y73" s="20" t="n"/>
      <c r="Z73" s="20" t="n"/>
      <c r="AA73" s="34">
        <f>SUM(O73:T73)</f>
        <v/>
      </c>
      <c r="AB73" s="56" t="n"/>
      <c r="AC73" s="20" t="n"/>
      <c r="AD73" s="20" t="n"/>
      <c r="AE73" s="20" t="n"/>
      <c r="AF73" s="20" t="n"/>
      <c r="AG73" s="20" t="n"/>
      <c r="AH73" s="20" t="n"/>
      <c r="AI73" s="134" t="n">
        <v>0</v>
      </c>
      <c r="AJ73" s="134" t="n">
        <v>0</v>
      </c>
      <c r="AK73" s="134" t="n">
        <v>0</v>
      </c>
      <c r="AL73" s="134" t="n">
        <v>0</v>
      </c>
      <c r="AM73" s="134" t="n">
        <v>0</v>
      </c>
      <c r="AN73" s="134" t="n">
        <v>0</v>
      </c>
      <c r="AO73" s="144">
        <f>SUM(AC73:AH73)+SUM(AI73:AN73)</f>
        <v/>
      </c>
      <c r="AP73" s="142">
        <f>IF(AB73&lt;&gt;0,(AO73-AB73)/ABS(AB73),0)</f>
        <v/>
      </c>
    </row>
    <row r="74">
      <c r="A74" s="34" t="inlineStr">
        <is>
          <t>Direct - Staff Cost</t>
        </is>
      </c>
      <c r="B74" s="18" t="n">
        <v>-19745.57</v>
      </c>
      <c r="C74" s="18" t="n">
        <v>-19496.37</v>
      </c>
      <c r="D74" s="18" t="n">
        <v>-22214.65</v>
      </c>
      <c r="E74" s="18" t="n">
        <v>-25290.2</v>
      </c>
      <c r="F74" s="18" t="n">
        <v>-25692.01</v>
      </c>
      <c r="G74" s="18" t="n">
        <v>-27229.87</v>
      </c>
      <c r="H74" s="18" t="n">
        <v>-26832.04</v>
      </c>
      <c r="I74" s="18" t="n">
        <v>-27070.77</v>
      </c>
      <c r="J74" s="18" t="n">
        <v>-27475.83</v>
      </c>
      <c r="K74" s="18" t="n">
        <v>-26487.3</v>
      </c>
      <c r="L74" s="18" t="n">
        <v>-23007.22</v>
      </c>
      <c r="M74" s="18" t="n">
        <v>-25733.51</v>
      </c>
      <c r="N74" s="34">
        <f>SUM(B74:M74)</f>
        <v/>
      </c>
      <c r="O74" s="60">
        <f>-SUMIF('BK TB '!$T:$T,'BK P&amp;L'!$A74,'BK TB '!C:C)</f>
        <v/>
      </c>
      <c r="P74" s="60">
        <f>-SUMIF('BK TB '!$T:$T,'BK P&amp;L'!$A74,'BK TB '!D:D)</f>
        <v/>
      </c>
      <c r="Q74" s="60">
        <f>-SUMIF('BK TB '!$T:$T,'BK P&amp;L'!$A74,'BK TB '!E:E)</f>
        <v/>
      </c>
      <c r="R74" s="60">
        <f>-SUMIF('BK TB '!$T:$T,'BK P&amp;L'!$A74,'BK TB '!F:F)</f>
        <v/>
      </c>
      <c r="S74" s="60">
        <f>-SUMIF('BK TB '!$T:$T,'BK P&amp;L'!$A74,'BK TB '!G:G)</f>
        <v/>
      </c>
      <c r="T74" s="60">
        <f>-SUMIF('BK TB '!$T:$T,'BK P&amp;L'!$A74,'BK TB '!H:H)</f>
        <v/>
      </c>
      <c r="U74" s="60">
        <f>-SUMIF('BK TB '!$T:$T,'BK P&amp;L'!$A74,'BK TB '!I:I)</f>
        <v/>
      </c>
      <c r="V74" s="20" t="n"/>
      <c r="W74" s="20" t="n"/>
      <c r="X74" s="20" t="n"/>
      <c r="Y74" s="20" t="n"/>
      <c r="Z74" s="20" t="n"/>
      <c r="AA74" s="34">
        <f>SUM(O74:T74)</f>
        <v/>
      </c>
      <c r="AB74" s="8" t="n"/>
      <c r="AC74" s="20" t="n"/>
      <c r="AD74" s="20" t="n"/>
      <c r="AE74" s="20" t="n"/>
      <c r="AF74" s="20" t="n"/>
      <c r="AG74" s="20" t="n"/>
      <c r="AH74" s="20" t="n"/>
      <c r="AI74" s="134" t="n">
        <v>0</v>
      </c>
      <c r="AJ74" s="134" t="n">
        <v>0</v>
      </c>
      <c r="AK74" s="134" t="n">
        <v>0</v>
      </c>
      <c r="AL74" s="134" t="n">
        <v>0</v>
      </c>
      <c r="AM74" s="134" t="n">
        <v>0</v>
      </c>
      <c r="AN74" s="134" t="n">
        <v>0</v>
      </c>
      <c r="AO74" s="144">
        <f>SUM(AC74:AH74)+SUM(AI74:AN74)</f>
        <v/>
      </c>
      <c r="AP74" s="142">
        <f>IF(AB74&lt;&gt;0,(AO74-AB74)/ABS(AB74),0)</f>
        <v/>
      </c>
    </row>
    <row r="75">
      <c r="A75" s="60" t="inlineStr">
        <is>
          <t>Direct - Childcare Cost</t>
        </is>
      </c>
      <c r="B75" s="18" t="n">
        <v>-1410.45</v>
      </c>
      <c r="C75" s="18" t="n">
        <v>-1438.49</v>
      </c>
      <c r="D75" s="18" t="n">
        <v>-1592.41</v>
      </c>
      <c r="E75" s="18" t="n">
        <v>-1168.83</v>
      </c>
      <c r="F75" s="18" t="n">
        <v>-1228.61</v>
      </c>
      <c r="G75" s="18" t="n">
        <v>-1436.12</v>
      </c>
      <c r="H75" s="18" t="n">
        <v>-1427.65</v>
      </c>
      <c r="I75" s="18" t="n">
        <v>-1493.46</v>
      </c>
      <c r="J75" s="18" t="n">
        <v>-2341.3</v>
      </c>
      <c r="K75" s="18" t="n">
        <v>-1648.7</v>
      </c>
      <c r="L75" s="18" t="n">
        <v>-2334.43</v>
      </c>
      <c r="M75" s="18" t="n">
        <v>-1598.23</v>
      </c>
      <c r="N75" s="34">
        <f>SUM(B75:M75)</f>
        <v/>
      </c>
      <c r="O75" s="60">
        <f>-SUMIF('BK TB '!$T:$T,'BK P&amp;L'!$A75,'BK TB '!C:C)</f>
        <v/>
      </c>
      <c r="P75" s="60">
        <f>-SUMIF('BK TB '!$T:$T,'BK P&amp;L'!$A75,'BK TB '!D:D)</f>
        <v/>
      </c>
      <c r="Q75" s="60">
        <f>-SUMIF('BK TB '!$T:$T,'BK P&amp;L'!$A75,'BK TB '!E:E)</f>
        <v/>
      </c>
      <c r="R75" s="60">
        <f>-SUMIF('BK TB '!$T:$T,'BK P&amp;L'!$A75,'BK TB '!F:F)</f>
        <v/>
      </c>
      <c r="S75" s="60">
        <f>-SUMIF('BK TB '!$T:$T,'BK P&amp;L'!$A75,'BK TB '!G:G)</f>
        <v/>
      </c>
      <c r="T75" s="60">
        <f>-SUMIF('BK TB '!$T:$T,'BK P&amp;L'!$A75,'BK TB '!H:H)</f>
        <v/>
      </c>
      <c r="U75" s="60">
        <f>-SUMIF('BK TB '!$T:$T,'BK P&amp;L'!$A75,'BK TB '!I:I)</f>
        <v/>
      </c>
      <c r="V75" s="20" t="n"/>
      <c r="W75" s="20" t="n"/>
      <c r="X75" s="20" t="n"/>
      <c r="Y75" s="20" t="n"/>
      <c r="Z75" s="20" t="n"/>
      <c r="AA75" s="34">
        <f>SUM(O75:T75)</f>
        <v/>
      </c>
      <c r="AB75" s="8" t="n"/>
      <c r="AC75" s="20" t="n"/>
      <c r="AD75" s="20" t="n"/>
      <c r="AE75" s="20" t="n"/>
      <c r="AF75" s="20" t="n"/>
      <c r="AG75" s="20" t="n"/>
      <c r="AH75" s="20" t="n"/>
      <c r="AI75" s="134" t="n">
        <v>0</v>
      </c>
      <c r="AJ75" s="134" t="n">
        <v>0</v>
      </c>
      <c r="AK75" s="134" t="n">
        <v>0</v>
      </c>
      <c r="AL75" s="134" t="n">
        <v>0</v>
      </c>
      <c r="AM75" s="134" t="n">
        <v>0</v>
      </c>
      <c r="AN75" s="134" t="n">
        <v>0</v>
      </c>
      <c r="AO75" s="144">
        <f>SUM(AC75:AH75)+SUM(AI75:AN75)</f>
        <v/>
      </c>
      <c r="AP75" s="142">
        <f>IF(AB75&lt;&gt;0,(AO75-AB75)/ABS(AB75),0)</f>
        <v/>
      </c>
    </row>
    <row r="76">
      <c r="A76" s="60" t="inlineStr">
        <is>
          <t>Direct - Premises &amp; Admin</t>
        </is>
      </c>
      <c r="B76" s="18" t="n">
        <v>-4703.05</v>
      </c>
      <c r="C76" s="18" t="n">
        <v>-8143.23</v>
      </c>
      <c r="D76" s="18" t="n">
        <v>-5927.719999999999</v>
      </c>
      <c r="E76" s="18" t="n">
        <v>-5257.84</v>
      </c>
      <c r="F76" s="18" t="n">
        <v>-4517.860000000001</v>
      </c>
      <c r="G76" s="18" t="n">
        <v>-1961.93</v>
      </c>
      <c r="H76" s="18" t="n">
        <v>-3997.24</v>
      </c>
      <c r="I76" s="18" t="n">
        <v>-3031.71</v>
      </c>
      <c r="J76" s="18" t="n">
        <v>-2464.33</v>
      </c>
      <c r="K76" s="18" t="n">
        <v>-3201.98</v>
      </c>
      <c r="L76" s="18" t="n">
        <v>-2585.72</v>
      </c>
      <c r="M76" s="18" t="n">
        <v>-2690.62</v>
      </c>
      <c r="N76" s="8">
        <f>SUM(B76:M76)</f>
        <v/>
      </c>
      <c r="O76" s="60">
        <f>-SUMIF('BK TB '!$T:$T,'BK P&amp;L'!$A76,'BK TB '!C:C)</f>
        <v/>
      </c>
      <c r="P76" s="60">
        <f>-SUMIF('BK TB '!$T:$T,'BK P&amp;L'!$A76,'BK TB '!D:D)</f>
        <v/>
      </c>
      <c r="Q76" s="60">
        <f>-SUMIF('BK TB '!$T:$T,'BK P&amp;L'!$A76,'BK TB '!E:E)</f>
        <v/>
      </c>
      <c r="R76" s="60">
        <f>-SUMIF('BK TB '!$T:$T,'BK P&amp;L'!$A76,'BK TB '!F:F)</f>
        <v/>
      </c>
      <c r="S76" s="60">
        <f>-SUMIF('BK TB '!$T:$T,'BK P&amp;L'!$A76,'BK TB '!G:G)</f>
        <v/>
      </c>
      <c r="T76" s="60">
        <f>-SUMIF('BK TB '!$T:$T,'BK P&amp;L'!$A76,'BK TB '!H:H)</f>
        <v/>
      </c>
      <c r="U76" s="60">
        <f>-SUMIF('BK TB '!$T:$T,'BK P&amp;L'!$A76,'BK TB '!I:I)</f>
        <v/>
      </c>
      <c r="V76" s="20" t="n"/>
      <c r="W76" s="20" t="n"/>
      <c r="X76" s="20" t="n"/>
      <c r="Y76" s="20" t="n"/>
      <c r="Z76" s="20" t="n"/>
      <c r="AA76" s="8">
        <f>SUM(O76:T76)</f>
        <v/>
      </c>
      <c r="AB76" s="8" t="n"/>
      <c r="AC76" s="20" t="n"/>
      <c r="AD76" s="20" t="n"/>
      <c r="AE76" s="20" t="n"/>
      <c r="AF76" s="20" t="n"/>
      <c r="AG76" s="20" t="n"/>
      <c r="AH76" s="20" t="n"/>
      <c r="AI76" s="134" t="n">
        <v>0</v>
      </c>
      <c r="AJ76" s="134" t="n">
        <v>0</v>
      </c>
      <c r="AK76" s="134" t="n">
        <v>0</v>
      </c>
      <c r="AL76" s="134" t="n">
        <v>0</v>
      </c>
      <c r="AM76" s="134" t="n">
        <v>0</v>
      </c>
      <c r="AN76" s="134" t="n">
        <v>0</v>
      </c>
      <c r="AO76" s="144">
        <f>SUM(AC76:AH76)+SUM(AI76:AN76)</f>
        <v/>
      </c>
      <c r="AP76" s="142">
        <f>IF(AB76&lt;&gt;0,(AO76-AB76)/ABS(AB76),0)</f>
        <v/>
      </c>
    </row>
    <row r="77">
      <c r="A77" s="60" t="inlineStr">
        <is>
          <t>In-Direct - Staff Cost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  <c r="G77" s="18" t="n">
        <v>0</v>
      </c>
      <c r="H77" s="18" t="n">
        <v>0</v>
      </c>
      <c r="I77" s="18" t="n">
        <v>0</v>
      </c>
      <c r="J77" s="18" t="n">
        <v>0</v>
      </c>
      <c r="K77" s="18" t="n">
        <v>0</v>
      </c>
      <c r="L77" s="18" t="n">
        <v>0</v>
      </c>
      <c r="M77" s="18" t="n">
        <v>0</v>
      </c>
      <c r="N77" s="8">
        <f>SUM(B77:M77)</f>
        <v/>
      </c>
      <c r="O77" s="60">
        <f>-SUMIF('BK TB '!$T:$T,'BK P&amp;L'!$A77,'BK TB '!C:C)</f>
        <v/>
      </c>
      <c r="P77" s="60">
        <f>-SUMIF('BK TB '!$T:$T,'BK P&amp;L'!$A77,'BK TB '!D:D)</f>
        <v/>
      </c>
      <c r="Q77" s="60">
        <f>-SUMIF('BK TB '!$T:$T,'BK P&amp;L'!$A77,'BK TB '!E:E)</f>
        <v/>
      </c>
      <c r="R77" s="60">
        <f>-SUMIF('BK TB '!$T:$T,'BK P&amp;L'!$A77,'BK TB '!F:F)</f>
        <v/>
      </c>
      <c r="S77" s="60">
        <f>-SUMIF('BK TB '!$T:$T,'BK P&amp;L'!$A77,'BK TB '!G:G)</f>
        <v/>
      </c>
      <c r="T77" s="60">
        <f>-SUMIF('BK TB '!$T:$T,'BK P&amp;L'!$A77,'BK TB '!H:H)</f>
        <v/>
      </c>
      <c r="U77" s="60">
        <f>-SUMIF('BK TB '!$T:$T,'BK P&amp;L'!$A77,'BK TB '!I:I)</f>
        <v/>
      </c>
      <c r="V77" s="20" t="n"/>
      <c r="W77" s="20" t="n"/>
      <c r="X77" s="20" t="n"/>
      <c r="Y77" s="20" t="n"/>
      <c r="Z77" s="20" t="n"/>
      <c r="AA77" s="8">
        <f>SUM(O77:T77)</f>
        <v/>
      </c>
      <c r="AB77" s="8" t="n"/>
      <c r="AC77" s="20" t="n"/>
      <c r="AD77" s="20" t="n"/>
      <c r="AE77" s="20" t="n"/>
      <c r="AF77" s="20" t="n"/>
      <c r="AG77" s="20" t="n"/>
      <c r="AH77" s="20" t="n"/>
      <c r="AI77" s="134" t="n">
        <v>0</v>
      </c>
      <c r="AJ77" s="134" t="n">
        <v>0</v>
      </c>
      <c r="AK77" s="134" t="n">
        <v>0</v>
      </c>
      <c r="AL77" s="134" t="n">
        <v>0</v>
      </c>
      <c r="AM77" s="134" t="n">
        <v>0</v>
      </c>
      <c r="AN77" s="134" t="n">
        <v>0</v>
      </c>
      <c r="AO77" s="144">
        <f>SUM(AC77:AH77)+SUM(AI77:AN77)</f>
        <v/>
      </c>
      <c r="AP77" s="142">
        <f>IF(AB77&lt;&gt;0,(AO77-AB77)/ABS(AB77),0)</f>
        <v/>
      </c>
    </row>
    <row r="78">
      <c r="A78" s="60" t="inlineStr">
        <is>
          <t>In-Direct - Overheads</t>
        </is>
      </c>
      <c r="B78" s="18" t="n">
        <v>-347.78</v>
      </c>
      <c r="C78" s="18" t="n">
        <v>-306.58</v>
      </c>
      <c r="D78" s="18" t="n">
        <v>-238.58</v>
      </c>
      <c r="E78" s="18" t="n">
        <v>-281.72</v>
      </c>
      <c r="F78" s="18" t="n">
        <v>-232.15</v>
      </c>
      <c r="G78" s="18" t="n">
        <v>-372.18</v>
      </c>
      <c r="H78" s="18" t="n">
        <v>-275.92</v>
      </c>
      <c r="I78" s="18" t="n">
        <v>-201.98</v>
      </c>
      <c r="J78" s="18" t="n">
        <v>-203.18</v>
      </c>
      <c r="K78" s="18" t="n">
        <v>-459.45</v>
      </c>
      <c r="L78" s="18" t="n">
        <v>-245.24</v>
      </c>
      <c r="M78" s="18" t="n">
        <v>-297</v>
      </c>
      <c r="N78" s="8">
        <f>SUM(B78:M78)</f>
        <v/>
      </c>
      <c r="O78" s="60">
        <f>-SUMIF('BK TB '!$T:$T,'BK P&amp;L'!$A78,'BK TB '!C:C)</f>
        <v/>
      </c>
      <c r="P78" s="60">
        <f>-SUMIF('BK TB '!$T:$T,'BK P&amp;L'!$A78,'BK TB '!D:D)</f>
        <v/>
      </c>
      <c r="Q78" s="60">
        <f>-SUMIF('BK TB '!$T:$T,'BK P&amp;L'!$A78,'BK TB '!E:E)</f>
        <v/>
      </c>
      <c r="R78" s="60">
        <f>-SUMIF('BK TB '!$T:$T,'BK P&amp;L'!$A78,'BK TB '!F:F)</f>
        <v/>
      </c>
      <c r="S78" s="60">
        <f>-SUMIF('BK TB '!$T:$T,'BK P&amp;L'!$A78,'BK TB '!G:G)</f>
        <v/>
      </c>
      <c r="T78" s="60">
        <f>-SUMIF('BK TB '!$T:$T,'BK P&amp;L'!$A78,'BK TB '!H:H)</f>
        <v/>
      </c>
      <c r="U78" s="60">
        <f>-SUMIF('BK TB '!$T:$T,'BK P&amp;L'!$A78,'BK TB '!I:I)</f>
        <v/>
      </c>
      <c r="V78" s="20" t="n"/>
      <c r="W78" s="20" t="n"/>
      <c r="X78" s="20" t="n"/>
      <c r="Y78" s="20" t="n"/>
      <c r="Z78" s="20" t="n"/>
      <c r="AA78" s="8">
        <f>SUM(O78:T78)</f>
        <v/>
      </c>
      <c r="AB78" s="8" t="n"/>
      <c r="AC78" s="20" t="n"/>
      <c r="AD78" s="20" t="n"/>
      <c r="AE78" s="20" t="n"/>
      <c r="AF78" s="20" t="n"/>
      <c r="AG78" s="20" t="n"/>
      <c r="AH78" s="20" t="n"/>
      <c r="AI78" s="134" t="n">
        <v>0</v>
      </c>
      <c r="AJ78" s="134" t="n">
        <v>0</v>
      </c>
      <c r="AK78" s="134" t="n">
        <v>0</v>
      </c>
      <c r="AL78" s="134" t="n">
        <v>0</v>
      </c>
      <c r="AM78" s="134" t="n">
        <v>0</v>
      </c>
      <c r="AN78" s="134" t="n">
        <v>0</v>
      </c>
      <c r="AO78" s="144">
        <f>SUM(AC78:AH78)+SUM(AI78:AN78)</f>
        <v/>
      </c>
      <c r="AP78" s="142">
        <f>IF(AB78&lt;&gt;0,(AO78-AB78)/ABS(AB78),0)</f>
        <v/>
      </c>
    </row>
    <row r="79" ht="15.75" customHeight="1">
      <c r="A79" s="8" t="n"/>
      <c r="B79" s="67" t="n">
        <v>11278.46</v>
      </c>
      <c r="C79" s="67" t="n">
        <v>6705.209999999999</v>
      </c>
      <c r="D79" s="67" t="n">
        <v>35352.91999999999</v>
      </c>
      <c r="E79" s="67" t="n">
        <v>14050.32000000001</v>
      </c>
      <c r="F79" s="67" t="n">
        <v>7344.560000000003</v>
      </c>
      <c r="G79" s="67" t="n">
        <v>17602.66</v>
      </c>
      <c r="H79" s="67" t="n">
        <v>24019.18</v>
      </c>
      <c r="I79" s="67" t="n">
        <v>62.9999999999973</v>
      </c>
      <c r="J79" s="67" t="n">
        <v>4252.329999999999</v>
      </c>
      <c r="K79" s="67" t="n">
        <v>4043.919999999996</v>
      </c>
      <c r="L79" s="67" t="n">
        <v>9091.809999999996</v>
      </c>
      <c r="M79" s="67" t="n">
        <v>17028.98</v>
      </c>
      <c r="N79" s="8">
        <f>SUM(B79:M79)</f>
        <v/>
      </c>
      <c r="O79" s="64">
        <f>SUM(O73:O78)</f>
        <v/>
      </c>
      <c r="P79" s="64">
        <f>SUM(P73:P78)</f>
        <v/>
      </c>
      <c r="Q79" s="64">
        <f>SUM(Q73:Q78)</f>
        <v/>
      </c>
      <c r="R79" s="64">
        <f>SUM(R73:R78)</f>
        <v/>
      </c>
      <c r="S79" s="64">
        <f>SUM(S73:S78)</f>
        <v/>
      </c>
      <c r="T79" s="64">
        <f>SUM(T73:T78)</f>
        <v/>
      </c>
      <c r="U79" s="64">
        <f>SUM(U73:U78)</f>
        <v/>
      </c>
      <c r="V79" s="68" t="n"/>
      <c r="W79" s="68" t="n"/>
      <c r="X79" s="68" t="n"/>
      <c r="Y79" s="68" t="n"/>
      <c r="Z79" s="68" t="n"/>
      <c r="AA79" s="8">
        <f>SUM(O79:T79)</f>
        <v/>
      </c>
      <c r="AB79" s="8" t="n"/>
      <c r="AC79" s="68" t="n"/>
      <c r="AD79" s="68" t="n"/>
      <c r="AE79" s="68" t="n"/>
      <c r="AF79" s="68" t="n"/>
      <c r="AG79" s="68" t="n"/>
      <c r="AH79" s="68" t="n"/>
      <c r="AI79" s="134" t="n">
        <v>0</v>
      </c>
      <c r="AJ79" s="134" t="n">
        <v>0</v>
      </c>
      <c r="AK79" s="134" t="n">
        <v>0</v>
      </c>
      <c r="AL79" s="134" t="n">
        <v>0</v>
      </c>
      <c r="AM79" s="134" t="n">
        <v>0</v>
      </c>
      <c r="AN79" s="134" t="n">
        <v>0</v>
      </c>
      <c r="AO79" s="144">
        <f>SUM(AC79:AH79)+SUM(AI79:AN79)</f>
        <v/>
      </c>
      <c r="AP79" s="142">
        <f>IF(AB79&lt;&gt;0,(AO79-AB79)/ABS(AB79),0)</f>
        <v/>
      </c>
    </row>
    <row r="80" ht="15.75" customHeight="1">
      <c r="A80" s="8" t="n"/>
      <c r="B80" s="18" t="n">
        <v>0</v>
      </c>
      <c r="C80" s="18" t="n">
        <v>0</v>
      </c>
      <c r="D80" s="18" t="n">
        <v>0</v>
      </c>
      <c r="E80" s="18" t="n">
        <v>0</v>
      </c>
      <c r="F80" s="18" t="n">
        <v>0</v>
      </c>
      <c r="G80" s="18" t="n">
        <v>0</v>
      </c>
      <c r="H80" s="18" t="n">
        <v>0</v>
      </c>
      <c r="I80" s="18" t="n">
        <v>2.273736754432321e-12</v>
      </c>
      <c r="J80" s="18" t="n">
        <v>0</v>
      </c>
      <c r="K80" s="18" t="n">
        <v>0</v>
      </c>
      <c r="L80" s="18" t="n">
        <v>0</v>
      </c>
      <c r="M80" s="18" t="n">
        <v>0</v>
      </c>
      <c r="N80" s="60">
        <f>SUM(B80:M80)</f>
        <v/>
      </c>
      <c r="O80" s="60">
        <f>+O70-O79</f>
        <v/>
      </c>
      <c r="P80" s="60">
        <f>+P70-P79</f>
        <v/>
      </c>
      <c r="Q80" s="60">
        <f>+Q70-Q79</f>
        <v/>
      </c>
      <c r="R80" s="60">
        <f>+R70-R79</f>
        <v/>
      </c>
      <c r="S80" s="60">
        <f>+S70-S79</f>
        <v/>
      </c>
      <c r="T80" s="60">
        <f>+T70-T79</f>
        <v/>
      </c>
      <c r="U80" s="60">
        <f>+U70-U79</f>
        <v/>
      </c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134" t="n">
        <v>0</v>
      </c>
      <c r="AJ80" s="134" t="n">
        <v>0</v>
      </c>
      <c r="AK80" s="134" t="n">
        <v>0</v>
      </c>
      <c r="AL80" s="134" t="n">
        <v>0</v>
      </c>
      <c r="AM80" s="134" t="n">
        <v>0</v>
      </c>
      <c r="AN80" s="134" t="n">
        <v>0</v>
      </c>
      <c r="AO80" s="144">
        <f>SUM(AC80:AH80)+SUM(AI80:AN80)</f>
        <v/>
      </c>
      <c r="AP80" s="142">
        <f>IF(AB80&lt;&gt;0,(AO80-AB80)/ABS(AB80),0)</f>
        <v/>
      </c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69" t="inlineStr">
        <is>
          <t>CHECK TO TB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0</v>
      </c>
      <c r="I82" s="18" t="n">
        <v>-3.460343123151688e-12</v>
      </c>
      <c r="J82" s="18" t="n">
        <v>0</v>
      </c>
      <c r="K82" s="18" t="n">
        <v>0</v>
      </c>
      <c r="L82" s="18" t="n">
        <v>0</v>
      </c>
      <c r="M82" s="18" t="n"/>
      <c r="N82" s="65" t="n"/>
      <c r="O82" s="65">
        <f>O79+O83</f>
        <v/>
      </c>
      <c r="P82" s="65">
        <f>P79+P83</f>
        <v/>
      </c>
      <c r="Q82" s="65">
        <f>Q79+Q83</f>
        <v/>
      </c>
      <c r="R82" s="65">
        <f>R79+R83</f>
        <v/>
      </c>
      <c r="S82" s="65">
        <f>S79+S83</f>
        <v/>
      </c>
      <c r="T82" s="65">
        <f>T79+T83</f>
        <v/>
      </c>
      <c r="U82" s="65">
        <f>U79+U83</f>
        <v/>
      </c>
      <c r="V82" s="65">
        <f>V79+V83</f>
        <v/>
      </c>
      <c r="W82" s="65">
        <f>W79+W83</f>
        <v/>
      </c>
      <c r="X82" s="65">
        <f>X79+X83</f>
        <v/>
      </c>
      <c r="Y82" s="65">
        <f>Y79+Y83</f>
        <v/>
      </c>
      <c r="Z82" s="65">
        <f>Z79+Z83</f>
        <v/>
      </c>
      <c r="AA82" s="65" t="n"/>
      <c r="AB82" s="8" t="n"/>
      <c r="AC82" s="65" t="n"/>
      <c r="AD82" s="65" t="n"/>
      <c r="AE82" s="65" t="n"/>
      <c r="AF82" s="65" t="n"/>
      <c r="AG82" s="65" t="n"/>
      <c r="AH82" s="65" t="n"/>
      <c r="AI82" s="134" t="n">
        <v>0</v>
      </c>
      <c r="AJ82" s="134" t="n">
        <v>0</v>
      </c>
      <c r="AK82" s="134" t="n">
        <v>0</v>
      </c>
      <c r="AL82" s="134" t="n">
        <v>0</v>
      </c>
      <c r="AM82" s="134" t="n">
        <v>0</v>
      </c>
      <c r="AN82" s="134" t="n">
        <v>0</v>
      </c>
      <c r="AO82" s="144">
        <f>SUM(AC82:AH82)+SUM(AI82:AN82)</f>
        <v/>
      </c>
      <c r="AP82" s="142">
        <f>IF(AB82&lt;&gt;0,(AO82-AB82)/ABS(AB82),0)</f>
        <v/>
      </c>
    </row>
    <row r="83">
      <c r="A83" s="65" t="n"/>
      <c r="B83" s="65" t="n">
        <v>-11278.46</v>
      </c>
      <c r="C83" s="65" t="n">
        <v>-6705.21</v>
      </c>
      <c r="D83" s="65" t="n">
        <v>-35352.92</v>
      </c>
      <c r="E83" s="65" t="n">
        <v>-14050.32000000001</v>
      </c>
      <c r="F83" s="65" t="n">
        <v>-7344.56</v>
      </c>
      <c r="G83" s="65" t="n">
        <v>-17602.66</v>
      </c>
      <c r="H83" s="65" t="n">
        <v>-24019.17999999999</v>
      </c>
      <c r="I83" s="65" t="n">
        <v>-63.00000000000076</v>
      </c>
      <c r="J83" s="65" t="n">
        <v>-4252.330000000001</v>
      </c>
      <c r="K83" s="65" t="n">
        <v>-4043.919999999996</v>
      </c>
      <c r="L83" s="65" t="n">
        <v>-9091.809999999998</v>
      </c>
      <c r="M83" s="65" t="n"/>
      <c r="N83" s="65" t="n"/>
      <c r="O83" s="65">
        <f>SUM('BK TB '!C2:C44)</f>
        <v/>
      </c>
      <c r="P83" s="65">
        <f>SUM('BK TB '!D2:D44)</f>
        <v/>
      </c>
      <c r="Q83" s="65">
        <f>SUM('BK TB '!E2:E44)</f>
        <v/>
      </c>
      <c r="R83" s="65">
        <f>SUM('BK TB '!F2:F44)</f>
        <v/>
      </c>
      <c r="S83" s="65">
        <f>SUM('BK TB '!G2:G44)</f>
        <v/>
      </c>
      <c r="T83" s="65">
        <f>SUM('BK TB '!H2:H44)</f>
        <v/>
      </c>
      <c r="U83" s="65">
        <f>SUM('BK TB '!I2:I44)</f>
        <v/>
      </c>
      <c r="V83" s="65">
        <f>SUM('BK TB '!J2:J44)</f>
        <v/>
      </c>
      <c r="W83" s="65">
        <f>SUM('BK TB '!K2:K44)</f>
        <v/>
      </c>
      <c r="X83" s="65">
        <f>SUM('BK TB '!L2:L44)</f>
        <v/>
      </c>
      <c r="Y83" s="65">
        <f>SUM('BK TB '!M2:M44)</f>
        <v/>
      </c>
      <c r="Z83" s="65">
        <f>SUM('BK TB '!N2:N44)</f>
        <v/>
      </c>
      <c r="AA83" s="65" t="n"/>
      <c r="AB83" s="8" t="n"/>
      <c r="AC83" s="65" t="n"/>
      <c r="AD83" s="65" t="n"/>
      <c r="AE83" s="65" t="n"/>
      <c r="AF83" s="65" t="n"/>
      <c r="AG83" s="65" t="n"/>
      <c r="AH83" s="65" t="n"/>
      <c r="AI83" s="134" t="n">
        <v>0</v>
      </c>
      <c r="AJ83" s="134" t="n">
        <v>0</v>
      </c>
      <c r="AK83" s="134" t="n">
        <v>0</v>
      </c>
      <c r="AL83" s="134" t="n">
        <v>0</v>
      </c>
      <c r="AM83" s="134" t="n">
        <v>0</v>
      </c>
      <c r="AN83" s="134" t="n">
        <v>0</v>
      </c>
      <c r="AO83" s="146">
        <f>SUM(AC83:AH83)+SUM(AI83:AN83)</f>
        <v/>
      </c>
      <c r="AP83" s="142">
        <f>IF(AB83&lt;&gt;0,(AO83-AB83)/ABS(AB83),0)</f>
        <v/>
      </c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pane xSplit="19" ySplit="32" topLeftCell="T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12.85546875" customWidth="1" min="27" max="27"/>
    <col width="13.140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Bramleywood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n"/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5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122156.52</v>
      </c>
      <c r="C8" s="35" t="n">
        <v>106947.36</v>
      </c>
      <c r="D8" s="35" t="n">
        <v>128166.24</v>
      </c>
      <c r="E8" s="35" t="n">
        <v>139357.58</v>
      </c>
      <c r="F8" s="35" t="n">
        <v>114644.73</v>
      </c>
      <c r="G8" s="35" t="n">
        <v>108480.27</v>
      </c>
      <c r="H8" s="35" t="n">
        <v>145137.16</v>
      </c>
      <c r="I8" s="35" t="n">
        <v>119462.05</v>
      </c>
      <c r="J8" s="35" t="n">
        <v>97287.09</v>
      </c>
      <c r="K8" s="35" t="n">
        <v>96101.48</v>
      </c>
      <c r="L8" s="35" t="n">
        <v>84850.06000000001</v>
      </c>
      <c r="M8" s="35" t="n">
        <v>119634.28</v>
      </c>
      <c r="N8" s="36">
        <f>SUM(B8:M8)</f>
        <v/>
      </c>
      <c r="O8" s="37">
        <f>-SUMIF('BW TB'!$R:$R,'BW P&amp;L'!$A8,'BW TB'!C:C)</f>
        <v/>
      </c>
      <c r="P8" s="37">
        <f>-SUMIF('BW TB'!$R:$R,'BW P&amp;L'!$A8,'BW TB'!D:D)</f>
        <v/>
      </c>
      <c r="Q8" s="37">
        <f>-SUMIF('BW TB'!$R:$R,'BW P&amp;L'!$A8,'BW TB'!E:E)</f>
        <v/>
      </c>
      <c r="R8" s="37">
        <f>-SUMIF('BW TB'!$R:$R,'BW P&amp;L'!$A8,'BW TB'!F:F)</f>
        <v/>
      </c>
      <c r="S8" s="37">
        <f>-SUMIF('BW TB'!$R:$R,'BW P&amp;L'!$A8,'BW TB'!G:G)</f>
        <v/>
      </c>
      <c r="T8" s="37">
        <f>-SUMIF('BW TB'!$R:$R,'BW P&amp;L'!$A8,'BW TB'!H:H)</f>
        <v/>
      </c>
      <c r="U8" s="37">
        <f>-SUMIF('BW TB'!$R:$R,'BW P&amp;L'!$A8,'BW TB'!I:I)</f>
        <v/>
      </c>
      <c r="V8" s="38" t="n">
        <v>113672.68</v>
      </c>
      <c r="W8" s="38" t="n">
        <v>79799</v>
      </c>
      <c r="X8" s="38" t="n">
        <v>72350</v>
      </c>
      <c r="Y8" s="38" t="n">
        <v>69625</v>
      </c>
      <c r="Z8" s="38" t="n">
        <v>102181</v>
      </c>
      <c r="AA8" s="36">
        <f>SUM(O8:U8)</f>
        <v/>
      </c>
      <c r="AB8" s="36">
        <f>SUM(O8:Z8)</f>
        <v/>
      </c>
      <c r="AC8" s="38" t="n">
        <v>144535.68</v>
      </c>
      <c r="AD8" s="38" t="n">
        <v>132031.1</v>
      </c>
      <c r="AE8" s="38" t="n">
        <v>158165.89</v>
      </c>
      <c r="AF8" s="38" t="n">
        <v>141527.16</v>
      </c>
      <c r="AG8" s="38" t="n">
        <v>148240.86</v>
      </c>
      <c r="AH8" s="38" t="n">
        <v>153396.96</v>
      </c>
      <c r="AI8" s="118" t="n">
        <v>153396.96</v>
      </c>
      <c r="AJ8" s="119" t="n">
        <v>153396.96</v>
      </c>
      <c r="AK8" s="119" t="n">
        <v>153396.96</v>
      </c>
      <c r="AL8" s="119" t="n">
        <v>153396.96</v>
      </c>
      <c r="AM8" s="120" t="n">
        <v>153396.96</v>
      </c>
      <c r="AN8" s="118" t="n">
        <v>153396.96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33585.45</v>
      </c>
      <c r="C9" s="35" t="n">
        <v>66581.12</v>
      </c>
      <c r="D9" s="35" t="n">
        <v>66581.12</v>
      </c>
      <c r="E9" s="35" t="n">
        <v>28706.8</v>
      </c>
      <c r="F9" s="35" t="n">
        <v>28706.8</v>
      </c>
      <c r="G9" s="35" t="n">
        <v>67317.07000000001</v>
      </c>
      <c r="H9" s="35" t="n">
        <v>67317.05</v>
      </c>
      <c r="I9" s="35" t="n">
        <v>0</v>
      </c>
      <c r="J9" s="35" t="n">
        <v>35210.21</v>
      </c>
      <c r="K9" s="35" t="n">
        <v>33827.21</v>
      </c>
      <c r="L9" s="35" t="n">
        <v>97735.45</v>
      </c>
      <c r="M9" s="35" t="n">
        <v>101444.41</v>
      </c>
      <c r="N9" s="36">
        <f>SUM(B9:M9)</f>
        <v/>
      </c>
      <c r="O9" s="37">
        <f>-SUMIF('BW TB'!$R:$R,'BW P&amp;L'!$A9,'BW TB'!C:C)</f>
        <v/>
      </c>
      <c r="P9" s="37">
        <f>-SUMIF('BW TB'!$R:$R,'BW P&amp;L'!$A9,'BW TB'!D:D)</f>
        <v/>
      </c>
      <c r="Q9" s="37">
        <f>-SUMIF('BW TB'!$R:$R,'BW P&amp;L'!$A9,'BW TB'!E:E)</f>
        <v/>
      </c>
      <c r="R9" s="37">
        <f>-SUMIF('BW TB'!$R:$R,'BW P&amp;L'!$A9,'BW TB'!F:F)</f>
        <v/>
      </c>
      <c r="S9" s="37">
        <f>-SUMIF('BW TB'!$R:$R,'BW P&amp;L'!$A9,'BW TB'!G:G)</f>
        <v/>
      </c>
      <c r="T9" s="37">
        <f>-SUMIF('BW TB'!$R:$R,'BW P&amp;L'!$A9,'BW TB'!H:H)</f>
        <v/>
      </c>
      <c r="U9" s="37">
        <f>-SUMIF('BW TB'!$R:$R,'BW P&amp;L'!$A9,'BW TB'!I:I)</f>
        <v/>
      </c>
      <c r="V9" s="38" t="n"/>
      <c r="W9" s="38" t="n">
        <v>64770</v>
      </c>
      <c r="X9" s="38" t="n">
        <v>75327</v>
      </c>
      <c r="Y9" s="38" t="n">
        <v>72680</v>
      </c>
      <c r="Z9" s="38" t="n">
        <v>31680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8" t="n">
        <v>0</v>
      </c>
      <c r="AJ9" s="119" t="n">
        <v>0</v>
      </c>
      <c r="AK9" s="119" t="n">
        <v>0</v>
      </c>
      <c r="AL9" s="119" t="n">
        <v>0</v>
      </c>
      <c r="AM9" s="120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200</v>
      </c>
      <c r="C10" s="35" t="n">
        <v>200</v>
      </c>
      <c r="D10" s="35" t="n">
        <v>250</v>
      </c>
      <c r="E10" s="35" t="n">
        <v>150</v>
      </c>
      <c r="F10" s="35" t="n">
        <v>150</v>
      </c>
      <c r="G10" s="35" t="n">
        <v>150</v>
      </c>
      <c r="H10" s="35" t="n">
        <v>150</v>
      </c>
      <c r="I10" s="35" t="n">
        <v>12901.66</v>
      </c>
      <c r="J10" s="35" t="n">
        <v>150</v>
      </c>
      <c r="K10" s="35" t="n">
        <v>150</v>
      </c>
      <c r="L10" s="35" t="n">
        <v>150</v>
      </c>
      <c r="M10" s="35" t="n">
        <v>150</v>
      </c>
      <c r="N10" s="36">
        <f>SUM(B10:M10)</f>
        <v/>
      </c>
      <c r="O10" s="37">
        <f>-SUMIF('BW TB'!$R:$R,'BW P&amp;L'!$A10,'BW TB'!C:C)</f>
        <v/>
      </c>
      <c r="P10" s="37">
        <f>-SUMIF('BW TB'!$R:$R,'BW P&amp;L'!$A10,'BW TB'!D:D)</f>
        <v/>
      </c>
      <c r="Q10" s="37">
        <f>-SUMIF('BW TB'!$R:$R,'BW P&amp;L'!$A10,'BW TB'!E:E)</f>
        <v/>
      </c>
      <c r="R10" s="37">
        <f>-SUMIF('BW TB'!$R:$R,'BW P&amp;L'!$A10,'BW TB'!F:F)</f>
        <v/>
      </c>
      <c r="S10" s="37">
        <f>-SUMIF('BW TB'!$R:$R,'BW P&amp;L'!$A10,'BW TB'!G:G)</f>
        <v/>
      </c>
      <c r="T10" s="37">
        <f>-SUMIF('BW TB'!$R:$R,'BW P&amp;L'!$A10,'BW TB'!H:H)</f>
        <v/>
      </c>
      <c r="U10" s="37">
        <f>-SUMIF('BW TB'!$R:$R,'BW P&amp;L'!$A10,'BW TB'!I:I)</f>
        <v/>
      </c>
      <c r="V10" s="38" t="n"/>
      <c r="W10" s="38" t="n">
        <v>0</v>
      </c>
      <c r="X10" s="38" t="n">
        <v>0</v>
      </c>
      <c r="Y10" s="38" t="n">
        <v>0</v>
      </c>
      <c r="Z10" s="38" t="n">
        <v>0</v>
      </c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8" t="n">
        <v>0</v>
      </c>
      <c r="AJ10" s="119" t="n">
        <v>0</v>
      </c>
      <c r="AK10" s="119" t="n">
        <v>0</v>
      </c>
      <c r="AL10" s="119" t="n">
        <v>0</v>
      </c>
      <c r="AM10" s="120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155941.97</v>
      </c>
      <c r="C11" s="42" t="n">
        <v>173728.48</v>
      </c>
      <c r="D11" s="42" t="n">
        <v>194997.36</v>
      </c>
      <c r="E11" s="42" t="n">
        <v>168214.38</v>
      </c>
      <c r="F11" s="42" t="n">
        <v>143501.53</v>
      </c>
      <c r="G11" s="42" t="n">
        <v>175947.34</v>
      </c>
      <c r="H11" s="42" t="n">
        <v>212604.21</v>
      </c>
      <c r="I11" s="42" t="n">
        <v>132363.71</v>
      </c>
      <c r="J11" s="42" t="n">
        <v>132647.3</v>
      </c>
      <c r="K11" s="42" t="n">
        <v>130078.69</v>
      </c>
      <c r="L11" s="42" t="n">
        <v>182735.51</v>
      </c>
      <c r="M11" s="42" t="n">
        <v>221228.69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3">
        <f>SUM(AI8:AI10)</f>
        <v/>
      </c>
      <c r="AJ11" s="124">
        <f>SUM(AJ8:AJ10)</f>
        <v/>
      </c>
      <c r="AK11" s="124">
        <f>SUM(AK8:AK10)</f>
        <v/>
      </c>
      <c r="AL11" s="124">
        <f>SUM(AL8:AL10)</f>
        <v/>
      </c>
      <c r="AM11" s="124">
        <f>SUM(AM8:AM10)</f>
        <v/>
      </c>
      <c r="AN11" s="123">
        <f>SUM(AN8:AN10)</f>
        <v/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7" t="n">
        <v>0</v>
      </c>
      <c r="AJ12" s="128" t="n">
        <v>0</v>
      </c>
      <c r="AK12" s="128" t="n">
        <v>0</v>
      </c>
      <c r="AL12" s="128" t="n">
        <v>0</v>
      </c>
      <c r="AM12" s="129" t="n">
        <v>0</v>
      </c>
      <c r="AN12" s="127" t="n">
        <v>0</v>
      </c>
      <c r="AO12" s="121">
        <f>SUM(AC12:AH12)+SUM(AI12:AN12)</f>
        <v/>
      </c>
      <c r="AP12" s="122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 t="n">
        <v>0</v>
      </c>
      <c r="AJ13" s="131" t="n">
        <v>0</v>
      </c>
      <c r="AK13" s="131" t="n">
        <v>0</v>
      </c>
      <c r="AL13" s="131" t="n">
        <v>0</v>
      </c>
      <c r="AM13" s="132" t="n">
        <v>0</v>
      </c>
      <c r="AN13" s="130" t="n">
        <v>0</v>
      </c>
      <c r="AO13" s="133">
        <f>SUM(AC13:AH13)+SUM(AI13:AN13)</f>
        <v/>
      </c>
      <c r="AP13" s="122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68586.24000000001</v>
      </c>
      <c r="C16" s="35" t="n">
        <v>60676.75</v>
      </c>
      <c r="D16" s="35" t="n">
        <v>61011.57</v>
      </c>
      <c r="E16" s="35" t="n">
        <v>67443.19</v>
      </c>
      <c r="F16" s="35" t="n">
        <v>72917.98</v>
      </c>
      <c r="G16" s="35" t="n">
        <v>67825.41</v>
      </c>
      <c r="H16" s="35" t="n">
        <v>75334.7</v>
      </c>
      <c r="I16" s="35" t="n">
        <v>72777.63</v>
      </c>
      <c r="J16" s="35" t="n">
        <v>80807.62</v>
      </c>
      <c r="K16" s="35" t="n">
        <v>70161.91</v>
      </c>
      <c r="L16" s="35" t="n">
        <v>67160.5</v>
      </c>
      <c r="M16" s="35" t="n">
        <v>64917.87</v>
      </c>
      <c r="N16" s="36">
        <f>SUM(B16:M16)</f>
        <v/>
      </c>
      <c r="O16" s="37">
        <f>SUMIF('BW TB'!$R:$R,'BW P&amp;L'!$A16,'BW TB'!C:C)</f>
        <v/>
      </c>
      <c r="P16" s="37">
        <f>SUMIF('BW TB'!$R:$R,'BW P&amp;L'!$A16,'BW TB'!D:D)</f>
        <v/>
      </c>
      <c r="Q16" s="37">
        <f>SUMIF('BW TB'!$R:$R,'BW P&amp;L'!$A16,'BW TB'!E:E)</f>
        <v/>
      </c>
      <c r="R16" s="37">
        <f>SUMIF('BW TB'!$R:$R,'BW P&amp;L'!$A16,'BW TB'!F:F)</f>
        <v/>
      </c>
      <c r="S16" s="37">
        <f>SUMIF('BW TB'!$R:$R,'BW P&amp;L'!$A16,'BW TB'!G:G)</f>
        <v/>
      </c>
      <c r="T16" s="37">
        <f>SUMIF('BW TB'!$R:$R,'BW P&amp;L'!$A16,'BW TB'!H:H)</f>
        <v/>
      </c>
      <c r="U16" s="37">
        <f>SUMIF('BW TB'!$R:$R,'BW P&amp;L'!$A16,'BW TB'!I:I)</f>
        <v/>
      </c>
      <c r="V16" s="38" t="n">
        <v>67043.3</v>
      </c>
      <c r="W16" s="38" t="n">
        <v>67043.3</v>
      </c>
      <c r="X16" s="38" t="n">
        <v>67043.3</v>
      </c>
      <c r="Y16" s="38" t="n">
        <v>67043.3</v>
      </c>
      <c r="Z16" s="38" t="n">
        <v>67043.3</v>
      </c>
      <c r="AA16" s="36">
        <f>SUM(O16:U16)</f>
        <v/>
      </c>
      <c r="AB16" s="36">
        <f>SUM(O16:Z16)</f>
        <v/>
      </c>
      <c r="AC16" s="38" t="n">
        <v>67043.3</v>
      </c>
      <c r="AD16" s="38" t="n">
        <v>67043.3</v>
      </c>
      <c r="AE16" s="38" t="n">
        <v>67043.3</v>
      </c>
      <c r="AF16" s="38" t="n">
        <v>67043.3</v>
      </c>
      <c r="AG16" s="38" t="n">
        <v>67043.3</v>
      </c>
      <c r="AH16" s="38" t="n">
        <v>67043.3</v>
      </c>
      <c r="AI16" s="118" t="n">
        <v>67043.3</v>
      </c>
      <c r="AJ16" s="119" t="n">
        <v>67043.3</v>
      </c>
      <c r="AK16" s="119" t="n">
        <v>67043.3</v>
      </c>
      <c r="AL16" s="119" t="n">
        <v>67043.3</v>
      </c>
      <c r="AM16" s="120" t="n">
        <v>67043.3</v>
      </c>
      <c r="AN16" s="118" t="n">
        <v>67043.3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5300.22</v>
      </c>
      <c r="C17" s="35" t="n">
        <v>4463.01</v>
      </c>
      <c r="D17" s="35" t="n">
        <v>4517.4</v>
      </c>
      <c r="E17" s="35" t="n">
        <v>6985.94</v>
      </c>
      <c r="F17" s="35" t="n">
        <v>7294.24</v>
      </c>
      <c r="G17" s="35" t="n">
        <v>6627.99</v>
      </c>
      <c r="H17" s="35" t="n">
        <v>7346.36</v>
      </c>
      <c r="I17" s="35" t="n">
        <v>7134.49</v>
      </c>
      <c r="J17" s="35" t="n">
        <v>9821.09</v>
      </c>
      <c r="K17" s="35" t="n">
        <v>6696.34</v>
      </c>
      <c r="L17" s="35" t="n">
        <v>6289.94</v>
      </c>
      <c r="M17" s="35" t="n">
        <v>6024.82</v>
      </c>
      <c r="N17" s="36">
        <f>SUM(B17:M17)</f>
        <v/>
      </c>
      <c r="O17" s="37">
        <f>SUMIF('BW TB'!$R:$R,'BW P&amp;L'!$A17,'BW TB'!C:C)</f>
        <v/>
      </c>
      <c r="P17" s="37">
        <f>SUMIF('BW TB'!$R:$R,'BW P&amp;L'!$A17,'BW TB'!D:D)</f>
        <v/>
      </c>
      <c r="Q17" s="37">
        <f>SUMIF('BW TB'!$R:$R,'BW P&amp;L'!$A17,'BW TB'!E:E)</f>
        <v/>
      </c>
      <c r="R17" s="37">
        <f>SUMIF('BW TB'!$R:$R,'BW P&amp;L'!$A17,'BW TB'!F:F)</f>
        <v/>
      </c>
      <c r="S17" s="37">
        <f>SUMIF('BW TB'!$R:$R,'BW P&amp;L'!$A17,'BW TB'!G:G)</f>
        <v/>
      </c>
      <c r="T17" s="37">
        <f>SUMIF('BW TB'!$R:$R,'BW P&amp;L'!$A17,'BW TB'!H:H)</f>
        <v/>
      </c>
      <c r="U17" s="37">
        <f>SUMIF('BW TB'!$R:$R,'BW P&amp;L'!$A17,'BW TB'!I:I)</f>
        <v/>
      </c>
      <c r="V17" s="38" t="n">
        <v>6517.08</v>
      </c>
      <c r="W17" s="38" t="n">
        <v>6517.08</v>
      </c>
      <c r="X17" s="38" t="n">
        <v>6517.08</v>
      </c>
      <c r="Y17" s="38" t="n">
        <v>6517.08</v>
      </c>
      <c r="Z17" s="38" t="n">
        <v>6517.08</v>
      </c>
      <c r="AA17" s="36">
        <f>SUM(O17:U17)</f>
        <v/>
      </c>
      <c r="AB17" s="36">
        <f>SUM(O17:Z17)</f>
        <v/>
      </c>
      <c r="AC17" s="38" t="n">
        <v>6517.08</v>
      </c>
      <c r="AD17" s="38" t="n">
        <v>6517.08</v>
      </c>
      <c r="AE17" s="38" t="n">
        <v>6517.08</v>
      </c>
      <c r="AF17" s="38" t="n">
        <v>6517.08</v>
      </c>
      <c r="AG17" s="38" t="n">
        <v>6517.08</v>
      </c>
      <c r="AH17" s="38" t="n">
        <v>6517.08</v>
      </c>
      <c r="AI17" s="118" t="n">
        <v>6517.08</v>
      </c>
      <c r="AJ17" s="119" t="n">
        <v>6517.08</v>
      </c>
      <c r="AK17" s="119" t="n">
        <v>6517.08</v>
      </c>
      <c r="AL17" s="119" t="n">
        <v>6517.08</v>
      </c>
      <c r="AM17" s="120" t="n">
        <v>6517.08</v>
      </c>
      <c r="AN17" s="118" t="n">
        <v>6517.08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1186.64</v>
      </c>
      <c r="C18" s="35" t="n">
        <v>1102.67</v>
      </c>
      <c r="D18" s="35" t="n">
        <v>1084.37</v>
      </c>
      <c r="E18" s="35" t="n">
        <v>1172.06</v>
      </c>
      <c r="F18" s="35" t="n">
        <v>1236.3</v>
      </c>
      <c r="G18" s="35" t="n">
        <v>1145.18</v>
      </c>
      <c r="H18" s="35" t="n">
        <v>1293.63</v>
      </c>
      <c r="I18" s="35" t="n">
        <v>1252.61</v>
      </c>
      <c r="J18" s="35" t="n">
        <v>1273.7</v>
      </c>
      <c r="K18" s="35" t="n">
        <v>1200.38</v>
      </c>
      <c r="L18" s="35" t="n">
        <v>1188.64</v>
      </c>
      <c r="M18" s="35" t="n">
        <v>1124.16</v>
      </c>
      <c r="N18" s="36">
        <f>SUM(B18:M18)</f>
        <v/>
      </c>
      <c r="O18" s="37">
        <f>SUMIF('BW TB'!$R:$R,'BW P&amp;L'!$A18,'BW TB'!C:C)</f>
        <v/>
      </c>
      <c r="P18" s="37">
        <f>SUMIF('BW TB'!$R:$R,'BW P&amp;L'!$A18,'BW TB'!D:D)</f>
        <v/>
      </c>
      <c r="Q18" s="37">
        <f>SUMIF('BW TB'!$R:$R,'BW P&amp;L'!$A18,'BW TB'!E:E)</f>
        <v/>
      </c>
      <c r="R18" s="37">
        <f>SUMIF('BW TB'!$R:$R,'BW P&amp;L'!$A18,'BW TB'!F:F)</f>
        <v/>
      </c>
      <c r="S18" s="37">
        <f>SUMIF('BW TB'!$R:$R,'BW P&amp;L'!$A18,'BW TB'!G:G)</f>
        <v/>
      </c>
      <c r="T18" s="37">
        <f>SUMIF('BW TB'!$R:$R,'BW P&amp;L'!$A18,'BW TB'!H:H)</f>
        <v/>
      </c>
      <c r="U18" s="37">
        <f>SUMIF('BW TB'!$R:$R,'BW P&amp;L'!$A18,'BW TB'!I:I)</f>
        <v/>
      </c>
      <c r="V18" s="38" t="n">
        <v>1087.65</v>
      </c>
      <c r="W18" s="38" t="n">
        <v>1087.65</v>
      </c>
      <c r="X18" s="38" t="n">
        <v>1087.65</v>
      </c>
      <c r="Y18" s="38" t="n">
        <v>1087.65</v>
      </c>
      <c r="Z18" s="38" t="n">
        <v>1087.65</v>
      </c>
      <c r="AA18" s="36">
        <f>SUM(O18:U18)</f>
        <v/>
      </c>
      <c r="AB18" s="36">
        <f>SUM(O18:Z18)</f>
        <v/>
      </c>
      <c r="AC18" s="38" t="n">
        <v>1087.65</v>
      </c>
      <c r="AD18" s="38" t="n">
        <v>1087.65</v>
      </c>
      <c r="AE18" s="38" t="n">
        <v>1087.65</v>
      </c>
      <c r="AF18" s="38" t="n">
        <v>1087.65</v>
      </c>
      <c r="AG18" s="38" t="n">
        <v>1087.65</v>
      </c>
      <c r="AH18" s="38" t="n">
        <v>1087.65</v>
      </c>
      <c r="AI18" s="118" t="n">
        <v>1087.65</v>
      </c>
      <c r="AJ18" s="119" t="n">
        <v>1087.65</v>
      </c>
      <c r="AK18" s="119" t="n">
        <v>1087.65</v>
      </c>
      <c r="AL18" s="119" t="n">
        <v>1087.65</v>
      </c>
      <c r="AM18" s="120" t="n">
        <v>1087.65</v>
      </c>
      <c r="AN18" s="118" t="n">
        <v>1087.65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149.22</v>
      </c>
      <c r="C19" s="35" t="n">
        <v>0</v>
      </c>
      <c r="D19" s="35" t="n">
        <v>79.08</v>
      </c>
      <c r="E19" s="35" t="n">
        <v>0</v>
      </c>
      <c r="F19" s="35" t="n">
        <v>0</v>
      </c>
      <c r="G19" s="35" t="n">
        <v>350.58</v>
      </c>
      <c r="H19" s="35" t="n">
        <v>0</v>
      </c>
      <c r="I19" s="35" t="n">
        <v>0</v>
      </c>
      <c r="J19" s="35" t="n">
        <v>0</v>
      </c>
      <c r="K19" s="35" t="n">
        <v>0</v>
      </c>
      <c r="L19" s="35" t="n">
        <v>77.22</v>
      </c>
      <c r="M19" s="35" t="n">
        <v>1091.59</v>
      </c>
      <c r="N19" s="36">
        <f>SUM(B19:M19)</f>
        <v/>
      </c>
      <c r="O19" s="37">
        <f>SUMIF('BW TB'!$R:$R,'BW P&amp;L'!$A19,'BW TB'!C:C)</f>
        <v/>
      </c>
      <c r="P19" s="37">
        <f>SUMIF('BW TB'!$R:$R,'BW P&amp;L'!$A19,'BW TB'!D:D)</f>
        <v/>
      </c>
      <c r="Q19" s="37">
        <f>SUMIF('BW TB'!$R:$R,'BW P&amp;L'!$A19,'BW TB'!E:E)</f>
        <v/>
      </c>
      <c r="R19" s="37">
        <f>SUMIF('BW TB'!$R:$R,'BW P&amp;L'!$A19,'BW TB'!F:F)</f>
        <v/>
      </c>
      <c r="S19" s="37">
        <f>SUMIF('BW TB'!$R:$R,'BW P&amp;L'!$A19,'BW TB'!G:G)</f>
        <v/>
      </c>
      <c r="T19" s="37">
        <f>SUMIF('BW TB'!$R:$R,'BW P&amp;L'!$A19,'BW TB'!H:H)</f>
        <v/>
      </c>
      <c r="U19" s="37">
        <f>SUMIF('BW TB'!$R:$R,'BW P&amp;L'!$A19,'BW TB'!I:I)</f>
        <v/>
      </c>
      <c r="V19" s="38" t="n">
        <v>176</v>
      </c>
      <c r="W19" s="38" t="n">
        <v>176</v>
      </c>
      <c r="X19" s="38" t="n">
        <v>176</v>
      </c>
      <c r="Y19" s="38" t="n">
        <v>176</v>
      </c>
      <c r="Z19" s="38" t="n">
        <v>176</v>
      </c>
      <c r="AA19" s="36">
        <f>SUM(O19:U19)</f>
        <v/>
      </c>
      <c r="AB19" s="36">
        <f>SUM(O19:Z19)</f>
        <v/>
      </c>
      <c r="AC19" s="38" t="n">
        <v>176</v>
      </c>
      <c r="AD19" s="38" t="n">
        <v>176</v>
      </c>
      <c r="AE19" s="38" t="n">
        <v>176</v>
      </c>
      <c r="AF19" s="38" t="n">
        <v>176</v>
      </c>
      <c r="AG19" s="38" t="n">
        <v>176</v>
      </c>
      <c r="AH19" s="38" t="n">
        <v>176</v>
      </c>
      <c r="AI19" s="118" t="n">
        <v>176</v>
      </c>
      <c r="AJ19" s="119" t="n">
        <v>176</v>
      </c>
      <c r="AK19" s="119" t="n">
        <v>176</v>
      </c>
      <c r="AL19" s="119" t="n">
        <v>176</v>
      </c>
      <c r="AM19" s="120" t="n">
        <v>176</v>
      </c>
      <c r="AN19" s="118" t="n">
        <v>176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0</v>
      </c>
      <c r="C20" s="35" t="n">
        <v>30</v>
      </c>
      <c r="D20" s="35" t="n">
        <v>480</v>
      </c>
      <c r="E20" s="35" t="n">
        <v>0</v>
      </c>
      <c r="F20" s="35" t="n">
        <v>18</v>
      </c>
      <c r="G20" s="35" t="n">
        <v>540</v>
      </c>
      <c r="H20" s="35" t="n">
        <v>189.28</v>
      </c>
      <c r="I20" s="35" t="n">
        <v>0</v>
      </c>
      <c r="J20" s="35" t="n">
        <v>0</v>
      </c>
      <c r="K20" s="35" t="n">
        <v>384</v>
      </c>
      <c r="L20" s="35" t="n">
        <v>50</v>
      </c>
      <c r="M20" s="35" t="n">
        <v>-156</v>
      </c>
      <c r="N20" s="36">
        <f>SUM(B20:M20)</f>
        <v/>
      </c>
      <c r="O20" s="37">
        <f>SUMIF('BW TB'!$R:$R,'BW P&amp;L'!$A20,'BW TB'!C:C)</f>
        <v/>
      </c>
      <c r="P20" s="37">
        <f>SUMIF('BW TB'!$R:$R,'BW P&amp;L'!$A20,'BW TB'!D:D)</f>
        <v/>
      </c>
      <c r="Q20" s="37">
        <f>SUMIF('BW TB'!$R:$R,'BW P&amp;L'!$A20,'BW TB'!E:E)</f>
        <v/>
      </c>
      <c r="R20" s="37">
        <f>SUMIF('BW TB'!$R:$R,'BW P&amp;L'!$A20,'BW TB'!F:F)</f>
        <v/>
      </c>
      <c r="S20" s="37">
        <f>SUMIF('BW TB'!$R:$R,'BW P&amp;L'!$A20,'BW TB'!G:G)</f>
        <v/>
      </c>
      <c r="T20" s="37">
        <f>SUMIF('BW TB'!$R:$R,'BW P&amp;L'!$A20,'BW TB'!H:H)</f>
        <v/>
      </c>
      <c r="U20" s="37">
        <f>SUMIF('BW TB'!$R:$R,'BW P&amp;L'!$A20,'BW TB'!I:I)</f>
        <v/>
      </c>
      <c r="V20" s="38" t="n">
        <v>500</v>
      </c>
      <c r="W20" s="38" t="n">
        <v>500</v>
      </c>
      <c r="X20" s="38" t="n">
        <v>500</v>
      </c>
      <c r="Y20" s="38" t="n">
        <v>500</v>
      </c>
      <c r="Z20" s="38" t="n">
        <v>500</v>
      </c>
      <c r="AA20" s="36">
        <f>SUM(O20:U20)</f>
        <v/>
      </c>
      <c r="AB20" s="36">
        <f>SUM(O20:Z20)</f>
        <v/>
      </c>
      <c r="AC20" s="38" t="n">
        <v>500</v>
      </c>
      <c r="AD20" s="38" t="n">
        <v>500</v>
      </c>
      <c r="AE20" s="38" t="n">
        <v>500</v>
      </c>
      <c r="AF20" s="38" t="n">
        <v>500</v>
      </c>
      <c r="AG20" s="38" t="n">
        <v>500</v>
      </c>
      <c r="AH20" s="38" t="n">
        <v>500</v>
      </c>
      <c r="AI20" s="118" t="n">
        <v>500</v>
      </c>
      <c r="AJ20" s="119" t="n">
        <v>500</v>
      </c>
      <c r="AK20" s="119" t="n">
        <v>500</v>
      </c>
      <c r="AL20" s="119" t="n">
        <v>500</v>
      </c>
      <c r="AM20" s="120" t="n">
        <v>500</v>
      </c>
      <c r="AN20" s="118" t="n">
        <v>500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292.56</v>
      </c>
      <c r="C21" s="35" t="n">
        <v>327.49</v>
      </c>
      <c r="D21" s="35" t="n">
        <v>190</v>
      </c>
      <c r="E21" s="35" t="n">
        <v>238.69</v>
      </c>
      <c r="F21" s="35" t="n">
        <v>147.43</v>
      </c>
      <c r="G21" s="35" t="n">
        <v>436.17</v>
      </c>
      <c r="H21" s="35" t="n">
        <v>265.44</v>
      </c>
      <c r="I21" s="35" t="n">
        <v>187.74</v>
      </c>
      <c r="J21" s="35" t="n">
        <v>173.74</v>
      </c>
      <c r="K21" s="35" t="n">
        <v>173.74</v>
      </c>
      <c r="L21" s="35" t="n">
        <v>327.78</v>
      </c>
      <c r="M21" s="35" t="n">
        <v>302.37</v>
      </c>
      <c r="N21" s="36">
        <f>SUM(B21:M21)</f>
        <v/>
      </c>
      <c r="O21" s="37">
        <f>SUMIF('BW TB'!$R:$R,'BW P&amp;L'!$A21,'BW TB'!C:C)</f>
        <v/>
      </c>
      <c r="P21" s="37">
        <f>SUMIF('BW TB'!$R:$R,'BW P&amp;L'!$A21,'BW TB'!D:D)</f>
        <v/>
      </c>
      <c r="Q21" s="37">
        <f>SUMIF('BW TB'!$R:$R,'BW P&amp;L'!$A21,'BW TB'!E:E)</f>
        <v/>
      </c>
      <c r="R21" s="37">
        <f>SUMIF('BW TB'!$R:$R,'BW P&amp;L'!$A21,'BW TB'!F:F)</f>
        <v/>
      </c>
      <c r="S21" s="37">
        <f>SUMIF('BW TB'!$R:$R,'BW P&amp;L'!$A21,'BW TB'!G:G)</f>
        <v/>
      </c>
      <c r="T21" s="37">
        <f>SUMIF('BW TB'!$R:$R,'BW P&amp;L'!$A21,'BW TB'!H:H)</f>
        <v/>
      </c>
      <c r="U21" s="37">
        <f>SUMIF('BW TB'!$R:$R,'BW P&amp;L'!$A21,'BW TB'!I:I)</f>
        <v/>
      </c>
      <c r="V21" s="38" t="n">
        <v>360</v>
      </c>
      <c r="W21" s="38" t="n">
        <v>360</v>
      </c>
      <c r="X21" s="38" t="n">
        <v>360</v>
      </c>
      <c r="Y21" s="38" t="n">
        <v>360</v>
      </c>
      <c r="Z21" s="38" t="n">
        <v>360</v>
      </c>
      <c r="AA21" s="36">
        <f>SUM(O21:U21)</f>
        <v/>
      </c>
      <c r="AB21" s="36">
        <f>SUM(O21:Z21)</f>
        <v/>
      </c>
      <c r="AC21" s="38" t="n">
        <v>360</v>
      </c>
      <c r="AD21" s="38" t="n">
        <v>360</v>
      </c>
      <c r="AE21" s="38" t="n">
        <v>360</v>
      </c>
      <c r="AF21" s="38" t="n">
        <v>360</v>
      </c>
      <c r="AG21" s="38" t="n">
        <v>360</v>
      </c>
      <c r="AH21" s="38" t="n">
        <v>360</v>
      </c>
      <c r="AI21" s="118" t="n">
        <v>360</v>
      </c>
      <c r="AJ21" s="119" t="n">
        <v>360</v>
      </c>
      <c r="AK21" s="119" t="n">
        <v>360</v>
      </c>
      <c r="AL21" s="119" t="n">
        <v>360</v>
      </c>
      <c r="AM21" s="120" t="n">
        <v>360</v>
      </c>
      <c r="AN21" s="118" t="n">
        <v>360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64.8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SUMIF('BW TB'!$R:$R,'BW P&amp;L'!$A22,'BW TB'!C:C)</f>
        <v/>
      </c>
      <c r="P22" s="37">
        <f>SUMIF('BW TB'!$R:$R,'BW P&amp;L'!$A22,'BW TB'!D:D)</f>
        <v/>
      </c>
      <c r="Q22" s="37">
        <f>SUMIF('BW TB'!$R:$R,'BW P&amp;L'!$A22,'BW TB'!E:E)</f>
        <v/>
      </c>
      <c r="R22" s="37">
        <f>SUMIF('BW TB'!$R:$R,'BW P&amp;L'!$A22,'BW TB'!F:F)</f>
        <v/>
      </c>
      <c r="S22" s="37">
        <f>SUMIF('BW TB'!$R:$R,'BW P&amp;L'!$A22,'BW TB'!G:G)</f>
        <v/>
      </c>
      <c r="T22" s="37">
        <f>SUMIF('BW TB'!$R:$R,'BW P&amp;L'!$A22,'BW TB'!H:H)</f>
        <v/>
      </c>
      <c r="U22" s="37">
        <f>SUMIF('BW TB'!$R:$R,'BW P&amp;L'!$A22,'BW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8" t="n">
        <v>0</v>
      </c>
      <c r="AJ22" s="119" t="n">
        <v>0</v>
      </c>
      <c r="AK22" s="119" t="n">
        <v>0</v>
      </c>
      <c r="AL22" s="119" t="n">
        <v>0</v>
      </c>
      <c r="AM22" s="120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47.96</v>
      </c>
      <c r="L23" s="35" t="n">
        <v>101.16</v>
      </c>
      <c r="M23" s="35" t="n">
        <v>0</v>
      </c>
      <c r="N23" s="36">
        <f>SUM(B23:M23)</f>
        <v/>
      </c>
      <c r="O23" s="37">
        <f>SUMIF('BW TB'!$R:$R,'BW P&amp;L'!$A23,'BW TB'!C:C)</f>
        <v/>
      </c>
      <c r="P23" s="37">
        <f>SUMIF('BW TB'!$R:$R,'BW P&amp;L'!$A23,'BW TB'!D:D)</f>
        <v/>
      </c>
      <c r="Q23" s="37">
        <f>SUMIF('BW TB'!$R:$R,'BW P&amp;L'!$A23,'BW TB'!E:E)</f>
        <v/>
      </c>
      <c r="R23" s="37">
        <f>SUMIF('BW TB'!$R:$R,'BW P&amp;L'!$A23,'BW TB'!F:F)</f>
        <v/>
      </c>
      <c r="S23" s="37">
        <f>SUMIF('BW TB'!$R:$R,'BW P&amp;L'!$A23,'BW TB'!G:G)</f>
        <v/>
      </c>
      <c r="T23" s="37">
        <f>SUMIF('BW TB'!$R:$R,'BW P&amp;L'!$A23,'BW TB'!H:H)</f>
        <v/>
      </c>
      <c r="U23" s="37">
        <f>SUMIF('BW TB'!$R:$R,'BW P&amp;L'!$A23,'BW TB'!I:I)</f>
        <v/>
      </c>
      <c r="V23" s="38" t="n">
        <v>150</v>
      </c>
      <c r="W23" s="38" t="n">
        <v>150</v>
      </c>
      <c r="X23" s="38" t="n">
        <v>150</v>
      </c>
      <c r="Y23" s="38" t="n">
        <v>150</v>
      </c>
      <c r="Z23" s="38" t="n">
        <v>150</v>
      </c>
      <c r="AA23" s="36">
        <f>SUM(O23:U23)</f>
        <v/>
      </c>
      <c r="AB23" s="36">
        <f>SUM(O23:Z23)</f>
        <v/>
      </c>
      <c r="AC23" s="38" t="n">
        <v>150</v>
      </c>
      <c r="AD23" s="38" t="n">
        <v>150</v>
      </c>
      <c r="AE23" s="38" t="n">
        <v>150</v>
      </c>
      <c r="AF23" s="38" t="n">
        <v>150</v>
      </c>
      <c r="AG23" s="38" t="n">
        <v>150</v>
      </c>
      <c r="AH23" s="38" t="n">
        <v>150</v>
      </c>
      <c r="AI23" s="118" t="n">
        <v>150</v>
      </c>
      <c r="AJ23" s="119" t="n">
        <v>150</v>
      </c>
      <c r="AK23" s="119" t="n">
        <v>150</v>
      </c>
      <c r="AL23" s="119" t="n">
        <v>150</v>
      </c>
      <c r="AM23" s="120" t="n">
        <v>150</v>
      </c>
      <c r="AN23" s="118" t="n">
        <v>150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SUMIF('BW TB'!$R:$R,'BW P&amp;L'!$A24,'BW TB'!C:C)</f>
        <v/>
      </c>
      <c r="P24" s="37">
        <f>SUMIF('BW TB'!$R:$R,'BW P&amp;L'!$A24,'BW TB'!D:D)</f>
        <v/>
      </c>
      <c r="Q24" s="37">
        <f>SUMIF('BW TB'!$R:$R,'BW P&amp;L'!$A24,'BW TB'!E:E)</f>
        <v/>
      </c>
      <c r="R24" s="37">
        <f>SUMIF('BW TB'!$R:$R,'BW P&amp;L'!$A24,'BW TB'!F:F)</f>
        <v/>
      </c>
      <c r="S24" s="37">
        <f>SUMIF('BW TB'!$R:$R,'BW P&amp;L'!$A24,'BW TB'!G:G)</f>
        <v/>
      </c>
      <c r="T24" s="37">
        <f>SUMIF('BW TB'!$R:$R,'BW P&amp;L'!$A24,'BW TB'!H:H)</f>
        <v/>
      </c>
      <c r="U24" s="37">
        <f>SUMIF('BW TB'!$R:$R,'BW P&amp;L'!$A24,'BW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8" t="n">
        <v>0</v>
      </c>
      <c r="AJ24" s="119" t="n">
        <v>0</v>
      </c>
      <c r="AK24" s="119" t="n">
        <v>0</v>
      </c>
      <c r="AL24" s="119" t="n">
        <v>0</v>
      </c>
      <c r="AM24" s="120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75514.88</v>
      </c>
      <c r="C25" s="42" t="n">
        <v>66664.72000000002</v>
      </c>
      <c r="D25" s="42" t="n">
        <v>67362.42</v>
      </c>
      <c r="E25" s="42" t="n">
        <v>75839.88</v>
      </c>
      <c r="F25" s="42" t="n">
        <v>81613.95</v>
      </c>
      <c r="G25" s="42" t="n">
        <v>76925.33</v>
      </c>
      <c r="H25" s="42" t="n">
        <v>84429.41</v>
      </c>
      <c r="I25" s="42" t="n">
        <v>81352.47000000002</v>
      </c>
      <c r="J25" s="42" t="n">
        <v>92076.14999999999</v>
      </c>
      <c r="K25" s="42" t="n">
        <v>78664.33000000002</v>
      </c>
      <c r="L25" s="42" t="n">
        <v>75195.24000000001</v>
      </c>
      <c r="M25" s="42" t="n">
        <v>73304.81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3">
        <f>SUM(AI16:AI24)</f>
        <v/>
      </c>
      <c r="AJ25" s="124">
        <f>SUM(AJ16:AJ24)</f>
        <v/>
      </c>
      <c r="AK25" s="124">
        <f>SUM(AK16:AK24)</f>
        <v/>
      </c>
      <c r="AL25" s="124">
        <f>SUM(AL16:AL24)</f>
        <v/>
      </c>
      <c r="AM25" s="124">
        <f>SUM(AM16:AM24)</f>
        <v/>
      </c>
      <c r="AN25" s="123">
        <f>SUM(AN16:AN24)</f>
        <v/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7" t="n">
        <v>0</v>
      </c>
      <c r="AJ26" s="128" t="n">
        <v>0</v>
      </c>
      <c r="AK26" s="128" t="n">
        <v>0</v>
      </c>
      <c r="AL26" s="128" t="n">
        <v>0</v>
      </c>
      <c r="AM26" s="129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3976.44</v>
      </c>
      <c r="C27" s="35" t="n">
        <v>5535.73</v>
      </c>
      <c r="D27" s="35" t="n">
        <v>5538.81</v>
      </c>
      <c r="E27" s="35" t="n">
        <v>4291.04</v>
      </c>
      <c r="F27" s="35" t="n">
        <v>4795.09</v>
      </c>
      <c r="G27" s="35" t="n">
        <v>4504.63</v>
      </c>
      <c r="H27" s="35" t="n">
        <v>4768.150000000001</v>
      </c>
      <c r="I27" s="35" t="n">
        <v>4288.04</v>
      </c>
      <c r="J27" s="35" t="n">
        <v>4177.65</v>
      </c>
      <c r="K27" s="35" t="n">
        <v>4478.409999999999</v>
      </c>
      <c r="L27" s="35" t="n">
        <v>5151.79</v>
      </c>
      <c r="M27" s="35" t="n">
        <v>3622.1</v>
      </c>
      <c r="N27" s="36">
        <f>SUM(B27:M27)</f>
        <v/>
      </c>
      <c r="O27" s="37">
        <f>SUMIF('BW TB'!$R:$R,'BW P&amp;L'!$A27,'BW TB'!C:C)</f>
        <v/>
      </c>
      <c r="P27" s="37">
        <f>SUMIF('BW TB'!$R:$R,'BW P&amp;L'!$A27,'BW TB'!D:D)</f>
        <v/>
      </c>
      <c r="Q27" s="37">
        <f>SUMIF('BW TB'!$R:$R,'BW P&amp;L'!$A27,'BW TB'!E:E)</f>
        <v/>
      </c>
      <c r="R27" s="37">
        <f>SUMIF('BW TB'!$R:$R,'BW P&amp;L'!$A27,'BW TB'!F:F)</f>
        <v/>
      </c>
      <c r="S27" s="37">
        <f>SUMIF('BW TB'!$R:$R,'BW P&amp;L'!$A27,'BW TB'!G:G)</f>
        <v/>
      </c>
      <c r="T27" s="37">
        <f>SUMIF('BW TB'!$R:$R,'BW P&amp;L'!$A27,'BW TB'!H:H)</f>
        <v/>
      </c>
      <c r="U27" s="37">
        <f>SUMIF('BW TB'!$R:$R,'BW P&amp;L'!$A27,'BW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18" t="n">
        <v>0</v>
      </c>
      <c r="AJ27" s="119" t="n">
        <v>0</v>
      </c>
      <c r="AK27" s="119" t="n">
        <v>0</v>
      </c>
      <c r="AL27" s="119" t="n">
        <v>0</v>
      </c>
      <c r="AM27" s="120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330.13</v>
      </c>
      <c r="C28" s="35" t="n">
        <v>1111.29</v>
      </c>
      <c r="D28" s="35" t="n">
        <v>135.72</v>
      </c>
      <c r="E28" s="35" t="n">
        <v>172.74</v>
      </c>
      <c r="F28" s="35" t="n">
        <v>1014.7</v>
      </c>
      <c r="G28" s="35" t="n">
        <v>1919.79</v>
      </c>
      <c r="H28" s="35" t="n">
        <v>265.47</v>
      </c>
      <c r="I28" s="35" t="n">
        <v>171.34</v>
      </c>
      <c r="J28" s="35" t="n">
        <v>0</v>
      </c>
      <c r="K28" s="35" t="n">
        <v>183.06</v>
      </c>
      <c r="L28" s="35" t="n">
        <v>257.43</v>
      </c>
      <c r="M28" s="35" t="n">
        <v>59.92</v>
      </c>
      <c r="N28" s="36">
        <f>SUM(B28:M28)</f>
        <v/>
      </c>
      <c r="O28" s="37">
        <f>SUMIF('BW TB'!$R:$R,'BW P&amp;L'!$A28,'BW TB'!C:C)</f>
        <v/>
      </c>
      <c r="P28" s="37">
        <f>SUMIF('BW TB'!$R:$R,'BW P&amp;L'!$A28,'BW TB'!D:D)</f>
        <v/>
      </c>
      <c r="Q28" s="37">
        <f>SUMIF('BW TB'!$R:$R,'BW P&amp;L'!$A28,'BW TB'!E:E)</f>
        <v/>
      </c>
      <c r="R28" s="37">
        <f>SUMIF('BW TB'!$R:$R,'BW P&amp;L'!$A28,'BW TB'!F:F)</f>
        <v/>
      </c>
      <c r="S28" s="37">
        <f>SUMIF('BW TB'!$R:$R,'BW P&amp;L'!$A28,'BW TB'!G:G)</f>
        <v/>
      </c>
      <c r="T28" s="37">
        <f>SUMIF('BW TB'!$R:$R,'BW P&amp;L'!$A28,'BW TB'!H:H)</f>
        <v/>
      </c>
      <c r="U28" s="37">
        <f>SUMIF('BW TB'!$R:$R,'BW P&amp;L'!$A28,'BW TB'!I:I)</f>
        <v/>
      </c>
      <c r="V28" s="38" t="n">
        <v>100</v>
      </c>
      <c r="W28" s="38" t="n">
        <v>100</v>
      </c>
      <c r="X28" s="38" t="n">
        <v>100</v>
      </c>
      <c r="Y28" s="38" t="n">
        <v>100</v>
      </c>
      <c r="Z28" s="38" t="n">
        <v>100</v>
      </c>
      <c r="AA28" s="36">
        <f>SUM(O28:U28)</f>
        <v/>
      </c>
      <c r="AB28" s="36">
        <f>SUM(O28:Z28)</f>
        <v/>
      </c>
      <c r="AC28" s="38" t="n">
        <v>100</v>
      </c>
      <c r="AD28" s="38" t="n">
        <v>100</v>
      </c>
      <c r="AE28" s="38" t="n">
        <v>100</v>
      </c>
      <c r="AF28" s="38" t="n">
        <v>100</v>
      </c>
      <c r="AG28" s="38" t="n">
        <v>100</v>
      </c>
      <c r="AH28" s="38" t="n">
        <v>100</v>
      </c>
      <c r="AI28" s="118" t="n">
        <v>100</v>
      </c>
      <c r="AJ28" s="119" t="n">
        <v>100</v>
      </c>
      <c r="AK28" s="119" t="n">
        <v>100</v>
      </c>
      <c r="AL28" s="119" t="n">
        <v>100</v>
      </c>
      <c r="AM28" s="120" t="n">
        <v>100</v>
      </c>
      <c r="AN28" s="118" t="n">
        <v>100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254.49</v>
      </c>
      <c r="C29" s="35" t="n">
        <v>156.01</v>
      </c>
      <c r="D29" s="35" t="n">
        <v>409.77</v>
      </c>
      <c r="E29" s="35" t="n">
        <v>42.94</v>
      </c>
      <c r="F29" s="35" t="n">
        <v>33.34</v>
      </c>
      <c r="G29" s="35" t="n">
        <v>272.97</v>
      </c>
      <c r="H29" s="35" t="n">
        <v>83.72</v>
      </c>
      <c r="I29" s="35" t="n">
        <v>57.63</v>
      </c>
      <c r="J29" s="35" t="n">
        <v>102.12</v>
      </c>
      <c r="K29" s="35" t="n">
        <v>759.96</v>
      </c>
      <c r="L29" s="35" t="n">
        <v>355.62</v>
      </c>
      <c r="M29" s="35" t="n">
        <v>390.02</v>
      </c>
      <c r="N29" s="36">
        <f>SUM(B29:M29)</f>
        <v/>
      </c>
      <c r="O29" s="37">
        <f>SUMIF('BW TB'!$R:$R,'BW P&amp;L'!$A29,'BW TB'!C:C)</f>
        <v/>
      </c>
      <c r="P29" s="37">
        <f>SUMIF('BW TB'!$R:$R,'BW P&amp;L'!$A29,'BW TB'!D:D)</f>
        <v/>
      </c>
      <c r="Q29" s="37">
        <f>SUMIF('BW TB'!$R:$R,'BW P&amp;L'!$A29,'BW TB'!E:E)</f>
        <v/>
      </c>
      <c r="R29" s="37">
        <f>SUMIF('BW TB'!$R:$R,'BW P&amp;L'!$A29,'BW TB'!F:F)</f>
        <v/>
      </c>
      <c r="S29" s="37">
        <f>SUMIF('BW TB'!$R:$R,'BW P&amp;L'!$A29,'BW TB'!G:G)</f>
        <v/>
      </c>
      <c r="T29" s="37">
        <f>SUMIF('BW TB'!$R:$R,'BW P&amp;L'!$A29,'BW TB'!H:H)</f>
        <v/>
      </c>
      <c r="U29" s="37">
        <f>SUMIF('BW TB'!$R:$R,'BW P&amp;L'!$A29,'BW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18" t="n">
        <v>0</v>
      </c>
      <c r="AJ29" s="119" t="n">
        <v>0</v>
      </c>
      <c r="AK29" s="119" t="n">
        <v>0</v>
      </c>
      <c r="AL29" s="119" t="n">
        <v>0</v>
      </c>
      <c r="AM29" s="120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15</v>
      </c>
      <c r="C30" s="35" t="n">
        <v>63.01</v>
      </c>
      <c r="D30" s="35" t="n">
        <v>61.27</v>
      </c>
      <c r="E30" s="35" t="n">
        <v>3.06</v>
      </c>
      <c r="F30" s="35" t="n">
        <v>1.38</v>
      </c>
      <c r="G30" s="35" t="n">
        <v>44.8</v>
      </c>
      <c r="H30" s="35" t="n">
        <v>112.74</v>
      </c>
      <c r="I30" s="35" t="n">
        <v>0</v>
      </c>
      <c r="J30" s="35" t="n">
        <v>104.18</v>
      </c>
      <c r="K30" s="35" t="n">
        <v>88.44</v>
      </c>
      <c r="L30" s="35" t="n">
        <v>41.01</v>
      </c>
      <c r="M30" s="35" t="n">
        <v>38.29</v>
      </c>
      <c r="N30" s="36">
        <f>SUM(B30:M30)</f>
        <v/>
      </c>
      <c r="O30" s="37">
        <f>SUMIF('BW TB'!$R:$R,'BW P&amp;L'!$A30,'BW TB'!C:C)</f>
        <v/>
      </c>
      <c r="P30" s="37">
        <f>SUMIF('BW TB'!$R:$R,'BW P&amp;L'!$A30,'BW TB'!D:D)</f>
        <v/>
      </c>
      <c r="Q30" s="37">
        <f>SUMIF('BW TB'!$R:$R,'BW P&amp;L'!$A30,'BW TB'!E:E)</f>
        <v/>
      </c>
      <c r="R30" s="37">
        <f>SUMIF('BW TB'!$R:$R,'BW P&amp;L'!$A30,'BW TB'!F:F)</f>
        <v/>
      </c>
      <c r="S30" s="37">
        <f>SUMIF('BW TB'!$R:$R,'BW P&amp;L'!$A30,'BW TB'!G:G)</f>
        <v/>
      </c>
      <c r="T30" s="37">
        <f>SUMIF('BW TB'!$R:$R,'BW P&amp;L'!$A30,'BW TB'!H:H)</f>
        <v/>
      </c>
      <c r="U30" s="37">
        <f>SUMIF('BW TB'!$R:$R,'BW P&amp;L'!$A30,'BW TB'!I:I)</f>
        <v/>
      </c>
      <c r="V30" s="38" t="n">
        <v>278</v>
      </c>
      <c r="W30" s="38" t="n">
        <v>278</v>
      </c>
      <c r="X30" s="38" t="n">
        <v>278</v>
      </c>
      <c r="Y30" s="38" t="n">
        <v>278</v>
      </c>
      <c r="Z30" s="38" t="n">
        <v>278</v>
      </c>
      <c r="AA30" s="36">
        <f>SUM(O30:U30)</f>
        <v/>
      </c>
      <c r="AB30" s="36">
        <f>SUM(O30:Z30)</f>
        <v/>
      </c>
      <c r="AC30" s="38" t="n">
        <v>278</v>
      </c>
      <c r="AD30" s="38" t="n">
        <v>278</v>
      </c>
      <c r="AE30" s="38" t="n">
        <v>278</v>
      </c>
      <c r="AF30" s="38" t="n">
        <v>278</v>
      </c>
      <c r="AG30" s="38" t="n">
        <v>278</v>
      </c>
      <c r="AH30" s="38" t="n">
        <v>278</v>
      </c>
      <c r="AI30" s="118" t="n">
        <v>278</v>
      </c>
      <c r="AJ30" s="119" t="n">
        <v>278</v>
      </c>
      <c r="AK30" s="119" t="n">
        <v>278</v>
      </c>
      <c r="AL30" s="119" t="n">
        <v>278</v>
      </c>
      <c r="AM30" s="120" t="n">
        <v>278</v>
      </c>
      <c r="AN30" s="118" t="n">
        <v>278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134.83</v>
      </c>
      <c r="C31" s="35" t="n">
        <v>92.94</v>
      </c>
      <c r="D31" s="35" t="n">
        <v>339.69</v>
      </c>
      <c r="E31" s="35" t="n">
        <v>63.56</v>
      </c>
      <c r="F31" s="35" t="n">
        <v>390.09</v>
      </c>
      <c r="G31" s="35" t="n">
        <v>775.99</v>
      </c>
      <c r="H31" s="35" t="n">
        <v>63.76</v>
      </c>
      <c r="I31" s="35" t="n">
        <v>35.62</v>
      </c>
      <c r="J31" s="35" t="n">
        <v>45.98</v>
      </c>
      <c r="K31" s="35" t="n">
        <v>380.46</v>
      </c>
      <c r="L31" s="35" t="n">
        <v>86.03999999999999</v>
      </c>
      <c r="M31" s="35" t="n">
        <v>54.77</v>
      </c>
      <c r="N31" s="36">
        <f>SUM(B31:M31)</f>
        <v/>
      </c>
      <c r="O31" s="37">
        <f>SUMIF('BW TB'!$R:$R,'BW P&amp;L'!$A31,'BW TB'!C:C)</f>
        <v/>
      </c>
      <c r="P31" s="37">
        <f>SUMIF('BW TB'!$R:$R,'BW P&amp;L'!$A31,'BW TB'!D:D)</f>
        <v/>
      </c>
      <c r="Q31" s="37">
        <f>SUMIF('BW TB'!$R:$R,'BW P&amp;L'!$A31,'BW TB'!E:E)</f>
        <v/>
      </c>
      <c r="R31" s="37">
        <f>SUMIF('BW TB'!$R:$R,'BW P&amp;L'!$A31,'BW TB'!F:F)</f>
        <v/>
      </c>
      <c r="S31" s="37">
        <f>SUMIF('BW TB'!$R:$R,'BW P&amp;L'!$A31,'BW TB'!G:G)</f>
        <v/>
      </c>
      <c r="T31" s="37">
        <f>SUMIF('BW TB'!$R:$R,'BW P&amp;L'!$A31,'BW TB'!H:H)</f>
        <v/>
      </c>
      <c r="U31" s="37">
        <f>SUMIF('BW TB'!$R:$R,'BW P&amp;L'!$A31,'BW TB'!I:I)</f>
        <v/>
      </c>
      <c r="V31" s="38" t="n">
        <v>100</v>
      </c>
      <c r="W31" s="38" t="n">
        <v>100</v>
      </c>
      <c r="X31" s="38" t="n">
        <v>100</v>
      </c>
      <c r="Y31" s="38" t="n">
        <v>100</v>
      </c>
      <c r="Z31" s="38" t="n">
        <v>100</v>
      </c>
      <c r="AA31" s="36">
        <f>SUM(O31:U31)</f>
        <v/>
      </c>
      <c r="AB31" s="36">
        <f>SUM(O31:Z31)</f>
        <v/>
      </c>
      <c r="AC31" s="38" t="n">
        <v>100</v>
      </c>
      <c r="AD31" s="38" t="n">
        <v>100</v>
      </c>
      <c r="AE31" s="38" t="n">
        <v>100</v>
      </c>
      <c r="AF31" s="38" t="n">
        <v>100</v>
      </c>
      <c r="AG31" s="38" t="n">
        <v>100</v>
      </c>
      <c r="AH31" s="38" t="n">
        <v>100</v>
      </c>
      <c r="AI31" s="118" t="n">
        <v>100</v>
      </c>
      <c r="AJ31" s="119" t="n">
        <v>100</v>
      </c>
      <c r="AK31" s="119" t="n">
        <v>100</v>
      </c>
      <c r="AL31" s="119" t="n">
        <v>100</v>
      </c>
      <c r="AM31" s="120" t="n">
        <v>100</v>
      </c>
      <c r="AN31" s="118" t="n">
        <v>100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613.9399999999999</v>
      </c>
      <c r="C32" s="35" t="n">
        <v>594.12</v>
      </c>
      <c r="D32" s="35" t="n">
        <v>559.58</v>
      </c>
      <c r="E32" s="35" t="n">
        <v>836.4699999999999</v>
      </c>
      <c r="F32" s="35" t="n">
        <v>1013.37</v>
      </c>
      <c r="G32" s="35" t="n">
        <v>899.1799999999999</v>
      </c>
      <c r="H32" s="35" t="n">
        <v>727.6099999999999</v>
      </c>
      <c r="I32" s="35" t="n">
        <v>927.6</v>
      </c>
      <c r="J32" s="35" t="n">
        <v>674.42</v>
      </c>
      <c r="K32" s="35" t="n">
        <v>746.21</v>
      </c>
      <c r="L32" s="35" t="n">
        <v>746.59</v>
      </c>
      <c r="M32" s="35" t="n">
        <v>1042.1</v>
      </c>
      <c r="N32" s="36">
        <f>SUM(B32:M32)</f>
        <v/>
      </c>
      <c r="O32" s="37">
        <f>SUMIF('BW TB'!$R:$R,'BW P&amp;L'!$A32,'BW TB'!C:C)</f>
        <v/>
      </c>
      <c r="P32" s="37">
        <f>SUMIF('BW TB'!$R:$R,'BW P&amp;L'!$A32,'BW TB'!D:D)</f>
        <v/>
      </c>
      <c r="Q32" s="37">
        <f>SUMIF('BW TB'!$R:$R,'BW P&amp;L'!$A32,'BW TB'!E:E)</f>
        <v/>
      </c>
      <c r="R32" s="37">
        <f>SUMIF('BW TB'!$R:$R,'BW P&amp;L'!$A32,'BW TB'!F:F)</f>
        <v/>
      </c>
      <c r="S32" s="37">
        <f>SUMIF('BW TB'!$R:$R,'BW P&amp;L'!$A32,'BW TB'!G:G)</f>
        <v/>
      </c>
      <c r="T32" s="37">
        <f>SUMIF('BW TB'!$R:$R,'BW P&amp;L'!$A32,'BW TB'!H:H)</f>
        <v/>
      </c>
      <c r="U32" s="37">
        <f>SUMIF('BW TB'!$R:$R,'BW P&amp;L'!$A32,'BW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18" t="n">
        <v>0</v>
      </c>
      <c r="AJ32" s="119" t="n">
        <v>0</v>
      </c>
      <c r="AK32" s="119" t="n">
        <v>0</v>
      </c>
      <c r="AL32" s="119" t="n">
        <v>0</v>
      </c>
      <c r="AM32" s="120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SUMIF('BW TB'!$R:$R,'BW P&amp;L'!$A33,'BW TB'!C:C)</f>
        <v/>
      </c>
      <c r="P33" s="37">
        <f>SUMIF('BW TB'!$R:$R,'BW P&amp;L'!$A33,'BW TB'!D:D)</f>
        <v/>
      </c>
      <c r="Q33" s="37">
        <f>SUMIF('BW TB'!$R:$R,'BW P&amp;L'!$A33,'BW TB'!E:E)</f>
        <v/>
      </c>
      <c r="R33" s="37">
        <f>SUMIF('BW TB'!$R:$R,'BW P&amp;L'!$A33,'BW TB'!F:F)</f>
        <v/>
      </c>
      <c r="S33" s="37">
        <f>SUMIF('BW TB'!$R:$R,'BW P&amp;L'!$A33,'BW TB'!G:G)</f>
        <v/>
      </c>
      <c r="T33" s="37">
        <f>SUMIF('BW TB'!$R:$R,'BW P&amp;L'!$A33,'BW TB'!H:H)</f>
        <v/>
      </c>
      <c r="U33" s="37">
        <f>SUMIF('BW TB'!$R:$R,'BW P&amp;L'!$A33,'BW TB'!I:I)</f>
        <v/>
      </c>
      <c r="V33" s="38" t="n">
        <v>0</v>
      </c>
      <c r="W33" s="38" t="n">
        <v>0</v>
      </c>
      <c r="X33" s="38" t="n">
        <v>0</v>
      </c>
      <c r="Y33" s="38" t="n">
        <v>0</v>
      </c>
      <c r="Z33" s="38" t="n">
        <v>0</v>
      </c>
      <c r="AA33" s="36">
        <f>SUM(O33:U33)</f>
        <v/>
      </c>
      <c r="AB33" s="36">
        <f>SUM(O33:Z33)</f>
        <v/>
      </c>
      <c r="AC33" s="38" t="n">
        <v>0</v>
      </c>
      <c r="AD33" s="38" t="n">
        <v>0</v>
      </c>
      <c r="AE33" s="38" t="n">
        <v>0</v>
      </c>
      <c r="AF33" s="38" t="n">
        <v>0</v>
      </c>
      <c r="AG33" s="38" t="n">
        <v>0</v>
      </c>
      <c r="AH33" s="38" t="n">
        <v>0</v>
      </c>
      <c r="AI33" s="118" t="n">
        <v>0</v>
      </c>
      <c r="AJ33" s="119" t="n">
        <v>0</v>
      </c>
      <c r="AK33" s="119" t="n">
        <v>0</v>
      </c>
      <c r="AL33" s="119" t="n">
        <v>0</v>
      </c>
      <c r="AM33" s="120" t="n">
        <v>0</v>
      </c>
      <c r="AN33" s="118" t="n">
        <v>0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5324.829999999999</v>
      </c>
      <c r="C34" s="42" t="n">
        <v>7553.1</v>
      </c>
      <c r="D34" s="42" t="n">
        <v>7044.840000000001</v>
      </c>
      <c r="E34" s="42" t="n">
        <v>5409.81</v>
      </c>
      <c r="F34" s="42" t="n">
        <v>7247.97</v>
      </c>
      <c r="G34" s="42" t="n">
        <v>8417.360000000001</v>
      </c>
      <c r="H34" s="42" t="n">
        <v>6021.450000000001</v>
      </c>
      <c r="I34" s="42" t="n">
        <v>5480.23</v>
      </c>
      <c r="J34" s="42" t="n">
        <v>5104.349999999999</v>
      </c>
      <c r="K34" s="42" t="n">
        <v>6636.539999999999</v>
      </c>
      <c r="L34" s="42" t="n">
        <v>6638.48</v>
      </c>
      <c r="M34" s="42" t="n">
        <v>5207.200000000001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3">
        <f>SUM(AI27:AI33)</f>
        <v/>
      </c>
      <c r="AJ34" s="124">
        <f>SUM(AJ27:AJ33)</f>
        <v/>
      </c>
      <c r="AK34" s="124">
        <f>SUM(AK27:AK33)</f>
        <v/>
      </c>
      <c r="AL34" s="124">
        <f>SUM(AL27:AL33)</f>
        <v/>
      </c>
      <c r="AM34" s="124">
        <f>SUM(AM27:AM33)</f>
        <v/>
      </c>
      <c r="AN34" s="123">
        <f>SUM(AN27:AN33)</f>
        <v/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7" t="n">
        <v>0</v>
      </c>
      <c r="AJ35" s="128" t="n">
        <v>0</v>
      </c>
      <c r="AK35" s="128" t="n">
        <v>0</v>
      </c>
      <c r="AL35" s="128" t="n">
        <v>0</v>
      </c>
      <c r="AM35" s="129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SUMIF('BW TB'!$R:$R,'BW P&amp;L'!$A36,'BW TB'!C:C)</f>
        <v/>
      </c>
      <c r="P36" s="37">
        <f>SUMIF('BW TB'!$R:$R,'BW P&amp;L'!$A36,'BW TB'!D:D)</f>
        <v/>
      </c>
      <c r="Q36" s="37">
        <f>SUMIF('BW TB'!$R:$R,'BW P&amp;L'!$A36,'BW TB'!E:E)</f>
        <v/>
      </c>
      <c r="R36" s="37">
        <f>SUMIF('BW TB'!$R:$R,'BW P&amp;L'!$A36,'BW TB'!F:F)</f>
        <v/>
      </c>
      <c r="S36" s="37">
        <f>SUMIF('BW TB'!$R:$R,'BW P&amp;L'!$A36,'BW TB'!G:G)</f>
        <v/>
      </c>
      <c r="T36" s="37">
        <f>SUMIF('BW TB'!$R:$R,'BW P&amp;L'!$A36,'BW TB'!H:H)</f>
        <v/>
      </c>
      <c r="U36" s="37">
        <f>SUMIF('BW TB'!$R:$R,'BW P&amp;L'!$A36,'BW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8" t="n">
        <v>0</v>
      </c>
      <c r="AJ36" s="119" t="n">
        <v>0</v>
      </c>
      <c r="AK36" s="119" t="n">
        <v>0</v>
      </c>
      <c r="AL36" s="119" t="n">
        <v>0</v>
      </c>
      <c r="AM36" s="120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3025.75</v>
      </c>
      <c r="C37" s="35" t="n">
        <v>3025.75</v>
      </c>
      <c r="D37" s="35" t="n">
        <v>3025.75</v>
      </c>
      <c r="E37" s="35" t="n">
        <v>3075.63</v>
      </c>
      <c r="F37" s="35" t="n">
        <v>3075.63</v>
      </c>
      <c r="G37" s="35" t="n">
        <v>3075.63</v>
      </c>
      <c r="H37" s="35" t="n">
        <v>3075.63</v>
      </c>
      <c r="I37" s="35" t="n">
        <v>3075.63</v>
      </c>
      <c r="J37" s="35" t="n">
        <v>3075.63</v>
      </c>
      <c r="K37" s="35" t="n">
        <v>3075.63</v>
      </c>
      <c r="L37" s="35" t="n">
        <v>3075.63</v>
      </c>
      <c r="M37" s="35" t="n">
        <v>3075.63</v>
      </c>
      <c r="N37" s="36">
        <f>SUM(B37:M37)</f>
        <v/>
      </c>
      <c r="O37" s="37">
        <f>SUMIF('BW TB'!$R:$R,'BW P&amp;L'!$A37,'BW TB'!C:C)</f>
        <v/>
      </c>
      <c r="P37" s="37">
        <f>SUMIF('BW TB'!$R:$R,'BW P&amp;L'!$A37,'BW TB'!D:D)</f>
        <v/>
      </c>
      <c r="Q37" s="37">
        <f>SUMIF('BW TB'!$R:$R,'BW P&amp;L'!$A37,'BW TB'!E:E)</f>
        <v/>
      </c>
      <c r="R37" s="37">
        <f>SUMIF('BW TB'!$R:$R,'BW P&amp;L'!$A37,'BW TB'!F:F)</f>
        <v/>
      </c>
      <c r="S37" s="37">
        <f>SUMIF('BW TB'!$R:$R,'BW P&amp;L'!$A37,'BW TB'!G:G)</f>
        <v/>
      </c>
      <c r="T37" s="37">
        <f>SUMIF('BW TB'!$R:$R,'BW P&amp;L'!$A37,'BW TB'!H:H)</f>
        <v/>
      </c>
      <c r="U37" s="37">
        <f>SUMIF('BW TB'!$R:$R,'BW P&amp;L'!$A37,'BW TB'!I:I)</f>
        <v/>
      </c>
      <c r="V37" s="38" t="n">
        <v>3123.75</v>
      </c>
      <c r="W37" s="38" t="n">
        <v>3123.75</v>
      </c>
      <c r="X37" s="38" t="n">
        <v>3123.75</v>
      </c>
      <c r="Y37" s="38" t="n">
        <v>3123.75</v>
      </c>
      <c r="Z37" s="38" t="n">
        <v>3123.75</v>
      </c>
      <c r="AA37" s="36">
        <f>SUM(O37:U37)</f>
        <v/>
      </c>
      <c r="AB37" s="36">
        <f>SUM(O37:Z37)</f>
        <v/>
      </c>
      <c r="AC37" s="38" t="n">
        <v>3123.75</v>
      </c>
      <c r="AD37" s="38" t="n">
        <v>3123.75</v>
      </c>
      <c r="AE37" s="38" t="n">
        <v>3123.75</v>
      </c>
      <c r="AF37" s="38" t="n">
        <v>3123.75</v>
      </c>
      <c r="AG37" s="38" t="n">
        <v>3123.75</v>
      </c>
      <c r="AH37" s="38" t="n">
        <v>3123.75</v>
      </c>
      <c r="AI37" s="118" t="n">
        <v>3123.75</v>
      </c>
      <c r="AJ37" s="119" t="n">
        <v>3123.75</v>
      </c>
      <c r="AK37" s="119" t="n">
        <v>3123.75</v>
      </c>
      <c r="AL37" s="119" t="n">
        <v>3123.75</v>
      </c>
      <c r="AM37" s="120" t="n">
        <v>3123.75</v>
      </c>
      <c r="AN37" s="118" t="n">
        <v>3123.75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2790.8</v>
      </c>
      <c r="C38" s="35" t="n">
        <v>2628.84</v>
      </c>
      <c r="D38" s="35" t="n">
        <v>4292.94</v>
      </c>
      <c r="E38" s="35" t="n">
        <v>5529.950000000001</v>
      </c>
      <c r="F38" s="35" t="n">
        <v>1656.64</v>
      </c>
      <c r="G38" s="35" t="n">
        <v>2428.37</v>
      </c>
      <c r="H38" s="35" t="n">
        <v>1773.3</v>
      </c>
      <c r="I38" s="35" t="n">
        <v>1422.35</v>
      </c>
      <c r="J38" s="35" t="n">
        <v>2223.76</v>
      </c>
      <c r="K38" s="35" t="n">
        <v>3805.35</v>
      </c>
      <c r="L38" s="35" t="n">
        <v>3193.73</v>
      </c>
      <c r="M38" s="35" t="n">
        <v>3368.92</v>
      </c>
      <c r="N38" s="36">
        <f>SUM(B38:M38)</f>
        <v/>
      </c>
      <c r="O38" s="37">
        <f>SUMIF('BW TB'!$R:$R,'BW P&amp;L'!$A38,'BW TB'!C:C)</f>
        <v/>
      </c>
      <c r="P38" s="37">
        <f>SUMIF('BW TB'!$R:$R,'BW P&amp;L'!$A38,'BW TB'!D:D)</f>
        <v/>
      </c>
      <c r="Q38" s="37">
        <f>SUMIF('BW TB'!$R:$R,'BW P&amp;L'!$A38,'BW TB'!E:E)</f>
        <v/>
      </c>
      <c r="R38" s="37">
        <f>SUMIF('BW TB'!$R:$R,'BW P&amp;L'!$A38,'BW TB'!F:F)</f>
        <v/>
      </c>
      <c r="S38" s="37">
        <f>SUMIF('BW TB'!$R:$R,'BW P&amp;L'!$A38,'BW TB'!G:G)</f>
        <v/>
      </c>
      <c r="T38" s="37">
        <f>SUMIF('BW TB'!$R:$R,'BW P&amp;L'!$A38,'BW TB'!H:H)</f>
        <v/>
      </c>
      <c r="U38" s="37">
        <f>SUMIF('BW TB'!$R:$R,'BW P&amp;L'!$A38,'BW TB'!I:I)</f>
        <v/>
      </c>
      <c r="V38" s="38" t="n">
        <v>3138</v>
      </c>
      <c r="W38" s="38" t="n">
        <v>3138</v>
      </c>
      <c r="X38" s="38" t="n">
        <v>3138</v>
      </c>
      <c r="Y38" s="38" t="n">
        <v>3138</v>
      </c>
      <c r="Z38" s="38" t="n">
        <v>3138</v>
      </c>
      <c r="AA38" s="36">
        <f>SUM(O38:U38)</f>
        <v/>
      </c>
      <c r="AB38" s="36">
        <f>SUM(O38:Z38)</f>
        <v/>
      </c>
      <c r="AC38" s="38" t="n">
        <v>3138</v>
      </c>
      <c r="AD38" s="38" t="n">
        <v>3138</v>
      </c>
      <c r="AE38" s="38" t="n">
        <v>3138</v>
      </c>
      <c r="AF38" s="38" t="n">
        <v>3138</v>
      </c>
      <c r="AG38" s="38" t="n">
        <v>3138</v>
      </c>
      <c r="AH38" s="38" t="n">
        <v>3138</v>
      </c>
      <c r="AI38" s="118" t="n">
        <v>3138</v>
      </c>
      <c r="AJ38" s="119" t="n">
        <v>3138</v>
      </c>
      <c r="AK38" s="119" t="n">
        <v>3138</v>
      </c>
      <c r="AL38" s="119" t="n">
        <v>3138</v>
      </c>
      <c r="AM38" s="120" t="n">
        <v>3138</v>
      </c>
      <c r="AN38" s="118" t="n">
        <v>3138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924.6799999999999</v>
      </c>
      <c r="C39" s="35" t="n">
        <v>752.58</v>
      </c>
      <c r="D39" s="35" t="n">
        <v>409.33</v>
      </c>
      <c r="E39" s="35" t="n">
        <v>1010.79</v>
      </c>
      <c r="F39" s="35" t="n">
        <v>213.72</v>
      </c>
      <c r="G39" s="35" t="n">
        <v>535.9799999999999</v>
      </c>
      <c r="H39" s="35" t="n">
        <v>2248.4</v>
      </c>
      <c r="I39" s="35" t="n">
        <v>2709.69</v>
      </c>
      <c r="J39" s="35" t="n">
        <v>912.3100000000001</v>
      </c>
      <c r="K39" s="35" t="n">
        <v>1226.69</v>
      </c>
      <c r="L39" s="35" t="n">
        <v>65.19</v>
      </c>
      <c r="M39" s="35" t="n">
        <v>192.39</v>
      </c>
      <c r="N39" s="36">
        <f>SUM(B39:M39)</f>
        <v/>
      </c>
      <c r="O39" s="37">
        <f>SUMIF('BW TB'!$R:$R,'BW P&amp;L'!$A39,'BW TB'!C:C)</f>
        <v/>
      </c>
      <c r="P39" s="37">
        <f>SUMIF('BW TB'!$R:$R,'BW P&amp;L'!$A39,'BW TB'!D:D)</f>
        <v/>
      </c>
      <c r="Q39" s="37">
        <f>SUMIF('BW TB'!$R:$R,'BW P&amp;L'!$A39,'BW TB'!E:E)</f>
        <v/>
      </c>
      <c r="R39" s="37">
        <f>SUMIF('BW TB'!$R:$R,'BW P&amp;L'!$A39,'BW TB'!F:F)</f>
        <v/>
      </c>
      <c r="S39" s="37">
        <f>SUMIF('BW TB'!$R:$R,'BW P&amp;L'!$A39,'BW TB'!G:G)</f>
        <v/>
      </c>
      <c r="T39" s="37">
        <f>SUMIF('BW TB'!$R:$R,'BW P&amp;L'!$A39,'BW TB'!H:H)</f>
        <v/>
      </c>
      <c r="U39" s="37">
        <f>SUMIF('BW TB'!$R:$R,'BW P&amp;L'!$A39,'BW TB'!I:I)</f>
        <v/>
      </c>
      <c r="V39" s="38" t="n">
        <v>1500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8" t="n">
        <v>0</v>
      </c>
      <c r="AJ39" s="119" t="n">
        <v>0</v>
      </c>
      <c r="AK39" s="119" t="n">
        <v>0</v>
      </c>
      <c r="AL39" s="119" t="n">
        <v>0</v>
      </c>
      <c r="AM39" s="120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3992.33</v>
      </c>
      <c r="C40" s="35" t="n">
        <v>3985.5</v>
      </c>
      <c r="D40" s="35" t="n">
        <v>3876.24</v>
      </c>
      <c r="E40" s="35" t="n">
        <v>4757.82</v>
      </c>
      <c r="F40" s="35" t="n">
        <v>3752.54</v>
      </c>
      <c r="G40" s="35" t="n">
        <v>3993.33</v>
      </c>
      <c r="H40" s="35" t="n">
        <v>4752.64</v>
      </c>
      <c r="I40" s="35" t="n">
        <v>8059.97</v>
      </c>
      <c r="J40" s="35" t="n">
        <v>4609.84</v>
      </c>
      <c r="K40" s="35" t="n">
        <v>755.6900000000001</v>
      </c>
      <c r="L40" s="35" t="n">
        <v>4164.74</v>
      </c>
      <c r="M40" s="35" t="n">
        <v>4041.48</v>
      </c>
      <c r="N40" s="36">
        <f>SUM(B40:M40)</f>
        <v/>
      </c>
      <c r="O40" s="37">
        <f>SUMIF('BW TB'!$R:$R,'BW P&amp;L'!$A40,'BW TB'!C:C)</f>
        <v/>
      </c>
      <c r="P40" s="37">
        <f>SUMIF('BW TB'!$R:$R,'BW P&amp;L'!$A40,'BW TB'!D:D)</f>
        <v/>
      </c>
      <c r="Q40" s="37">
        <f>SUMIF('BW TB'!$R:$R,'BW P&amp;L'!$A40,'BW TB'!E:E)</f>
        <v/>
      </c>
      <c r="R40" s="37">
        <f>SUMIF('BW TB'!$R:$R,'BW P&amp;L'!$A40,'BW TB'!F:F)</f>
        <v/>
      </c>
      <c r="S40" s="37">
        <f>SUMIF('BW TB'!$R:$R,'BW P&amp;L'!$A40,'BW TB'!G:G)</f>
        <v/>
      </c>
      <c r="T40" s="37">
        <f>SUMIF('BW TB'!$R:$R,'BW P&amp;L'!$A40,'BW TB'!H:H)</f>
        <v/>
      </c>
      <c r="U40" s="37">
        <f>SUMIF('BW TB'!$R:$R,'BW P&amp;L'!$A40,'BW TB'!I:I)</f>
        <v/>
      </c>
      <c r="V40" s="38" t="n">
        <v>4300</v>
      </c>
      <c r="W40" s="38" t="n">
        <v>4300</v>
      </c>
      <c r="X40" s="38" t="n">
        <v>4300</v>
      </c>
      <c r="Y40" s="38" t="n">
        <v>4300</v>
      </c>
      <c r="Z40" s="38" t="n">
        <v>4300</v>
      </c>
      <c r="AA40" s="36">
        <f>SUM(O40:U40)</f>
        <v/>
      </c>
      <c r="AB40" s="36">
        <f>SUM(O40:Z40)</f>
        <v/>
      </c>
      <c r="AC40" s="38" t="n">
        <v>4300</v>
      </c>
      <c r="AD40" s="38" t="n">
        <v>4300</v>
      </c>
      <c r="AE40" s="38" t="n">
        <v>4300</v>
      </c>
      <c r="AF40" s="38" t="n">
        <v>4300</v>
      </c>
      <c r="AG40" s="38" t="n">
        <v>4300</v>
      </c>
      <c r="AH40" s="38" t="n">
        <v>4300</v>
      </c>
      <c r="AI40" s="118" t="n">
        <v>4300</v>
      </c>
      <c r="AJ40" s="119" t="n">
        <v>4300</v>
      </c>
      <c r="AK40" s="119" t="n">
        <v>4300</v>
      </c>
      <c r="AL40" s="119" t="n">
        <v>4300</v>
      </c>
      <c r="AM40" s="120" t="n">
        <v>4300</v>
      </c>
      <c r="AN40" s="118" t="n">
        <v>4300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623.08</v>
      </c>
      <c r="C41" s="35" t="n">
        <v>831.76</v>
      </c>
      <c r="D41" s="35" t="n">
        <v>836.49</v>
      </c>
      <c r="E41" s="35" t="n">
        <v>747.74</v>
      </c>
      <c r="F41" s="35" t="n">
        <v>481.62</v>
      </c>
      <c r="G41" s="35" t="n">
        <v>810.6499999999999</v>
      </c>
      <c r="H41" s="35" t="n">
        <v>662.91</v>
      </c>
      <c r="I41" s="35" t="n">
        <v>701.49</v>
      </c>
      <c r="J41" s="35" t="n">
        <v>1035.73</v>
      </c>
      <c r="K41" s="35" t="n">
        <v>720.8</v>
      </c>
      <c r="L41" s="35" t="n">
        <v>715.36</v>
      </c>
      <c r="M41" s="35" t="n">
        <v>834.1999999999999</v>
      </c>
      <c r="N41" s="36">
        <f>SUM(B41:M41)</f>
        <v/>
      </c>
      <c r="O41" s="37">
        <f>SUMIF('BW TB'!$R:$R,'BW P&amp;L'!$A41,'BW TB'!C:C)</f>
        <v/>
      </c>
      <c r="P41" s="37">
        <f>SUMIF('BW TB'!$R:$R,'BW P&amp;L'!$A41,'BW TB'!D:D)</f>
        <v/>
      </c>
      <c r="Q41" s="37">
        <f>SUMIF('BW TB'!$R:$R,'BW P&amp;L'!$A41,'BW TB'!E:E)</f>
        <v/>
      </c>
      <c r="R41" s="37">
        <f>SUMIF('BW TB'!$R:$R,'BW P&amp;L'!$A41,'BW TB'!F:F)</f>
        <v/>
      </c>
      <c r="S41" s="37">
        <f>SUMIF('BW TB'!$R:$R,'BW P&amp;L'!$A41,'BW TB'!G:G)</f>
        <v/>
      </c>
      <c r="T41" s="37">
        <f>SUMIF('BW TB'!$R:$R,'BW P&amp;L'!$A41,'BW TB'!H:H)</f>
        <v/>
      </c>
      <c r="U41" s="37">
        <f>SUMIF('BW TB'!$R:$R,'BW P&amp;L'!$A41,'BW TB'!I:I)</f>
        <v/>
      </c>
      <c r="V41" s="38" t="n">
        <v>746</v>
      </c>
      <c r="W41" s="38" t="n">
        <v>746</v>
      </c>
      <c r="X41" s="38" t="n">
        <v>746</v>
      </c>
      <c r="Y41" s="38" t="n">
        <v>746</v>
      </c>
      <c r="Z41" s="38" t="n">
        <v>746</v>
      </c>
      <c r="AA41" s="36">
        <f>SUM(O41:U41)</f>
        <v/>
      </c>
      <c r="AB41" s="36">
        <f>SUM(O41:Z41)</f>
        <v/>
      </c>
      <c r="AC41" s="38" t="n">
        <v>746</v>
      </c>
      <c r="AD41" s="38" t="n">
        <v>746</v>
      </c>
      <c r="AE41" s="38" t="n">
        <v>746</v>
      </c>
      <c r="AF41" s="38" t="n">
        <v>746</v>
      </c>
      <c r="AG41" s="38" t="n">
        <v>746</v>
      </c>
      <c r="AH41" s="38" t="n">
        <v>746</v>
      </c>
      <c r="AI41" s="118" t="n">
        <v>746</v>
      </c>
      <c r="AJ41" s="119" t="n">
        <v>746</v>
      </c>
      <c r="AK41" s="119" t="n">
        <v>746</v>
      </c>
      <c r="AL41" s="119" t="n">
        <v>746</v>
      </c>
      <c r="AM41" s="120" t="n">
        <v>746</v>
      </c>
      <c r="AN41" s="118" t="n">
        <v>746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72.16</v>
      </c>
      <c r="C42" s="35" t="n">
        <v>108.21</v>
      </c>
      <c r="D42" s="35" t="n">
        <v>93.42</v>
      </c>
      <c r="E42" s="35" t="n">
        <v>86.88</v>
      </c>
      <c r="F42" s="35" t="n">
        <v>91.48</v>
      </c>
      <c r="G42" s="35" t="n">
        <v>133.56</v>
      </c>
      <c r="H42" s="35" t="n">
        <v>135.07</v>
      </c>
      <c r="I42" s="35" t="n">
        <v>63.11</v>
      </c>
      <c r="J42" s="35" t="n">
        <v>156.44</v>
      </c>
      <c r="K42" s="35" t="n">
        <v>93.01000000000001</v>
      </c>
      <c r="L42" s="35" t="n">
        <v>12.84</v>
      </c>
      <c r="M42" s="35" t="n">
        <v>72.92</v>
      </c>
      <c r="N42" s="36">
        <f>SUM(B42:M42)</f>
        <v/>
      </c>
      <c r="O42" s="37">
        <f>SUMIF('BW TB'!$R:$R,'BW P&amp;L'!$A42,'BW TB'!C:C)</f>
        <v/>
      </c>
      <c r="P42" s="37">
        <f>SUMIF('BW TB'!$R:$R,'BW P&amp;L'!$A42,'BW TB'!D:D)</f>
        <v/>
      </c>
      <c r="Q42" s="37">
        <f>SUMIF('BW TB'!$R:$R,'BW P&amp;L'!$A42,'BW TB'!E:E)</f>
        <v/>
      </c>
      <c r="R42" s="37">
        <f>SUMIF('BW TB'!$R:$R,'BW P&amp;L'!$A42,'BW TB'!F:F)</f>
        <v/>
      </c>
      <c r="S42" s="37">
        <f>SUMIF('BW TB'!$R:$R,'BW P&amp;L'!$A42,'BW TB'!G:G)</f>
        <v/>
      </c>
      <c r="T42" s="37">
        <f>SUMIF('BW TB'!$R:$R,'BW P&amp;L'!$A42,'BW TB'!H:H)</f>
        <v/>
      </c>
      <c r="U42" s="37">
        <f>SUMIF('BW TB'!$R:$R,'BW P&amp;L'!$A42,'BW TB'!I:I)</f>
        <v/>
      </c>
      <c r="V42" s="38" t="n">
        <v>150</v>
      </c>
      <c r="W42" s="38" t="n">
        <v>150</v>
      </c>
      <c r="X42" s="38" t="n">
        <v>150</v>
      </c>
      <c r="Y42" s="38" t="n">
        <v>150</v>
      </c>
      <c r="Z42" s="38" t="n">
        <v>150</v>
      </c>
      <c r="AA42" s="36">
        <f>SUM(O42:U42)</f>
        <v/>
      </c>
      <c r="AB42" s="36">
        <f>SUM(O42:Z42)</f>
        <v/>
      </c>
      <c r="AC42" s="38" t="n">
        <v>150</v>
      </c>
      <c r="AD42" s="38" t="n">
        <v>150</v>
      </c>
      <c r="AE42" s="38" t="n">
        <v>150</v>
      </c>
      <c r="AF42" s="38" t="n">
        <v>150</v>
      </c>
      <c r="AG42" s="38" t="n">
        <v>150</v>
      </c>
      <c r="AH42" s="38" t="n">
        <v>150</v>
      </c>
      <c r="AI42" s="118" t="n">
        <v>150</v>
      </c>
      <c r="AJ42" s="119" t="n">
        <v>150</v>
      </c>
      <c r="AK42" s="119" t="n">
        <v>150</v>
      </c>
      <c r="AL42" s="119" t="n">
        <v>150</v>
      </c>
      <c r="AM42" s="120" t="n">
        <v>150</v>
      </c>
      <c r="AN42" s="118" t="n">
        <v>150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SUMIF('BW TB'!$R:$R,'BW P&amp;L'!$A43,'BW TB'!C:C)</f>
        <v/>
      </c>
      <c r="P43" s="37">
        <f>SUMIF('BW TB'!$R:$R,'BW P&amp;L'!$A43,'BW TB'!D:D)</f>
        <v/>
      </c>
      <c r="Q43" s="37">
        <f>SUMIF('BW TB'!$R:$R,'BW P&amp;L'!$A43,'BW TB'!E:E)</f>
        <v/>
      </c>
      <c r="R43" s="37">
        <f>SUMIF('BW TB'!$R:$R,'BW P&amp;L'!$A43,'BW TB'!F:F)</f>
        <v/>
      </c>
      <c r="S43" s="37">
        <f>SUMIF('BW TB'!$R:$R,'BW P&amp;L'!$A43,'BW TB'!G:G)</f>
        <v/>
      </c>
      <c r="T43" s="37">
        <f>SUMIF('BW TB'!$R:$R,'BW P&amp;L'!$A43,'BW TB'!H:H)</f>
        <v/>
      </c>
      <c r="U43" s="37">
        <f>SUMIF('BW TB'!$R:$R,'BW P&amp;L'!$A43,'BW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8" t="n">
        <v>0</v>
      </c>
      <c r="AJ43" s="119" t="n">
        <v>0</v>
      </c>
      <c r="AK43" s="119" t="n">
        <v>0</v>
      </c>
      <c r="AL43" s="119" t="n">
        <v>0</v>
      </c>
      <c r="AM43" s="120" t="n">
        <v>0</v>
      </c>
      <c r="AN43" s="118" t="n">
        <v>0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SUMIF('BW TB'!$R:$R,'BW P&amp;L'!$A44,'BW TB'!C:C)</f>
        <v/>
      </c>
      <c r="P44" s="37">
        <f>SUMIF('BW TB'!$R:$R,'BW P&amp;L'!$A44,'BW TB'!D:D)</f>
        <v/>
      </c>
      <c r="Q44" s="37">
        <f>SUMIF('BW TB'!$R:$R,'BW P&amp;L'!$A44,'BW TB'!E:E)</f>
        <v/>
      </c>
      <c r="R44" s="37">
        <f>SUMIF('BW TB'!$R:$R,'BW P&amp;L'!$A44,'BW TB'!F:F)</f>
        <v/>
      </c>
      <c r="S44" s="37">
        <f>SUMIF('BW TB'!$R:$R,'BW P&amp;L'!$A44,'BW TB'!G:G)</f>
        <v/>
      </c>
      <c r="T44" s="37">
        <f>SUMIF('BW TB'!$R:$R,'BW P&amp;L'!$A44,'BW TB'!H:H)</f>
        <v/>
      </c>
      <c r="U44" s="37">
        <f>SUMIF('BW TB'!$R:$R,'BW P&amp;L'!$A44,'BW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8" t="n">
        <v>0</v>
      </c>
      <c r="AJ44" s="119" t="n">
        <v>0</v>
      </c>
      <c r="AK44" s="119" t="n">
        <v>0</v>
      </c>
      <c r="AL44" s="119" t="n">
        <v>0</v>
      </c>
      <c r="AM44" s="120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64.8</v>
      </c>
      <c r="D45" s="35" t="n">
        <v>345.62</v>
      </c>
      <c r="E45" s="35" t="n">
        <v>0</v>
      </c>
      <c r="F45" s="35" t="n">
        <v>129.6</v>
      </c>
      <c r="G45" s="35" t="n">
        <v>45</v>
      </c>
      <c r="H45" s="35" t="n">
        <v>0</v>
      </c>
      <c r="I45" s="35" t="n">
        <v>90</v>
      </c>
      <c r="J45" s="35" t="n">
        <v>0</v>
      </c>
      <c r="K45" s="35" t="n">
        <v>0</v>
      </c>
      <c r="L45" s="35" t="n">
        <v>220</v>
      </c>
      <c r="M45" s="35" t="n">
        <v>0</v>
      </c>
      <c r="N45" s="36">
        <f>SUM(B45:M45)</f>
        <v/>
      </c>
      <c r="O45" s="37">
        <f>SUMIF('BW TB'!$R:$R,'BW P&amp;L'!$A45,'BW TB'!C:C)</f>
        <v/>
      </c>
      <c r="P45" s="37">
        <f>SUMIF('BW TB'!$R:$R,'BW P&amp;L'!$A45,'BW TB'!D:D)</f>
        <v/>
      </c>
      <c r="Q45" s="37">
        <f>SUMIF('BW TB'!$R:$R,'BW P&amp;L'!$A45,'BW TB'!E:E)</f>
        <v/>
      </c>
      <c r="R45" s="37">
        <f>SUMIF('BW TB'!$R:$R,'BW P&amp;L'!$A45,'BW TB'!F:F)</f>
        <v/>
      </c>
      <c r="S45" s="37">
        <f>SUMIF('BW TB'!$R:$R,'BW P&amp;L'!$A45,'BW TB'!G:G)</f>
        <v/>
      </c>
      <c r="T45" s="37">
        <f>SUMIF('BW TB'!$R:$R,'BW P&amp;L'!$A45,'BW TB'!H:H)</f>
        <v/>
      </c>
      <c r="U45" s="37">
        <f>SUMIF('BW TB'!$R:$R,'BW P&amp;L'!$A45,'BW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8" t="n">
        <v>100</v>
      </c>
      <c r="AJ45" s="119" t="n">
        <v>100</v>
      </c>
      <c r="AK45" s="119" t="n">
        <v>100</v>
      </c>
      <c r="AL45" s="119" t="n">
        <v>100</v>
      </c>
      <c r="AM45" s="120" t="n">
        <v>100</v>
      </c>
      <c r="AN45" s="118" t="n">
        <v>100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SUMIF('BW TB'!$R:$R,'BW P&amp;L'!$A46,'BW TB'!C:C)</f>
        <v/>
      </c>
      <c r="P46" s="37">
        <f>SUMIF('BW TB'!$R:$R,'BW P&amp;L'!$A46,'BW TB'!D:D)</f>
        <v/>
      </c>
      <c r="Q46" s="37">
        <f>SUMIF('BW TB'!$R:$R,'BW P&amp;L'!$A46,'BW TB'!E:E)</f>
        <v/>
      </c>
      <c r="R46" s="37">
        <f>SUMIF('BW TB'!$R:$R,'BW P&amp;L'!$A46,'BW TB'!F:F)</f>
        <v/>
      </c>
      <c r="S46" s="37">
        <f>SUMIF('BW TB'!$R:$R,'BW P&amp;L'!$A46,'BW TB'!G:G)</f>
        <v/>
      </c>
      <c r="T46" s="37">
        <f>SUMIF('BW TB'!$R:$R,'BW P&amp;L'!$A46,'BW TB'!H:H)</f>
        <v/>
      </c>
      <c r="U46" s="37">
        <f>SUMIF('BW TB'!$R:$R,'BW P&amp;L'!$A46,'BW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8" t="n">
        <v>0</v>
      </c>
      <c r="AJ46" s="119" t="n">
        <v>0</v>
      </c>
      <c r="AK46" s="119" t="n">
        <v>0</v>
      </c>
      <c r="AL46" s="119" t="n">
        <v>0</v>
      </c>
      <c r="AM46" s="120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11428.8</v>
      </c>
      <c r="C47" s="42" t="n">
        <v>11397.44</v>
      </c>
      <c r="D47" s="42" t="n">
        <v>12879.79</v>
      </c>
      <c r="E47" s="42" t="n">
        <v>15208.81</v>
      </c>
      <c r="F47" s="42" t="n">
        <v>9401.230000000001</v>
      </c>
      <c r="G47" s="42" t="n">
        <v>11022.52</v>
      </c>
      <c r="H47" s="42" t="n">
        <v>12647.95</v>
      </c>
      <c r="I47" s="42" t="n">
        <v>16122.24</v>
      </c>
      <c r="J47" s="42" t="n">
        <v>12013.71</v>
      </c>
      <c r="K47" s="42" t="n">
        <v>9677.17</v>
      </c>
      <c r="L47" s="42" t="n">
        <v>11447.49</v>
      </c>
      <c r="M47" s="42" t="n">
        <v>11585.54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3">
        <f>SUM(AI36:AI46)</f>
        <v/>
      </c>
      <c r="AJ47" s="124">
        <f>SUM(AJ36:AJ46)</f>
        <v/>
      </c>
      <c r="AK47" s="124">
        <f>SUM(AK36:AK46)</f>
        <v/>
      </c>
      <c r="AL47" s="124">
        <f>SUM(AL36:AL46)</f>
        <v/>
      </c>
      <c r="AM47" s="137">
        <f>SUM(AM36:AM46)</f>
        <v/>
      </c>
      <c r="AN47" s="123">
        <f>SUM(AN36:AN46)</f>
        <v/>
      </c>
      <c r="AO47" s="125">
        <f>SUM(AC47:AH47)+SUM(AI47:AN47)</f>
        <v/>
      </c>
      <c r="AP47" s="126">
        <f>IF(AB47&lt;&gt;0,(AO47-AB47)/ABS(AB47),0)</f>
        <v/>
      </c>
    </row>
    <row r="48">
      <c r="A48" s="22" t="inlineStr">
        <is>
          <t>Total Direct Costs</t>
        </is>
      </c>
      <c r="B48" s="23" t="n">
        <v>92268.51000000001</v>
      </c>
      <c r="C48" s="23" t="n">
        <v>85615.26000000001</v>
      </c>
      <c r="D48" s="23" t="n">
        <v>87287.04999999999</v>
      </c>
      <c r="E48" s="23" t="n">
        <v>96458.5</v>
      </c>
      <c r="F48" s="23" t="n">
        <v>98263.14999999999</v>
      </c>
      <c r="G48" s="23" t="n">
        <v>96365.21000000001</v>
      </c>
      <c r="H48" s="23" t="n">
        <v>103098.81</v>
      </c>
      <c r="I48" s="23" t="n">
        <v>102954.94</v>
      </c>
      <c r="J48" s="23" t="n">
        <v>109194.21</v>
      </c>
      <c r="K48" s="23" t="n">
        <v>94978.04000000001</v>
      </c>
      <c r="L48" s="23" t="n">
        <v>93281.21000000001</v>
      </c>
      <c r="M48" s="23" t="n">
        <v>90097.54999999999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3">
        <f>AI25+AI34+AI47</f>
        <v/>
      </c>
      <c r="AJ48" s="147">
        <f>AJ25+AJ34+AJ47</f>
        <v/>
      </c>
      <c r="AK48" s="147">
        <f>AK25+AK34+AK47</f>
        <v/>
      </c>
      <c r="AL48" s="147">
        <f>AL25+AL34+AL47</f>
        <v/>
      </c>
      <c r="AM48" s="147">
        <f>AM25+AM34+AM47</f>
        <v/>
      </c>
      <c r="AN48" s="123">
        <f>AN25+AN34+AN47</f>
        <v/>
      </c>
      <c r="AO48" s="121">
        <f>SUM(AC48:AH48)+SUM(AI48:AN48)</f>
        <v/>
      </c>
      <c r="AP48" s="122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63673.45999999999</v>
      </c>
      <c r="C50" s="55" t="n">
        <v>88113.21999999997</v>
      </c>
      <c r="D50" s="55" t="n">
        <v>107710.31</v>
      </c>
      <c r="E50" s="55" t="n">
        <v>71755.87999999998</v>
      </c>
      <c r="F50" s="55" t="n">
        <v>45238.38</v>
      </c>
      <c r="G50" s="55" t="n">
        <v>79582.13000000002</v>
      </c>
      <c r="H50" s="55" t="n">
        <v>109505.4</v>
      </c>
      <c r="I50" s="55" t="n">
        <v>29408.76999999997</v>
      </c>
      <c r="J50" s="55" t="n">
        <v>23453.08999999998</v>
      </c>
      <c r="K50" s="55" t="n">
        <v>35100.64999999999</v>
      </c>
      <c r="L50" s="55" t="n">
        <v>89454.3</v>
      </c>
      <c r="M50" s="55" t="n">
        <v>131131.14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0">
        <f>AI11-AI48</f>
        <v/>
      </c>
      <c r="AJ50" s="140">
        <f>AJ11-AJ48</f>
        <v/>
      </c>
      <c r="AK50" s="140">
        <f>AK11-AK48</f>
        <v/>
      </c>
      <c r="AL50" s="140">
        <f>AL11-AL48</f>
        <v/>
      </c>
      <c r="AM50" s="140">
        <f>AM11-AM48</f>
        <v/>
      </c>
      <c r="AN50" s="140">
        <f>AN11-AN48</f>
        <v/>
      </c>
      <c r="AO50" s="141">
        <f>SUM(AC50:AH50)+SUM(AI50:AN50)</f>
        <v/>
      </c>
      <c r="AP50" s="14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SUMIF('BW TB'!$R:$R,'BW P&amp;L'!$A53,'BW TB'!C:C)</f>
        <v/>
      </c>
      <c r="P53" s="37">
        <f>SUMIF('BW TB'!$R:$R,'BW P&amp;L'!$A53,'BW TB'!D:D)</f>
        <v/>
      </c>
      <c r="Q53" s="37">
        <f>SUMIF('BW TB'!$R:$R,'BW P&amp;L'!$A53,'BW TB'!E:E)</f>
        <v/>
      </c>
      <c r="R53" s="37">
        <f>SUMIF('BW TB'!$R:$R,'BW P&amp;L'!$A53,'BW TB'!F:F)</f>
        <v/>
      </c>
      <c r="S53" s="37">
        <f>SUMIF('BW TB'!$R:$R,'BW P&amp;L'!$A53,'BW TB'!G:G)</f>
        <v/>
      </c>
      <c r="T53" s="37">
        <f>SUMIF('BW TB'!$R:$R,'BW P&amp;L'!$A53,'BW TB'!H:H)</f>
        <v/>
      </c>
      <c r="U53" s="37">
        <f>SUMIF('BW TB'!$R:$R,'BW P&amp;L'!$A53,'BW TB'!I:I)</f>
        <v/>
      </c>
      <c r="V53" s="38" t="n">
        <v>0</v>
      </c>
      <c r="W53" s="38" t="n">
        <v>0</v>
      </c>
      <c r="X53" s="38" t="n">
        <v>0</v>
      </c>
      <c r="Y53" s="38" t="n">
        <v>0</v>
      </c>
      <c r="Z53" s="38" t="n">
        <v>0</v>
      </c>
      <c r="AA53" s="36">
        <f>SUM(O53:U53)</f>
        <v/>
      </c>
      <c r="AB53" s="36">
        <f>SUM(O53:Z53)</f>
        <v/>
      </c>
      <c r="AC53" s="38" t="n">
        <v>0</v>
      </c>
      <c r="AD53" s="38" t="n">
        <v>0</v>
      </c>
      <c r="AE53" s="38" t="n">
        <v>0</v>
      </c>
      <c r="AF53" s="38" t="n">
        <v>0</v>
      </c>
      <c r="AG53" s="38" t="n">
        <v>0</v>
      </c>
      <c r="AH53" s="38" t="n">
        <v>0</v>
      </c>
      <c r="AI53" s="118" t="n">
        <v>0</v>
      </c>
      <c r="AJ53" s="119" t="n">
        <v>0</v>
      </c>
      <c r="AK53" s="119" t="n">
        <v>0</v>
      </c>
      <c r="AL53" s="119" t="n">
        <v>0</v>
      </c>
      <c r="AM53" s="120" t="n">
        <v>0</v>
      </c>
      <c r="AN53" s="118" t="n">
        <v>0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SUMIF('BW TB'!$R:$R,'BW P&amp;L'!$A54,'BW TB'!C:C)</f>
        <v/>
      </c>
      <c r="P54" s="37">
        <f>SUMIF('BW TB'!$R:$R,'BW P&amp;L'!$A54,'BW TB'!D:D)</f>
        <v/>
      </c>
      <c r="Q54" s="37">
        <f>SUMIF('BW TB'!$R:$R,'BW P&amp;L'!$A54,'BW TB'!E:E)</f>
        <v/>
      </c>
      <c r="R54" s="37">
        <f>SUMIF('BW TB'!$R:$R,'BW P&amp;L'!$A54,'BW TB'!F:F)</f>
        <v/>
      </c>
      <c r="S54" s="37">
        <f>SUMIF('BW TB'!$R:$R,'BW P&amp;L'!$A54,'BW TB'!G:G)</f>
        <v/>
      </c>
      <c r="T54" s="37">
        <f>SUMIF('BW TB'!$R:$R,'BW P&amp;L'!$A54,'BW TB'!H:H)</f>
        <v/>
      </c>
      <c r="U54" s="37">
        <f>SUMIF('BW TB'!$R:$R,'BW P&amp;L'!$A54,'BW TB'!I:I)</f>
        <v/>
      </c>
      <c r="V54" s="38" t="n">
        <v>0</v>
      </c>
      <c r="W54" s="38" t="n">
        <v>0</v>
      </c>
      <c r="X54" s="38" t="n">
        <v>0</v>
      </c>
      <c r="Y54" s="38" t="n">
        <v>0</v>
      </c>
      <c r="Z54" s="38" t="n">
        <v>0</v>
      </c>
      <c r="AA54" s="36">
        <f>SUM(O54:U54)</f>
        <v/>
      </c>
      <c r="AB54" s="36">
        <f>SUM(O54:Z54)</f>
        <v/>
      </c>
      <c r="AC54" s="38" t="n">
        <v>0</v>
      </c>
      <c r="AD54" s="38" t="n">
        <v>0</v>
      </c>
      <c r="AE54" s="38" t="n">
        <v>0</v>
      </c>
      <c r="AF54" s="38" t="n">
        <v>0</v>
      </c>
      <c r="AG54" s="38" t="n">
        <v>0</v>
      </c>
      <c r="AH54" s="38" t="n">
        <v>0</v>
      </c>
      <c r="AI54" s="118" t="n">
        <v>0</v>
      </c>
      <c r="AJ54" s="119" t="n">
        <v>0</v>
      </c>
      <c r="AK54" s="119" t="n">
        <v>0</v>
      </c>
      <c r="AL54" s="119" t="n">
        <v>0</v>
      </c>
      <c r="AM54" s="120" t="n">
        <v>0</v>
      </c>
      <c r="AN54" s="118" t="n">
        <v>0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SUMIF('BW TB'!$R:$R,'BW P&amp;L'!$A55,'BW TB'!C:C)</f>
        <v/>
      </c>
      <c r="P55" s="37">
        <f>SUMIF('BW TB'!$R:$R,'BW P&amp;L'!$A55,'BW TB'!D:D)</f>
        <v/>
      </c>
      <c r="Q55" s="37">
        <f>SUMIF('BW TB'!$R:$R,'BW P&amp;L'!$A55,'BW TB'!E:E)</f>
        <v/>
      </c>
      <c r="R55" s="37">
        <f>SUMIF('BW TB'!$R:$R,'BW P&amp;L'!$A55,'BW TB'!F:F)</f>
        <v/>
      </c>
      <c r="S55" s="37">
        <f>SUMIF('BW TB'!$R:$R,'BW P&amp;L'!$A55,'BW TB'!G:G)</f>
        <v/>
      </c>
      <c r="T55" s="37">
        <f>SUMIF('BW TB'!$R:$R,'BW P&amp;L'!$A55,'BW TB'!H:H)</f>
        <v/>
      </c>
      <c r="U55" s="37">
        <f>SUMIF('BW TB'!$R:$R,'BW P&amp;L'!$A55,'BW TB'!I:I)</f>
        <v/>
      </c>
      <c r="V55" s="38" t="n">
        <v>0</v>
      </c>
      <c r="W55" s="38" t="n">
        <v>0</v>
      </c>
      <c r="X55" s="38" t="n">
        <v>0</v>
      </c>
      <c r="Y55" s="38" t="n">
        <v>0</v>
      </c>
      <c r="Z55" s="38" t="n">
        <v>0</v>
      </c>
      <c r="AA55" s="36">
        <f>SUM(O55:U55)</f>
        <v/>
      </c>
      <c r="AB55" s="36">
        <f>SUM(O55:Z55)</f>
        <v/>
      </c>
      <c r="AC55" s="38" t="n">
        <v>0</v>
      </c>
      <c r="AD55" s="38" t="n">
        <v>0</v>
      </c>
      <c r="AE55" s="38" t="n">
        <v>0</v>
      </c>
      <c r="AF55" s="38" t="n">
        <v>0</v>
      </c>
      <c r="AG55" s="38" t="n">
        <v>0</v>
      </c>
      <c r="AH55" s="38" t="n">
        <v>0</v>
      </c>
      <c r="AI55" s="118" t="n">
        <v>0</v>
      </c>
      <c r="AJ55" s="119" t="n">
        <v>0</v>
      </c>
      <c r="AK55" s="119" t="n">
        <v>0</v>
      </c>
      <c r="AL55" s="119" t="n">
        <v>0</v>
      </c>
      <c r="AM55" s="120" t="n">
        <v>0</v>
      </c>
      <c r="AN55" s="118" t="n">
        <v>0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SUMIF('BW TB'!$R:$R,'BW P&amp;L'!$A56,'BW TB'!C:C)</f>
        <v/>
      </c>
      <c r="P56" s="37">
        <f>SUMIF('BW TB'!$R:$R,'BW P&amp;L'!$A56,'BW TB'!D:D)</f>
        <v/>
      </c>
      <c r="Q56" s="37">
        <f>SUMIF('BW TB'!$R:$R,'BW P&amp;L'!$A56,'BW TB'!E:E)</f>
        <v/>
      </c>
      <c r="R56" s="37">
        <f>SUMIF('BW TB'!$R:$R,'BW P&amp;L'!$A56,'BW TB'!F:F)</f>
        <v/>
      </c>
      <c r="S56" s="37">
        <f>SUMIF('BW TB'!$R:$R,'BW P&amp;L'!$A56,'BW TB'!G:G)</f>
        <v/>
      </c>
      <c r="T56" s="37">
        <f>SUMIF('BW TB'!$R:$R,'BW P&amp;L'!$A56,'BW TB'!H:H)</f>
        <v/>
      </c>
      <c r="U56" s="37">
        <f>SUMIF('BW TB'!$R:$R,'BW P&amp;L'!$A56,'BW TB'!I:I)</f>
        <v/>
      </c>
      <c r="V56" s="38" t="n">
        <v>0</v>
      </c>
      <c r="W56" s="38" t="n">
        <v>0</v>
      </c>
      <c r="X56" s="38" t="n">
        <v>0</v>
      </c>
      <c r="Y56" s="38" t="n">
        <v>0</v>
      </c>
      <c r="Z56" s="38" t="n">
        <v>0</v>
      </c>
      <c r="AA56" s="36">
        <f>SUM(O56:U56)</f>
        <v/>
      </c>
      <c r="AB56" s="36">
        <f>SUM(O56:Z56)</f>
        <v/>
      </c>
      <c r="AC56" s="38" t="n">
        <v>0</v>
      </c>
      <c r="AD56" s="38" t="n">
        <v>0</v>
      </c>
      <c r="AE56" s="38" t="n">
        <v>0</v>
      </c>
      <c r="AF56" s="38" t="n">
        <v>0</v>
      </c>
      <c r="AG56" s="38" t="n">
        <v>0</v>
      </c>
      <c r="AH56" s="38" t="n">
        <v>0</v>
      </c>
      <c r="AI56" s="118" t="n">
        <v>0</v>
      </c>
      <c r="AJ56" s="119" t="n">
        <v>0</v>
      </c>
      <c r="AK56" s="119" t="n">
        <v>0</v>
      </c>
      <c r="AL56" s="119" t="n">
        <v>0</v>
      </c>
      <c r="AM56" s="120" t="n">
        <v>0</v>
      </c>
      <c r="AN56" s="118" t="n">
        <v>0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310</v>
      </c>
      <c r="M57" s="35" t="n">
        <v>0</v>
      </c>
      <c r="N57" s="36">
        <f>SUM(B57:M57)</f>
        <v/>
      </c>
      <c r="O57" s="37">
        <f>SUMIF('BW TB'!$R:$R,'BW P&amp;L'!$A57,'BW TB'!C:C)</f>
        <v/>
      </c>
      <c r="P57" s="37">
        <f>SUMIF('BW TB'!$R:$R,'BW P&amp;L'!$A57,'BW TB'!D:D)</f>
        <v/>
      </c>
      <c r="Q57" s="37">
        <f>SUMIF('BW TB'!$R:$R,'BW P&amp;L'!$A57,'BW TB'!E:E)</f>
        <v/>
      </c>
      <c r="R57" s="37">
        <f>SUMIF('BW TB'!$R:$R,'BW P&amp;L'!$A57,'BW TB'!F:F)</f>
        <v/>
      </c>
      <c r="S57" s="37">
        <f>SUMIF('BW TB'!$R:$R,'BW P&amp;L'!$A57,'BW TB'!G:G)</f>
        <v/>
      </c>
      <c r="T57" s="37">
        <f>SUMIF('BW TB'!$R:$R,'BW P&amp;L'!$A57,'BW TB'!H:H)</f>
        <v/>
      </c>
      <c r="U57" s="37">
        <f>SUMIF('BW TB'!$R:$R,'BW P&amp;L'!$A57,'BW TB'!I:I)</f>
        <v/>
      </c>
      <c r="V57" s="38" t="n">
        <v>0</v>
      </c>
      <c r="W57" s="38" t="n">
        <v>0</v>
      </c>
      <c r="X57" s="38" t="n">
        <v>0</v>
      </c>
      <c r="Y57" s="38" t="n">
        <v>0</v>
      </c>
      <c r="Z57" s="38">
        <f>36*30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18" t="n">
        <v>0</v>
      </c>
      <c r="AJ57" s="119" t="n">
        <v>0</v>
      </c>
      <c r="AK57" s="119" t="n">
        <v>0</v>
      </c>
      <c r="AL57" s="119" t="n">
        <v>0</v>
      </c>
      <c r="AM57" s="120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SUMIF('BW TB'!$R:$R,'BW P&amp;L'!$A58,'BW TB'!C:C)</f>
        <v/>
      </c>
      <c r="P58" s="37">
        <f>SUMIF('BW TB'!$R:$R,'BW P&amp;L'!$A58,'BW TB'!D:D)</f>
        <v/>
      </c>
      <c r="Q58" s="37">
        <f>SUMIF('BW TB'!$R:$R,'BW P&amp;L'!$A58,'BW TB'!E:E)</f>
        <v/>
      </c>
      <c r="R58" s="37">
        <f>SUMIF('BW TB'!$R:$R,'BW P&amp;L'!$A58,'BW TB'!F:F)</f>
        <v/>
      </c>
      <c r="S58" s="37">
        <f>SUMIF('BW TB'!$R:$R,'BW P&amp;L'!$A58,'BW TB'!G:G)</f>
        <v/>
      </c>
      <c r="T58" s="37">
        <f>SUMIF('BW TB'!$R:$R,'BW P&amp;L'!$A58,'BW TB'!H:H)</f>
        <v/>
      </c>
      <c r="U58" s="37">
        <f>SUMIF('BW TB'!$R:$R,'BW P&amp;L'!$A58,'BW TB'!I:I)</f>
        <v/>
      </c>
      <c r="V58" s="38" t="n">
        <v>0</v>
      </c>
      <c r="W58" s="38" t="n">
        <v>0</v>
      </c>
      <c r="X58" s="38" t="n">
        <v>0</v>
      </c>
      <c r="Y58" s="38" t="n">
        <v>0</v>
      </c>
      <c r="Z58" s="38" t="n">
        <v>0</v>
      </c>
      <c r="AA58" s="36">
        <f>SUM(O58:U58)</f>
        <v/>
      </c>
      <c r="AB58" s="36">
        <f>SUM(O58:Z58)</f>
        <v/>
      </c>
      <c r="AC58" s="38" t="n">
        <v>0</v>
      </c>
      <c r="AD58" s="38" t="n">
        <v>0</v>
      </c>
      <c r="AE58" s="38" t="n">
        <v>0</v>
      </c>
      <c r="AF58" s="38" t="n">
        <v>0</v>
      </c>
      <c r="AG58" s="38" t="n">
        <v>0</v>
      </c>
      <c r="AH58" s="38" t="n">
        <v>0</v>
      </c>
      <c r="AI58" s="118" t="n">
        <v>0</v>
      </c>
      <c r="AJ58" s="119" t="n">
        <v>0</v>
      </c>
      <c r="AK58" s="119" t="n">
        <v>0</v>
      </c>
      <c r="AL58" s="119" t="n">
        <v>0</v>
      </c>
      <c r="AM58" s="120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296.28</v>
      </c>
      <c r="N59" s="36">
        <f>SUM(B59:M59)</f>
        <v/>
      </c>
      <c r="O59" s="37">
        <f>SUMIF('BW TB'!$R:$R,'BW P&amp;L'!$A59,'BW TB'!C:C)</f>
        <v/>
      </c>
      <c r="P59" s="37">
        <f>SUMIF('BW TB'!$R:$R,'BW P&amp;L'!$A59,'BW TB'!D:D)</f>
        <v/>
      </c>
      <c r="Q59" s="37">
        <f>SUMIF('BW TB'!$R:$R,'BW P&amp;L'!$A59,'BW TB'!E:E)</f>
        <v/>
      </c>
      <c r="R59" s="37">
        <f>SUMIF('BW TB'!$R:$R,'BW P&amp;L'!$A59,'BW TB'!F:F)</f>
        <v/>
      </c>
      <c r="S59" s="37">
        <f>SUMIF('BW TB'!$R:$R,'BW P&amp;L'!$A59,'BW TB'!G:G)</f>
        <v/>
      </c>
      <c r="T59" s="37">
        <f>SUMIF('BW TB'!$R:$R,'BW P&amp;L'!$A59,'BW TB'!H:H)</f>
        <v/>
      </c>
      <c r="U59" s="37">
        <f>SUMIF('BW TB'!$R:$R,'BW P&amp;L'!$A59,'BW TB'!I:I)</f>
        <v/>
      </c>
      <c r="V59" s="38" t="n">
        <v>214.8</v>
      </c>
      <c r="W59" s="38" t="n">
        <v>214.8</v>
      </c>
      <c r="X59" s="38" t="n">
        <v>214.8</v>
      </c>
      <c r="Y59" s="38" t="n">
        <v>214.8</v>
      </c>
      <c r="Z59" s="38" t="n">
        <v>214.8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18" t="n">
        <v>0</v>
      </c>
      <c r="AJ59" s="119" t="n">
        <v>0</v>
      </c>
      <c r="AK59" s="119" t="n">
        <v>0</v>
      </c>
      <c r="AL59" s="119" t="n">
        <v>0</v>
      </c>
      <c r="AM59" s="120" t="n">
        <v>0</v>
      </c>
      <c r="AN59" s="118" t="n">
        <v>0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8.399999999999999</v>
      </c>
      <c r="C60" s="35" t="n">
        <v>8.399999999999999</v>
      </c>
      <c r="D60" s="35" t="n">
        <v>8.4</v>
      </c>
      <c r="E60" s="35" t="n">
        <v>7.2</v>
      </c>
      <c r="F60" s="35" t="n">
        <v>7.2</v>
      </c>
      <c r="G60" s="35" t="n">
        <v>7.799999999999999</v>
      </c>
      <c r="H60" s="35" t="n">
        <v>9</v>
      </c>
      <c r="I60" s="35" t="n">
        <v>7.800000000000001</v>
      </c>
      <c r="J60" s="35" t="n">
        <v>5.4</v>
      </c>
      <c r="K60" s="35" t="n">
        <v>73</v>
      </c>
      <c r="L60" s="35" t="n">
        <v>4.2</v>
      </c>
      <c r="M60" s="35" t="n">
        <v>4.2</v>
      </c>
      <c r="N60" s="36">
        <f>SUM(B60:M60)</f>
        <v/>
      </c>
      <c r="O60" s="37">
        <f>SUMIF('BW TB'!$R:$R,'BW P&amp;L'!$A60,'BW TB'!C:C)</f>
        <v/>
      </c>
      <c r="P60" s="37">
        <f>SUMIF('BW TB'!$R:$R,'BW P&amp;L'!$A60,'BW TB'!D:D)</f>
        <v/>
      </c>
      <c r="Q60" s="37">
        <f>SUMIF('BW TB'!$R:$R,'BW P&amp;L'!$A60,'BW TB'!E:E)</f>
        <v/>
      </c>
      <c r="R60" s="37">
        <f>SUMIF('BW TB'!$R:$R,'BW P&amp;L'!$A60,'BW TB'!F:F)</f>
        <v/>
      </c>
      <c r="S60" s="37">
        <f>SUMIF('BW TB'!$R:$R,'BW P&amp;L'!$A60,'BW TB'!G:G)</f>
        <v/>
      </c>
      <c r="T60" s="37">
        <f>SUMIF('BW TB'!$R:$R,'BW P&amp;L'!$A60,'BW TB'!H:H)</f>
        <v/>
      </c>
      <c r="U60" s="37">
        <f>SUMIF('BW TB'!$R:$R,'BW P&amp;L'!$A60,'BW TB'!I:I)</f>
        <v/>
      </c>
      <c r="V60" s="38" t="n">
        <v>3.6</v>
      </c>
      <c r="W60" s="38" t="n">
        <v>3.6</v>
      </c>
      <c r="X60" s="38" t="n">
        <v>3.6</v>
      </c>
      <c r="Y60" s="38" t="n">
        <v>3.6</v>
      </c>
      <c r="Z60" s="38" t="n">
        <v>3.6</v>
      </c>
      <c r="AA60" s="36">
        <f>SUM(O60:U60)</f>
        <v/>
      </c>
      <c r="AB60" s="36">
        <f>SUM(O60:Z60)</f>
        <v/>
      </c>
      <c r="AC60" s="38" t="n">
        <v>3.6</v>
      </c>
      <c r="AD60" s="38" t="n">
        <v>3.6</v>
      </c>
      <c r="AE60" s="38" t="n">
        <v>3.6</v>
      </c>
      <c r="AF60" s="38" t="n">
        <v>3.6</v>
      </c>
      <c r="AG60" s="38" t="n">
        <v>3.6</v>
      </c>
      <c r="AH60" s="38" t="n">
        <v>3.6</v>
      </c>
      <c r="AI60" s="118" t="n">
        <v>3.6</v>
      </c>
      <c r="AJ60" s="119" t="n">
        <v>3.6</v>
      </c>
      <c r="AK60" s="119" t="n">
        <v>3.6</v>
      </c>
      <c r="AL60" s="119" t="n">
        <v>3.6</v>
      </c>
      <c r="AM60" s="120" t="n">
        <v>3.6</v>
      </c>
      <c r="AN60" s="118" t="n">
        <v>3.6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20.17</v>
      </c>
      <c r="C61" s="35" t="n">
        <v>52.95</v>
      </c>
      <c r="D61" s="35" t="n">
        <v>830.5</v>
      </c>
      <c r="E61" s="35" t="n">
        <v>0</v>
      </c>
      <c r="F61" s="35" t="n">
        <v>98.28</v>
      </c>
      <c r="G61" s="35" t="n">
        <v>571.5899999999999</v>
      </c>
      <c r="H61" s="35" t="n">
        <v>155.06</v>
      </c>
      <c r="I61" s="35" t="n">
        <v>54.99</v>
      </c>
      <c r="J61" s="35" t="n">
        <v>0</v>
      </c>
      <c r="K61" s="35" t="n">
        <v>51.66</v>
      </c>
      <c r="L61" s="35" t="n">
        <v>133.75</v>
      </c>
      <c r="M61" s="35" t="n">
        <v>0</v>
      </c>
      <c r="N61" s="36">
        <f>SUM(B61:M61)</f>
        <v/>
      </c>
      <c r="O61" s="37">
        <f>SUMIF('BW TB'!$R:$R,'BW P&amp;L'!$A61,'BW TB'!C:C)</f>
        <v/>
      </c>
      <c r="P61" s="37">
        <f>SUMIF('BW TB'!$R:$R,'BW P&amp;L'!$A61,'BW TB'!D:D)</f>
        <v/>
      </c>
      <c r="Q61" s="37">
        <f>SUMIF('BW TB'!$R:$R,'BW P&amp;L'!$A61,'BW TB'!E:E)</f>
        <v/>
      </c>
      <c r="R61" s="37">
        <f>SUMIF('BW TB'!$R:$R,'BW P&amp;L'!$A61,'BW TB'!F:F)</f>
        <v/>
      </c>
      <c r="S61" s="37">
        <f>SUMIF('BW TB'!$R:$R,'BW P&amp;L'!$A61,'BW TB'!G:G)</f>
        <v/>
      </c>
      <c r="T61" s="37">
        <f>SUMIF('BW TB'!$R:$R,'BW P&amp;L'!$A61,'BW TB'!H:H)</f>
        <v/>
      </c>
      <c r="U61" s="37">
        <f>SUMIF('BW TB'!$R:$R,'BW P&amp;L'!$A61,'BW TB'!I:I)</f>
        <v/>
      </c>
      <c r="V61" s="38" t="n">
        <v>0</v>
      </c>
      <c r="W61" s="38" t="n">
        <v>0</v>
      </c>
      <c r="X61" s="38" t="n">
        <v>0</v>
      </c>
      <c r="Y61" s="38" t="n">
        <v>0</v>
      </c>
      <c r="Z61" s="38" t="n">
        <v>0</v>
      </c>
      <c r="AA61" s="36">
        <f>SUM(O61:U61)</f>
        <v/>
      </c>
      <c r="AB61" s="36">
        <f>SUM(O61:Z61)</f>
        <v/>
      </c>
      <c r="AC61" s="38" t="n">
        <v>0</v>
      </c>
      <c r="AD61" s="38" t="n">
        <v>0</v>
      </c>
      <c r="AE61" s="38" t="n">
        <v>0</v>
      </c>
      <c r="AF61" s="38" t="n">
        <v>0</v>
      </c>
      <c r="AG61" s="38" t="n">
        <v>0</v>
      </c>
      <c r="AH61" s="38" t="n">
        <v>0</v>
      </c>
      <c r="AI61" s="118" t="n">
        <v>0</v>
      </c>
      <c r="AJ61" s="119" t="n">
        <v>0</v>
      </c>
      <c r="AK61" s="119" t="n">
        <v>0</v>
      </c>
      <c r="AL61" s="119" t="n">
        <v>0</v>
      </c>
      <c r="AM61" s="120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25</v>
      </c>
      <c r="C62" s="35" t="n">
        <v>139</v>
      </c>
      <c r="D62" s="35" t="n">
        <v>186</v>
      </c>
      <c r="E62" s="35" t="n">
        <v>100</v>
      </c>
      <c r="F62" s="35" t="n">
        <v>204</v>
      </c>
      <c r="G62" s="35" t="n">
        <v>294</v>
      </c>
      <c r="H62" s="35" t="n">
        <v>397</v>
      </c>
      <c r="I62" s="35" t="n">
        <v>418</v>
      </c>
      <c r="J62" s="35" t="n">
        <v>436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>
        <f>SUMIF('BW TB'!$R:$R,'BW P&amp;L'!$A62,'BW TB'!C:C)</f>
        <v/>
      </c>
      <c r="P62" s="37">
        <f>SUMIF('BW TB'!$R:$R,'BW P&amp;L'!$A62,'BW TB'!D:D)</f>
        <v/>
      </c>
      <c r="Q62" s="37">
        <f>SUMIF('BW TB'!$R:$R,'BW P&amp;L'!$A62,'BW TB'!E:E)</f>
        <v/>
      </c>
      <c r="R62" s="37">
        <f>SUMIF('BW TB'!$R:$R,'BW P&amp;L'!$A62,'BW TB'!F:F)</f>
        <v/>
      </c>
      <c r="S62" s="37">
        <f>SUMIF('BW TB'!$R:$R,'BW P&amp;L'!$A62,'BW TB'!G:G)</f>
        <v/>
      </c>
      <c r="T62" s="37">
        <f>SUMIF('BW TB'!$R:$R,'BW P&amp;L'!$A62,'BW TB'!H:H)</f>
        <v/>
      </c>
      <c r="U62" s="37">
        <f>SUMIF('BW TB'!$R:$R,'BW P&amp;L'!$A62,'BW TB'!I:I)</f>
        <v/>
      </c>
      <c r="V62" s="38" t="n">
        <v>0</v>
      </c>
      <c r="W62" s="38" t="n">
        <v>0</v>
      </c>
      <c r="X62" s="38" t="n">
        <v>0</v>
      </c>
      <c r="Y62" s="38" t="n">
        <v>0</v>
      </c>
      <c r="Z62" s="38" t="n">
        <v>0</v>
      </c>
      <c r="AA62" s="36">
        <f>SUM(O62:U62)</f>
        <v/>
      </c>
      <c r="AB62" s="36">
        <f>SUM(O62:Z62)</f>
        <v/>
      </c>
      <c r="AC62" s="38" t="n">
        <v>0</v>
      </c>
      <c r="AD62" s="38" t="n">
        <v>0</v>
      </c>
      <c r="AE62" s="38" t="n">
        <v>0</v>
      </c>
      <c r="AF62" s="38" t="n">
        <v>0</v>
      </c>
      <c r="AG62" s="38" t="n">
        <v>0</v>
      </c>
      <c r="AH62" s="38" t="n">
        <v>0</v>
      </c>
      <c r="AI62" s="118" t="n">
        <v>0</v>
      </c>
      <c r="AJ62" s="119" t="n">
        <v>0</v>
      </c>
      <c r="AK62" s="119" t="n">
        <v>0</v>
      </c>
      <c r="AL62" s="119" t="n">
        <v>0</v>
      </c>
      <c r="AM62" s="120" t="n">
        <v>0</v>
      </c>
      <c r="AN62" s="118" t="n">
        <v>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SUMIF('BW TB'!$R:$R,'BW P&amp;L'!$A63,'BW TB'!C:C)</f>
        <v/>
      </c>
      <c r="P63" s="37">
        <f>SUMIF('BW TB'!$R:$R,'BW P&amp;L'!$A63,'BW TB'!D:D)</f>
        <v/>
      </c>
      <c r="Q63" s="37">
        <f>SUMIF('BW TB'!$R:$R,'BW P&amp;L'!$A63,'BW TB'!E:E)</f>
        <v/>
      </c>
      <c r="R63" s="37">
        <f>SUMIF('BW TB'!$R:$R,'BW P&amp;L'!$A63,'BW TB'!F:F)</f>
        <v/>
      </c>
      <c r="S63" s="37">
        <f>SUMIF('BW TB'!$R:$R,'BW P&amp;L'!$A63,'BW TB'!G:G)</f>
        <v/>
      </c>
      <c r="T63" s="37">
        <f>SUMIF('BW TB'!$R:$R,'BW P&amp;L'!$A63,'BW TB'!H:H)</f>
        <v/>
      </c>
      <c r="U63" s="37">
        <f>SUMIF('BW TB'!$R:$R,'BW P&amp;L'!$A63,'BW TB'!I:I)</f>
        <v/>
      </c>
      <c r="V63" s="38" t="n">
        <v>0</v>
      </c>
      <c r="W63" s="38" t="n">
        <v>0</v>
      </c>
      <c r="X63" s="38" t="n">
        <v>0</v>
      </c>
      <c r="Y63" s="38" t="n">
        <v>0</v>
      </c>
      <c r="Z63" s="38" t="n">
        <v>0</v>
      </c>
      <c r="AA63" s="36">
        <f>SUM(O63:U63)</f>
        <v/>
      </c>
      <c r="AB63" s="36">
        <f>SUM(O63:Z63)</f>
        <v/>
      </c>
      <c r="AC63" s="38" t="n">
        <v>0</v>
      </c>
      <c r="AD63" s="38" t="n">
        <v>0</v>
      </c>
      <c r="AE63" s="38" t="n">
        <v>0</v>
      </c>
      <c r="AF63" s="38" t="n">
        <v>0</v>
      </c>
      <c r="AG63" s="38" t="n">
        <v>0</v>
      </c>
      <c r="AH63" s="38" t="n">
        <v>0</v>
      </c>
      <c r="AI63" s="118" t="n">
        <v>0</v>
      </c>
      <c r="AJ63" s="119" t="n">
        <v>0</v>
      </c>
      <c r="AK63" s="119" t="n">
        <v>0</v>
      </c>
      <c r="AL63" s="119" t="n">
        <v>0</v>
      </c>
      <c r="AM63" s="120" t="n">
        <v>0</v>
      </c>
      <c r="AN63" s="118" t="n">
        <v>0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SUMIF('BW TB'!$R:$R,'BW P&amp;L'!$A64,'BW TB'!C:C)</f>
        <v/>
      </c>
      <c r="P64" s="37">
        <f>SUMIF('BW TB'!$R:$R,'BW P&amp;L'!$A64,'BW TB'!D:D)</f>
        <v/>
      </c>
      <c r="Q64" s="37">
        <f>SUMIF('BW TB'!$R:$R,'BW P&amp;L'!$A64,'BW TB'!E:E)</f>
        <v/>
      </c>
      <c r="R64" s="37">
        <f>SUMIF('BW TB'!$R:$R,'BW P&amp;L'!$A64,'BW TB'!F:F)</f>
        <v/>
      </c>
      <c r="S64" s="37">
        <f>SUMIF('BW TB'!$R:$R,'BW P&amp;L'!$A64,'BW TB'!G:G)</f>
        <v/>
      </c>
      <c r="T64" s="37">
        <f>SUMIF('BW TB'!$R:$R,'BW P&amp;L'!$A64,'BW TB'!H:H)</f>
        <v/>
      </c>
      <c r="U64" s="37">
        <f>SUMIF('BW TB'!$R:$R,'BW P&amp;L'!$A64,'BW TB'!I:I)</f>
        <v/>
      </c>
      <c r="V64" s="38" t="n">
        <v>0</v>
      </c>
      <c r="W64" s="38" t="n">
        <v>0</v>
      </c>
      <c r="X64" s="38" t="n">
        <v>0</v>
      </c>
      <c r="Y64" s="38" t="n">
        <v>0</v>
      </c>
      <c r="Z64" s="38" t="n">
        <v>0</v>
      </c>
      <c r="AA64" s="36">
        <f>SUM(O64:U64)</f>
        <v/>
      </c>
      <c r="AB64" s="36">
        <f>SUM(O64:Z64)</f>
        <v/>
      </c>
      <c r="AC64" s="38" t="n">
        <v>0</v>
      </c>
      <c r="AD64" s="38" t="n">
        <v>0</v>
      </c>
      <c r="AE64" s="38" t="n">
        <v>0</v>
      </c>
      <c r="AF64" s="38" t="n">
        <v>0</v>
      </c>
      <c r="AG64" s="38" t="n">
        <v>0</v>
      </c>
      <c r="AH64" s="38" t="n">
        <v>0</v>
      </c>
      <c r="AI64" s="118" t="n">
        <v>0</v>
      </c>
      <c r="AJ64" s="119" t="n">
        <v>0</v>
      </c>
      <c r="AK64" s="119" t="n">
        <v>0</v>
      </c>
      <c r="AL64" s="119" t="n">
        <v>0</v>
      </c>
      <c r="AM64" s="120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SUMIF('BW TB'!$R:$R,'BW P&amp;L'!$A65,'BW TB'!C:C)</f>
        <v/>
      </c>
      <c r="P65" s="37">
        <f>SUMIF('BW TB'!$R:$R,'BW P&amp;L'!$A65,'BW TB'!D:D)</f>
        <v/>
      </c>
      <c r="Q65" s="37">
        <f>SUMIF('BW TB'!$R:$R,'BW P&amp;L'!$A65,'BW TB'!E:E)</f>
        <v/>
      </c>
      <c r="R65" s="37">
        <f>SUMIF('BW TB'!$R:$R,'BW P&amp;L'!$A65,'BW TB'!F:F)</f>
        <v/>
      </c>
      <c r="S65" s="37">
        <f>SUMIF('BW TB'!$R:$R,'BW P&amp;L'!$A65,'BW TB'!G:G)</f>
        <v/>
      </c>
      <c r="T65" s="37">
        <f>SUMIF('BW TB'!$R:$R,'BW P&amp;L'!$A65,'BW TB'!H:H)</f>
        <v/>
      </c>
      <c r="U65" s="37">
        <f>SUMIF('BW TB'!$R:$R,'BW P&amp;L'!$A65,'BW TB'!I:I)</f>
        <v/>
      </c>
      <c r="V65" s="38" t="n">
        <v>0</v>
      </c>
      <c r="W65" s="38" t="n">
        <v>0</v>
      </c>
      <c r="X65" s="38" t="n">
        <v>0</v>
      </c>
      <c r="Y65" s="38" t="n">
        <v>0</v>
      </c>
      <c r="Z65" s="38" t="n">
        <v>0</v>
      </c>
      <c r="AA65" s="36">
        <f>SUM(O65:U65)</f>
        <v/>
      </c>
      <c r="AB65" s="36">
        <f>SUM(O65:Z65)</f>
        <v/>
      </c>
      <c r="AC65" s="38" t="n">
        <v>0</v>
      </c>
      <c r="AD65" s="38" t="n">
        <v>0</v>
      </c>
      <c r="AE65" s="38" t="n">
        <v>0</v>
      </c>
      <c r="AF65" s="38" t="n">
        <v>0</v>
      </c>
      <c r="AG65" s="38" t="n">
        <v>0</v>
      </c>
      <c r="AH65" s="38" t="n">
        <v>0</v>
      </c>
      <c r="AI65" s="118" t="n">
        <v>0</v>
      </c>
      <c r="AJ65" s="119" t="n">
        <v>0</v>
      </c>
      <c r="AK65" s="119" t="n">
        <v>0</v>
      </c>
      <c r="AL65" s="119" t="n">
        <v>0</v>
      </c>
      <c r="AM65" s="120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SUMIF('BW TB'!$R:$R,'BW P&amp;L'!$A66,'BW TB'!C:C)</f>
        <v/>
      </c>
      <c r="P66" s="37">
        <f>SUMIF('BW TB'!$R:$R,'BW P&amp;L'!$A66,'BW TB'!D:D)</f>
        <v/>
      </c>
      <c r="Q66" s="37">
        <f>SUMIF('BW TB'!$R:$R,'BW P&amp;L'!$A66,'BW TB'!E:E)</f>
        <v/>
      </c>
      <c r="R66" s="37">
        <f>SUMIF('BW TB'!$R:$R,'BW P&amp;L'!$A66,'BW TB'!F:F)</f>
        <v/>
      </c>
      <c r="S66" s="37">
        <f>SUMIF('BW TB'!$R:$R,'BW P&amp;L'!$A66,'BW TB'!G:G)</f>
        <v/>
      </c>
      <c r="T66" s="37">
        <f>SUMIF('BW TB'!$R:$R,'BW P&amp;L'!$A66,'BW TB'!H:H)</f>
        <v/>
      </c>
      <c r="U66" s="37">
        <f>SUMIF('BW TB'!$R:$R,'BW P&amp;L'!$A66,'BW TB'!I:I)</f>
        <v/>
      </c>
      <c r="V66" s="38" t="n">
        <v>0</v>
      </c>
      <c r="W66" s="38" t="n">
        <v>0</v>
      </c>
      <c r="X66" s="38" t="n">
        <v>0</v>
      </c>
      <c r="Y66" s="38" t="n">
        <v>0</v>
      </c>
      <c r="Z66" s="38" t="n">
        <v>0</v>
      </c>
      <c r="AA66" s="36">
        <f>SUM(O66:U66)</f>
        <v/>
      </c>
      <c r="AB66" s="36">
        <f>SUM(O66:Z66)</f>
        <v/>
      </c>
      <c r="AC66" s="38" t="n">
        <v>0</v>
      </c>
      <c r="AD66" s="38" t="n">
        <v>0</v>
      </c>
      <c r="AE66" s="38" t="n">
        <v>0</v>
      </c>
      <c r="AF66" s="38" t="n">
        <v>0</v>
      </c>
      <c r="AG66" s="38" t="n">
        <v>0</v>
      </c>
      <c r="AH66" s="38" t="n">
        <v>0</v>
      </c>
      <c r="AI66" s="118" t="n">
        <v>0</v>
      </c>
      <c r="AJ66" s="119" t="n">
        <v>0</v>
      </c>
      <c r="AK66" s="119" t="n">
        <v>0</v>
      </c>
      <c r="AL66" s="119" t="n">
        <v>0</v>
      </c>
      <c r="AM66" s="120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SUMIF('BW TB'!$R:$R,'BW P&amp;L'!$A67,'BW TB'!C:C)</f>
        <v/>
      </c>
      <c r="P67" s="37">
        <f>SUMIF('BW TB'!$R:$R,'BW P&amp;L'!$A67,'BW TB'!D:D)</f>
        <v/>
      </c>
      <c r="Q67" s="37">
        <f>SUMIF('BW TB'!$R:$R,'BW P&amp;L'!$A67,'BW TB'!E:E)</f>
        <v/>
      </c>
      <c r="R67" s="37">
        <f>SUMIF('BW TB'!$R:$R,'BW P&amp;L'!$A67,'BW TB'!F:F)</f>
        <v/>
      </c>
      <c r="S67" s="37">
        <f>SUMIF('BW TB'!$R:$R,'BW P&amp;L'!$A67,'BW TB'!G:G)</f>
        <v/>
      </c>
      <c r="T67" s="37">
        <f>SUMIF('BW TB'!$R:$R,'BW P&amp;L'!$A67,'BW TB'!H:H)</f>
        <v/>
      </c>
      <c r="U67" s="37">
        <f>SUMIF('BW TB'!$R:$R,'BW P&amp;L'!$A67,'BW TB'!I:I)</f>
        <v/>
      </c>
      <c r="V67" s="38" t="n">
        <v>0</v>
      </c>
      <c r="W67" s="38" t="n">
        <v>0</v>
      </c>
      <c r="X67" s="38" t="n">
        <v>0</v>
      </c>
      <c r="Y67" s="38" t="n">
        <v>0</v>
      </c>
      <c r="Z67" s="38" t="n">
        <v>0</v>
      </c>
      <c r="AA67" s="36">
        <f>SUM(O67:U67)</f>
        <v/>
      </c>
      <c r="AB67" s="36">
        <f>SUM(O67:Z67)</f>
        <v/>
      </c>
      <c r="AC67" s="38" t="n">
        <v>0</v>
      </c>
      <c r="AD67" s="38" t="n">
        <v>0</v>
      </c>
      <c r="AE67" s="38" t="n">
        <v>0</v>
      </c>
      <c r="AF67" s="38" t="n">
        <v>0</v>
      </c>
      <c r="AG67" s="38" t="n">
        <v>0</v>
      </c>
      <c r="AH67" s="38" t="n">
        <v>0</v>
      </c>
      <c r="AI67" s="118" t="n">
        <v>0</v>
      </c>
      <c r="AJ67" s="119" t="n">
        <v>0</v>
      </c>
      <c r="AK67" s="119" t="n">
        <v>0</v>
      </c>
      <c r="AL67" s="119" t="n">
        <v>0</v>
      </c>
      <c r="AM67" s="120" t="n">
        <v>0</v>
      </c>
      <c r="AN67" s="118" t="n">
        <v>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SUMIF('BW TB'!$R:$R,'BW P&amp;L'!$A68,'BW TB'!C:C)</f>
        <v/>
      </c>
      <c r="P68" s="37">
        <f>SUMIF('BW TB'!$R:$R,'BW P&amp;L'!$A68,'BW TB'!D:D)</f>
        <v/>
      </c>
      <c r="Q68" s="37">
        <f>SUMIF('BW TB'!$R:$R,'BW P&amp;L'!$A68,'BW TB'!E:E)</f>
        <v/>
      </c>
      <c r="R68" s="37">
        <f>SUMIF('BW TB'!$R:$R,'BW P&amp;L'!$A68,'BW TB'!F:F)</f>
        <v/>
      </c>
      <c r="S68" s="37">
        <f>SUMIF('BW TB'!$R:$R,'BW P&amp;L'!$A68,'BW TB'!G:G)</f>
        <v/>
      </c>
      <c r="T68" s="37">
        <f>SUMIF('BW TB'!$R:$R,'BW P&amp;L'!$A68,'BW TB'!H:H)</f>
        <v/>
      </c>
      <c r="U68" s="37">
        <f>SUMIF('BW TB'!$R:$R,'BW P&amp;L'!$A68,'BW TB'!I:I)</f>
        <v/>
      </c>
      <c r="V68" s="38" t="n">
        <v>0</v>
      </c>
      <c r="W68" s="38" t="n">
        <v>0</v>
      </c>
      <c r="X68" s="38" t="n">
        <v>0</v>
      </c>
      <c r="Y68" s="38" t="n">
        <v>0</v>
      </c>
      <c r="Z68" s="38" t="n">
        <v>0</v>
      </c>
      <c r="AA68" s="36">
        <f>SUM(O68:U68)</f>
        <v/>
      </c>
      <c r="AB68" s="36">
        <f>SUM(O68:Z68)</f>
        <v/>
      </c>
      <c r="AC68" s="38" t="n">
        <v>0</v>
      </c>
      <c r="AD68" s="38" t="n">
        <v>0</v>
      </c>
      <c r="AE68" s="38" t="n">
        <v>0</v>
      </c>
      <c r="AF68" s="38" t="n">
        <v>0</v>
      </c>
      <c r="AG68" s="38" t="n">
        <v>0</v>
      </c>
      <c r="AH68" s="38" t="n">
        <v>0</v>
      </c>
      <c r="AI68" s="118" t="n">
        <v>0</v>
      </c>
      <c r="AJ68" s="119" t="n">
        <v>0</v>
      </c>
      <c r="AK68" s="119" t="n">
        <v>0</v>
      </c>
      <c r="AL68" s="119" t="n">
        <v>0</v>
      </c>
      <c r="AM68" s="120" t="n">
        <v>0</v>
      </c>
      <c r="AN68" s="118" t="n">
        <v>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254.95</v>
      </c>
      <c r="C69" s="42" t="n">
        <v>401.73</v>
      </c>
      <c r="D69" s="42" t="n">
        <v>1226.28</v>
      </c>
      <c r="E69" s="42" t="n">
        <v>308.58</v>
      </c>
      <c r="F69" s="42" t="n">
        <v>510.86</v>
      </c>
      <c r="G69" s="42" t="n">
        <v>1074.77</v>
      </c>
      <c r="H69" s="42" t="n">
        <v>762.4400000000001</v>
      </c>
      <c r="I69" s="42" t="n">
        <v>682.1700000000001</v>
      </c>
      <c r="J69" s="42" t="n">
        <v>642.78</v>
      </c>
      <c r="K69" s="42" t="n">
        <v>339.46</v>
      </c>
      <c r="L69" s="42" t="n">
        <v>662.75</v>
      </c>
      <c r="M69" s="42" t="n">
        <v>300.48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3">
        <f>SUM(AI53:AI68)</f>
        <v/>
      </c>
      <c r="AJ69" s="124">
        <f>SUM(AJ53:AJ68)</f>
        <v/>
      </c>
      <c r="AK69" s="124">
        <f>SUM(AK53:AK68)</f>
        <v/>
      </c>
      <c r="AL69" s="124">
        <f>SUM(AL53:AL68)</f>
        <v/>
      </c>
      <c r="AM69" s="124">
        <f>SUM(AM53:AM68)</f>
        <v/>
      </c>
      <c r="AN69" s="123">
        <f>SUM(AN53:AN68)</f>
        <v/>
      </c>
      <c r="AO69" s="125">
        <f>SUM(AC69:AH69)+SUM(AI69:AN69)</f>
        <v/>
      </c>
      <c r="AP69" s="126">
        <f>IF(AB69&lt;&gt;0,(AO69-AB69)/ABS(AB69),0)</f>
        <v/>
      </c>
    </row>
    <row r="70">
      <c r="A70" s="54" t="inlineStr">
        <is>
          <t>EBITDA</t>
        </is>
      </c>
      <c r="B70" s="55" t="n">
        <v>63418.50999999999</v>
      </c>
      <c r="C70" s="55" t="n">
        <v>87711.48999999998</v>
      </c>
      <c r="D70" s="55" t="n">
        <v>106484.03</v>
      </c>
      <c r="E70" s="55" t="n">
        <v>71447.29999999997</v>
      </c>
      <c r="F70" s="55" t="n">
        <v>44727.52</v>
      </c>
      <c r="G70" s="55" t="n">
        <v>78507.36000000002</v>
      </c>
      <c r="H70" s="55" t="n">
        <v>108742.96</v>
      </c>
      <c r="I70" s="55" t="n">
        <v>28726.59999999998</v>
      </c>
      <c r="J70" s="55" t="n">
        <v>22810.30999999998</v>
      </c>
      <c r="K70" s="55" t="n">
        <v>34761.19</v>
      </c>
      <c r="L70" s="55" t="n">
        <v>88791.55</v>
      </c>
      <c r="M70" s="55" t="n">
        <v>130830.66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0">
        <f>AI50-AI69</f>
        <v/>
      </c>
      <c r="AJ70" s="140">
        <f>AJ50-AJ69</f>
        <v/>
      </c>
      <c r="AK70" s="140">
        <f>AK50-AK69</f>
        <v/>
      </c>
      <c r="AL70" s="140">
        <f>AL50-AL69</f>
        <v/>
      </c>
      <c r="AM70" s="140">
        <f>AM50-AM69</f>
        <v/>
      </c>
      <c r="AN70" s="140">
        <f>AN50-AN69</f>
        <v/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56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2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60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56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22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60">
        <f>SUM(B73:M73)</f>
        <v/>
      </c>
      <c r="O73" s="8" t="n"/>
      <c r="P73" s="8" t="n"/>
      <c r="Q73" s="8" t="n"/>
      <c r="R73" s="8" t="n"/>
      <c r="S73" s="8" t="n"/>
      <c r="T73" s="8" t="n"/>
      <c r="U73" s="8" t="n"/>
      <c r="V73" s="20" t="n"/>
      <c r="W73" s="20" t="n"/>
      <c r="X73" s="20" t="n"/>
      <c r="Y73" s="20" t="n"/>
      <c r="Z73" s="20" t="n"/>
      <c r="AA73" s="56">
        <f>SUM(O73:T73)</f>
        <v/>
      </c>
      <c r="AB73" s="56" t="n"/>
      <c r="AC73" s="20" t="n"/>
      <c r="AD73" s="20" t="n"/>
      <c r="AE73" s="20" t="n"/>
      <c r="AF73" s="20" t="n"/>
      <c r="AG73" s="20" t="n"/>
      <c r="AH73" s="20" t="n"/>
      <c r="AI73" s="8" t="n"/>
      <c r="AJ73" s="59" t="inlineStr">
        <is>
          <t>Model assumptions 2027:</t>
        </is>
      </c>
      <c r="AK73" s="8" t="n"/>
      <c r="AL73" s="8" t="n"/>
      <c r="AM73" s="8" t="n"/>
      <c r="AN73" s="8" t="n"/>
      <c r="AO73" s="8" t="n"/>
      <c r="AP73" s="8" t="n"/>
    </row>
    <row r="74">
      <c r="A74" s="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60">
        <f>SUM(B74:M74)</f>
        <v/>
      </c>
      <c r="O74" s="8" t="n"/>
      <c r="P74" s="8" t="n"/>
      <c r="Q74" s="8" t="n"/>
      <c r="R74" s="8" t="n"/>
      <c r="S74" s="8" t="n"/>
      <c r="T74" s="8" t="n"/>
      <c r="U74" s="8" t="n"/>
      <c r="V74" s="20" t="n"/>
      <c r="W74" s="20" t="n"/>
      <c r="X74" s="20" t="n"/>
      <c r="Y74" s="20" t="n"/>
      <c r="Z74" s="20" t="n"/>
      <c r="AA74" s="60">
        <f>SUM(O74:T74)</f>
        <v/>
      </c>
      <c r="AB74" s="8" t="n"/>
      <c r="AC74" s="20" t="n"/>
      <c r="AD74" s="20" t="n"/>
      <c r="AE74" s="20" t="n"/>
      <c r="AF74" s="20" t="n"/>
      <c r="AG74" s="20" t="n"/>
      <c r="AH74" s="20" t="n"/>
      <c r="AI74" s="8" t="n"/>
      <c r="AJ74" s="8" t="inlineStr">
        <is>
          <t>Salary Uplift</t>
        </is>
      </c>
      <c r="AK74" s="8" t="n"/>
      <c r="AL74" s="61" t="n">
        <v>0.05</v>
      </c>
      <c r="AM74" s="62">
        <f>1+AL74</f>
        <v/>
      </c>
      <c r="AN74" s="8" t="n"/>
      <c r="AO74" s="8" t="n"/>
      <c r="AP74" s="8" t="n"/>
    </row>
    <row r="75">
      <c r="A75" s="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60">
        <f>SUM(B75:M75)</f>
        <v/>
      </c>
      <c r="O75" s="8" t="n"/>
      <c r="P75" s="8" t="n"/>
      <c r="Q75" s="8" t="n"/>
      <c r="R75" s="8" t="n"/>
      <c r="S75" s="8" t="n"/>
      <c r="T75" s="8" t="n"/>
      <c r="U75" s="8" t="n"/>
      <c r="V75" s="20" t="n"/>
      <c r="W75" s="20" t="n"/>
      <c r="X75" s="20" t="n"/>
      <c r="Y75" s="20" t="n"/>
      <c r="Z75" s="20" t="n"/>
      <c r="AA75" s="60">
        <f>SUM(O75:T75)</f>
        <v/>
      </c>
      <c r="AB75" s="8" t="n"/>
      <c r="AC75" s="20" t="n"/>
      <c r="AD75" s="20" t="n"/>
      <c r="AE75" s="20" t="n"/>
      <c r="AF75" s="20" t="n"/>
      <c r="AG75" s="20" t="n"/>
      <c r="AH75" s="20" t="n"/>
      <c r="AI75" s="8" t="n"/>
      <c r="AJ75" s="8" t="inlineStr">
        <is>
          <t>Fee uplift</t>
        </is>
      </c>
      <c r="AK75" s="8" t="n"/>
      <c r="AL75" s="61" t="n">
        <v>0.07000000000000001</v>
      </c>
      <c r="AM75" s="62">
        <f>AL75+1</f>
        <v/>
      </c>
      <c r="AN75" s="8" t="n"/>
      <c r="AO75" s="8" t="n"/>
      <c r="AP75" s="8" t="n"/>
    </row>
    <row r="76">
      <c r="A76" s="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60">
        <f>SUM(B76:M76)</f>
        <v/>
      </c>
      <c r="O76" s="8" t="n"/>
      <c r="P76" s="8" t="n"/>
      <c r="Q76" s="8" t="n"/>
      <c r="R76" s="8" t="n"/>
      <c r="S76" s="8" t="n"/>
      <c r="T76" s="8" t="n"/>
      <c r="U76" s="8" t="n"/>
      <c r="V76" s="20" t="n"/>
      <c r="W76" s="20" t="n"/>
      <c r="X76" s="20" t="n"/>
      <c r="Y76" s="20" t="n"/>
      <c r="Z76" s="20" t="n"/>
      <c r="AA76" s="60">
        <f>SUM(O76:T76)</f>
        <v/>
      </c>
      <c r="AB76" s="8" t="n"/>
      <c r="AC76" s="20" t="n"/>
      <c r="AD76" s="20" t="n"/>
      <c r="AE76" s="20" t="n"/>
      <c r="AF76" s="20" t="n"/>
      <c r="AG76" s="20" t="n"/>
      <c r="AH76" s="20" t="n"/>
      <c r="AI76" s="8" t="n"/>
      <c r="AJ76" s="8" t="inlineStr">
        <is>
          <t>Monthly volume growth</t>
        </is>
      </c>
      <c r="AK76" s="8" t="n"/>
      <c r="AL76" s="61" t="n">
        <v>0.01</v>
      </c>
      <c r="AM76" s="62">
        <f>AL76+1</f>
        <v/>
      </c>
      <c r="AN76" s="8" t="n"/>
      <c r="AO76" s="8" t="n"/>
      <c r="AP76" s="8" t="n"/>
    </row>
    <row r="77">
      <c r="A77" s="22" t="inlineStr">
        <is>
          <t>Memo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8" t="n"/>
      <c r="N77" s="60">
        <f>SUM(B77:M77)</f>
        <v/>
      </c>
      <c r="O77" s="8" t="n"/>
      <c r="P77" s="8" t="n"/>
      <c r="Q77" s="8" t="n"/>
      <c r="R77" s="8" t="n"/>
      <c r="S77" s="8" t="n"/>
      <c r="T77" s="8" t="n"/>
      <c r="U77" s="8" t="n"/>
      <c r="V77" s="20" t="n"/>
      <c r="W77" s="20" t="n"/>
      <c r="X77" s="20" t="n"/>
      <c r="Y77" s="20" t="n"/>
      <c r="Z77" s="20" t="n"/>
      <c r="AA77" s="60">
        <f>SUM(O77:T77)</f>
        <v/>
      </c>
      <c r="AB77" s="8" t="n"/>
      <c r="AC77" s="20" t="n"/>
      <c r="AD77" s="20" t="n"/>
      <c r="AE77" s="20" t="n"/>
      <c r="AF77" s="20" t="n"/>
      <c r="AG77" s="20" t="n"/>
      <c r="AH77" s="20" t="n"/>
      <c r="AI77" s="134" t="n">
        <v>0</v>
      </c>
      <c r="AJ77" s="134" t="n">
        <v>0</v>
      </c>
      <c r="AK77" s="134" t="n">
        <v>0</v>
      </c>
      <c r="AL77" s="134" t="n">
        <v>0</v>
      </c>
      <c r="AM77" s="134" t="n">
        <v>0</v>
      </c>
      <c r="AN77" s="134" t="n">
        <v>0</v>
      </c>
      <c r="AO77" s="144">
        <f>SUM(AC77:AH77)+SUM(AI77:AN77)</f>
        <v/>
      </c>
      <c r="AP77" s="142">
        <f>IF(AB77&lt;&gt;0,(AO77-AB77)/ABS(AB77),0)</f>
        <v/>
      </c>
    </row>
    <row r="78">
      <c r="A78" s="34" t="inlineStr">
        <is>
          <t>Direct - Sales</t>
        </is>
      </c>
      <c r="B78" s="18" t="n">
        <v>155941.97</v>
      </c>
      <c r="C78" s="18" t="n">
        <v>173728.48</v>
      </c>
      <c r="D78" s="18" t="n">
        <v>194997.36</v>
      </c>
      <c r="E78" s="18" t="n">
        <v>168214.38</v>
      </c>
      <c r="F78" s="18" t="n">
        <v>143501.53</v>
      </c>
      <c r="G78" s="18" t="n">
        <v>175947.34</v>
      </c>
      <c r="H78" s="18" t="n">
        <v>212604.21</v>
      </c>
      <c r="I78" s="18" t="n">
        <v>132363.71</v>
      </c>
      <c r="J78" s="18" t="n">
        <v>132647.3</v>
      </c>
      <c r="K78" s="18" t="n">
        <v>130078.69</v>
      </c>
      <c r="L78" s="18" t="n">
        <v>182735.51</v>
      </c>
      <c r="M78" s="18" t="n">
        <v>221228.69</v>
      </c>
      <c r="N78" s="60">
        <f>SUM(B78:M78)</f>
        <v/>
      </c>
      <c r="O78" s="60">
        <f>-SUMIF('BW TB'!$T:$T,'BW P&amp;L'!$A78,'BW TB'!C:C)</f>
        <v/>
      </c>
      <c r="P78" s="60">
        <f>-SUMIF('BW TB'!$T:$T,'BW P&amp;L'!$A78,'BW TB'!D:D)</f>
        <v/>
      </c>
      <c r="Q78" s="60">
        <f>-SUMIF('BW TB'!$T:$T,'BW P&amp;L'!$A78,'BW TB'!E:E)</f>
        <v/>
      </c>
      <c r="R78" s="60">
        <f>-SUMIF('BW TB'!$T:$T,'BW P&amp;L'!$A78,'BW TB'!F:F)</f>
        <v/>
      </c>
      <c r="S78" s="60">
        <f>-SUMIF('BW TB'!$T:$T,'BW P&amp;L'!$A78,'BW TB'!G:G)</f>
        <v/>
      </c>
      <c r="T78" s="60">
        <f>-SUMIF('BW TB'!$T:$T,'BW P&amp;L'!$A78,'BW TB'!H:H)</f>
        <v/>
      </c>
      <c r="U78" s="60">
        <f>-SUMIF('BW TB'!$T:$T,'BW P&amp;L'!$A78,'BW TB'!I:I)</f>
        <v/>
      </c>
      <c r="V78" s="20" t="n"/>
      <c r="W78" s="20" t="n"/>
      <c r="X78" s="20" t="n"/>
      <c r="Y78" s="20" t="n"/>
      <c r="Z78" s="20" t="n"/>
      <c r="AA78" s="60">
        <f>SUM(O78:T78)</f>
        <v/>
      </c>
      <c r="AB78" s="8" t="n"/>
      <c r="AC78" s="20" t="n"/>
      <c r="AD78" s="20" t="n"/>
      <c r="AE78" s="20" t="n"/>
      <c r="AF78" s="20" t="n"/>
      <c r="AG78" s="20" t="n"/>
      <c r="AH78" s="20" t="n"/>
      <c r="AI78" s="134" t="n">
        <v>0</v>
      </c>
      <c r="AJ78" s="134" t="n">
        <v>0</v>
      </c>
      <c r="AK78" s="134" t="n">
        <v>0</v>
      </c>
      <c r="AL78" s="134" t="n">
        <v>0</v>
      </c>
      <c r="AM78" s="134" t="n">
        <v>0</v>
      </c>
      <c r="AN78" s="134" t="n">
        <v>0</v>
      </c>
      <c r="AO78" s="144">
        <f>SUM(AC78:AH78)+SUM(AI78:AN78)</f>
        <v/>
      </c>
      <c r="AP78" s="142">
        <f>IF(AB78&lt;&gt;0,(AO78-AB78)/ABS(AB78),0)</f>
        <v/>
      </c>
    </row>
    <row r="79">
      <c r="A79" s="34" t="inlineStr">
        <is>
          <t>Direct - Staff Cost</t>
        </is>
      </c>
      <c r="B79" s="18" t="n">
        <v>-75514.88</v>
      </c>
      <c r="C79" s="18" t="n">
        <v>-66664.72000000002</v>
      </c>
      <c r="D79" s="18" t="n">
        <v>-67362.42</v>
      </c>
      <c r="E79" s="18" t="n">
        <v>-75839.88</v>
      </c>
      <c r="F79" s="18" t="n">
        <v>-81613.95</v>
      </c>
      <c r="G79" s="18" t="n">
        <v>-76925.33</v>
      </c>
      <c r="H79" s="18" t="n">
        <v>-84429.41</v>
      </c>
      <c r="I79" s="18" t="n">
        <v>-81352.47000000002</v>
      </c>
      <c r="J79" s="18" t="n">
        <v>-92076.14999999999</v>
      </c>
      <c r="K79" s="18" t="n">
        <v>-78664.33000000002</v>
      </c>
      <c r="L79" s="18" t="n">
        <v>-75195.24000000001</v>
      </c>
      <c r="M79" s="18" t="n">
        <v>-73304.81</v>
      </c>
      <c r="N79" s="60">
        <f>SUM(B79:M79)</f>
        <v/>
      </c>
      <c r="O79" s="60">
        <f>-SUMIF('BW TB'!$T:$T,'BW P&amp;L'!$A79,'BW TB'!C:C)</f>
        <v/>
      </c>
      <c r="P79" s="60">
        <f>-SUMIF('BW TB'!$T:$T,'BW P&amp;L'!$A79,'BW TB'!D:D)</f>
        <v/>
      </c>
      <c r="Q79" s="60">
        <f>-SUMIF('BW TB'!$T:$T,'BW P&amp;L'!$A79,'BW TB'!E:E)</f>
        <v/>
      </c>
      <c r="R79" s="60">
        <f>-SUMIF('BW TB'!$T:$T,'BW P&amp;L'!$A79,'BW TB'!F:F)</f>
        <v/>
      </c>
      <c r="S79" s="60">
        <f>-SUMIF('BW TB'!$T:$T,'BW P&amp;L'!$A79,'BW TB'!G:G)</f>
        <v/>
      </c>
      <c r="T79" s="60">
        <f>-SUMIF('BW TB'!$T:$T,'BW P&amp;L'!$A79,'BW TB'!H:H)</f>
        <v/>
      </c>
      <c r="U79" s="60">
        <f>-SUMIF('BW TB'!$T:$T,'BW P&amp;L'!$A79,'BW TB'!I:I)</f>
        <v/>
      </c>
      <c r="V79" s="20" t="n"/>
      <c r="W79" s="20" t="n"/>
      <c r="X79" s="20" t="n"/>
      <c r="Y79" s="20" t="n"/>
      <c r="Z79" s="20" t="n"/>
      <c r="AA79" s="60">
        <f>SUM(O79:T79)</f>
        <v/>
      </c>
      <c r="AB79" s="8" t="n"/>
      <c r="AC79" s="20" t="n"/>
      <c r="AD79" s="20" t="n"/>
      <c r="AE79" s="20" t="n"/>
      <c r="AF79" s="20" t="n"/>
      <c r="AG79" s="20" t="n"/>
      <c r="AH79" s="20" t="n"/>
      <c r="AI79" s="134" t="n">
        <v>0</v>
      </c>
      <c r="AJ79" s="134" t="n">
        <v>0</v>
      </c>
      <c r="AK79" s="134" t="n">
        <v>0</v>
      </c>
      <c r="AL79" s="134" t="n">
        <v>0</v>
      </c>
      <c r="AM79" s="134" t="n">
        <v>0</v>
      </c>
      <c r="AN79" s="134" t="n">
        <v>0</v>
      </c>
      <c r="AO79" s="144">
        <f>SUM(AC79:AH79)+SUM(AI79:AN79)</f>
        <v/>
      </c>
      <c r="AP79" s="142">
        <f>IF(AB79&lt;&gt;0,(AO79-AB79)/ABS(AB79),0)</f>
        <v/>
      </c>
    </row>
    <row r="80">
      <c r="A80" s="60" t="inlineStr">
        <is>
          <t>Direct - Childcare Cost</t>
        </is>
      </c>
      <c r="B80" s="18" t="n">
        <v>-5324.83</v>
      </c>
      <c r="C80" s="18" t="n">
        <v>-7553.1</v>
      </c>
      <c r="D80" s="18" t="n">
        <v>-7044.840000000001</v>
      </c>
      <c r="E80" s="18" t="n">
        <v>-5409.81</v>
      </c>
      <c r="F80" s="18" t="n">
        <v>-7247.970000000001</v>
      </c>
      <c r="G80" s="18" t="n">
        <v>-8417.360000000001</v>
      </c>
      <c r="H80" s="18" t="n">
        <v>-6021.450000000002</v>
      </c>
      <c r="I80" s="18" t="n">
        <v>-5480.23</v>
      </c>
      <c r="J80" s="18" t="n">
        <v>-5104.349999999999</v>
      </c>
      <c r="K80" s="18" t="n">
        <v>-6636.539999999999</v>
      </c>
      <c r="L80" s="18" t="n">
        <v>-6638.48</v>
      </c>
      <c r="M80" s="18" t="n">
        <v>-5207.200000000001</v>
      </c>
      <c r="N80" s="60">
        <f>SUM(B80:M80)</f>
        <v/>
      </c>
      <c r="O80" s="60">
        <f>-SUMIF('BW TB'!$T:$T,'BW P&amp;L'!$A80,'BW TB'!C:C)</f>
        <v/>
      </c>
      <c r="P80" s="60">
        <f>-SUMIF('BW TB'!$T:$T,'BW P&amp;L'!$A80,'BW TB'!D:D)</f>
        <v/>
      </c>
      <c r="Q80" s="60">
        <f>-SUMIF('BW TB'!$T:$T,'BW P&amp;L'!$A80,'BW TB'!E:E)</f>
        <v/>
      </c>
      <c r="R80" s="60">
        <f>-SUMIF('BW TB'!$T:$T,'BW P&amp;L'!$A80,'BW TB'!F:F)</f>
        <v/>
      </c>
      <c r="S80" s="60">
        <f>-SUMIF('BW TB'!$T:$T,'BW P&amp;L'!$A80,'BW TB'!G:G)</f>
        <v/>
      </c>
      <c r="T80" s="60">
        <f>-SUMIF('BW TB'!$T:$T,'BW P&amp;L'!$A80,'BW TB'!H:H)</f>
        <v/>
      </c>
      <c r="U80" s="60">
        <f>-SUMIF('BW TB'!$T:$T,'BW P&amp;L'!$A80,'BW TB'!I:I)</f>
        <v/>
      </c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134" t="n">
        <v>0</v>
      </c>
      <c r="AJ80" s="134" t="n">
        <v>0</v>
      </c>
      <c r="AK80" s="134" t="n">
        <v>0</v>
      </c>
      <c r="AL80" s="134" t="n">
        <v>0</v>
      </c>
      <c r="AM80" s="134" t="n">
        <v>0</v>
      </c>
      <c r="AN80" s="134" t="n">
        <v>0</v>
      </c>
      <c r="AO80" s="144">
        <f>SUM(AC80:AH80)+SUM(AI80:AN80)</f>
        <v/>
      </c>
      <c r="AP80" s="142">
        <f>IF(AB80&lt;&gt;0,(AO80-AB80)/ABS(AB80),0)</f>
        <v/>
      </c>
    </row>
    <row r="81">
      <c r="A81" s="60" t="inlineStr">
        <is>
          <t>Direct - Premises &amp; Admin</t>
        </is>
      </c>
      <c r="B81" s="60" t="n">
        <v>-11428.8</v>
      </c>
      <c r="C81" s="60" t="n">
        <v>-11397.44</v>
      </c>
      <c r="D81" s="60" t="n">
        <v>-12879.79</v>
      </c>
      <c r="E81" s="60" t="n">
        <v>-15208.81</v>
      </c>
      <c r="F81" s="60" t="n">
        <v>-9401.230000000001</v>
      </c>
      <c r="G81" s="60" t="n">
        <v>-11022.52</v>
      </c>
      <c r="H81" s="60" t="n">
        <v>-12647.95</v>
      </c>
      <c r="I81" s="60" t="n">
        <v>-16122.24</v>
      </c>
      <c r="J81" s="60" t="n">
        <v>-12013.71</v>
      </c>
      <c r="K81" s="60" t="n">
        <v>-9677.17</v>
      </c>
      <c r="L81" s="60" t="n">
        <v>-11447.49</v>
      </c>
      <c r="M81" s="60" t="n">
        <v>-11585.54</v>
      </c>
      <c r="N81" s="60">
        <f>SUM(B81:M81)</f>
        <v/>
      </c>
      <c r="O81" s="60">
        <f>-SUMIF('BW TB'!$T:$T,'BW P&amp;L'!$A81,'BW TB'!C:C)</f>
        <v/>
      </c>
      <c r="P81" s="60">
        <f>-SUMIF('BW TB'!$T:$T,'BW P&amp;L'!$A81,'BW TB'!D:D)</f>
        <v/>
      </c>
      <c r="Q81" s="60">
        <f>-SUMIF('BW TB'!$T:$T,'BW P&amp;L'!$A81,'BW TB'!E:E)</f>
        <v/>
      </c>
      <c r="R81" s="60">
        <f>-SUMIF('BW TB'!$T:$T,'BW P&amp;L'!$A81,'BW TB'!F:F)</f>
        <v/>
      </c>
      <c r="S81" s="60">
        <f>-SUMIF('BW TB'!$T:$T,'BW P&amp;L'!$A81,'BW TB'!G:G)</f>
        <v/>
      </c>
      <c r="T81" s="60">
        <f>-SUMIF('BW TB'!$T:$T,'BW P&amp;L'!$A81,'BW TB'!H:H)</f>
        <v/>
      </c>
      <c r="U81" s="60">
        <f>-SUMIF('BW TB'!$T:$T,'BW P&amp;L'!$A81,'BW TB'!I:I)</f>
        <v/>
      </c>
      <c r="V81" s="60">
        <f>-SUMIF('BW TB'!$T:$T,'BW P&amp;L'!$A81,'BW TB'!J:J)</f>
        <v/>
      </c>
      <c r="W81" s="60">
        <f>-SUMIF('BW TB'!$T:$T,'BW P&amp;L'!$A81,'BW TB'!K:K)</f>
        <v/>
      </c>
      <c r="X81" s="60">
        <f>-SUMIF('BW TB'!$T:$T,'BW P&amp;L'!$A81,'BW TB'!L:L)</f>
        <v/>
      </c>
      <c r="Y81" s="60">
        <f>-SUMIF('BW TB'!$T:$T,'BW P&amp;L'!$A81,'BW TB'!M:M)</f>
        <v/>
      </c>
      <c r="Z81" s="60">
        <f>-SUMIF('BW TB'!$T:$T,'BW P&amp;L'!$A81,'BW TB'!N:N)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34" t="n">
        <v>0</v>
      </c>
      <c r="AJ81" s="134" t="n">
        <v>0</v>
      </c>
      <c r="AK81" s="134" t="n">
        <v>0</v>
      </c>
      <c r="AL81" s="134" t="n">
        <v>0</v>
      </c>
      <c r="AM81" s="134" t="n">
        <v>0</v>
      </c>
      <c r="AN81" s="134" t="n">
        <v>0</v>
      </c>
      <c r="AO81" s="145">
        <f>SUM(AC81:AH81)+SUM(AI81:AN81)</f>
        <v/>
      </c>
      <c r="AP81" s="142">
        <f>IF(AB81&lt;&gt;0,(AO81-AB81)/ABS(AB81),0)</f>
        <v/>
      </c>
    </row>
    <row r="82">
      <c r="A82" s="60" t="inlineStr">
        <is>
          <t>In-Direct - Staff Cost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0</v>
      </c>
      <c r="I82" s="18" t="n">
        <v>0</v>
      </c>
      <c r="J82" s="18" t="n">
        <v>0</v>
      </c>
      <c r="K82" s="18" t="n">
        <v>0</v>
      </c>
      <c r="L82" s="18" t="n">
        <v>0</v>
      </c>
      <c r="M82" s="18" t="n"/>
      <c r="N82" s="8" t="n"/>
      <c r="O82" s="60">
        <f>-SUMIF('BW TB'!$T:$T,'BW P&amp;L'!$A82,'BW TB'!C:C)</f>
        <v/>
      </c>
      <c r="P82" s="60">
        <f>-SUMIF('BW TB'!$T:$T,'BW P&amp;L'!$A82,'BW TB'!D:D)</f>
        <v/>
      </c>
      <c r="Q82" s="60">
        <f>-SUMIF('BW TB'!$T:$T,'BW P&amp;L'!$A82,'BW TB'!E:E)</f>
        <v/>
      </c>
      <c r="R82" s="60">
        <f>-SUMIF('BW TB'!$T:$T,'BW P&amp;L'!$A82,'BW TB'!F:F)</f>
        <v/>
      </c>
      <c r="S82" s="60">
        <f>-SUMIF('BW TB'!$T:$T,'BW P&amp;L'!$A82,'BW TB'!G:G)</f>
        <v/>
      </c>
      <c r="T82" s="60">
        <f>-SUMIF('BW TB'!$T:$T,'BW P&amp;L'!$A82,'BW TB'!H:H)</f>
        <v/>
      </c>
      <c r="U82" s="60">
        <f>-SUMIF('BW TB'!$T:$T,'BW P&amp;L'!$A82,'BW TB'!I:I)</f>
        <v/>
      </c>
      <c r="V82" s="60">
        <f>-SUMIF('BW TB'!$T:$T,'BW P&amp;L'!$A82,'BW TB'!J:J)</f>
        <v/>
      </c>
      <c r="W82" s="60">
        <f>-SUMIF('BW TB'!$T:$T,'BW P&amp;L'!$A82,'BW TB'!K:K)</f>
        <v/>
      </c>
      <c r="X82" s="60">
        <f>-SUMIF('BW TB'!$T:$T,'BW P&amp;L'!$A82,'BW TB'!L:L)</f>
        <v/>
      </c>
      <c r="Y82" s="60">
        <f>-SUMIF('BW TB'!$T:$T,'BW P&amp;L'!$A82,'BW TB'!M:M)</f>
        <v/>
      </c>
      <c r="Z82" s="60">
        <f>-SUMIF('BW TB'!$T:$T,'BW P&amp;L'!$A82,'BW TB'!N:N)</f>
        <v/>
      </c>
      <c r="AA82" s="8" t="n"/>
      <c r="AB82" s="8" t="n"/>
      <c r="AC82" s="8" t="n"/>
      <c r="AD82" s="8" t="n"/>
      <c r="AE82" s="8" t="n"/>
      <c r="AF82" s="8" t="n"/>
      <c r="AG82" s="8" t="n"/>
      <c r="AH82" s="8" t="n"/>
      <c r="AI82" s="134" t="n">
        <v>0</v>
      </c>
      <c r="AJ82" s="134" t="n">
        <v>0</v>
      </c>
      <c r="AK82" s="134" t="n">
        <v>0</v>
      </c>
      <c r="AL82" s="134" t="n">
        <v>0</v>
      </c>
      <c r="AM82" s="134" t="n">
        <v>0</v>
      </c>
      <c r="AN82" s="134" t="n">
        <v>0</v>
      </c>
      <c r="AO82" s="144">
        <f>SUM(AC82:AH82)+SUM(AI82:AN82)</f>
        <v/>
      </c>
      <c r="AP82" s="142">
        <f>IF(AB82&lt;&gt;0,(AO82-AB82)/ABS(AB82),0)</f>
        <v/>
      </c>
    </row>
    <row r="83">
      <c r="A83" s="60" t="inlineStr">
        <is>
          <t>In-Direct - Overheads</t>
        </is>
      </c>
      <c r="B83" s="60" t="n">
        <v>-254.95</v>
      </c>
      <c r="C83" s="60" t="n">
        <v>-401.73</v>
      </c>
      <c r="D83" s="60" t="n">
        <v>-1226.28</v>
      </c>
      <c r="E83" s="60" t="n">
        <v>-308.58</v>
      </c>
      <c r="F83" s="60" t="n">
        <v>-510.86</v>
      </c>
      <c r="G83" s="60" t="n">
        <v>-1074.77</v>
      </c>
      <c r="H83" s="60" t="n">
        <v>-762.4400000000001</v>
      </c>
      <c r="I83" s="60" t="n">
        <v>-682.1700000000001</v>
      </c>
      <c r="J83" s="60" t="n">
        <v>-642.78</v>
      </c>
      <c r="K83" s="60" t="n">
        <v>-339.46</v>
      </c>
      <c r="L83" s="60" t="n">
        <v>-662.75</v>
      </c>
      <c r="M83" s="8" t="n"/>
      <c r="N83" s="8" t="n"/>
      <c r="O83" s="60">
        <f>-SUMIF('BW TB'!$T:$T,'BW P&amp;L'!$A83,'BW TB'!C:C)</f>
        <v/>
      </c>
      <c r="P83" s="60">
        <f>-SUMIF('BW TB'!$T:$T,'BW P&amp;L'!$A83,'BW TB'!D:D)</f>
        <v/>
      </c>
      <c r="Q83" s="60">
        <f>-SUMIF('BW TB'!$T:$T,'BW P&amp;L'!$A83,'BW TB'!E:E)</f>
        <v/>
      </c>
      <c r="R83" s="60">
        <f>-SUMIF('BW TB'!$T:$T,'BW P&amp;L'!$A83,'BW TB'!F:F)</f>
        <v/>
      </c>
      <c r="S83" s="60">
        <f>-SUMIF('BW TB'!$T:$T,'BW P&amp;L'!$A83,'BW TB'!G:G)</f>
        <v/>
      </c>
      <c r="T83" s="60">
        <f>-SUMIF('BW TB'!$T:$T,'BW P&amp;L'!$A83,'BW TB'!H:H)</f>
        <v/>
      </c>
      <c r="U83" s="60">
        <f>-SUMIF('BW TB'!$T:$T,'BW P&amp;L'!$A83,'BW TB'!I:I)</f>
        <v/>
      </c>
      <c r="V83" s="60">
        <f>-SUMIF('BW TB'!$T:$T,'BW P&amp;L'!$A83,'BW TB'!J:J)</f>
        <v/>
      </c>
      <c r="W83" s="60">
        <f>-SUMIF('BW TB'!$T:$T,'BW P&amp;L'!$A83,'BW TB'!K:K)</f>
        <v/>
      </c>
      <c r="X83" s="60">
        <f>-SUMIF('BW TB'!$T:$T,'BW P&amp;L'!$A83,'BW TB'!L:L)</f>
        <v/>
      </c>
      <c r="Y83" s="60">
        <f>-SUMIF('BW TB'!$T:$T,'BW P&amp;L'!$A83,'BW TB'!M:M)</f>
        <v/>
      </c>
      <c r="Z83" s="60">
        <f>-SUMIF('BW TB'!$T:$T,'BW P&amp;L'!$A83,'BW TB'!N:N)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34" t="n">
        <v>0</v>
      </c>
      <c r="AJ83" s="134" t="n">
        <v>0</v>
      </c>
      <c r="AK83" s="134" t="n">
        <v>0</v>
      </c>
      <c r="AL83" s="134" t="n">
        <v>0</v>
      </c>
      <c r="AM83" s="134" t="n">
        <v>0</v>
      </c>
      <c r="AN83" s="134" t="n">
        <v>0</v>
      </c>
      <c r="AO83" s="145">
        <f>SUM(AC83:AH83)+SUM(AI83:AN83)</f>
        <v/>
      </c>
      <c r="AP83" s="142">
        <f>IF(AB83&lt;&gt;0,(AO83-AB83)/ABS(AB83),0)</f>
        <v/>
      </c>
    </row>
    <row r="84" ht="15.75" customHeight="1">
      <c r="A84" s="64" t="n"/>
      <c r="B84" s="64" t="n">
        <v>63418.51</v>
      </c>
      <c r="C84" s="64" t="n">
        <v>87711.48999999996</v>
      </c>
      <c r="D84" s="64" t="n">
        <v>106484.03</v>
      </c>
      <c r="E84" s="64" t="n">
        <v>71447.29999999997</v>
      </c>
      <c r="F84" s="64" t="n">
        <v>44727.52</v>
      </c>
      <c r="G84" s="64" t="n">
        <v>78507.36000000002</v>
      </c>
      <c r="H84" s="64" t="n">
        <v>108742.96</v>
      </c>
      <c r="I84" s="64" t="n">
        <v>28726.59999999998</v>
      </c>
      <c r="J84" s="64" t="n">
        <v>22810.31</v>
      </c>
      <c r="K84" s="64" t="n">
        <v>34761.18999999999</v>
      </c>
      <c r="L84" s="64" t="n">
        <v>88791.55</v>
      </c>
      <c r="M84" s="64" t="n"/>
      <c r="N84" s="64" t="n"/>
      <c r="O84" s="64">
        <f>SUM(O78:O83)</f>
        <v/>
      </c>
      <c r="P84" s="64">
        <f>SUM(P78:P83)</f>
        <v/>
      </c>
      <c r="Q84" s="64">
        <f>SUM(Q78:Q83)</f>
        <v/>
      </c>
      <c r="R84" s="64">
        <f>SUM(R78:R83)</f>
        <v/>
      </c>
      <c r="S84" s="64">
        <f>SUM(S78:S83)</f>
        <v/>
      </c>
      <c r="T84" s="64">
        <f>SUM(T78:T83)</f>
        <v/>
      </c>
      <c r="U84" s="64">
        <f>SUM(U78:U83)</f>
        <v/>
      </c>
      <c r="V84" s="64">
        <f>SUM(V78:V83)</f>
        <v/>
      </c>
      <c r="W84" s="64">
        <f>SUM(W78:W83)</f>
        <v/>
      </c>
      <c r="X84" s="64">
        <f>SUM(X78:X83)</f>
        <v/>
      </c>
      <c r="Y84" s="64">
        <f>SUM(Y78:Y83)</f>
        <v/>
      </c>
      <c r="Z84" s="64">
        <f>SUM(Z78:Z83)</f>
        <v/>
      </c>
      <c r="AA84" s="8" t="n"/>
      <c r="AB84" s="8" t="n"/>
      <c r="AC84" s="64" t="n"/>
      <c r="AD84" s="64" t="n"/>
      <c r="AE84" s="64" t="n"/>
      <c r="AF84" s="64" t="n"/>
      <c r="AG84" s="64" t="n"/>
      <c r="AH84" s="64" t="n"/>
      <c r="AI84" s="134" t="n">
        <v>0</v>
      </c>
      <c r="AJ84" s="134" t="n">
        <v>0</v>
      </c>
      <c r="AK84" s="134" t="n">
        <v>0</v>
      </c>
      <c r="AL84" s="134" t="n">
        <v>0</v>
      </c>
      <c r="AM84" s="134" t="n">
        <v>0</v>
      </c>
      <c r="AN84" s="134" t="n">
        <v>0</v>
      </c>
      <c r="AO84" s="145">
        <f>SUM(AC84:AH84)+SUM(AI84:AN84)</f>
        <v/>
      </c>
      <c r="AP84" s="142">
        <f>IF(AB84&lt;&gt;0,(AO84-AB84)/ABS(AB84),0)</f>
        <v/>
      </c>
    </row>
    <row r="85" ht="15.75" customHeight="1">
      <c r="A85" s="8" t="n"/>
      <c r="B85" s="18" t="n">
        <v>0</v>
      </c>
      <c r="C85" s="18" t="n">
        <v>0</v>
      </c>
      <c r="D85" s="18" t="n">
        <v>0</v>
      </c>
      <c r="E85" s="18" t="n">
        <v>0</v>
      </c>
      <c r="F85" s="18" t="n">
        <v>0</v>
      </c>
      <c r="G85" s="18" t="n">
        <v>0</v>
      </c>
      <c r="H85" s="18" t="n">
        <v>0</v>
      </c>
      <c r="I85" s="18" t="n">
        <v>0</v>
      </c>
      <c r="J85" s="18" t="n">
        <v>0</v>
      </c>
      <c r="K85" s="18" t="n">
        <v>0</v>
      </c>
      <c r="L85" s="18" t="n">
        <v>0</v>
      </c>
      <c r="M85" s="18" t="n"/>
      <c r="N85" s="8" t="n"/>
      <c r="O85" s="60">
        <f>+O70-O84</f>
        <v/>
      </c>
      <c r="P85" s="60">
        <f>+P70-P84</f>
        <v/>
      </c>
      <c r="Q85" s="60">
        <f>+Q70-Q84</f>
        <v/>
      </c>
      <c r="R85" s="60">
        <f>+R70-R84</f>
        <v/>
      </c>
      <c r="S85" s="60">
        <f>+S70-S84</f>
        <v/>
      </c>
      <c r="T85" s="60">
        <f>+T70-T84</f>
        <v/>
      </c>
      <c r="U85" s="60">
        <f>+U70-U84</f>
        <v/>
      </c>
      <c r="V85" s="60">
        <f>+V70-V84</f>
        <v/>
      </c>
      <c r="W85" s="60">
        <f>+W70-W84</f>
        <v/>
      </c>
      <c r="X85" s="60">
        <f>+X70-X84</f>
        <v/>
      </c>
      <c r="Y85" s="60">
        <f>+Y70-Y84</f>
        <v/>
      </c>
      <c r="Z85" s="60">
        <f>+Z70-Z84</f>
        <v/>
      </c>
      <c r="AA85" s="8" t="n"/>
      <c r="AB85" s="8" t="n"/>
      <c r="AC85" s="8" t="n"/>
      <c r="AD85" s="8" t="n"/>
      <c r="AE85" s="8" t="n"/>
      <c r="AF85" s="8" t="n"/>
      <c r="AG85" s="8" t="n"/>
      <c r="AH85" s="8" t="n"/>
      <c r="AI85" s="134" t="n">
        <v>0</v>
      </c>
      <c r="AJ85" s="134" t="n">
        <v>0</v>
      </c>
      <c r="AK85" s="134" t="n">
        <v>0</v>
      </c>
      <c r="AL85" s="134" t="n">
        <v>0</v>
      </c>
      <c r="AM85" s="134" t="n">
        <v>0</v>
      </c>
      <c r="AN85" s="134" t="n">
        <v>0</v>
      </c>
      <c r="AO85" s="144">
        <f>SUM(AC85:AH85)+SUM(AI85:AN85)</f>
        <v/>
      </c>
      <c r="AP85" s="142">
        <f>IF(AB85&lt;&gt;0,(AO85-AB85)/ABS(AB85),0)</f>
        <v/>
      </c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60" t="n">
        <v>0</v>
      </c>
      <c r="C87" s="60" t="n">
        <v>0</v>
      </c>
      <c r="D87" s="60" t="n">
        <v>0</v>
      </c>
      <c r="E87" s="60" t="n">
        <v>0</v>
      </c>
      <c r="F87" s="60" t="n">
        <v>0</v>
      </c>
      <c r="G87" s="60" t="n">
        <v>0</v>
      </c>
      <c r="H87" s="60" t="n">
        <v>0</v>
      </c>
      <c r="I87" s="60" t="n">
        <v>0</v>
      </c>
      <c r="J87" s="60" t="n">
        <v>0</v>
      </c>
      <c r="K87" s="8" t="n"/>
      <c r="L87" s="8" t="n"/>
      <c r="M87" s="8" t="n"/>
      <c r="N87" s="8" t="n"/>
      <c r="O87" s="60">
        <f>O84+O88</f>
        <v/>
      </c>
      <c r="P87" s="60">
        <f>P84+P88</f>
        <v/>
      </c>
      <c r="Q87" s="60">
        <f>Q84+Q88</f>
        <v/>
      </c>
      <c r="R87" s="60">
        <f>R84+R88</f>
        <v/>
      </c>
      <c r="S87" s="60">
        <f>S84+S88</f>
        <v/>
      </c>
      <c r="T87" s="60">
        <f>T84+T88</f>
        <v/>
      </c>
      <c r="U87" s="60">
        <f>U84+U88</f>
        <v/>
      </c>
      <c r="V87" s="60">
        <f>V84+V88</f>
        <v/>
      </c>
      <c r="W87" s="60">
        <f>W84+W88</f>
        <v/>
      </c>
      <c r="X87" s="60">
        <f>X84+X88</f>
        <v/>
      </c>
      <c r="Y87" s="60">
        <f>Y84+Y88</f>
        <v/>
      </c>
      <c r="Z87" s="60">
        <f>Z84+Z88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134" t="n">
        <v>0</v>
      </c>
      <c r="AJ87" s="134" t="n">
        <v>0</v>
      </c>
      <c r="AK87" s="134" t="n">
        <v>0</v>
      </c>
      <c r="AL87" s="134" t="n">
        <v>0</v>
      </c>
      <c r="AM87" s="134" t="n">
        <v>0</v>
      </c>
      <c r="AN87" s="134" t="n">
        <v>0</v>
      </c>
      <c r="AO87" s="145">
        <f>SUM(AC87:AH87)+SUM(AI87:AN87)</f>
        <v/>
      </c>
      <c r="AP87" s="142">
        <f>IF(AB87&lt;&gt;0,(AO87-AB87)/ABS(AB87),0)</f>
        <v/>
      </c>
    </row>
    <row r="88">
      <c r="A88" s="8" t="n"/>
      <c r="B88" s="18" t="n">
        <v>-63418.50999999998</v>
      </c>
      <c r="C88" s="18" t="n">
        <v>-87711.49000000001</v>
      </c>
      <c r="D88" s="18" t="n">
        <v>-106484.03</v>
      </c>
      <c r="E88" s="18" t="n">
        <v>-71447.29999999996</v>
      </c>
      <c r="F88" s="18" t="n">
        <v>-44727.52000000003</v>
      </c>
      <c r="G88" s="18" t="n">
        <v>-78507.36000000003</v>
      </c>
      <c r="H88" s="18" t="n">
        <v>-108742.96</v>
      </c>
      <c r="I88" s="18" t="n">
        <v>-28726.59999999998</v>
      </c>
      <c r="J88" s="18" t="n">
        <v>-22810.30999999999</v>
      </c>
      <c r="K88" s="18" t="n"/>
      <c r="L88" s="18" t="n"/>
      <c r="M88" s="18" t="n"/>
      <c r="N88" s="8" t="n"/>
      <c r="O88" s="60">
        <f>SUM('BW TB'!C2:C47)</f>
        <v/>
      </c>
      <c r="P88" s="60">
        <f>SUM('BW TB'!D2:D47)</f>
        <v/>
      </c>
      <c r="Q88" s="60">
        <f>SUM('BW TB'!E2:E47)</f>
        <v/>
      </c>
      <c r="R88" s="60">
        <f>SUM('BW TB'!F2:F47)</f>
        <v/>
      </c>
      <c r="S88" s="60">
        <f>SUM('BW TB'!G2:G47)</f>
        <v/>
      </c>
      <c r="T88" s="60">
        <f>SUM('BW TB'!H2:H47)</f>
        <v/>
      </c>
      <c r="U88" s="60">
        <f>SUM('BW TB'!I2:I47)</f>
        <v/>
      </c>
      <c r="V88" s="60">
        <f>SUM('BW TB'!J2:J47)</f>
        <v/>
      </c>
      <c r="W88" s="60">
        <f>SUM('BW TB'!K2:K47)</f>
        <v/>
      </c>
      <c r="X88" s="60">
        <f>SUM('BW TB'!L2:L47)</f>
        <v/>
      </c>
      <c r="Y88" s="60">
        <f>SUM('BW TB'!M2:M47)</f>
        <v/>
      </c>
      <c r="Z88" s="60">
        <f>SUM('BW TB'!N2:N47)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134" t="n">
        <v>0</v>
      </c>
      <c r="AJ88" s="134" t="n">
        <v>0</v>
      </c>
      <c r="AK88" s="134" t="n">
        <v>0</v>
      </c>
      <c r="AL88" s="134" t="n">
        <v>0</v>
      </c>
      <c r="AM88" s="134" t="n">
        <v>0</v>
      </c>
      <c r="AN88" s="134" t="n">
        <v>0</v>
      </c>
      <c r="AO88" s="144">
        <f>SUM(AC88:AH88)+SUM(AI88:AN88)</f>
        <v/>
      </c>
      <c r="AP88" s="142">
        <f>IF(AB88&lt;&gt;0,(AO88-AB88)/ABS(AB88),0)</f>
        <v/>
      </c>
    </row>
    <row r="89">
      <c r="A89" s="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570312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Cedars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n"/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23814.44</v>
      </c>
      <c r="C8" s="35" t="n">
        <v>20657.57</v>
      </c>
      <c r="D8" s="35" t="n">
        <v>26472.4</v>
      </c>
      <c r="E8" s="35" t="n">
        <v>28682.3</v>
      </c>
      <c r="F8" s="35" t="n">
        <v>21069.85</v>
      </c>
      <c r="G8" s="35" t="n">
        <v>21588.68</v>
      </c>
      <c r="H8" s="35" t="n">
        <v>29637.32</v>
      </c>
      <c r="I8" s="35" t="n">
        <v>22500.55</v>
      </c>
      <c r="J8" s="35" t="n">
        <v>19945.64</v>
      </c>
      <c r="K8" s="35" t="n">
        <v>19659.5</v>
      </c>
      <c r="L8" s="35" t="n">
        <v>18229.14</v>
      </c>
      <c r="M8" s="35" t="n">
        <v>23118.77</v>
      </c>
      <c r="N8" s="36">
        <f>SUM(B8:M8)</f>
        <v/>
      </c>
      <c r="O8" s="37">
        <f>-SUMIF('CED TB'!$R:$R,'CED P&amp;L'!$A8,'CED TB'!C:C)</f>
        <v/>
      </c>
      <c r="P8" s="37">
        <f>-SUMIF('CED TB'!$R:$R,'CED P&amp;L'!$A8,'CED TB'!D:D)</f>
        <v/>
      </c>
      <c r="Q8" s="37">
        <f>-SUMIF('CED TB'!$R:$R,'CED P&amp;L'!$A8,'CED TB'!E:E)</f>
        <v/>
      </c>
      <c r="R8" s="37">
        <f>-SUMIF('CED TB'!$R:$R,'CED P&amp;L'!$A8,'CED TB'!F:F)</f>
        <v/>
      </c>
      <c r="S8" s="37">
        <f>-SUMIF('CED TB'!$R:$R,'CED P&amp;L'!$A8,'CED TB'!G:G)</f>
        <v/>
      </c>
      <c r="T8" s="37">
        <f>-SUMIF('CED TB'!$R:$R,'CED P&amp;L'!$A8,'CED TB'!H:H)</f>
        <v/>
      </c>
      <c r="U8" s="37">
        <f>-SUMIF('CED TB'!$R:$R,'CED P&amp;L'!$A8,'CED TB'!I:I)</f>
        <v/>
      </c>
      <c r="V8" s="38" t="n">
        <v>18654</v>
      </c>
      <c r="W8" s="38" t="n">
        <v>11835</v>
      </c>
      <c r="X8" s="38" t="n">
        <v>12126</v>
      </c>
      <c r="Y8" s="38" t="n">
        <v>14161</v>
      </c>
      <c r="Z8" s="38" t="n">
        <v>21018</v>
      </c>
      <c r="AA8" s="36">
        <f>SUM(O8:U8)</f>
        <v/>
      </c>
      <c r="AB8" s="36">
        <f>SUM(O8:Z8)</f>
        <v/>
      </c>
      <c r="AC8" s="38" t="n">
        <v>28315.98</v>
      </c>
      <c r="AD8" s="38" t="n">
        <v>26840.28</v>
      </c>
      <c r="AE8" s="38" t="n">
        <v>31507.8</v>
      </c>
      <c r="AF8" s="38" t="n">
        <v>30543.59</v>
      </c>
      <c r="AG8" s="38" t="n">
        <v>30885.6</v>
      </c>
      <c r="AH8" s="38" t="n">
        <v>33002.04</v>
      </c>
      <c r="AI8" s="118" t="n">
        <v>33002.04</v>
      </c>
      <c r="AJ8" s="119" t="n">
        <v>33002.04</v>
      </c>
      <c r="AK8" s="119" t="n">
        <v>33002.04</v>
      </c>
      <c r="AL8" s="119" t="n">
        <v>33002.04</v>
      </c>
      <c r="AM8" s="120" t="n">
        <v>33002.04</v>
      </c>
      <c r="AN8" s="118" t="n">
        <v>33002.04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5791.72</v>
      </c>
      <c r="C9" s="35" t="n">
        <v>14479.3</v>
      </c>
      <c r="D9" s="35" t="n">
        <v>15684.58</v>
      </c>
      <c r="E9" s="35" t="n">
        <v>5185.26</v>
      </c>
      <c r="F9" s="35" t="n">
        <v>5185.26</v>
      </c>
      <c r="G9" s="35" t="n">
        <v>15608.08</v>
      </c>
      <c r="H9" s="35" t="n">
        <v>13375.26</v>
      </c>
      <c r="I9" s="35" t="n">
        <v>0</v>
      </c>
      <c r="J9" s="35" t="n">
        <v>5986.21</v>
      </c>
      <c r="K9" s="35" t="n">
        <v>12205.6</v>
      </c>
      <c r="L9" s="35" t="n">
        <v>12205.6</v>
      </c>
      <c r="M9" s="35" t="n">
        <v>16957.76</v>
      </c>
      <c r="N9" s="36">
        <f>SUM(B9:M9)</f>
        <v/>
      </c>
      <c r="O9" s="37">
        <f>-SUMIF('CED TB'!$R:$R,'CED P&amp;L'!$A9,'CED TB'!C:C)</f>
        <v/>
      </c>
      <c r="P9" s="37">
        <f>-SUMIF('CED TB'!$R:$R,'CED P&amp;L'!$A9,'CED TB'!D:D)</f>
        <v/>
      </c>
      <c r="Q9" s="37">
        <f>-SUMIF('CED TB'!$R:$R,'CED P&amp;L'!$A9,'CED TB'!E:E)</f>
        <v/>
      </c>
      <c r="R9" s="37">
        <f>-SUMIF('CED TB'!$R:$R,'CED P&amp;L'!$A9,'CED TB'!F:F)</f>
        <v/>
      </c>
      <c r="S9" s="37">
        <f>-SUMIF('CED TB'!$R:$R,'CED P&amp;L'!$A9,'CED TB'!G:G)</f>
        <v/>
      </c>
      <c r="T9" s="37">
        <f>-SUMIF('CED TB'!$R:$R,'CED P&amp;L'!$A9,'CED TB'!H:H)</f>
        <v/>
      </c>
      <c r="U9" s="37">
        <f>-SUMIF('CED TB'!$R:$R,'CED P&amp;L'!$A9,'CED TB'!I:I)</f>
        <v/>
      </c>
      <c r="V9" s="38" t="n"/>
      <c r="W9" s="38" t="n">
        <v>8499</v>
      </c>
      <c r="X9" s="38" t="n">
        <v>9777</v>
      </c>
      <c r="Y9" s="38" t="n">
        <v>10656</v>
      </c>
      <c r="Z9" s="38" t="n">
        <v>6058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8" t="n">
        <v>0</v>
      </c>
      <c r="AJ9" s="119" t="n">
        <v>0</v>
      </c>
      <c r="AK9" s="119" t="n">
        <v>0</v>
      </c>
      <c r="AL9" s="119" t="n">
        <v>0</v>
      </c>
      <c r="AM9" s="120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6.5" customHeight="1">
      <c r="A10" s="34" t="inlineStr">
        <is>
          <t>Other Income</t>
        </is>
      </c>
      <c r="B10" s="35" t="n">
        <v>200</v>
      </c>
      <c r="C10" s="35" t="n">
        <v>200</v>
      </c>
      <c r="D10" s="35" t="n">
        <v>300</v>
      </c>
      <c r="E10" s="35" t="n">
        <v>0</v>
      </c>
      <c r="F10" s="35" t="n">
        <v>300</v>
      </c>
      <c r="G10" s="35" t="n">
        <v>300</v>
      </c>
      <c r="H10" s="35" t="n">
        <v>150</v>
      </c>
      <c r="I10" s="35" t="n">
        <v>0</v>
      </c>
      <c r="J10" s="35" t="n">
        <v>0</v>
      </c>
      <c r="K10" s="35" t="n">
        <v>150</v>
      </c>
      <c r="L10" s="35" t="n">
        <v>150</v>
      </c>
      <c r="M10" s="35" t="n">
        <v>150</v>
      </c>
      <c r="N10" s="36">
        <f>SUM(B10:M10)</f>
        <v/>
      </c>
      <c r="O10" s="37">
        <f>-SUMIF('CED TB'!$R:$R,'CED P&amp;L'!$A10,'CED TB'!C:C)</f>
        <v/>
      </c>
      <c r="P10" s="37">
        <f>-SUMIF('CED TB'!$R:$R,'CED P&amp;L'!$A10,'CED TB'!D:D)</f>
        <v/>
      </c>
      <c r="Q10" s="37">
        <f>-SUMIF('CED TB'!$R:$R,'CED P&amp;L'!$A10,'CED TB'!E:E)</f>
        <v/>
      </c>
      <c r="R10" s="37">
        <f>-SUMIF('CED TB'!$R:$R,'CED P&amp;L'!$A10,'CED TB'!F:F)</f>
        <v/>
      </c>
      <c r="S10" s="37">
        <f>-SUMIF('CED TB'!$R:$R,'CED P&amp;L'!$A10,'CED TB'!G:G)</f>
        <v/>
      </c>
      <c r="T10" s="37">
        <f>-SUMIF('CED TB'!$R:$R,'CED P&amp;L'!$A10,'CED TB'!H:H)</f>
        <v/>
      </c>
      <c r="U10" s="37">
        <f>-SUMIF('CED TB'!$R:$R,'CED P&amp;L'!$A10,'CED TB'!I:I)</f>
        <v/>
      </c>
      <c r="V10" s="38" t="n"/>
      <c r="W10" s="38" t="n">
        <v>0</v>
      </c>
      <c r="X10" s="38" t="n">
        <v>0</v>
      </c>
      <c r="Y10" s="38" t="n">
        <v>0</v>
      </c>
      <c r="Z10" s="38" t="n">
        <v>0</v>
      </c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8" t="n">
        <v>0</v>
      </c>
      <c r="AJ10" s="119" t="n">
        <v>0</v>
      </c>
      <c r="AK10" s="119" t="n">
        <v>0</v>
      </c>
      <c r="AL10" s="119" t="n">
        <v>0</v>
      </c>
      <c r="AM10" s="120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6.5" customHeight="1">
      <c r="A11" s="41" t="inlineStr">
        <is>
          <t>Total Income</t>
        </is>
      </c>
      <c r="B11" s="42" t="n">
        <v>29806.16</v>
      </c>
      <c r="C11" s="42" t="n">
        <v>35336.87</v>
      </c>
      <c r="D11" s="42" t="n">
        <v>42456.98</v>
      </c>
      <c r="E11" s="42" t="n">
        <v>33867.56</v>
      </c>
      <c r="F11" s="42" t="n">
        <v>26555.11</v>
      </c>
      <c r="G11" s="42" t="n">
        <v>37496.76</v>
      </c>
      <c r="H11" s="42" t="n">
        <v>43162.58</v>
      </c>
      <c r="I11" s="42" t="n">
        <v>22500.55</v>
      </c>
      <c r="J11" s="42" t="n">
        <v>25931.85</v>
      </c>
      <c r="K11" s="42" t="n">
        <v>32015.1</v>
      </c>
      <c r="L11" s="42" t="n">
        <v>30584.74</v>
      </c>
      <c r="M11" s="42" t="n">
        <v>40226.53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3">
        <f>SUM(AI8:AI10)</f>
        <v/>
      </c>
      <c r="AJ11" s="124">
        <f>SUM(AJ8:AJ10)</f>
        <v/>
      </c>
      <c r="AK11" s="124">
        <f>SUM(AK8:AK10)</f>
        <v/>
      </c>
      <c r="AL11" s="124">
        <f>SUM(AL8:AL10)</f>
        <v/>
      </c>
      <c r="AM11" s="124">
        <f>SUM(AM8:AM10)</f>
        <v/>
      </c>
      <c r="AN11" s="123">
        <f>SUM(AN8:AN10)</f>
        <v/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7" t="n">
        <v>0</v>
      </c>
      <c r="AJ12" s="128" t="n">
        <v>0</v>
      </c>
      <c r="AK12" s="128" t="n">
        <v>0</v>
      </c>
      <c r="AL12" s="128" t="n">
        <v>0</v>
      </c>
      <c r="AM12" s="129" t="n">
        <v>0</v>
      </c>
      <c r="AN12" s="127" t="n">
        <v>0</v>
      </c>
      <c r="AO12" s="121">
        <f>SUM(AC12:AH12)+SUM(AI12:AN12)</f>
        <v/>
      </c>
      <c r="AP12" s="122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 t="n">
        <v>0</v>
      </c>
      <c r="AJ13" s="131" t="n">
        <v>0</v>
      </c>
      <c r="AK13" s="131" t="n">
        <v>0</v>
      </c>
      <c r="AL13" s="131" t="n">
        <v>0</v>
      </c>
      <c r="AM13" s="132" t="n">
        <v>0</v>
      </c>
      <c r="AN13" s="130" t="n">
        <v>0</v>
      </c>
      <c r="AO13" s="133">
        <f>SUM(AC13:AH13)+SUM(AI13:AN13)</f>
        <v/>
      </c>
      <c r="AP13" s="122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15964.89</v>
      </c>
      <c r="C16" s="35" t="n">
        <v>15432.95</v>
      </c>
      <c r="D16" s="35" t="n">
        <v>16980.77</v>
      </c>
      <c r="E16" s="35" t="n">
        <v>19492.28</v>
      </c>
      <c r="F16" s="35" t="n">
        <v>19492.07</v>
      </c>
      <c r="G16" s="35" t="n">
        <v>16093.17</v>
      </c>
      <c r="H16" s="35" t="n">
        <v>19196.5</v>
      </c>
      <c r="I16" s="35" t="n">
        <v>14959.37</v>
      </c>
      <c r="J16" s="35" t="n">
        <v>19873.92</v>
      </c>
      <c r="K16" s="35" t="n">
        <v>18038.34</v>
      </c>
      <c r="L16" s="35" t="n">
        <v>18266.77</v>
      </c>
      <c r="M16" s="35" t="n">
        <v>21533.17</v>
      </c>
      <c r="N16" s="36">
        <f>SUM(B16:M16)</f>
        <v/>
      </c>
      <c r="O16" s="37">
        <f>SUMIF('CED TB'!$R:$R,'CED P&amp;L'!$A16,'CED TB'!C:C)</f>
        <v/>
      </c>
      <c r="P16" s="37">
        <f>SUMIF('CED TB'!$R:$R,'CED P&amp;L'!$A16,'CED TB'!D:D)</f>
        <v/>
      </c>
      <c r="Q16" s="37">
        <f>SUMIF('CED TB'!$R:$R,'CED P&amp;L'!$A16,'CED TB'!E:E)</f>
        <v/>
      </c>
      <c r="R16" s="37">
        <f>SUMIF('CED TB'!$R:$R,'CED P&amp;L'!$A16,'CED TB'!F:F)</f>
        <v/>
      </c>
      <c r="S16" s="37">
        <f>SUMIF('CED TB'!$R:$R,'CED P&amp;L'!$A16,'CED TB'!G:G)</f>
        <v/>
      </c>
      <c r="T16" s="37">
        <f>SUMIF('CED TB'!$R:$R,'CED P&amp;L'!$A16,'CED TB'!H:H)</f>
        <v/>
      </c>
      <c r="U16" s="37">
        <f>SUMIF('CED TB'!$R:$R,'CED P&amp;L'!$A16,'CED TB'!I:I)</f>
        <v/>
      </c>
      <c r="V16" s="38" t="n">
        <v>22510.48</v>
      </c>
      <c r="W16" s="38" t="n">
        <v>22510.48</v>
      </c>
      <c r="X16" s="38" t="n">
        <v>22510.48</v>
      </c>
      <c r="Y16" s="38" t="n">
        <v>22510.48</v>
      </c>
      <c r="Z16" s="38" t="n">
        <v>22510.48</v>
      </c>
      <c r="AA16" s="36">
        <f>SUM(O16:U16)</f>
        <v/>
      </c>
      <c r="AB16" s="36">
        <f>SUM(O16:Z16)</f>
        <v/>
      </c>
      <c r="AC16" s="38" t="n">
        <v>22510.48</v>
      </c>
      <c r="AD16" s="38" t="n">
        <v>22510.48</v>
      </c>
      <c r="AE16" s="38" t="n">
        <v>22510.48</v>
      </c>
      <c r="AF16" s="38" t="n">
        <v>22510.48</v>
      </c>
      <c r="AG16" s="38" t="n">
        <v>22510.48</v>
      </c>
      <c r="AH16" s="38" t="n">
        <v>22510.48</v>
      </c>
      <c r="AI16" s="118" t="n">
        <v>22510.48</v>
      </c>
      <c r="AJ16" s="119" t="n">
        <v>22510.48</v>
      </c>
      <c r="AK16" s="119" t="n">
        <v>22510.48</v>
      </c>
      <c r="AL16" s="119" t="n">
        <v>22510.48</v>
      </c>
      <c r="AM16" s="120" t="n">
        <v>22510.48</v>
      </c>
      <c r="AN16" s="118" t="n">
        <v>22510.48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1212.08</v>
      </c>
      <c r="C17" s="35" t="n">
        <v>1115.32</v>
      </c>
      <c r="D17" s="35" t="n">
        <v>1300.33</v>
      </c>
      <c r="E17" s="35" t="n">
        <v>2055.72</v>
      </c>
      <c r="F17" s="35" t="n">
        <v>1957.17</v>
      </c>
      <c r="G17" s="35" t="n">
        <v>1471.56</v>
      </c>
      <c r="H17" s="35" t="n">
        <v>1976.99</v>
      </c>
      <c r="I17" s="35" t="n">
        <v>1386.1</v>
      </c>
      <c r="J17" s="35" t="n">
        <v>2097.99</v>
      </c>
      <c r="K17" s="35" t="n">
        <v>1993.75</v>
      </c>
      <c r="L17" s="35" t="n">
        <v>1962.85</v>
      </c>
      <c r="M17" s="35" t="n">
        <v>2264.02</v>
      </c>
      <c r="N17" s="36">
        <f>SUM(B17:M17)</f>
        <v/>
      </c>
      <c r="O17" s="37">
        <f>SUMIF('CED TB'!$R:$R,'CED P&amp;L'!$A17,'CED TB'!C:C)</f>
        <v/>
      </c>
      <c r="P17" s="37">
        <f>SUMIF('CED TB'!$R:$R,'CED P&amp;L'!$A17,'CED TB'!D:D)</f>
        <v/>
      </c>
      <c r="Q17" s="37">
        <f>SUMIF('CED TB'!$R:$R,'CED P&amp;L'!$A17,'CED TB'!E:E)</f>
        <v/>
      </c>
      <c r="R17" s="37">
        <f>SUMIF('CED TB'!$R:$R,'CED P&amp;L'!$A17,'CED TB'!F:F)</f>
        <v/>
      </c>
      <c r="S17" s="37">
        <f>SUMIF('CED TB'!$R:$R,'CED P&amp;L'!$A17,'CED TB'!G:G)</f>
        <v/>
      </c>
      <c r="T17" s="37">
        <f>SUMIF('CED TB'!$R:$R,'CED P&amp;L'!$A17,'CED TB'!H:H)</f>
        <v/>
      </c>
      <c r="U17" s="37">
        <f>SUMIF('CED TB'!$R:$R,'CED P&amp;L'!$A17,'CED TB'!I:I)</f>
        <v/>
      </c>
      <c r="V17" s="38" t="n">
        <v>2763.77</v>
      </c>
      <c r="W17" s="38" t="n">
        <v>2763.77</v>
      </c>
      <c r="X17" s="38" t="n">
        <v>2763.77</v>
      </c>
      <c r="Y17" s="38" t="n">
        <v>2763.77</v>
      </c>
      <c r="Z17" s="38" t="n">
        <v>2763.77</v>
      </c>
      <c r="AA17" s="36">
        <f>SUM(O17:U17)</f>
        <v/>
      </c>
      <c r="AB17" s="36">
        <f>SUM(O17:Z17)</f>
        <v/>
      </c>
      <c r="AC17" s="38" t="n">
        <v>2763.77</v>
      </c>
      <c r="AD17" s="38" t="n">
        <v>2763.77</v>
      </c>
      <c r="AE17" s="38" t="n">
        <v>2763.77</v>
      </c>
      <c r="AF17" s="38" t="n">
        <v>2763.77</v>
      </c>
      <c r="AG17" s="38" t="n">
        <v>2763.77</v>
      </c>
      <c r="AH17" s="38" t="n">
        <v>2763.77</v>
      </c>
      <c r="AI17" s="118" t="n">
        <v>2763.77</v>
      </c>
      <c r="AJ17" s="119" t="n">
        <v>2763.77</v>
      </c>
      <c r="AK17" s="119" t="n">
        <v>2763.77</v>
      </c>
      <c r="AL17" s="119" t="n">
        <v>2763.77</v>
      </c>
      <c r="AM17" s="120" t="n">
        <v>2763.77</v>
      </c>
      <c r="AN17" s="118" t="n">
        <v>2763.77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216.18</v>
      </c>
      <c r="C18" s="35" t="n">
        <v>203.88</v>
      </c>
      <c r="D18" s="35" t="n">
        <v>196.57</v>
      </c>
      <c r="E18" s="35" t="n">
        <v>233.26</v>
      </c>
      <c r="F18" s="35" t="n">
        <v>228.75</v>
      </c>
      <c r="G18" s="35" t="n">
        <v>190.93</v>
      </c>
      <c r="H18" s="35" t="n">
        <v>276.28</v>
      </c>
      <c r="I18" s="35" t="n">
        <v>243.1</v>
      </c>
      <c r="J18" s="35" t="n">
        <v>298.73</v>
      </c>
      <c r="K18" s="35" t="n">
        <v>272.53</v>
      </c>
      <c r="L18" s="35" t="n">
        <v>352.17</v>
      </c>
      <c r="M18" s="35" t="n">
        <v>373.97</v>
      </c>
      <c r="N18" s="36">
        <f>SUM(B18:M18)</f>
        <v/>
      </c>
      <c r="O18" s="37">
        <f>SUMIF('CED TB'!$R:$R,'CED P&amp;L'!$A18,'CED TB'!C:C)</f>
        <v/>
      </c>
      <c r="P18" s="37">
        <f>SUMIF('CED TB'!$R:$R,'CED P&amp;L'!$A18,'CED TB'!D:D)</f>
        <v/>
      </c>
      <c r="Q18" s="37">
        <f>SUMIF('CED TB'!$R:$R,'CED P&amp;L'!$A18,'CED TB'!E:E)</f>
        <v/>
      </c>
      <c r="R18" s="37">
        <f>SUMIF('CED TB'!$R:$R,'CED P&amp;L'!$A18,'CED TB'!F:F)</f>
        <v/>
      </c>
      <c r="S18" s="37">
        <f>SUMIF('CED TB'!$R:$R,'CED P&amp;L'!$A18,'CED TB'!G:G)</f>
        <v/>
      </c>
      <c r="T18" s="37">
        <f>SUMIF('CED TB'!$R:$R,'CED P&amp;L'!$A18,'CED TB'!H:H)</f>
        <v/>
      </c>
      <c r="U18" s="37">
        <f>SUMIF('CED TB'!$R:$R,'CED P&amp;L'!$A18,'CED TB'!I:I)</f>
        <v/>
      </c>
      <c r="V18" s="38" t="n">
        <v>478.22</v>
      </c>
      <c r="W18" s="38" t="n">
        <v>478.22</v>
      </c>
      <c r="X18" s="38" t="n">
        <v>478.22</v>
      </c>
      <c r="Y18" s="38" t="n">
        <v>478.22</v>
      </c>
      <c r="Z18" s="38" t="n">
        <v>478.22</v>
      </c>
      <c r="AA18" s="36">
        <f>SUM(O18:U18)</f>
        <v/>
      </c>
      <c r="AB18" s="36">
        <f>SUM(O18:Z18)</f>
        <v/>
      </c>
      <c r="AC18" s="38" t="n">
        <v>478.22</v>
      </c>
      <c r="AD18" s="38" t="n">
        <v>478.22</v>
      </c>
      <c r="AE18" s="38" t="n">
        <v>478.22</v>
      </c>
      <c r="AF18" s="38" t="n">
        <v>478.22</v>
      </c>
      <c r="AG18" s="38" t="n">
        <v>478.22</v>
      </c>
      <c r="AH18" s="38" t="n">
        <v>478.22</v>
      </c>
      <c r="AI18" s="118" t="n">
        <v>478.22</v>
      </c>
      <c r="AJ18" s="119" t="n">
        <v>478.22</v>
      </c>
      <c r="AK18" s="119" t="n">
        <v>478.22</v>
      </c>
      <c r="AL18" s="119" t="n">
        <v>478.22</v>
      </c>
      <c r="AM18" s="120" t="n">
        <v>478.22</v>
      </c>
      <c r="AN18" s="118" t="n">
        <v>478.22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524.28</v>
      </c>
      <c r="D19" s="35" t="n">
        <v>0</v>
      </c>
      <c r="E19" s="35" t="n">
        <v>0</v>
      </c>
      <c r="F19" s="35" t="n">
        <v>100.14</v>
      </c>
      <c r="G19" s="35" t="n">
        <v>100.14</v>
      </c>
      <c r="H19" s="35" t="n">
        <v>0</v>
      </c>
      <c r="I19" s="35" t="n">
        <v>0</v>
      </c>
      <c r="J19" s="35" t="n">
        <v>262.56</v>
      </c>
      <c r="K19" s="35" t="n">
        <v>0</v>
      </c>
      <c r="L19" s="35" t="n">
        <v>0</v>
      </c>
      <c r="M19" s="35" t="n">
        <v>100.14</v>
      </c>
      <c r="N19" s="36">
        <f>SUM(B19:M19)</f>
        <v/>
      </c>
      <c r="O19" s="37">
        <f>SUMIF('CED TB'!$R:$R,'CED P&amp;L'!$A19,'CED TB'!C:C)</f>
        <v/>
      </c>
      <c r="P19" s="37">
        <f>SUMIF('CED TB'!$R:$R,'CED P&amp;L'!$A19,'CED TB'!D:D)</f>
        <v/>
      </c>
      <c r="Q19" s="37">
        <f>SUMIF('CED TB'!$R:$R,'CED P&amp;L'!$A19,'CED TB'!E:E)</f>
        <v/>
      </c>
      <c r="R19" s="37">
        <f>SUMIF('CED TB'!$R:$R,'CED P&amp;L'!$A19,'CED TB'!F:F)</f>
        <v/>
      </c>
      <c r="S19" s="37">
        <f>SUMIF('CED TB'!$R:$R,'CED P&amp;L'!$A19,'CED TB'!G:G)</f>
        <v/>
      </c>
      <c r="T19" s="37">
        <f>SUMIF('CED TB'!$R:$R,'CED P&amp;L'!$A19,'CED TB'!H:H)</f>
        <v/>
      </c>
      <c r="U19" s="37">
        <f>SUMIF('CED TB'!$R:$R,'CED P&amp;L'!$A19,'CED TB'!I:I)</f>
        <v/>
      </c>
      <c r="V19" s="38" t="n">
        <v>6.99</v>
      </c>
      <c r="W19" s="38" t="n">
        <v>6.99</v>
      </c>
      <c r="X19" s="38" t="n">
        <v>6.99</v>
      </c>
      <c r="Y19" s="38" t="n">
        <v>6.99</v>
      </c>
      <c r="Z19" s="38" t="n">
        <v>6.99</v>
      </c>
      <c r="AA19" s="36">
        <f>SUM(O19:U19)</f>
        <v/>
      </c>
      <c r="AB19" s="36">
        <f>SUM(O19:Z19)</f>
        <v/>
      </c>
      <c r="AC19" s="38" t="n">
        <v>6.99</v>
      </c>
      <c r="AD19" s="38" t="n">
        <v>6.99</v>
      </c>
      <c r="AE19" s="38" t="n">
        <v>6.99</v>
      </c>
      <c r="AF19" s="38" t="n">
        <v>6.99</v>
      </c>
      <c r="AG19" s="38" t="n">
        <v>6.99</v>
      </c>
      <c r="AH19" s="38" t="n">
        <v>6.99</v>
      </c>
      <c r="AI19" s="118" t="n">
        <v>6.99</v>
      </c>
      <c r="AJ19" s="119" t="n">
        <v>6.99</v>
      </c>
      <c r="AK19" s="119" t="n">
        <v>6.99</v>
      </c>
      <c r="AL19" s="119" t="n">
        <v>6.99</v>
      </c>
      <c r="AM19" s="120" t="n">
        <v>6.99</v>
      </c>
      <c r="AN19" s="118" t="n">
        <v>6.99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48</v>
      </c>
      <c r="C20" s="35" t="n">
        <v>78</v>
      </c>
      <c r="D20" s="35" t="n">
        <v>0</v>
      </c>
      <c r="E20" s="35" t="n">
        <v>0</v>
      </c>
      <c r="F20" s="35" t="n">
        <v>0</v>
      </c>
      <c r="G20" s="35" t="n">
        <v>72</v>
      </c>
      <c r="H20" s="35" t="n">
        <v>0</v>
      </c>
      <c r="I20" s="35" t="n">
        <v>0</v>
      </c>
      <c r="J20" s="35" t="n">
        <v>216</v>
      </c>
      <c r="K20" s="35" t="n">
        <v>916</v>
      </c>
      <c r="L20" s="35" t="n">
        <v>10</v>
      </c>
      <c r="M20" s="35" t="n">
        <v>686.49</v>
      </c>
      <c r="N20" s="36">
        <f>SUM(B20:M20)</f>
        <v/>
      </c>
      <c r="O20" s="37">
        <f>SUMIF('CED TB'!$R:$R,'CED P&amp;L'!$A20,'CED TB'!C:C)</f>
        <v/>
      </c>
      <c r="P20" s="37">
        <f>SUMIF('CED TB'!$R:$R,'CED P&amp;L'!$A20,'CED TB'!D:D)</f>
        <v/>
      </c>
      <c r="Q20" s="37">
        <f>SUMIF('CED TB'!$R:$R,'CED P&amp;L'!$A20,'CED TB'!E:E)</f>
        <v/>
      </c>
      <c r="R20" s="37">
        <f>SUMIF('CED TB'!$R:$R,'CED P&amp;L'!$A20,'CED TB'!F:F)</f>
        <v/>
      </c>
      <c r="S20" s="37">
        <f>SUMIF('CED TB'!$R:$R,'CED P&amp;L'!$A20,'CED TB'!G:G)</f>
        <v/>
      </c>
      <c r="T20" s="37">
        <f>SUMIF('CED TB'!$R:$R,'CED P&amp;L'!$A20,'CED TB'!H:H)</f>
        <v/>
      </c>
      <c r="U20" s="37">
        <f>SUMIF('CED TB'!$R:$R,'CED P&amp;L'!$A20,'CED TB'!I:I)</f>
        <v/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118" t="n">
        <v>100</v>
      </c>
      <c r="AJ20" s="119" t="n">
        <v>100</v>
      </c>
      <c r="AK20" s="119" t="n">
        <v>100</v>
      </c>
      <c r="AL20" s="119" t="n">
        <v>100</v>
      </c>
      <c r="AM20" s="120" t="n">
        <v>100</v>
      </c>
      <c r="AN20" s="118" t="n">
        <v>100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10</v>
      </c>
      <c r="C21" s="35" t="n">
        <v>108.63</v>
      </c>
      <c r="D21" s="35" t="n">
        <v>61.08</v>
      </c>
      <c r="E21" s="35" t="n">
        <v>109.86</v>
      </c>
      <c r="F21" s="35" t="n">
        <v>137.21</v>
      </c>
      <c r="G21" s="35" t="n">
        <v>52.06</v>
      </c>
      <c r="H21" s="35" t="n">
        <v>92.56999999999999</v>
      </c>
      <c r="I21" s="35" t="n">
        <v>92.28</v>
      </c>
      <c r="J21" s="35" t="n">
        <v>92.52</v>
      </c>
      <c r="K21" s="35" t="n">
        <v>68.13</v>
      </c>
      <c r="L21" s="35" t="n">
        <v>161.98</v>
      </c>
      <c r="M21" s="35" t="n">
        <v>194.07</v>
      </c>
      <c r="N21" s="36">
        <f>SUM(B21:M21)</f>
        <v/>
      </c>
      <c r="O21" s="37">
        <f>SUMIF('CED TB'!$R:$R,'CED P&amp;L'!$A21,'CED TB'!C:C)</f>
        <v/>
      </c>
      <c r="P21" s="37">
        <f>SUMIF('CED TB'!$R:$R,'CED P&amp;L'!$A21,'CED TB'!D:D)</f>
        <v/>
      </c>
      <c r="Q21" s="37">
        <f>SUMIF('CED TB'!$R:$R,'CED P&amp;L'!$A21,'CED TB'!E:E)</f>
        <v/>
      </c>
      <c r="R21" s="37">
        <f>SUMIF('CED TB'!$R:$R,'CED P&amp;L'!$A21,'CED TB'!F:F)</f>
        <v/>
      </c>
      <c r="S21" s="37">
        <f>SUMIF('CED TB'!$R:$R,'CED P&amp;L'!$A21,'CED TB'!G:G)</f>
        <v/>
      </c>
      <c r="T21" s="37">
        <f>SUMIF('CED TB'!$R:$R,'CED P&amp;L'!$A21,'CED TB'!H:H)</f>
        <v/>
      </c>
      <c r="U21" s="37">
        <f>SUMIF('CED TB'!$R:$R,'CED P&amp;L'!$A21,'CED TB'!I:I)</f>
        <v/>
      </c>
      <c r="V21" s="38" t="n">
        <v>150</v>
      </c>
      <c r="W21" s="38" t="n">
        <v>150</v>
      </c>
      <c r="X21" s="38" t="n">
        <v>150</v>
      </c>
      <c r="Y21" s="38" t="n">
        <v>150</v>
      </c>
      <c r="Z21" s="38" t="n">
        <v>150</v>
      </c>
      <c r="AA21" s="36">
        <f>SUM(O21:U21)</f>
        <v/>
      </c>
      <c r="AB21" s="36">
        <f>SUM(O21:Z21)</f>
        <v/>
      </c>
      <c r="AC21" s="38" t="n">
        <v>150</v>
      </c>
      <c r="AD21" s="38" t="n">
        <v>150</v>
      </c>
      <c r="AE21" s="38" t="n">
        <v>150</v>
      </c>
      <c r="AF21" s="38" t="n">
        <v>150</v>
      </c>
      <c r="AG21" s="38" t="n">
        <v>150</v>
      </c>
      <c r="AH21" s="38" t="n">
        <v>150</v>
      </c>
      <c r="AI21" s="118" t="n">
        <v>150</v>
      </c>
      <c r="AJ21" s="119" t="n">
        <v>150</v>
      </c>
      <c r="AK21" s="119" t="n">
        <v>150</v>
      </c>
      <c r="AL21" s="119" t="n">
        <v>150</v>
      </c>
      <c r="AM21" s="120" t="n">
        <v>150</v>
      </c>
      <c r="AN21" s="118" t="n">
        <v>150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5040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3650.4</v>
      </c>
      <c r="N22" s="36">
        <f>SUM(B22:M22)</f>
        <v/>
      </c>
      <c r="O22" s="37">
        <f>SUMIF('CED TB'!$R:$R,'CED P&amp;L'!$A22,'CED TB'!C:C)</f>
        <v/>
      </c>
      <c r="P22" s="37">
        <f>SUMIF('CED TB'!$R:$R,'CED P&amp;L'!$A22,'CED TB'!D:D)</f>
        <v/>
      </c>
      <c r="Q22" s="37">
        <f>SUMIF('CED TB'!$R:$R,'CED P&amp;L'!$A22,'CED TB'!E:E)</f>
        <v/>
      </c>
      <c r="R22" s="37">
        <f>SUMIF('CED TB'!$R:$R,'CED P&amp;L'!$A22,'CED TB'!F:F)</f>
        <v/>
      </c>
      <c r="S22" s="37">
        <f>SUMIF('CED TB'!$R:$R,'CED P&amp;L'!$A22,'CED TB'!G:G)</f>
        <v/>
      </c>
      <c r="T22" s="37">
        <f>SUMIF('CED TB'!$R:$R,'CED P&amp;L'!$A22,'CED TB'!H:H)</f>
        <v/>
      </c>
      <c r="U22" s="37">
        <f>SUMIF('CED TB'!$R:$R,'CED P&amp;L'!$A22,'CED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8" t="n">
        <v>0</v>
      </c>
      <c r="AJ22" s="119" t="n">
        <v>0</v>
      </c>
      <c r="AK22" s="119" t="n">
        <v>0</v>
      </c>
      <c r="AL22" s="119" t="n">
        <v>0</v>
      </c>
      <c r="AM22" s="120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10</v>
      </c>
      <c r="I23" s="35" t="n">
        <v>10</v>
      </c>
      <c r="J23" s="35" t="n">
        <v>0</v>
      </c>
      <c r="K23" s="35" t="n">
        <v>0</v>
      </c>
      <c r="L23" s="35" t="n">
        <v>0</v>
      </c>
      <c r="M23" s="35" t="n">
        <v>12.99</v>
      </c>
      <c r="N23" s="36">
        <f>SUM(B23:M23)</f>
        <v/>
      </c>
      <c r="O23" s="37">
        <f>SUMIF('CED TB'!$R:$R,'CED P&amp;L'!$A23,'CED TB'!C:C)</f>
        <v/>
      </c>
      <c r="P23" s="37">
        <f>SUMIF('CED TB'!$R:$R,'CED P&amp;L'!$A23,'CED TB'!D:D)</f>
        <v/>
      </c>
      <c r="Q23" s="37">
        <f>SUMIF('CED TB'!$R:$R,'CED P&amp;L'!$A23,'CED TB'!E:E)</f>
        <v/>
      </c>
      <c r="R23" s="37">
        <f>SUMIF('CED TB'!$R:$R,'CED P&amp;L'!$A23,'CED TB'!F:F)</f>
        <v/>
      </c>
      <c r="S23" s="37">
        <f>SUMIF('CED TB'!$R:$R,'CED P&amp;L'!$A23,'CED TB'!G:G)</f>
        <v/>
      </c>
      <c r="T23" s="37">
        <f>SUMIF('CED TB'!$R:$R,'CED P&amp;L'!$A23,'CED TB'!H:H)</f>
        <v/>
      </c>
      <c r="U23" s="37">
        <f>SUMIF('CED TB'!$R:$R,'CED P&amp;L'!$A23,'CED TB'!I:I)</f>
        <v/>
      </c>
      <c r="V23" s="38" t="n">
        <v>42</v>
      </c>
      <c r="W23" s="38" t="n">
        <v>42</v>
      </c>
      <c r="X23" s="38" t="n">
        <v>42</v>
      </c>
      <c r="Y23" s="38" t="n">
        <v>42</v>
      </c>
      <c r="Z23" s="38" t="n">
        <v>42</v>
      </c>
      <c r="AA23" s="36">
        <f>SUM(O23:U23)</f>
        <v/>
      </c>
      <c r="AB23" s="36">
        <f>SUM(O23:Z23)</f>
        <v/>
      </c>
      <c r="AC23" s="38" t="n">
        <v>42</v>
      </c>
      <c r="AD23" s="38" t="n">
        <v>42</v>
      </c>
      <c r="AE23" s="38" t="n">
        <v>42</v>
      </c>
      <c r="AF23" s="38" t="n">
        <v>42</v>
      </c>
      <c r="AG23" s="38" t="n">
        <v>42</v>
      </c>
      <c r="AH23" s="38" t="n">
        <v>42</v>
      </c>
      <c r="AI23" s="118" t="n">
        <v>42</v>
      </c>
      <c r="AJ23" s="119" t="n">
        <v>42</v>
      </c>
      <c r="AK23" s="119" t="n">
        <v>42</v>
      </c>
      <c r="AL23" s="119" t="n">
        <v>42</v>
      </c>
      <c r="AM23" s="120" t="n">
        <v>42</v>
      </c>
      <c r="AN23" s="118" t="n">
        <v>42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SUMIF('CED TB'!$R:$R,'CED P&amp;L'!$A24,'CED TB'!C:C)</f>
        <v/>
      </c>
      <c r="P24" s="37">
        <f>SUMIF('CED TB'!$R:$R,'CED P&amp;L'!$A24,'CED TB'!D:D)</f>
        <v/>
      </c>
      <c r="Q24" s="37">
        <f>SUMIF('CED TB'!$R:$R,'CED P&amp;L'!$A24,'CED TB'!E:E)</f>
        <v/>
      </c>
      <c r="R24" s="37">
        <f>SUMIF('CED TB'!$R:$R,'CED P&amp;L'!$A24,'CED TB'!F:F)</f>
        <v/>
      </c>
      <c r="S24" s="37">
        <f>SUMIF('CED TB'!$R:$R,'CED P&amp;L'!$A24,'CED TB'!G:G)</f>
        <v/>
      </c>
      <c r="T24" s="37">
        <f>SUMIF('CED TB'!$R:$R,'CED P&amp;L'!$A24,'CED TB'!H:H)</f>
        <v/>
      </c>
      <c r="U24" s="37">
        <f>SUMIF('CED TB'!$R:$R,'CED P&amp;L'!$A24,'CED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8" t="n">
        <v>0</v>
      </c>
      <c r="AJ24" s="119" t="n">
        <v>0</v>
      </c>
      <c r="AK24" s="119" t="n">
        <v>0</v>
      </c>
      <c r="AL24" s="119" t="n">
        <v>0</v>
      </c>
      <c r="AM24" s="120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17451.15</v>
      </c>
      <c r="C25" s="42" t="n">
        <v>22503.06</v>
      </c>
      <c r="D25" s="42" t="n">
        <v>18538.75</v>
      </c>
      <c r="E25" s="42" t="n">
        <v>21891.12</v>
      </c>
      <c r="F25" s="42" t="n">
        <v>21915.34</v>
      </c>
      <c r="G25" s="42" t="n">
        <v>17979.86</v>
      </c>
      <c r="H25" s="42" t="n">
        <v>21552.34</v>
      </c>
      <c r="I25" s="42" t="n">
        <v>16690.85</v>
      </c>
      <c r="J25" s="42" t="n">
        <v>22841.72</v>
      </c>
      <c r="K25" s="42" t="n">
        <v>21288.75</v>
      </c>
      <c r="L25" s="42" t="n">
        <v>20753.77</v>
      </c>
      <c r="M25" s="42" t="n">
        <v>28815.25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3">
        <f>SUM(AI16:AI24)</f>
        <v/>
      </c>
      <c r="AJ25" s="124">
        <f>SUM(AJ16:AJ24)</f>
        <v/>
      </c>
      <c r="AK25" s="124">
        <f>SUM(AK16:AK24)</f>
        <v/>
      </c>
      <c r="AL25" s="124">
        <f>SUM(AL16:AL24)</f>
        <v/>
      </c>
      <c r="AM25" s="124">
        <f>SUM(AM16:AM24)</f>
        <v/>
      </c>
      <c r="AN25" s="123">
        <f>SUM(AN16:AN24)</f>
        <v/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7" t="n">
        <v>0</v>
      </c>
      <c r="AJ26" s="128" t="n">
        <v>0</v>
      </c>
      <c r="AK26" s="128" t="n">
        <v>0</v>
      </c>
      <c r="AL26" s="128" t="n">
        <v>0</v>
      </c>
      <c r="AM26" s="129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859.26</v>
      </c>
      <c r="C27" s="35" t="n">
        <v>893.4</v>
      </c>
      <c r="D27" s="35" t="n">
        <v>921.17</v>
      </c>
      <c r="E27" s="35" t="n">
        <v>956.59</v>
      </c>
      <c r="F27" s="35" t="n">
        <v>1358.48</v>
      </c>
      <c r="G27" s="35" t="n">
        <v>1340.98</v>
      </c>
      <c r="H27" s="35" t="n">
        <v>1025.84</v>
      </c>
      <c r="I27" s="35" t="n">
        <v>1548.48</v>
      </c>
      <c r="J27" s="35" t="n">
        <v>1219.43</v>
      </c>
      <c r="K27" s="35" t="n">
        <v>1491.26</v>
      </c>
      <c r="L27" s="35" t="n">
        <v>1275.79</v>
      </c>
      <c r="M27" s="35" t="n">
        <v>904</v>
      </c>
      <c r="N27" s="36">
        <f>SUM(B27:M27)</f>
        <v/>
      </c>
      <c r="O27" s="37">
        <f>SUMIF('CED TB'!$R:$R,'CED P&amp;L'!$A27,'CED TB'!C:C)</f>
        <v/>
      </c>
      <c r="P27" s="37">
        <f>SUMIF('CED TB'!$R:$R,'CED P&amp;L'!$A27,'CED TB'!D:D)</f>
        <v/>
      </c>
      <c r="Q27" s="37">
        <f>SUMIF('CED TB'!$R:$R,'CED P&amp;L'!$A27,'CED TB'!E:E)</f>
        <v/>
      </c>
      <c r="R27" s="37">
        <f>SUMIF('CED TB'!$R:$R,'CED P&amp;L'!$A27,'CED TB'!F:F)</f>
        <v/>
      </c>
      <c r="S27" s="37">
        <f>SUMIF('CED TB'!$R:$R,'CED P&amp;L'!$A27,'CED TB'!G:G)</f>
        <v/>
      </c>
      <c r="T27" s="37">
        <f>SUMIF('CED TB'!$R:$R,'CED P&amp;L'!$A27,'CED TB'!H:H)</f>
        <v/>
      </c>
      <c r="U27" s="37">
        <f>SUMIF('CED TB'!$R:$R,'CED P&amp;L'!$A27,'CED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18" t="n">
        <v>0</v>
      </c>
      <c r="AJ27" s="119" t="n">
        <v>0</v>
      </c>
      <c r="AK27" s="119" t="n">
        <v>0</v>
      </c>
      <c r="AL27" s="119" t="n">
        <v>0</v>
      </c>
      <c r="AM27" s="120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183.52</v>
      </c>
      <c r="C28" s="35" t="n">
        <v>90.92999999999999</v>
      </c>
      <c r="D28" s="35" t="n">
        <v>151.06</v>
      </c>
      <c r="E28" s="35" t="n">
        <v>177.29</v>
      </c>
      <c r="F28" s="35" t="n">
        <v>242.78</v>
      </c>
      <c r="G28" s="35" t="n">
        <v>1990.96</v>
      </c>
      <c r="H28" s="35" t="n">
        <v>406.66</v>
      </c>
      <c r="I28" s="35" t="n">
        <v>353.82</v>
      </c>
      <c r="J28" s="35" t="n">
        <v>175.28</v>
      </c>
      <c r="K28" s="35" t="n">
        <v>16.3</v>
      </c>
      <c r="L28" s="35" t="n">
        <v>60.14</v>
      </c>
      <c r="M28" s="35" t="n">
        <v>19.96</v>
      </c>
      <c r="N28" s="36">
        <f>SUM(B28:M28)</f>
        <v/>
      </c>
      <c r="O28" s="37">
        <f>SUMIF('CED TB'!$R:$R,'CED P&amp;L'!$A28,'CED TB'!C:C)</f>
        <v/>
      </c>
      <c r="P28" s="37">
        <f>SUMIF('CED TB'!$R:$R,'CED P&amp;L'!$A28,'CED TB'!D:D)</f>
        <v/>
      </c>
      <c r="Q28" s="37">
        <f>SUMIF('CED TB'!$R:$R,'CED P&amp;L'!$A28,'CED TB'!E:E)</f>
        <v/>
      </c>
      <c r="R28" s="37">
        <f>SUMIF('CED TB'!$R:$R,'CED P&amp;L'!$A28,'CED TB'!F:F)</f>
        <v/>
      </c>
      <c r="S28" s="37">
        <f>SUMIF('CED TB'!$R:$R,'CED P&amp;L'!$A28,'CED TB'!G:G)</f>
        <v/>
      </c>
      <c r="T28" s="37">
        <f>SUMIF('CED TB'!$R:$R,'CED P&amp;L'!$A28,'CED TB'!H:H)</f>
        <v/>
      </c>
      <c r="U28" s="37">
        <f>SUMIF('CED TB'!$R:$R,'CED P&amp;L'!$A28,'CED TB'!I:I)</f>
        <v/>
      </c>
      <c r="V28" s="38" t="n">
        <v>100</v>
      </c>
      <c r="W28" s="38" t="n">
        <v>100</v>
      </c>
      <c r="X28" s="38" t="n">
        <v>100</v>
      </c>
      <c r="Y28" s="38" t="n">
        <v>100</v>
      </c>
      <c r="Z28" s="38" t="n">
        <v>100</v>
      </c>
      <c r="AA28" s="36">
        <f>SUM(O28:U28)</f>
        <v/>
      </c>
      <c r="AB28" s="36">
        <f>SUM(O28:Z28)</f>
        <v/>
      </c>
      <c r="AC28" s="38" t="n">
        <v>100</v>
      </c>
      <c r="AD28" s="38" t="n">
        <v>100</v>
      </c>
      <c r="AE28" s="38" t="n">
        <v>100</v>
      </c>
      <c r="AF28" s="38" t="n">
        <v>100</v>
      </c>
      <c r="AG28" s="38" t="n">
        <v>100</v>
      </c>
      <c r="AH28" s="38" t="n">
        <v>100</v>
      </c>
      <c r="AI28" s="118" t="n">
        <v>100</v>
      </c>
      <c r="AJ28" s="119" t="n">
        <v>100</v>
      </c>
      <c r="AK28" s="119" t="n">
        <v>100</v>
      </c>
      <c r="AL28" s="119" t="n">
        <v>100</v>
      </c>
      <c r="AM28" s="120" t="n">
        <v>100</v>
      </c>
      <c r="AN28" s="118" t="n">
        <v>100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172.86</v>
      </c>
      <c r="C29" s="35" t="n">
        <v>134.54</v>
      </c>
      <c r="D29" s="35" t="n">
        <v>126.09</v>
      </c>
      <c r="E29" s="35" t="n">
        <v>36.83</v>
      </c>
      <c r="F29" s="35" t="n">
        <v>9.5</v>
      </c>
      <c r="G29" s="35" t="n">
        <v>322.09</v>
      </c>
      <c r="H29" s="35" t="n">
        <v>49.24</v>
      </c>
      <c r="I29" s="35" t="n">
        <v>102.73</v>
      </c>
      <c r="J29" s="35" t="n">
        <v>5.39</v>
      </c>
      <c r="K29" s="35" t="n">
        <v>130.06</v>
      </c>
      <c r="L29" s="35" t="n">
        <v>207.13</v>
      </c>
      <c r="M29" s="35" t="n">
        <v>100.93</v>
      </c>
      <c r="N29" s="36">
        <f>SUM(B29:M29)</f>
        <v/>
      </c>
      <c r="O29" s="37">
        <f>SUMIF('CED TB'!$R:$R,'CED P&amp;L'!$A29,'CED TB'!C:C)</f>
        <v/>
      </c>
      <c r="P29" s="37">
        <f>SUMIF('CED TB'!$R:$R,'CED P&amp;L'!$A29,'CED TB'!D:D)</f>
        <v/>
      </c>
      <c r="Q29" s="37">
        <f>SUMIF('CED TB'!$R:$R,'CED P&amp;L'!$A29,'CED TB'!E:E)</f>
        <v/>
      </c>
      <c r="R29" s="37">
        <f>SUMIF('CED TB'!$R:$R,'CED P&amp;L'!$A29,'CED TB'!F:F)</f>
        <v/>
      </c>
      <c r="S29" s="37">
        <f>SUMIF('CED TB'!$R:$R,'CED P&amp;L'!$A29,'CED TB'!G:G)</f>
        <v/>
      </c>
      <c r="T29" s="37">
        <f>SUMIF('CED TB'!$R:$R,'CED P&amp;L'!$A29,'CED TB'!H:H)</f>
        <v/>
      </c>
      <c r="U29" s="37">
        <f>SUMIF('CED TB'!$R:$R,'CED P&amp;L'!$A29,'CED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18" t="n">
        <v>0</v>
      </c>
      <c r="AJ29" s="119" t="n">
        <v>0</v>
      </c>
      <c r="AK29" s="119" t="n">
        <v>0</v>
      </c>
      <c r="AL29" s="119" t="n">
        <v>0</v>
      </c>
      <c r="AM29" s="120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92.48999999999999</v>
      </c>
      <c r="C30" s="35" t="n">
        <v>10.97</v>
      </c>
      <c r="D30" s="35" t="n">
        <v>0</v>
      </c>
      <c r="E30" s="35" t="n">
        <v>10.29</v>
      </c>
      <c r="F30" s="35" t="n">
        <v>45.52</v>
      </c>
      <c r="G30" s="35" t="n">
        <v>52.51000000000001</v>
      </c>
      <c r="H30" s="35" t="n">
        <v>31.85</v>
      </c>
      <c r="I30" s="35" t="n">
        <v>57.34</v>
      </c>
      <c r="J30" s="35" t="n">
        <v>65.91</v>
      </c>
      <c r="K30" s="35" t="n">
        <v>51.77</v>
      </c>
      <c r="L30" s="35" t="n">
        <v>20.32</v>
      </c>
      <c r="M30" s="35" t="n">
        <v>86.42</v>
      </c>
      <c r="N30" s="36">
        <f>SUM(B30:M30)</f>
        <v/>
      </c>
      <c r="O30" s="37">
        <f>SUMIF('CED TB'!$R:$R,'CED P&amp;L'!$A30,'CED TB'!C:C)</f>
        <v/>
      </c>
      <c r="P30" s="37">
        <f>SUMIF('CED TB'!$R:$R,'CED P&amp;L'!$A30,'CED TB'!D:D)</f>
        <v/>
      </c>
      <c r="Q30" s="37">
        <f>SUMIF('CED TB'!$R:$R,'CED P&amp;L'!$A30,'CED TB'!E:E)</f>
        <v/>
      </c>
      <c r="R30" s="37">
        <f>SUMIF('CED TB'!$R:$R,'CED P&amp;L'!$A30,'CED TB'!F:F)</f>
        <v/>
      </c>
      <c r="S30" s="37">
        <f>SUMIF('CED TB'!$R:$R,'CED P&amp;L'!$A30,'CED TB'!G:G)</f>
        <v/>
      </c>
      <c r="T30" s="37">
        <f>SUMIF('CED TB'!$R:$R,'CED P&amp;L'!$A30,'CED TB'!H:H)</f>
        <v/>
      </c>
      <c r="U30" s="37">
        <f>SUMIF('CED TB'!$R:$R,'CED P&amp;L'!$A30,'CED TB'!I:I)</f>
        <v/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118" t="n">
        <v>100</v>
      </c>
      <c r="AJ30" s="119" t="n">
        <v>100</v>
      </c>
      <c r="AK30" s="119" t="n">
        <v>100</v>
      </c>
      <c r="AL30" s="119" t="n">
        <v>100</v>
      </c>
      <c r="AM30" s="120" t="n">
        <v>100</v>
      </c>
      <c r="AN30" s="118" t="n">
        <v>100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243.75</v>
      </c>
      <c r="C31" s="35" t="n">
        <v>56.46000000000001</v>
      </c>
      <c r="D31" s="35" t="n">
        <v>68.98</v>
      </c>
      <c r="E31" s="35" t="n">
        <v>0</v>
      </c>
      <c r="F31" s="35" t="n">
        <v>446.65</v>
      </c>
      <c r="G31" s="35" t="n">
        <v>238.6</v>
      </c>
      <c r="H31" s="35" t="n">
        <v>206.36</v>
      </c>
      <c r="I31" s="35" t="n">
        <v>17.01</v>
      </c>
      <c r="J31" s="35" t="n">
        <v>146.95</v>
      </c>
      <c r="K31" s="35" t="n">
        <v>217.2</v>
      </c>
      <c r="L31" s="35" t="n">
        <v>103.41</v>
      </c>
      <c r="M31" s="35" t="n">
        <v>87.67999999999999</v>
      </c>
      <c r="N31" s="36">
        <f>SUM(B31:M31)</f>
        <v/>
      </c>
      <c r="O31" s="37">
        <f>SUMIF('CED TB'!$R:$R,'CED P&amp;L'!$A31,'CED TB'!C:C)</f>
        <v/>
      </c>
      <c r="P31" s="37">
        <f>SUMIF('CED TB'!$R:$R,'CED P&amp;L'!$A31,'CED TB'!D:D)</f>
        <v/>
      </c>
      <c r="Q31" s="37">
        <f>SUMIF('CED TB'!$R:$R,'CED P&amp;L'!$A31,'CED TB'!E:E)</f>
        <v/>
      </c>
      <c r="R31" s="37">
        <f>SUMIF('CED TB'!$R:$R,'CED P&amp;L'!$A31,'CED TB'!F:F)</f>
        <v/>
      </c>
      <c r="S31" s="37">
        <f>SUMIF('CED TB'!$R:$R,'CED P&amp;L'!$A31,'CED TB'!G:G)</f>
        <v/>
      </c>
      <c r="T31" s="37">
        <f>SUMIF('CED TB'!$R:$R,'CED P&amp;L'!$A31,'CED TB'!H:H)</f>
        <v/>
      </c>
      <c r="U31" s="37">
        <f>SUMIF('CED TB'!$R:$R,'CED P&amp;L'!$A31,'CED TB'!I:I)</f>
        <v/>
      </c>
      <c r="V31" s="38" t="n">
        <v>100</v>
      </c>
      <c r="W31" s="38" t="n">
        <v>100</v>
      </c>
      <c r="X31" s="38" t="n">
        <v>100</v>
      </c>
      <c r="Y31" s="38" t="n">
        <v>100</v>
      </c>
      <c r="Z31" s="38" t="n">
        <v>100</v>
      </c>
      <c r="AA31" s="36">
        <f>SUM(O31:U31)</f>
        <v/>
      </c>
      <c r="AB31" s="36">
        <f>SUM(O31:Z31)</f>
        <v/>
      </c>
      <c r="AC31" s="38" t="n">
        <v>100</v>
      </c>
      <c r="AD31" s="38" t="n">
        <v>100</v>
      </c>
      <c r="AE31" s="38" t="n">
        <v>100</v>
      </c>
      <c r="AF31" s="38" t="n">
        <v>100</v>
      </c>
      <c r="AG31" s="38" t="n">
        <v>100</v>
      </c>
      <c r="AH31" s="38" t="n">
        <v>100</v>
      </c>
      <c r="AI31" s="118" t="n">
        <v>100</v>
      </c>
      <c r="AJ31" s="119" t="n">
        <v>100</v>
      </c>
      <c r="AK31" s="119" t="n">
        <v>100</v>
      </c>
      <c r="AL31" s="119" t="n">
        <v>100</v>
      </c>
      <c r="AM31" s="120" t="n">
        <v>100</v>
      </c>
      <c r="AN31" s="118" t="n">
        <v>100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199</v>
      </c>
      <c r="C32" s="35" t="n">
        <v>155.17</v>
      </c>
      <c r="D32" s="35" t="n">
        <v>155.48</v>
      </c>
      <c r="E32" s="35" t="n">
        <v>187.34</v>
      </c>
      <c r="F32" s="35" t="n">
        <v>78.37</v>
      </c>
      <c r="G32" s="35" t="n">
        <v>65.61</v>
      </c>
      <c r="H32" s="35" t="n">
        <v>513.23</v>
      </c>
      <c r="I32" s="35" t="n">
        <v>255.27</v>
      </c>
      <c r="J32" s="35" t="n">
        <v>0</v>
      </c>
      <c r="K32" s="35" t="n">
        <v>39.19</v>
      </c>
      <c r="L32" s="35" t="n">
        <v>0</v>
      </c>
      <c r="M32" s="35" t="n">
        <v>72.90000000000001</v>
      </c>
      <c r="N32" s="36">
        <f>SUM(B32:M32)</f>
        <v/>
      </c>
      <c r="O32" s="37">
        <f>SUMIF('CED TB'!$R:$R,'CED P&amp;L'!$A32,'CED TB'!C:C)</f>
        <v/>
      </c>
      <c r="P32" s="37">
        <f>SUMIF('CED TB'!$R:$R,'CED P&amp;L'!$A32,'CED TB'!D:D)</f>
        <v/>
      </c>
      <c r="Q32" s="37">
        <f>SUMIF('CED TB'!$R:$R,'CED P&amp;L'!$A32,'CED TB'!E:E)</f>
        <v/>
      </c>
      <c r="R32" s="37">
        <f>SUMIF('CED TB'!$R:$R,'CED P&amp;L'!$A32,'CED TB'!F:F)</f>
        <v/>
      </c>
      <c r="S32" s="37">
        <f>SUMIF('CED TB'!$R:$R,'CED P&amp;L'!$A32,'CED TB'!G:G)</f>
        <v/>
      </c>
      <c r="T32" s="37">
        <f>SUMIF('CED TB'!$R:$R,'CED P&amp;L'!$A32,'CED TB'!H:H)</f>
        <v/>
      </c>
      <c r="U32" s="37">
        <f>SUMIF('CED TB'!$R:$R,'CED P&amp;L'!$A32,'CED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18" t="n">
        <v>0</v>
      </c>
      <c r="AJ32" s="119" t="n">
        <v>0</v>
      </c>
      <c r="AK32" s="119" t="n">
        <v>0</v>
      </c>
      <c r="AL32" s="119" t="n">
        <v>0</v>
      </c>
      <c r="AM32" s="120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SUMIF('CED TB'!$R:$R,'CED P&amp;L'!$A33,'CED TB'!C:C)</f>
        <v/>
      </c>
      <c r="P33" s="37">
        <f>SUMIF('CED TB'!$R:$R,'CED P&amp;L'!$A33,'CED TB'!D:D)</f>
        <v/>
      </c>
      <c r="Q33" s="37">
        <f>SUMIF('CED TB'!$R:$R,'CED P&amp;L'!$A33,'CED TB'!E:E)</f>
        <v/>
      </c>
      <c r="R33" s="37">
        <f>SUMIF('CED TB'!$R:$R,'CED P&amp;L'!$A33,'CED TB'!F:F)</f>
        <v/>
      </c>
      <c r="S33" s="37">
        <f>SUMIF('CED TB'!$R:$R,'CED P&amp;L'!$A33,'CED TB'!G:G)</f>
        <v/>
      </c>
      <c r="T33" s="37">
        <f>SUMIF('CED TB'!$R:$R,'CED P&amp;L'!$A33,'CED TB'!H:H)</f>
        <v/>
      </c>
      <c r="U33" s="37">
        <f>SUMIF('CED TB'!$R:$R,'CED P&amp;L'!$A33,'CED TB'!I:I)</f>
        <v/>
      </c>
      <c r="V33" s="38" t="n">
        <v>0</v>
      </c>
      <c r="W33" s="38" t="n">
        <v>0</v>
      </c>
      <c r="X33" s="38" t="n">
        <v>0</v>
      </c>
      <c r="Y33" s="38" t="n">
        <v>0</v>
      </c>
      <c r="Z33" s="38" t="n">
        <v>0</v>
      </c>
      <c r="AA33" s="36">
        <f>SUM(O33:U33)</f>
        <v/>
      </c>
      <c r="AB33" s="36">
        <f>SUM(O33:Z33)</f>
        <v/>
      </c>
      <c r="AC33" s="38" t="n">
        <v>0</v>
      </c>
      <c r="AD33" s="38" t="n">
        <v>0</v>
      </c>
      <c r="AE33" s="38" t="n">
        <v>0</v>
      </c>
      <c r="AF33" s="38" t="n">
        <v>0</v>
      </c>
      <c r="AG33" s="38" t="n">
        <v>0</v>
      </c>
      <c r="AH33" s="38" t="n">
        <v>0</v>
      </c>
      <c r="AI33" s="118" t="n">
        <v>0</v>
      </c>
      <c r="AJ33" s="119" t="n">
        <v>0</v>
      </c>
      <c r="AK33" s="119" t="n">
        <v>0</v>
      </c>
      <c r="AL33" s="119" t="n">
        <v>0</v>
      </c>
      <c r="AM33" s="120" t="n">
        <v>0</v>
      </c>
      <c r="AN33" s="118" t="n">
        <v>0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1750.88</v>
      </c>
      <c r="C34" s="42" t="n">
        <v>1341.47</v>
      </c>
      <c r="D34" s="42" t="n">
        <v>1422.78</v>
      </c>
      <c r="E34" s="42" t="n">
        <v>1368.34</v>
      </c>
      <c r="F34" s="42" t="n">
        <v>2181.3</v>
      </c>
      <c r="G34" s="42" t="n">
        <v>4010.75</v>
      </c>
      <c r="H34" s="42" t="n">
        <v>2233.18</v>
      </c>
      <c r="I34" s="42" t="n">
        <v>2334.650000000001</v>
      </c>
      <c r="J34" s="42" t="n">
        <v>1612.96</v>
      </c>
      <c r="K34" s="42" t="n">
        <v>1945.78</v>
      </c>
      <c r="L34" s="42" t="n">
        <v>1666.79</v>
      </c>
      <c r="M34" s="42" t="n">
        <v>1271.89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3">
        <f>SUM(AI27:AI33)</f>
        <v/>
      </c>
      <c r="AJ34" s="124">
        <f>SUM(AJ27:AJ33)</f>
        <v/>
      </c>
      <c r="AK34" s="124">
        <f>SUM(AK27:AK33)</f>
        <v/>
      </c>
      <c r="AL34" s="124">
        <f>SUM(AL27:AL33)</f>
        <v/>
      </c>
      <c r="AM34" s="124">
        <f>SUM(AM27:AM33)</f>
        <v/>
      </c>
      <c r="AN34" s="123">
        <f>SUM(AN27:AN33)</f>
        <v/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7" t="n">
        <v>0</v>
      </c>
      <c r="AJ35" s="128" t="n">
        <v>0</v>
      </c>
      <c r="AK35" s="128" t="n">
        <v>0</v>
      </c>
      <c r="AL35" s="128" t="n">
        <v>0</v>
      </c>
      <c r="AM35" s="129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SUMIF('CED TB'!$R:$R,'CED P&amp;L'!$A36,'CED TB'!C:C)</f>
        <v/>
      </c>
      <c r="P36" s="37">
        <f>SUMIF('CED TB'!$R:$R,'CED P&amp;L'!$A36,'CED TB'!D:D)</f>
        <v/>
      </c>
      <c r="Q36" s="37">
        <f>SUMIF('CED TB'!$R:$R,'CED P&amp;L'!$A36,'CED TB'!E:E)</f>
        <v/>
      </c>
      <c r="R36" s="37">
        <f>SUMIF('CED TB'!$R:$R,'CED P&amp;L'!$A36,'CED TB'!F:F)</f>
        <v/>
      </c>
      <c r="S36" s="37">
        <f>SUMIF('CED TB'!$R:$R,'CED P&amp;L'!$A36,'CED TB'!G:G)</f>
        <v/>
      </c>
      <c r="T36" s="37">
        <f>SUMIF('CED TB'!$R:$R,'CED P&amp;L'!$A36,'CED TB'!H:H)</f>
        <v/>
      </c>
      <c r="U36" s="37">
        <f>SUMIF('CED TB'!$R:$R,'CED P&amp;L'!$A36,'CED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8" t="n">
        <v>0</v>
      </c>
      <c r="AJ36" s="119" t="n">
        <v>0</v>
      </c>
      <c r="AK36" s="119" t="n">
        <v>0</v>
      </c>
      <c r="AL36" s="119" t="n">
        <v>0</v>
      </c>
      <c r="AM36" s="120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769.29</v>
      </c>
      <c r="C37" s="35" t="n">
        <v>769.29</v>
      </c>
      <c r="D37" s="35" t="n">
        <v>769.29</v>
      </c>
      <c r="E37" s="35" t="n">
        <v>769.29</v>
      </c>
      <c r="F37" s="35" t="n">
        <v>769.29</v>
      </c>
      <c r="G37" s="35" t="n">
        <v>769.29</v>
      </c>
      <c r="H37" s="35" t="n">
        <v>769.29</v>
      </c>
      <c r="I37" s="35" t="n">
        <v>769.29</v>
      </c>
      <c r="J37" s="35" t="n">
        <v>769.29</v>
      </c>
      <c r="K37" s="35" t="n">
        <v>769.29</v>
      </c>
      <c r="L37" s="35" t="n">
        <v>769.29</v>
      </c>
      <c r="M37" s="35" t="n">
        <v>769.29</v>
      </c>
      <c r="N37" s="36">
        <f>SUM(B37:M37)</f>
        <v/>
      </c>
      <c r="O37" s="37">
        <f>SUMIF('CED TB'!$R:$R,'CED P&amp;L'!$A37,'CED TB'!C:C)</f>
        <v/>
      </c>
      <c r="P37" s="37">
        <f>SUMIF('CED TB'!$R:$R,'CED P&amp;L'!$A37,'CED TB'!D:D)</f>
        <v/>
      </c>
      <c r="Q37" s="37">
        <f>SUMIF('CED TB'!$R:$R,'CED P&amp;L'!$A37,'CED TB'!E:E)</f>
        <v/>
      </c>
      <c r="R37" s="37">
        <f>SUMIF('CED TB'!$R:$R,'CED P&amp;L'!$A37,'CED TB'!F:F)</f>
        <v/>
      </c>
      <c r="S37" s="37">
        <f>SUMIF('CED TB'!$R:$R,'CED P&amp;L'!$A37,'CED TB'!G:G)</f>
        <v/>
      </c>
      <c r="T37" s="37">
        <f>SUMIF('CED TB'!$R:$R,'CED P&amp;L'!$A37,'CED TB'!H:H)</f>
        <v/>
      </c>
      <c r="U37" s="37">
        <f>SUMIF('CED TB'!$R:$R,'CED P&amp;L'!$A37,'CED TB'!I:I)</f>
        <v/>
      </c>
      <c r="V37" s="38" t="n">
        <v>736.67</v>
      </c>
      <c r="W37" s="38" t="n">
        <v>736.67</v>
      </c>
      <c r="X37" s="38" t="n">
        <v>736.67</v>
      </c>
      <c r="Y37" s="38" t="n">
        <v>736.67</v>
      </c>
      <c r="Z37" s="38" t="n">
        <v>736.67</v>
      </c>
      <c r="AA37" s="36">
        <f>SUM(O37:U37)</f>
        <v/>
      </c>
      <c r="AB37" s="36">
        <f>SUM(O37:Z37)</f>
        <v/>
      </c>
      <c r="AC37" s="38" t="n">
        <v>736.67</v>
      </c>
      <c r="AD37" s="38" t="n">
        <v>736.67</v>
      </c>
      <c r="AE37" s="38" t="n">
        <v>736.67</v>
      </c>
      <c r="AF37" s="38" t="n">
        <v>736.67</v>
      </c>
      <c r="AG37" s="38" t="n">
        <v>736.67</v>
      </c>
      <c r="AH37" s="38" t="n">
        <v>736.67</v>
      </c>
      <c r="AI37" s="118" t="n">
        <v>736.67</v>
      </c>
      <c r="AJ37" s="119" t="n">
        <v>736.67</v>
      </c>
      <c r="AK37" s="119" t="n">
        <v>736.67</v>
      </c>
      <c r="AL37" s="119" t="n">
        <v>736.67</v>
      </c>
      <c r="AM37" s="120" t="n">
        <v>736.67</v>
      </c>
      <c r="AN37" s="118" t="n">
        <v>736.67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876.66</v>
      </c>
      <c r="C38" s="35" t="n">
        <v>427.76</v>
      </c>
      <c r="D38" s="35" t="n">
        <v>1456.67</v>
      </c>
      <c r="E38" s="35" t="n">
        <v>-952.9899999999998</v>
      </c>
      <c r="F38" s="35" t="n">
        <v>898.87</v>
      </c>
      <c r="G38" s="35" t="n">
        <v>314.48</v>
      </c>
      <c r="H38" s="35" t="n">
        <v>283.44</v>
      </c>
      <c r="I38" s="35" t="n">
        <v>288.93</v>
      </c>
      <c r="J38" s="35" t="n">
        <v>180.99</v>
      </c>
      <c r="K38" s="35" t="n">
        <v>399.17</v>
      </c>
      <c r="L38" s="35" t="n">
        <v>339.71</v>
      </c>
      <c r="M38" s="35" t="n">
        <v>38.67000000000002</v>
      </c>
      <c r="N38" s="36">
        <f>SUM(B38:M38)</f>
        <v/>
      </c>
      <c r="O38" s="37">
        <f>SUMIF('CED TB'!$R:$R,'CED P&amp;L'!$A38,'CED TB'!C:C)</f>
        <v/>
      </c>
      <c r="P38" s="37">
        <f>SUMIF('CED TB'!$R:$R,'CED P&amp;L'!$A38,'CED TB'!D:D)</f>
        <v/>
      </c>
      <c r="Q38" s="37">
        <f>SUMIF('CED TB'!$R:$R,'CED P&amp;L'!$A38,'CED TB'!E:E)</f>
        <v/>
      </c>
      <c r="R38" s="37">
        <f>SUMIF('CED TB'!$R:$R,'CED P&amp;L'!$A38,'CED TB'!F:F)</f>
        <v/>
      </c>
      <c r="S38" s="37">
        <f>SUMIF('CED TB'!$R:$R,'CED P&amp;L'!$A38,'CED TB'!G:G)</f>
        <v/>
      </c>
      <c r="T38" s="37">
        <f>SUMIF('CED TB'!$R:$R,'CED P&amp;L'!$A38,'CED TB'!H:H)</f>
        <v/>
      </c>
      <c r="U38" s="37">
        <f>SUMIF('CED TB'!$R:$R,'CED P&amp;L'!$A38,'CED TB'!I:I)</f>
        <v/>
      </c>
      <c r="V38" s="38" t="n">
        <v>448</v>
      </c>
      <c r="W38" s="38" t="n">
        <v>448</v>
      </c>
      <c r="X38" s="38" t="n">
        <v>448</v>
      </c>
      <c r="Y38" s="38" t="n">
        <v>448</v>
      </c>
      <c r="Z38" s="38" t="n">
        <v>448</v>
      </c>
      <c r="AA38" s="36">
        <f>SUM(O38:U38)</f>
        <v/>
      </c>
      <c r="AB38" s="36">
        <f>SUM(O38:Z38)</f>
        <v/>
      </c>
      <c r="AC38" s="38" t="n">
        <v>448</v>
      </c>
      <c r="AD38" s="38" t="n">
        <v>448</v>
      </c>
      <c r="AE38" s="38" t="n">
        <v>448</v>
      </c>
      <c r="AF38" s="38" t="n">
        <v>448</v>
      </c>
      <c r="AG38" s="38" t="n">
        <v>448</v>
      </c>
      <c r="AH38" s="38" t="n">
        <v>448</v>
      </c>
      <c r="AI38" s="118" t="n">
        <v>448</v>
      </c>
      <c r="AJ38" s="119" t="n">
        <v>448</v>
      </c>
      <c r="AK38" s="119" t="n">
        <v>448</v>
      </c>
      <c r="AL38" s="119" t="n">
        <v>448</v>
      </c>
      <c r="AM38" s="120" t="n">
        <v>448</v>
      </c>
      <c r="AN38" s="118" t="n">
        <v>448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622.5700000000001</v>
      </c>
      <c r="C39" s="35" t="n">
        <v>29.99</v>
      </c>
      <c r="D39" s="35" t="n">
        <v>0</v>
      </c>
      <c r="E39" s="35" t="n">
        <v>0</v>
      </c>
      <c r="F39" s="35" t="n">
        <v>39.52</v>
      </c>
      <c r="G39" s="35" t="n">
        <v>38.49</v>
      </c>
      <c r="H39" s="35" t="n">
        <v>11.88</v>
      </c>
      <c r="I39" s="35" t="n">
        <v>4.99</v>
      </c>
      <c r="J39" s="35" t="n">
        <v>198.21</v>
      </c>
      <c r="K39" s="35" t="n">
        <v>11</v>
      </c>
      <c r="L39" s="35" t="n">
        <v>495.9599999999999</v>
      </c>
      <c r="M39" s="35" t="n">
        <v>747.47</v>
      </c>
      <c r="N39" s="36">
        <f>SUM(B39:M39)</f>
        <v/>
      </c>
      <c r="O39" s="37">
        <f>SUMIF('CED TB'!$R:$R,'CED P&amp;L'!$A39,'CED TB'!C:C)</f>
        <v/>
      </c>
      <c r="P39" s="37">
        <f>SUMIF('CED TB'!$R:$R,'CED P&amp;L'!$A39,'CED TB'!D:D)</f>
        <v/>
      </c>
      <c r="Q39" s="37">
        <f>SUMIF('CED TB'!$R:$R,'CED P&amp;L'!$A39,'CED TB'!E:E)</f>
        <v/>
      </c>
      <c r="R39" s="37">
        <f>SUMIF('CED TB'!$R:$R,'CED P&amp;L'!$A39,'CED TB'!F:F)</f>
        <v/>
      </c>
      <c r="S39" s="37">
        <f>SUMIF('CED TB'!$R:$R,'CED P&amp;L'!$A39,'CED TB'!G:G)</f>
        <v/>
      </c>
      <c r="T39" s="37">
        <f>SUMIF('CED TB'!$R:$R,'CED P&amp;L'!$A39,'CED TB'!H:H)</f>
        <v/>
      </c>
      <c r="U39" s="37">
        <f>SUMIF('CED TB'!$R:$R,'CED P&amp;L'!$A39,'CED TB'!I:I)</f>
        <v/>
      </c>
      <c r="V39" s="38" t="n">
        <v>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8" t="n">
        <v>0</v>
      </c>
      <c r="AJ39" s="119" t="n">
        <v>0</v>
      </c>
      <c r="AK39" s="119" t="n">
        <v>0</v>
      </c>
      <c r="AL39" s="119" t="n">
        <v>0</v>
      </c>
      <c r="AM39" s="120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277.47</v>
      </c>
      <c r="C40" s="35" t="n">
        <v>312.04</v>
      </c>
      <c r="D40" s="35" t="n">
        <v>97.81999999999999</v>
      </c>
      <c r="E40" s="35" t="n">
        <v>304.23</v>
      </c>
      <c r="F40" s="35" t="n">
        <v>397.89</v>
      </c>
      <c r="G40" s="35" t="n">
        <v>132.94</v>
      </c>
      <c r="H40" s="35" t="n">
        <v>215.21</v>
      </c>
      <c r="I40" s="35" t="n">
        <v>111.14</v>
      </c>
      <c r="J40" s="35" t="n">
        <v>34.12</v>
      </c>
      <c r="K40" s="35" t="n">
        <v>237.1</v>
      </c>
      <c r="L40" s="35" t="n">
        <v>312.9</v>
      </c>
      <c r="M40" s="35" t="n">
        <v>226.92</v>
      </c>
      <c r="N40" s="36">
        <f>SUM(B40:M40)</f>
        <v/>
      </c>
      <c r="O40" s="37">
        <f>SUMIF('CED TB'!$R:$R,'CED P&amp;L'!$A40,'CED TB'!C:C)</f>
        <v/>
      </c>
      <c r="P40" s="37">
        <f>SUMIF('CED TB'!$R:$R,'CED P&amp;L'!$A40,'CED TB'!D:D)</f>
        <v/>
      </c>
      <c r="Q40" s="37">
        <f>SUMIF('CED TB'!$R:$R,'CED P&amp;L'!$A40,'CED TB'!E:E)</f>
        <v/>
      </c>
      <c r="R40" s="37">
        <f>SUMIF('CED TB'!$R:$R,'CED P&amp;L'!$A40,'CED TB'!F:F)</f>
        <v/>
      </c>
      <c r="S40" s="37">
        <f>SUMIF('CED TB'!$R:$R,'CED P&amp;L'!$A40,'CED TB'!G:G)</f>
        <v/>
      </c>
      <c r="T40" s="37">
        <f>SUMIF('CED TB'!$R:$R,'CED P&amp;L'!$A40,'CED TB'!H:H)</f>
        <v/>
      </c>
      <c r="U40" s="37">
        <f>SUMIF('CED TB'!$R:$R,'CED P&amp;L'!$A40,'CED TB'!I:I)</f>
        <v/>
      </c>
      <c r="V40" s="38" t="n">
        <v>210</v>
      </c>
      <c r="W40" s="38" t="n">
        <v>210</v>
      </c>
      <c r="X40" s="38" t="n">
        <v>210</v>
      </c>
      <c r="Y40" s="38" t="n">
        <v>210</v>
      </c>
      <c r="Z40" s="38" t="n">
        <v>210</v>
      </c>
      <c r="AA40" s="36">
        <f>SUM(O40:U40)</f>
        <v/>
      </c>
      <c r="AB40" s="36">
        <f>SUM(O40:Z40)</f>
        <v/>
      </c>
      <c r="AC40" s="38" t="n">
        <v>210</v>
      </c>
      <c r="AD40" s="38" t="n">
        <v>210</v>
      </c>
      <c r="AE40" s="38" t="n">
        <v>210</v>
      </c>
      <c r="AF40" s="38" t="n">
        <v>210</v>
      </c>
      <c r="AG40" s="38" t="n">
        <v>210</v>
      </c>
      <c r="AH40" s="38" t="n">
        <v>210</v>
      </c>
      <c r="AI40" s="118" t="n">
        <v>210</v>
      </c>
      <c r="AJ40" s="119" t="n">
        <v>210</v>
      </c>
      <c r="AK40" s="119" t="n">
        <v>210</v>
      </c>
      <c r="AL40" s="119" t="n">
        <v>210</v>
      </c>
      <c r="AM40" s="120" t="n">
        <v>210</v>
      </c>
      <c r="AN40" s="118" t="n">
        <v>210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204</v>
      </c>
      <c r="C41" s="35" t="n">
        <v>377.46</v>
      </c>
      <c r="D41" s="35" t="n">
        <v>255</v>
      </c>
      <c r="E41" s="35" t="n">
        <v>398.32</v>
      </c>
      <c r="F41" s="35" t="n">
        <v>282.34</v>
      </c>
      <c r="G41" s="35" t="n">
        <v>296.99</v>
      </c>
      <c r="H41" s="35" t="n">
        <v>243.58</v>
      </c>
      <c r="I41" s="35" t="n">
        <v>243.58</v>
      </c>
      <c r="J41" s="35" t="n">
        <v>404.69</v>
      </c>
      <c r="K41" s="35" t="n">
        <v>243.58</v>
      </c>
      <c r="L41" s="35" t="n">
        <v>338.48</v>
      </c>
      <c r="M41" s="35" t="n">
        <v>391.89</v>
      </c>
      <c r="N41" s="36">
        <f>SUM(B41:M41)</f>
        <v/>
      </c>
      <c r="O41" s="37">
        <f>SUMIF('CED TB'!$R:$R,'CED P&amp;L'!$A41,'CED TB'!C:C)</f>
        <v/>
      </c>
      <c r="P41" s="37">
        <f>SUMIF('CED TB'!$R:$R,'CED P&amp;L'!$A41,'CED TB'!D:D)</f>
        <v/>
      </c>
      <c r="Q41" s="37">
        <f>SUMIF('CED TB'!$R:$R,'CED P&amp;L'!$A41,'CED TB'!E:E)</f>
        <v/>
      </c>
      <c r="R41" s="37">
        <f>SUMIF('CED TB'!$R:$R,'CED P&amp;L'!$A41,'CED TB'!F:F)</f>
        <v/>
      </c>
      <c r="S41" s="37">
        <f>SUMIF('CED TB'!$R:$R,'CED P&amp;L'!$A41,'CED TB'!G:G)</f>
        <v/>
      </c>
      <c r="T41" s="37">
        <f>SUMIF('CED TB'!$R:$R,'CED P&amp;L'!$A41,'CED TB'!H:H)</f>
        <v/>
      </c>
      <c r="U41" s="37">
        <f>SUMIF('CED TB'!$R:$R,'CED P&amp;L'!$A41,'CED TB'!I:I)</f>
        <v/>
      </c>
      <c r="V41" s="38" t="n">
        <v>300</v>
      </c>
      <c r="W41" s="38" t="n">
        <v>300</v>
      </c>
      <c r="X41" s="38" t="n">
        <v>300</v>
      </c>
      <c r="Y41" s="38" t="n">
        <v>300</v>
      </c>
      <c r="Z41" s="38" t="n">
        <v>300</v>
      </c>
      <c r="AA41" s="36">
        <f>SUM(O41:U41)</f>
        <v/>
      </c>
      <c r="AB41" s="36">
        <f>SUM(O41:Z41)</f>
        <v/>
      </c>
      <c r="AC41" s="38" t="n">
        <v>300</v>
      </c>
      <c r="AD41" s="38" t="n">
        <v>300</v>
      </c>
      <c r="AE41" s="38" t="n">
        <v>300</v>
      </c>
      <c r="AF41" s="38" t="n">
        <v>300</v>
      </c>
      <c r="AG41" s="38" t="n">
        <v>300</v>
      </c>
      <c r="AH41" s="38" t="n">
        <v>300</v>
      </c>
      <c r="AI41" s="118" t="n">
        <v>300</v>
      </c>
      <c r="AJ41" s="119" t="n">
        <v>300</v>
      </c>
      <c r="AK41" s="119" t="n">
        <v>300</v>
      </c>
      <c r="AL41" s="119" t="n">
        <v>300</v>
      </c>
      <c r="AM41" s="120" t="n">
        <v>300</v>
      </c>
      <c r="AN41" s="118" t="n">
        <v>300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52.02</v>
      </c>
      <c r="C42" s="35" t="n">
        <v>41.97</v>
      </c>
      <c r="D42" s="35" t="n">
        <v>46.18</v>
      </c>
      <c r="E42" s="35" t="n">
        <v>47.3</v>
      </c>
      <c r="F42" s="35" t="n">
        <v>35.68</v>
      </c>
      <c r="G42" s="35" t="n">
        <v>66.40000000000001</v>
      </c>
      <c r="H42" s="35" t="n">
        <v>372.16</v>
      </c>
      <c r="I42" s="35" t="n">
        <v>41.5</v>
      </c>
      <c r="J42" s="35" t="n">
        <v>78.95</v>
      </c>
      <c r="K42" s="35" t="n">
        <v>83.34</v>
      </c>
      <c r="L42" s="35" t="n">
        <v>36.06</v>
      </c>
      <c r="M42" s="35" t="n">
        <v>79.34999999999999</v>
      </c>
      <c r="N42" s="36">
        <f>SUM(B42:M42)</f>
        <v/>
      </c>
      <c r="O42" s="37">
        <f>SUMIF('CED TB'!$R:$R,'CED P&amp;L'!$A42,'CED TB'!C:C)</f>
        <v/>
      </c>
      <c r="P42" s="37">
        <f>SUMIF('CED TB'!$R:$R,'CED P&amp;L'!$A42,'CED TB'!D:D)</f>
        <v/>
      </c>
      <c r="Q42" s="37">
        <f>SUMIF('CED TB'!$R:$R,'CED P&amp;L'!$A42,'CED TB'!E:E)</f>
        <v/>
      </c>
      <c r="R42" s="37">
        <f>SUMIF('CED TB'!$R:$R,'CED P&amp;L'!$A42,'CED TB'!F:F)</f>
        <v/>
      </c>
      <c r="S42" s="37">
        <f>SUMIF('CED TB'!$R:$R,'CED P&amp;L'!$A42,'CED TB'!G:G)</f>
        <v/>
      </c>
      <c r="T42" s="37">
        <f>SUMIF('CED TB'!$R:$R,'CED P&amp;L'!$A42,'CED TB'!H:H)</f>
        <v/>
      </c>
      <c r="U42" s="37">
        <f>SUMIF('CED TB'!$R:$R,'CED P&amp;L'!$A42,'CED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8" t="n">
        <v>0</v>
      </c>
      <c r="AJ42" s="119" t="n">
        <v>0</v>
      </c>
      <c r="AK42" s="119" t="n">
        <v>0</v>
      </c>
      <c r="AL42" s="119" t="n">
        <v>0</v>
      </c>
      <c r="AM42" s="120" t="n">
        <v>0</v>
      </c>
      <c r="AN42" s="118" t="n">
        <v>0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SUMIF('CED TB'!$R:$R,'CED P&amp;L'!$A43,'CED TB'!C:C)</f>
        <v/>
      </c>
      <c r="P43" s="37">
        <f>SUMIF('CED TB'!$R:$R,'CED P&amp;L'!$A43,'CED TB'!D:D)</f>
        <v/>
      </c>
      <c r="Q43" s="37">
        <f>SUMIF('CED TB'!$R:$R,'CED P&amp;L'!$A43,'CED TB'!E:E)</f>
        <v/>
      </c>
      <c r="R43" s="37">
        <f>SUMIF('CED TB'!$R:$R,'CED P&amp;L'!$A43,'CED TB'!F:F)</f>
        <v/>
      </c>
      <c r="S43" s="37">
        <f>SUMIF('CED TB'!$R:$R,'CED P&amp;L'!$A43,'CED TB'!G:G)</f>
        <v/>
      </c>
      <c r="T43" s="37">
        <f>SUMIF('CED TB'!$R:$R,'CED P&amp;L'!$A43,'CED TB'!H:H)</f>
        <v/>
      </c>
      <c r="U43" s="37">
        <f>SUMIF('CED TB'!$R:$R,'CED P&amp;L'!$A43,'CED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8" t="n">
        <v>0</v>
      </c>
      <c r="AJ43" s="119" t="n">
        <v>0</v>
      </c>
      <c r="AK43" s="119" t="n">
        <v>0</v>
      </c>
      <c r="AL43" s="119" t="n">
        <v>0</v>
      </c>
      <c r="AM43" s="120" t="n">
        <v>0</v>
      </c>
      <c r="AN43" s="118" t="n">
        <v>0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SUMIF('CED TB'!$R:$R,'CED P&amp;L'!$A44,'CED TB'!C:C)</f>
        <v/>
      </c>
      <c r="P44" s="37">
        <f>SUMIF('CED TB'!$R:$R,'CED P&amp;L'!$A44,'CED TB'!D:D)</f>
        <v/>
      </c>
      <c r="Q44" s="37">
        <f>SUMIF('CED TB'!$R:$R,'CED P&amp;L'!$A44,'CED TB'!E:E)</f>
        <v/>
      </c>
      <c r="R44" s="37">
        <f>SUMIF('CED TB'!$R:$R,'CED P&amp;L'!$A44,'CED TB'!F:F)</f>
        <v/>
      </c>
      <c r="S44" s="37">
        <f>SUMIF('CED TB'!$R:$R,'CED P&amp;L'!$A44,'CED TB'!G:G)</f>
        <v/>
      </c>
      <c r="T44" s="37">
        <f>SUMIF('CED TB'!$R:$R,'CED P&amp;L'!$A44,'CED TB'!H:H)</f>
        <v/>
      </c>
      <c r="U44" s="37">
        <f>SUMIF('CED TB'!$R:$R,'CED P&amp;L'!$A44,'CED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8" t="n">
        <v>0</v>
      </c>
      <c r="AJ44" s="119" t="n">
        <v>0</v>
      </c>
      <c r="AK44" s="119" t="n">
        <v>0</v>
      </c>
      <c r="AL44" s="119" t="n">
        <v>0</v>
      </c>
      <c r="AM44" s="120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220</v>
      </c>
      <c r="D45" s="35" t="n">
        <v>0</v>
      </c>
      <c r="E45" s="35" t="n">
        <v>0</v>
      </c>
      <c r="F45" s="35" t="n">
        <v>0</v>
      </c>
      <c r="G45" s="35" t="n">
        <v>3.98</v>
      </c>
      <c r="H45" s="35" t="n">
        <v>3.75</v>
      </c>
      <c r="I45" s="35" t="n">
        <v>90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SUMIF('CED TB'!$R:$R,'CED P&amp;L'!$A45,'CED TB'!C:C)</f>
        <v/>
      </c>
      <c r="P45" s="37">
        <f>SUMIF('CED TB'!$R:$R,'CED P&amp;L'!$A45,'CED TB'!D:D)</f>
        <v/>
      </c>
      <c r="Q45" s="37">
        <f>SUMIF('CED TB'!$R:$R,'CED P&amp;L'!$A45,'CED TB'!E:E)</f>
        <v/>
      </c>
      <c r="R45" s="37">
        <f>SUMIF('CED TB'!$R:$R,'CED P&amp;L'!$A45,'CED TB'!F:F)</f>
        <v/>
      </c>
      <c r="S45" s="37">
        <f>SUMIF('CED TB'!$R:$R,'CED P&amp;L'!$A45,'CED TB'!G:G)</f>
        <v/>
      </c>
      <c r="T45" s="37">
        <f>SUMIF('CED TB'!$R:$R,'CED P&amp;L'!$A45,'CED TB'!H:H)</f>
        <v/>
      </c>
      <c r="U45" s="37">
        <f>SUMIF('CED TB'!$R:$R,'CED P&amp;L'!$A45,'CED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8" t="n">
        <v>100</v>
      </c>
      <c r="AJ45" s="119" t="n">
        <v>100</v>
      </c>
      <c r="AK45" s="119" t="n">
        <v>100</v>
      </c>
      <c r="AL45" s="119" t="n">
        <v>100</v>
      </c>
      <c r="AM45" s="120" t="n">
        <v>100</v>
      </c>
      <c r="AN45" s="118" t="n">
        <v>100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SUMIF('CED TB'!$R:$R,'CED P&amp;L'!$A46,'CED TB'!C:C)</f>
        <v/>
      </c>
      <c r="P46" s="37">
        <f>SUMIF('CED TB'!$R:$R,'CED P&amp;L'!$A46,'CED TB'!D:D)</f>
        <v/>
      </c>
      <c r="Q46" s="37">
        <f>SUMIF('CED TB'!$R:$R,'CED P&amp;L'!$A46,'CED TB'!E:E)</f>
        <v/>
      </c>
      <c r="R46" s="37">
        <f>SUMIF('CED TB'!$R:$R,'CED P&amp;L'!$A46,'CED TB'!F:F)</f>
        <v/>
      </c>
      <c r="S46" s="37">
        <f>SUMIF('CED TB'!$R:$R,'CED P&amp;L'!$A46,'CED TB'!G:G)</f>
        <v/>
      </c>
      <c r="T46" s="37">
        <f>SUMIF('CED TB'!$R:$R,'CED P&amp;L'!$A46,'CED TB'!H:H)</f>
        <v/>
      </c>
      <c r="U46" s="37">
        <f>SUMIF('CED TB'!$R:$R,'CED P&amp;L'!$A46,'CED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8" t="n">
        <v>0</v>
      </c>
      <c r="AJ46" s="119" t="n">
        <v>0</v>
      </c>
      <c r="AK46" s="119" t="n">
        <v>0</v>
      </c>
      <c r="AL46" s="119" t="n">
        <v>0</v>
      </c>
      <c r="AM46" s="120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2802.01</v>
      </c>
      <c r="C47" s="42" t="n">
        <v>2178.51</v>
      </c>
      <c r="D47" s="42" t="n">
        <v>2624.96</v>
      </c>
      <c r="E47" s="42" t="n">
        <v>566.1500000000001</v>
      </c>
      <c r="F47" s="42" t="n">
        <v>2423.59</v>
      </c>
      <c r="G47" s="42" t="n">
        <v>1622.57</v>
      </c>
      <c r="H47" s="42" t="n">
        <v>1899.31</v>
      </c>
      <c r="I47" s="42" t="n">
        <v>1549.43</v>
      </c>
      <c r="J47" s="42" t="n">
        <v>1666.25</v>
      </c>
      <c r="K47" s="42" t="n">
        <v>1743.48</v>
      </c>
      <c r="L47" s="42" t="n">
        <v>2292.4</v>
      </c>
      <c r="M47" s="42" t="n">
        <v>2253.59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3">
        <f>SUM(AI36:AI46)</f>
        <v/>
      </c>
      <c r="AJ47" s="124">
        <f>SUM(AJ36:AJ46)</f>
        <v/>
      </c>
      <c r="AK47" s="124">
        <f>SUM(AK36:AK46)</f>
        <v/>
      </c>
      <c r="AL47" s="124">
        <f>SUM(AL36:AL46)</f>
        <v/>
      </c>
      <c r="AM47" s="137">
        <f>SUM(AM36:AM46)</f>
        <v/>
      </c>
      <c r="AN47" s="123">
        <f>SUM(AN36:AN46)</f>
        <v/>
      </c>
      <c r="AO47" s="125">
        <f>SUM(AC47:AH47)+SUM(AI47:AN47)</f>
        <v/>
      </c>
      <c r="AP47" s="126">
        <f>IF(AB47&lt;&gt;0,(AO47-AB47)/ABS(AB47),0)</f>
        <v/>
      </c>
    </row>
    <row r="48">
      <c r="A48" s="22" t="inlineStr">
        <is>
          <t>Total Direct Costs</t>
        </is>
      </c>
      <c r="B48" s="23" t="n">
        <v>22004.04</v>
      </c>
      <c r="C48" s="23" t="n">
        <v>26023.04</v>
      </c>
      <c r="D48" s="23" t="n">
        <v>22586.49</v>
      </c>
      <c r="E48" s="23" t="n">
        <v>23825.61</v>
      </c>
      <c r="F48" s="23" t="n">
        <v>26520.23</v>
      </c>
      <c r="G48" s="23" t="n">
        <v>23613.18</v>
      </c>
      <c r="H48" s="23" t="n">
        <v>25684.83</v>
      </c>
      <c r="I48" s="23" t="n">
        <v>20574.93</v>
      </c>
      <c r="J48" s="23" t="n">
        <v>26120.93</v>
      </c>
      <c r="K48" s="23" t="n">
        <v>24978.01</v>
      </c>
      <c r="L48" s="23" t="n">
        <v>24712.96</v>
      </c>
      <c r="M48" s="23" t="n">
        <v>32340.73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3">
        <f>AI25+AI34+AI47</f>
        <v/>
      </c>
      <c r="AJ48" s="147">
        <f>AJ25+AJ34+AJ47</f>
        <v/>
      </c>
      <c r="AK48" s="147">
        <f>AK25+AK34+AK47</f>
        <v/>
      </c>
      <c r="AL48" s="147">
        <f>AL25+AL34+AL47</f>
        <v/>
      </c>
      <c r="AM48" s="147">
        <f>AM25+AM34+AM47</f>
        <v/>
      </c>
      <c r="AN48" s="123">
        <f>AN25+AN34+AN47</f>
        <v/>
      </c>
      <c r="AO48" s="121">
        <f>SUM(AC48:AH48)+SUM(AI48:AN48)</f>
        <v/>
      </c>
      <c r="AP48" s="122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7802.119999999999</v>
      </c>
      <c r="C50" s="55" t="n">
        <v>9313.829999999994</v>
      </c>
      <c r="D50" s="55" t="n">
        <v>19870.49000000001</v>
      </c>
      <c r="E50" s="55" t="n">
        <v>10041.95</v>
      </c>
      <c r="F50" s="55" t="n">
        <v>34.88000000000466</v>
      </c>
      <c r="G50" s="55" t="n">
        <v>13883.58</v>
      </c>
      <c r="H50" s="55" t="n">
        <v>17477.75</v>
      </c>
      <c r="I50" s="55" t="n">
        <v>1925.619999999999</v>
      </c>
      <c r="J50" s="55" t="n">
        <v>-189.0799999999981</v>
      </c>
      <c r="K50" s="55" t="n">
        <v>7037.09</v>
      </c>
      <c r="L50" s="55" t="n">
        <v>5871.779999999999</v>
      </c>
      <c r="M50" s="55" t="n">
        <v>7885.799999999996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0">
        <f>AI11-AI48</f>
        <v/>
      </c>
      <c r="AJ50" s="140">
        <f>AJ11-AJ48</f>
        <v/>
      </c>
      <c r="AK50" s="140">
        <f>AK11-AK48</f>
        <v/>
      </c>
      <c r="AL50" s="140">
        <f>AL11-AL48</f>
        <v/>
      </c>
      <c r="AM50" s="140">
        <f>AM11-AM48</f>
        <v/>
      </c>
      <c r="AN50" s="140">
        <f>AN11-AN48</f>
        <v/>
      </c>
      <c r="AO50" s="141">
        <f>SUM(AC50:AH50)+SUM(AI50:AN50)</f>
        <v/>
      </c>
      <c r="AP50" s="14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SUMIF('CED TB'!$R:$R,'CED P&amp;L'!$A53,'CED TB'!C:C)</f>
        <v/>
      </c>
      <c r="P53" s="37">
        <f>SUMIF('CED TB'!$R:$R,'CED P&amp;L'!$A53,'CED TB'!D:D)</f>
        <v/>
      </c>
      <c r="Q53" s="37">
        <f>SUMIF('CED TB'!$R:$R,'CED P&amp;L'!$A53,'CED TB'!E:E)</f>
        <v/>
      </c>
      <c r="R53" s="37">
        <f>SUMIF('CED TB'!$R:$R,'CED P&amp;L'!$A53,'CED TB'!F:F)</f>
        <v/>
      </c>
      <c r="S53" s="37">
        <f>SUMIF('CED TB'!$R:$R,'CED P&amp;L'!$A53,'CED TB'!G:G)</f>
        <v/>
      </c>
      <c r="T53" s="37">
        <f>SUMIF('CED TB'!$R:$R,'CED P&amp;L'!$A53,'CED TB'!H:H)</f>
        <v/>
      </c>
      <c r="U53" s="37">
        <f>SUMIF('CED TB'!$R:$R,'CED P&amp;L'!$A53,'CED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8" t="n">
        <v>0</v>
      </c>
      <c r="AJ53" s="119" t="n">
        <v>0</v>
      </c>
      <c r="AK53" s="119" t="n">
        <v>0</v>
      </c>
      <c r="AL53" s="119" t="n">
        <v>0</v>
      </c>
      <c r="AM53" s="120" t="n">
        <v>0</v>
      </c>
      <c r="AN53" s="118" t="n">
        <v>0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SUMIF('CED TB'!$R:$R,'CED P&amp;L'!$A54,'CED TB'!C:C)</f>
        <v/>
      </c>
      <c r="P54" s="37">
        <f>SUMIF('CED TB'!$R:$R,'CED P&amp;L'!$A54,'CED TB'!D:D)</f>
        <v/>
      </c>
      <c r="Q54" s="37">
        <f>SUMIF('CED TB'!$R:$R,'CED P&amp;L'!$A54,'CED TB'!E:E)</f>
        <v/>
      </c>
      <c r="R54" s="37">
        <f>SUMIF('CED TB'!$R:$R,'CED P&amp;L'!$A54,'CED TB'!F:F)</f>
        <v/>
      </c>
      <c r="S54" s="37">
        <f>SUMIF('CED TB'!$R:$R,'CED P&amp;L'!$A54,'CED TB'!G:G)</f>
        <v/>
      </c>
      <c r="T54" s="37">
        <f>SUMIF('CED TB'!$R:$R,'CED P&amp;L'!$A54,'CED TB'!H:H)</f>
        <v/>
      </c>
      <c r="U54" s="37">
        <f>SUMIF('CED TB'!$R:$R,'CED P&amp;L'!$A54,'CED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8" t="n">
        <v>0</v>
      </c>
      <c r="AJ54" s="119" t="n">
        <v>0</v>
      </c>
      <c r="AK54" s="119" t="n">
        <v>0</v>
      </c>
      <c r="AL54" s="119" t="n">
        <v>0</v>
      </c>
      <c r="AM54" s="120" t="n">
        <v>0</v>
      </c>
      <c r="AN54" s="118" t="n">
        <v>0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SUMIF('CED TB'!$R:$R,'CED P&amp;L'!$A55,'CED TB'!C:C)</f>
        <v/>
      </c>
      <c r="P55" s="37">
        <f>SUMIF('CED TB'!$R:$R,'CED P&amp;L'!$A55,'CED TB'!D:D)</f>
        <v/>
      </c>
      <c r="Q55" s="37">
        <f>SUMIF('CED TB'!$R:$R,'CED P&amp;L'!$A55,'CED TB'!E:E)</f>
        <v/>
      </c>
      <c r="R55" s="37">
        <f>SUMIF('CED TB'!$R:$R,'CED P&amp;L'!$A55,'CED TB'!F:F)</f>
        <v/>
      </c>
      <c r="S55" s="37">
        <f>SUMIF('CED TB'!$R:$R,'CED P&amp;L'!$A55,'CED TB'!G:G)</f>
        <v/>
      </c>
      <c r="T55" s="37">
        <f>SUMIF('CED TB'!$R:$R,'CED P&amp;L'!$A55,'CED TB'!H:H)</f>
        <v/>
      </c>
      <c r="U55" s="37">
        <f>SUMIF('CED TB'!$R:$R,'CED P&amp;L'!$A55,'CED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8" t="n">
        <v>0</v>
      </c>
      <c r="AJ55" s="119" t="n">
        <v>0</v>
      </c>
      <c r="AK55" s="119" t="n">
        <v>0</v>
      </c>
      <c r="AL55" s="119" t="n">
        <v>0</v>
      </c>
      <c r="AM55" s="120" t="n">
        <v>0</v>
      </c>
      <c r="AN55" s="118" t="n">
        <v>0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SUMIF('CED TB'!$R:$R,'CED P&amp;L'!$A56,'CED TB'!C:C)</f>
        <v/>
      </c>
      <c r="P56" s="37">
        <f>SUMIF('CED TB'!$R:$R,'CED P&amp;L'!$A56,'CED TB'!D:D)</f>
        <v/>
      </c>
      <c r="Q56" s="37">
        <f>SUMIF('CED TB'!$R:$R,'CED P&amp;L'!$A56,'CED TB'!E:E)</f>
        <v/>
      </c>
      <c r="R56" s="37">
        <f>SUMIF('CED TB'!$R:$R,'CED P&amp;L'!$A56,'CED TB'!F:F)</f>
        <v/>
      </c>
      <c r="S56" s="37">
        <f>SUMIF('CED TB'!$R:$R,'CED P&amp;L'!$A56,'CED TB'!G:G)</f>
        <v/>
      </c>
      <c r="T56" s="37">
        <f>SUMIF('CED TB'!$R:$R,'CED P&amp;L'!$A56,'CED TB'!H:H)</f>
        <v/>
      </c>
      <c r="U56" s="37">
        <f>SUMIF('CED TB'!$R:$R,'CED P&amp;L'!$A56,'CED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8" t="n">
        <v>0</v>
      </c>
      <c r="AJ56" s="119" t="n">
        <v>0</v>
      </c>
      <c r="AK56" s="119" t="n">
        <v>0</v>
      </c>
      <c r="AL56" s="119" t="n">
        <v>0</v>
      </c>
      <c r="AM56" s="120" t="n">
        <v>0</v>
      </c>
      <c r="AN56" s="118" t="n">
        <v>0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0</v>
      </c>
      <c r="N57" s="36">
        <f>SUM(B57:M57)</f>
        <v/>
      </c>
      <c r="O57" s="37">
        <f>SUMIF('CED TB'!$R:$R,'CED P&amp;L'!$A57,'CED TB'!C:C)</f>
        <v/>
      </c>
      <c r="P57" s="37">
        <f>SUMIF('CED TB'!$R:$R,'CED P&amp;L'!$A57,'CED TB'!D:D)</f>
        <v/>
      </c>
      <c r="Q57" s="37">
        <f>SUMIF('CED TB'!$R:$R,'CED P&amp;L'!$A57,'CED TB'!E:E)</f>
        <v/>
      </c>
      <c r="R57" s="37">
        <f>SUMIF('CED TB'!$R:$R,'CED P&amp;L'!$A57,'CED TB'!F:F)</f>
        <v/>
      </c>
      <c r="S57" s="37">
        <f>SUMIF('CED TB'!$R:$R,'CED P&amp;L'!$A57,'CED TB'!G:G)</f>
        <v/>
      </c>
      <c r="T57" s="37">
        <f>SUMIF('CED TB'!$R:$R,'CED P&amp;L'!$A57,'CED TB'!H:H)</f>
        <v/>
      </c>
      <c r="U57" s="37">
        <f>SUMIF('CED TB'!$R:$R,'CED P&amp;L'!$A57,'CED TB'!I:I)</f>
        <v/>
      </c>
      <c r="V57" s="38" t="n"/>
      <c r="W57" s="38" t="n"/>
      <c r="X57" s="38" t="n"/>
      <c r="Y57" s="38" t="n"/>
      <c r="Z57" s="38">
        <f>30*10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18" t="n">
        <v>0</v>
      </c>
      <c r="AJ57" s="119" t="n">
        <v>0</v>
      </c>
      <c r="AK57" s="119" t="n">
        <v>0</v>
      </c>
      <c r="AL57" s="119" t="n">
        <v>0</v>
      </c>
      <c r="AM57" s="120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SUMIF('CED TB'!$R:$R,'CED P&amp;L'!$A58,'CED TB'!C:C)</f>
        <v/>
      </c>
      <c r="P58" s="37">
        <f>SUMIF('CED TB'!$R:$R,'CED P&amp;L'!$A58,'CED TB'!D:D)</f>
        <v/>
      </c>
      <c r="Q58" s="37">
        <f>SUMIF('CED TB'!$R:$R,'CED P&amp;L'!$A58,'CED TB'!E:E)</f>
        <v/>
      </c>
      <c r="R58" s="37">
        <f>SUMIF('CED TB'!$R:$R,'CED P&amp;L'!$A58,'CED TB'!F:F)</f>
        <v/>
      </c>
      <c r="S58" s="37">
        <f>SUMIF('CED TB'!$R:$R,'CED P&amp;L'!$A58,'CED TB'!G:G)</f>
        <v/>
      </c>
      <c r="T58" s="37">
        <f>SUMIF('CED TB'!$R:$R,'CED P&amp;L'!$A58,'CED TB'!H:H)</f>
        <v/>
      </c>
      <c r="U58" s="37">
        <f>SUMIF('CED TB'!$R:$R,'CED P&amp;L'!$A58,'CED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8" t="n">
        <v>0</v>
      </c>
      <c r="AJ58" s="119" t="n">
        <v>0</v>
      </c>
      <c r="AK58" s="119" t="n">
        <v>0</v>
      </c>
      <c r="AL58" s="119" t="n">
        <v>0</v>
      </c>
      <c r="AM58" s="120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SUMIF('CED TB'!$R:$R,'CED P&amp;L'!$A59,'CED TB'!C:C)</f>
        <v/>
      </c>
      <c r="P59" s="37">
        <f>SUMIF('CED TB'!$R:$R,'CED P&amp;L'!$A59,'CED TB'!D:D)</f>
        <v/>
      </c>
      <c r="Q59" s="37">
        <f>SUMIF('CED TB'!$R:$R,'CED P&amp;L'!$A59,'CED TB'!E:E)</f>
        <v/>
      </c>
      <c r="R59" s="37">
        <f>SUMIF('CED TB'!$R:$R,'CED P&amp;L'!$A59,'CED TB'!F:F)</f>
        <v/>
      </c>
      <c r="S59" s="37">
        <f>SUMIF('CED TB'!$R:$R,'CED P&amp;L'!$A59,'CED TB'!G:G)</f>
        <v/>
      </c>
      <c r="T59" s="37">
        <f>SUMIF('CED TB'!$R:$R,'CED P&amp;L'!$A59,'CED TB'!H:H)</f>
        <v/>
      </c>
      <c r="U59" s="37">
        <f>SUMIF('CED TB'!$R:$R,'CED P&amp;L'!$A59,'CED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18" t="n">
        <v>0</v>
      </c>
      <c r="AJ59" s="119" t="n">
        <v>0</v>
      </c>
      <c r="AK59" s="119" t="n">
        <v>0</v>
      </c>
      <c r="AL59" s="119" t="n">
        <v>0</v>
      </c>
      <c r="AM59" s="120" t="n">
        <v>0</v>
      </c>
      <c r="AN59" s="118" t="n">
        <v>0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0.6</v>
      </c>
      <c r="C60" s="35" t="n">
        <v>0.6</v>
      </c>
      <c r="D60" s="35" t="n">
        <v>1.2</v>
      </c>
      <c r="E60" s="35" t="n">
        <v>0.6</v>
      </c>
      <c r="F60" s="35" t="n">
        <v>0.6</v>
      </c>
      <c r="G60" s="35" t="n">
        <v>0.6</v>
      </c>
      <c r="H60" s="35" t="n">
        <v>0.6</v>
      </c>
      <c r="I60" s="35" t="n">
        <v>0.6</v>
      </c>
      <c r="J60" s="35" t="n">
        <v>1.8</v>
      </c>
      <c r="K60" s="35" t="n">
        <v>1.2</v>
      </c>
      <c r="L60" s="35" t="n">
        <v>1.2</v>
      </c>
      <c r="M60" s="35" t="n">
        <v>1.2</v>
      </c>
      <c r="N60" s="36">
        <f>SUM(B60:M60)</f>
        <v/>
      </c>
      <c r="O60" s="37">
        <f>SUMIF('CED TB'!$R:$R,'CED P&amp;L'!$A60,'CED TB'!C:C)</f>
        <v/>
      </c>
      <c r="P60" s="37">
        <f>SUMIF('CED TB'!$R:$R,'CED P&amp;L'!$A60,'CED TB'!D:D)</f>
        <v/>
      </c>
      <c r="Q60" s="37">
        <f>SUMIF('CED TB'!$R:$R,'CED P&amp;L'!$A60,'CED TB'!E:E)</f>
        <v/>
      </c>
      <c r="R60" s="37">
        <f>SUMIF('CED TB'!$R:$R,'CED P&amp;L'!$A60,'CED TB'!F:F)</f>
        <v/>
      </c>
      <c r="S60" s="37">
        <f>SUMIF('CED TB'!$R:$R,'CED P&amp;L'!$A60,'CED TB'!G:G)</f>
        <v/>
      </c>
      <c r="T60" s="37">
        <f>SUMIF('CED TB'!$R:$R,'CED P&amp;L'!$A60,'CED TB'!H:H)</f>
        <v/>
      </c>
      <c r="U60" s="37">
        <f>SUMIF('CED TB'!$R:$R,'CED P&amp;L'!$A60,'CED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8" t="n">
        <v>0</v>
      </c>
      <c r="AJ60" s="119" t="n">
        <v>0</v>
      </c>
      <c r="AK60" s="119" t="n">
        <v>0</v>
      </c>
      <c r="AL60" s="119" t="n">
        <v>0</v>
      </c>
      <c r="AM60" s="120" t="n">
        <v>0</v>
      </c>
      <c r="AN60" s="118" t="n">
        <v>0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20.98</v>
      </c>
      <c r="G61" s="35" t="n">
        <v>13.99</v>
      </c>
      <c r="H61" s="35" t="n">
        <v>131.51</v>
      </c>
      <c r="I61" s="35" t="n">
        <v>0</v>
      </c>
      <c r="J61" s="35" t="n">
        <v>0</v>
      </c>
      <c r="K61" s="35" t="n">
        <v>33.45</v>
      </c>
      <c r="L61" s="35" t="n">
        <v>31.84</v>
      </c>
      <c r="M61" s="35" t="n">
        <v>17.98</v>
      </c>
      <c r="N61" s="36">
        <f>SUM(B61:M61)</f>
        <v/>
      </c>
      <c r="O61" s="37">
        <f>SUMIF('CED TB'!$R:$R,'CED P&amp;L'!$A61,'CED TB'!C:C)</f>
        <v/>
      </c>
      <c r="P61" s="37">
        <f>SUMIF('CED TB'!$R:$R,'CED P&amp;L'!$A61,'CED TB'!D:D)</f>
        <v/>
      </c>
      <c r="Q61" s="37">
        <f>SUMIF('CED TB'!$R:$R,'CED P&amp;L'!$A61,'CED TB'!E:E)</f>
        <v/>
      </c>
      <c r="R61" s="37">
        <f>SUMIF('CED TB'!$R:$R,'CED P&amp;L'!$A61,'CED TB'!F:F)</f>
        <v/>
      </c>
      <c r="S61" s="37">
        <f>SUMIF('CED TB'!$R:$R,'CED P&amp;L'!$A61,'CED TB'!G:G)</f>
        <v/>
      </c>
      <c r="T61" s="37">
        <f>SUMIF('CED TB'!$R:$R,'CED P&amp;L'!$A61,'CED TB'!H:H)</f>
        <v/>
      </c>
      <c r="U61" s="37">
        <f>SUMIF('CED TB'!$R:$R,'CED P&amp;L'!$A61,'CED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8" t="n">
        <v>0</v>
      </c>
      <c r="AJ61" s="119" t="n">
        <v>0</v>
      </c>
      <c r="AK61" s="119" t="n">
        <v>0</v>
      </c>
      <c r="AL61" s="119" t="n">
        <v>0</v>
      </c>
      <c r="AM61" s="120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130.6</v>
      </c>
      <c r="D62" s="35" t="n">
        <v>161</v>
      </c>
      <c r="E62" s="35" t="n">
        <v>250.71</v>
      </c>
      <c r="F62" s="35" t="n">
        <v>90</v>
      </c>
      <c r="G62" s="35" t="n">
        <v>658</v>
      </c>
      <c r="H62" s="35" t="n">
        <v>1946.8</v>
      </c>
      <c r="I62" s="35" t="n">
        <v>1638.66</v>
      </c>
      <c r="J62" s="35" t="n">
        <v>181</v>
      </c>
      <c r="K62" s="35" t="n">
        <v>0</v>
      </c>
      <c r="L62" s="35" t="n">
        <v>390</v>
      </c>
      <c r="M62" s="35" t="n">
        <v>240</v>
      </c>
      <c r="N62" s="36">
        <f>SUM(B62:M62)</f>
        <v/>
      </c>
      <c r="O62" s="37">
        <f>SUMIF('CED TB'!$R:$R,'CED P&amp;L'!$A62,'CED TB'!C:C)</f>
        <v/>
      </c>
      <c r="P62" s="37">
        <f>SUMIF('CED TB'!$R:$R,'CED P&amp;L'!$A62,'CED TB'!D:D)</f>
        <v/>
      </c>
      <c r="Q62" s="37">
        <f>SUMIF('CED TB'!$R:$R,'CED P&amp;L'!$A62,'CED TB'!E:E)</f>
        <v/>
      </c>
      <c r="R62" s="37">
        <f>SUMIF('CED TB'!$R:$R,'CED P&amp;L'!$A62,'CED TB'!F:F)</f>
        <v/>
      </c>
      <c r="S62" s="37">
        <f>SUMIF('CED TB'!$R:$R,'CED P&amp;L'!$A62,'CED TB'!G:G)</f>
        <v/>
      </c>
      <c r="T62" s="37">
        <f>SUMIF('CED TB'!$R:$R,'CED P&amp;L'!$A62,'CED TB'!H:H)</f>
        <v/>
      </c>
      <c r="U62" s="37">
        <f>SUMIF('CED TB'!$R:$R,'CED P&amp;L'!$A62,'CED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8" t="n">
        <v>0</v>
      </c>
      <c r="AJ62" s="119" t="n">
        <v>0</v>
      </c>
      <c r="AK62" s="119" t="n">
        <v>0</v>
      </c>
      <c r="AL62" s="119" t="n">
        <v>0</v>
      </c>
      <c r="AM62" s="120" t="n">
        <v>0</v>
      </c>
      <c r="AN62" s="118" t="n">
        <v>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SUMIF('CED TB'!$R:$R,'CED P&amp;L'!$A63,'CED TB'!C:C)</f>
        <v/>
      </c>
      <c r="P63" s="37">
        <f>SUMIF('CED TB'!$R:$R,'CED P&amp;L'!$A63,'CED TB'!D:D)</f>
        <v/>
      </c>
      <c r="Q63" s="37">
        <f>SUMIF('CED TB'!$R:$R,'CED P&amp;L'!$A63,'CED TB'!E:E)</f>
        <v/>
      </c>
      <c r="R63" s="37">
        <f>SUMIF('CED TB'!$R:$R,'CED P&amp;L'!$A63,'CED TB'!F:F)</f>
        <v/>
      </c>
      <c r="S63" s="37">
        <f>SUMIF('CED TB'!$R:$R,'CED P&amp;L'!$A63,'CED TB'!G:G)</f>
        <v/>
      </c>
      <c r="T63" s="37">
        <f>SUMIF('CED TB'!$R:$R,'CED P&amp;L'!$A63,'CED TB'!H:H)</f>
        <v/>
      </c>
      <c r="U63" s="37">
        <f>SUMIF('CED TB'!$R:$R,'CED P&amp;L'!$A63,'CED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8" t="n">
        <v>0</v>
      </c>
      <c r="AJ63" s="119" t="n">
        <v>0</v>
      </c>
      <c r="AK63" s="119" t="n">
        <v>0</v>
      </c>
      <c r="AL63" s="119" t="n">
        <v>0</v>
      </c>
      <c r="AM63" s="120" t="n">
        <v>0</v>
      </c>
      <c r="AN63" s="118" t="n">
        <v>0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SUMIF('CED TB'!$R:$R,'CED P&amp;L'!$A64,'CED TB'!C:C)</f>
        <v/>
      </c>
      <c r="P64" s="37">
        <f>SUMIF('CED TB'!$R:$R,'CED P&amp;L'!$A64,'CED TB'!D:D)</f>
        <v/>
      </c>
      <c r="Q64" s="37">
        <f>SUMIF('CED TB'!$R:$R,'CED P&amp;L'!$A64,'CED TB'!E:E)</f>
        <v/>
      </c>
      <c r="R64" s="37">
        <f>SUMIF('CED TB'!$R:$R,'CED P&amp;L'!$A64,'CED TB'!F:F)</f>
        <v/>
      </c>
      <c r="S64" s="37">
        <f>SUMIF('CED TB'!$R:$R,'CED P&amp;L'!$A64,'CED TB'!G:G)</f>
        <v/>
      </c>
      <c r="T64" s="37">
        <f>SUMIF('CED TB'!$R:$R,'CED P&amp;L'!$A64,'CED TB'!H:H)</f>
        <v/>
      </c>
      <c r="U64" s="37">
        <f>SUMIF('CED TB'!$R:$R,'CED P&amp;L'!$A64,'CED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8" t="n">
        <v>0</v>
      </c>
      <c r="AJ64" s="119" t="n">
        <v>0</v>
      </c>
      <c r="AK64" s="119" t="n">
        <v>0</v>
      </c>
      <c r="AL64" s="119" t="n">
        <v>0</v>
      </c>
      <c r="AM64" s="120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SUMIF('CED TB'!$R:$R,'CED P&amp;L'!$A65,'CED TB'!C:C)</f>
        <v/>
      </c>
      <c r="P65" s="37">
        <f>SUMIF('CED TB'!$R:$R,'CED P&amp;L'!$A65,'CED TB'!D:D)</f>
        <v/>
      </c>
      <c r="Q65" s="37">
        <f>SUMIF('CED TB'!$R:$R,'CED P&amp;L'!$A65,'CED TB'!E:E)</f>
        <v/>
      </c>
      <c r="R65" s="37">
        <f>SUMIF('CED TB'!$R:$R,'CED P&amp;L'!$A65,'CED TB'!F:F)</f>
        <v/>
      </c>
      <c r="S65" s="37">
        <f>SUMIF('CED TB'!$R:$R,'CED P&amp;L'!$A65,'CED TB'!G:G)</f>
        <v/>
      </c>
      <c r="T65" s="37">
        <f>SUMIF('CED TB'!$R:$R,'CED P&amp;L'!$A65,'CED TB'!H:H)</f>
        <v/>
      </c>
      <c r="U65" s="37">
        <f>SUMIF('CED TB'!$R:$R,'CED P&amp;L'!$A65,'CED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8" t="n">
        <v>0</v>
      </c>
      <c r="AJ65" s="119" t="n">
        <v>0</v>
      </c>
      <c r="AK65" s="119" t="n">
        <v>0</v>
      </c>
      <c r="AL65" s="119" t="n">
        <v>0</v>
      </c>
      <c r="AM65" s="120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SUMIF('CED TB'!$R:$R,'CED P&amp;L'!$A66,'CED TB'!C:C)</f>
        <v/>
      </c>
      <c r="P66" s="37">
        <f>SUMIF('CED TB'!$R:$R,'CED P&amp;L'!$A66,'CED TB'!D:D)</f>
        <v/>
      </c>
      <c r="Q66" s="37">
        <f>SUMIF('CED TB'!$R:$R,'CED P&amp;L'!$A66,'CED TB'!E:E)</f>
        <v/>
      </c>
      <c r="R66" s="37">
        <f>SUMIF('CED TB'!$R:$R,'CED P&amp;L'!$A66,'CED TB'!F:F)</f>
        <v/>
      </c>
      <c r="S66" s="37">
        <f>SUMIF('CED TB'!$R:$R,'CED P&amp;L'!$A66,'CED TB'!G:G)</f>
        <v/>
      </c>
      <c r="T66" s="37">
        <f>SUMIF('CED TB'!$R:$R,'CED P&amp;L'!$A66,'CED TB'!H:H)</f>
        <v/>
      </c>
      <c r="U66" s="37">
        <f>SUMIF('CED TB'!$R:$R,'CED P&amp;L'!$A66,'CED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8" t="n">
        <v>0</v>
      </c>
      <c r="AJ66" s="119" t="n">
        <v>0</v>
      </c>
      <c r="AK66" s="119" t="n">
        <v>0</v>
      </c>
      <c r="AL66" s="119" t="n">
        <v>0</v>
      </c>
      <c r="AM66" s="120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SUMIF('CED TB'!$R:$R,'CED P&amp;L'!$A67,'CED TB'!C:C)</f>
        <v/>
      </c>
      <c r="P67" s="37">
        <f>SUMIF('CED TB'!$R:$R,'CED P&amp;L'!$A67,'CED TB'!D:D)</f>
        <v/>
      </c>
      <c r="Q67" s="37">
        <f>SUMIF('CED TB'!$R:$R,'CED P&amp;L'!$A67,'CED TB'!E:E)</f>
        <v/>
      </c>
      <c r="R67" s="37">
        <f>SUMIF('CED TB'!$R:$R,'CED P&amp;L'!$A67,'CED TB'!F:F)</f>
        <v/>
      </c>
      <c r="S67" s="37">
        <f>SUMIF('CED TB'!$R:$R,'CED P&amp;L'!$A67,'CED TB'!G:G)</f>
        <v/>
      </c>
      <c r="T67" s="37">
        <f>SUMIF('CED TB'!$R:$R,'CED P&amp;L'!$A67,'CED TB'!H:H)</f>
        <v/>
      </c>
      <c r="U67" s="37">
        <f>SUMIF('CED TB'!$R:$R,'CED P&amp;L'!$A67,'CED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8" t="n">
        <v>0</v>
      </c>
      <c r="AJ67" s="119" t="n">
        <v>0</v>
      </c>
      <c r="AK67" s="119" t="n">
        <v>0</v>
      </c>
      <c r="AL67" s="119" t="n">
        <v>0</v>
      </c>
      <c r="AM67" s="120" t="n">
        <v>0</v>
      </c>
      <c r="AN67" s="118" t="n">
        <v>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SUMIF('CED TB'!$R:$R,'CED P&amp;L'!$A68,'CED TB'!C:C)</f>
        <v/>
      </c>
      <c r="P68" s="37">
        <f>SUMIF('CED TB'!$R:$R,'CED P&amp;L'!$A68,'CED TB'!D:D)</f>
        <v/>
      </c>
      <c r="Q68" s="37">
        <f>SUMIF('CED TB'!$R:$R,'CED P&amp;L'!$A68,'CED TB'!E:E)</f>
        <v/>
      </c>
      <c r="R68" s="37">
        <f>SUMIF('CED TB'!$R:$R,'CED P&amp;L'!$A68,'CED TB'!F:F)</f>
        <v/>
      </c>
      <c r="S68" s="37">
        <f>SUMIF('CED TB'!$R:$R,'CED P&amp;L'!$A68,'CED TB'!G:G)</f>
        <v/>
      </c>
      <c r="T68" s="37">
        <f>SUMIF('CED TB'!$R:$R,'CED P&amp;L'!$A68,'CED TB'!H:H)</f>
        <v/>
      </c>
      <c r="U68" s="37">
        <f>SUMIF('CED TB'!$R:$R,'CED P&amp;L'!$A68,'CED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8" t="n">
        <v>0</v>
      </c>
      <c r="AJ68" s="119" t="n">
        <v>0</v>
      </c>
      <c r="AK68" s="119" t="n">
        <v>0</v>
      </c>
      <c r="AL68" s="119" t="n">
        <v>0</v>
      </c>
      <c r="AM68" s="120" t="n">
        <v>0</v>
      </c>
      <c r="AN68" s="118" t="n">
        <v>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201.98</v>
      </c>
      <c r="C69" s="42" t="n">
        <v>332.58</v>
      </c>
      <c r="D69" s="42" t="n">
        <v>363.58</v>
      </c>
      <c r="E69" s="42" t="n">
        <v>452.6899999999999</v>
      </c>
      <c r="F69" s="42" t="n">
        <v>312.96</v>
      </c>
      <c r="G69" s="42" t="n">
        <v>873.97</v>
      </c>
      <c r="H69" s="42" t="n">
        <v>2280.29</v>
      </c>
      <c r="I69" s="42" t="n">
        <v>1840.64</v>
      </c>
      <c r="J69" s="42" t="n">
        <v>384.18</v>
      </c>
      <c r="K69" s="42" t="n">
        <v>249.45</v>
      </c>
      <c r="L69" s="42" t="n">
        <v>637.84</v>
      </c>
      <c r="M69" s="42" t="n">
        <v>473.98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3">
        <f>SUM(AI53:AI68)</f>
        <v/>
      </c>
      <c r="AJ69" s="124">
        <f>SUM(AJ53:AJ68)</f>
        <v/>
      </c>
      <c r="AK69" s="124">
        <f>SUM(AK53:AK68)</f>
        <v/>
      </c>
      <c r="AL69" s="124">
        <f>SUM(AL53:AL68)</f>
        <v/>
      </c>
      <c r="AM69" s="124">
        <f>SUM(AM53:AM68)</f>
        <v/>
      </c>
      <c r="AN69" s="123">
        <f>SUM(AN53:AN68)</f>
        <v/>
      </c>
      <c r="AO69" s="125">
        <f>SUM(AC69:AH69)+SUM(AI69:AN69)</f>
        <v/>
      </c>
      <c r="AP69" s="126">
        <f>IF(AB69&lt;&gt;0,(AO69-AB69)/ABS(AB69),0)</f>
        <v/>
      </c>
    </row>
    <row r="70">
      <c r="A70" s="54" t="inlineStr">
        <is>
          <t>EBITDA</t>
        </is>
      </c>
      <c r="B70" s="55" t="n">
        <v>7600.139999999999</v>
      </c>
      <c r="C70" s="55" t="n">
        <v>8981.249999999995</v>
      </c>
      <c r="D70" s="55" t="n">
        <v>19506.91</v>
      </c>
      <c r="E70" s="55" t="n">
        <v>9589.259999999997</v>
      </c>
      <c r="F70" s="55" t="n">
        <v>-278.0799999999953</v>
      </c>
      <c r="G70" s="55" t="n">
        <v>13009.61</v>
      </c>
      <c r="H70" s="55" t="n">
        <v>15197.46</v>
      </c>
      <c r="I70" s="55" t="n">
        <v>84.97999999999911</v>
      </c>
      <c r="J70" s="55" t="n">
        <v>-573.2599999999982</v>
      </c>
      <c r="K70" s="55" t="n">
        <v>6787.64</v>
      </c>
      <c r="L70" s="55" t="n">
        <v>5233.939999999999</v>
      </c>
      <c r="M70" s="55" t="n">
        <v>7411.819999999996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0">
        <f>AI50-AI69</f>
        <v/>
      </c>
      <c r="AJ70" s="140">
        <f>AJ50-AJ69</f>
        <v/>
      </c>
      <c r="AK70" s="140">
        <f>AK50-AK69</f>
        <v/>
      </c>
      <c r="AL70" s="140">
        <f>AL50-AL69</f>
        <v/>
      </c>
      <c r="AM70" s="140">
        <f>AM50-AM69</f>
        <v/>
      </c>
      <c r="AN70" s="140">
        <f>AN50-AN69</f>
        <v/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60" t="inlineStr">
        <is>
          <t>`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134" t="n">
        <v>0</v>
      </c>
      <c r="AJ71" s="134" t="n">
        <v>0</v>
      </c>
      <c r="AK71" s="134" t="n">
        <v>0</v>
      </c>
      <c r="AL71" s="134" t="n">
        <v>0</v>
      </c>
      <c r="AM71" s="134" t="n">
        <v>0</v>
      </c>
      <c r="AN71" s="134" t="n">
        <v>0</v>
      </c>
      <c r="AO71" s="144">
        <f>SUM(AC71:AH71)+SUM(AI71:AN71)</f>
        <v/>
      </c>
      <c r="AP71" s="142">
        <f>IF(AB71&lt;&gt;0,(AO71-AB71)/ABS(AB71),0)</f>
        <v/>
      </c>
    </row>
    <row r="72">
      <c r="A72" s="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60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60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22" t="inlineStr">
        <is>
          <t>Memo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60">
        <f>SUM(B73:M73)</f>
        <v/>
      </c>
      <c r="O73" s="8" t="n"/>
      <c r="P73" s="8" t="n"/>
      <c r="Q73" s="8" t="n"/>
      <c r="R73" s="8" t="n"/>
      <c r="S73" s="8" t="n"/>
      <c r="T73" s="8" t="n"/>
      <c r="U73" s="8" t="n"/>
      <c r="V73" s="20" t="n"/>
      <c r="W73" s="20" t="n"/>
      <c r="X73" s="20" t="n"/>
      <c r="Y73" s="20" t="n"/>
      <c r="Z73" s="20" t="n"/>
      <c r="AA73" s="60">
        <f>SUM(O73:T73)</f>
        <v/>
      </c>
      <c r="AB73" s="56" t="n"/>
      <c r="AC73" s="20" t="n"/>
      <c r="AD73" s="20" t="n"/>
      <c r="AE73" s="20" t="n"/>
      <c r="AF73" s="20" t="n"/>
      <c r="AG73" s="20" t="n"/>
      <c r="AH73" s="20" t="n"/>
      <c r="AI73" s="134" t="n">
        <v>0</v>
      </c>
      <c r="AJ73" s="134" t="n">
        <v>0</v>
      </c>
      <c r="AK73" s="134" t="n">
        <v>0</v>
      </c>
      <c r="AL73" s="134" t="n">
        <v>0</v>
      </c>
      <c r="AM73" s="134" t="n">
        <v>0</v>
      </c>
      <c r="AN73" s="134" t="n">
        <v>0</v>
      </c>
      <c r="AO73" s="144">
        <f>SUM(AC73:AH73)+SUM(AI73:AN73)</f>
        <v/>
      </c>
      <c r="AP73" s="142">
        <f>IF(AB73&lt;&gt;0,(AO73-AB73)/ABS(AB73),0)</f>
        <v/>
      </c>
    </row>
    <row r="74">
      <c r="A74" s="34" t="inlineStr">
        <is>
          <t>Direct - Sales</t>
        </is>
      </c>
      <c r="B74" s="18" t="n">
        <v>29806.16</v>
      </c>
      <c r="C74" s="18" t="n">
        <v>35336.87</v>
      </c>
      <c r="D74" s="18" t="n">
        <v>42456.98</v>
      </c>
      <c r="E74" s="18" t="n">
        <v>33867.56</v>
      </c>
      <c r="F74" s="18" t="n">
        <v>26555.11</v>
      </c>
      <c r="G74" s="18" t="n">
        <v>37496.76</v>
      </c>
      <c r="H74" s="18" t="n">
        <v>43162.58</v>
      </c>
      <c r="I74" s="18" t="n">
        <v>22500.55</v>
      </c>
      <c r="J74" s="18" t="n">
        <v>25931.85</v>
      </c>
      <c r="K74" s="18" t="n">
        <v>32015.1</v>
      </c>
      <c r="L74" s="18" t="n">
        <v>30584.74</v>
      </c>
      <c r="M74" s="18" t="n">
        <v>40226.53</v>
      </c>
      <c r="N74" s="60">
        <f>SUM(B74:M74)</f>
        <v/>
      </c>
      <c r="O74" s="60">
        <f>-SUMIF('CED TB'!$T:$T,'CED P&amp;L'!$A74,'CED TB'!C:C)</f>
        <v/>
      </c>
      <c r="P74" s="60">
        <f>-SUMIF('CED TB'!$T:$T,'CED P&amp;L'!$A74,'CED TB'!D:D)</f>
        <v/>
      </c>
      <c r="Q74" s="60">
        <f>-SUMIF('CED TB'!$T:$T,'CED P&amp;L'!$A74,'CED TB'!E:E)</f>
        <v/>
      </c>
      <c r="R74" s="60">
        <f>-SUMIF('CED TB'!$T:$T,'CED P&amp;L'!$A74,'CED TB'!F:F)</f>
        <v/>
      </c>
      <c r="S74" s="60">
        <f>-SUMIF('CED TB'!$T:$T,'CED P&amp;L'!$A74,'CED TB'!G:G)</f>
        <v/>
      </c>
      <c r="T74" s="60">
        <f>-SUMIF('CED TB'!$T:$T,'CED P&amp;L'!$A74,'CED TB'!H:H)</f>
        <v/>
      </c>
      <c r="U74" s="60">
        <f>-SUMIF('CED TB'!$T:$T,'CED P&amp;L'!$A74,'CED TB'!I:I)</f>
        <v/>
      </c>
      <c r="V74" s="20" t="n"/>
      <c r="W74" s="20" t="n"/>
      <c r="X74" s="20" t="n"/>
      <c r="Y74" s="20" t="n"/>
      <c r="Z74" s="20" t="n"/>
      <c r="AA74" s="60">
        <f>SUM(O74:T74)</f>
        <v/>
      </c>
      <c r="AB74" s="8" t="n"/>
      <c r="AC74" s="20" t="n"/>
      <c r="AD74" s="20" t="n"/>
      <c r="AE74" s="20" t="n"/>
      <c r="AF74" s="20" t="n"/>
      <c r="AG74" s="20" t="n"/>
      <c r="AH74" s="20" t="n"/>
      <c r="AI74" s="134" t="n">
        <v>0</v>
      </c>
      <c r="AJ74" s="134" t="n">
        <v>0</v>
      </c>
      <c r="AK74" s="134" t="n">
        <v>0</v>
      </c>
      <c r="AL74" s="134" t="n">
        <v>0</v>
      </c>
      <c r="AM74" s="134" t="n">
        <v>0</v>
      </c>
      <c r="AN74" s="134" t="n">
        <v>0</v>
      </c>
      <c r="AO74" s="144">
        <f>SUM(AC74:AH74)+SUM(AI74:AN74)</f>
        <v/>
      </c>
      <c r="AP74" s="142">
        <f>IF(AB74&lt;&gt;0,(AO74-AB74)/ABS(AB74),0)</f>
        <v/>
      </c>
    </row>
    <row r="75">
      <c r="A75" s="34" t="inlineStr">
        <is>
          <t>Direct - Staff Cost</t>
        </is>
      </c>
      <c r="B75" s="18" t="n">
        <v>-17451.15</v>
      </c>
      <c r="C75" s="18" t="n">
        <v>-22503.06</v>
      </c>
      <c r="D75" s="18" t="n">
        <v>-18538.75</v>
      </c>
      <c r="E75" s="18" t="n">
        <v>-21891.12</v>
      </c>
      <c r="F75" s="18" t="n">
        <v>-21915.34</v>
      </c>
      <c r="G75" s="18" t="n">
        <v>-17979.86</v>
      </c>
      <c r="H75" s="18" t="n">
        <v>-21552.34</v>
      </c>
      <c r="I75" s="18" t="n">
        <v>-16690.85</v>
      </c>
      <c r="J75" s="18" t="n">
        <v>-22841.72</v>
      </c>
      <c r="K75" s="18" t="n">
        <v>-21288.75</v>
      </c>
      <c r="L75" s="18" t="n">
        <v>-20753.77</v>
      </c>
      <c r="M75" s="18" t="n">
        <v>-28815.25</v>
      </c>
      <c r="N75" s="60">
        <f>SUM(B75:M75)</f>
        <v/>
      </c>
      <c r="O75" s="60">
        <f>-SUMIF('CED TB'!$T:$T,'CED P&amp;L'!$A75,'CED TB'!C:C)</f>
        <v/>
      </c>
      <c r="P75" s="60">
        <f>-SUMIF('CED TB'!$T:$T,'CED P&amp;L'!$A75,'CED TB'!D:D)</f>
        <v/>
      </c>
      <c r="Q75" s="60">
        <f>-SUMIF('CED TB'!$T:$T,'CED P&amp;L'!$A75,'CED TB'!E:E)</f>
        <v/>
      </c>
      <c r="R75" s="60">
        <f>-SUMIF('CED TB'!$T:$T,'CED P&amp;L'!$A75,'CED TB'!F:F)</f>
        <v/>
      </c>
      <c r="S75" s="60">
        <f>-SUMIF('CED TB'!$T:$T,'CED P&amp;L'!$A75,'CED TB'!G:G)</f>
        <v/>
      </c>
      <c r="T75" s="60">
        <f>-SUMIF('CED TB'!$T:$T,'CED P&amp;L'!$A75,'CED TB'!H:H)</f>
        <v/>
      </c>
      <c r="U75" s="60">
        <f>-SUMIF('CED TB'!$T:$T,'CED P&amp;L'!$A75,'CED TB'!I:I)</f>
        <v/>
      </c>
      <c r="V75" s="20" t="n"/>
      <c r="W75" s="20" t="n"/>
      <c r="X75" s="20" t="n"/>
      <c r="Y75" s="20" t="n"/>
      <c r="Z75" s="20" t="n"/>
      <c r="AA75" s="60">
        <f>SUM(O75:T75)</f>
        <v/>
      </c>
      <c r="AB75" s="8" t="n"/>
      <c r="AC75" s="20" t="n"/>
      <c r="AD75" s="20" t="n"/>
      <c r="AE75" s="20" t="n"/>
      <c r="AF75" s="20" t="n"/>
      <c r="AG75" s="20" t="n"/>
      <c r="AH75" s="20" t="n"/>
      <c r="AI75" s="134" t="n">
        <v>0</v>
      </c>
      <c r="AJ75" s="134" t="n">
        <v>0</v>
      </c>
      <c r="AK75" s="134" t="n">
        <v>0</v>
      </c>
      <c r="AL75" s="134" t="n">
        <v>0</v>
      </c>
      <c r="AM75" s="134" t="n">
        <v>0</v>
      </c>
      <c r="AN75" s="134" t="n">
        <v>0</v>
      </c>
      <c r="AO75" s="144">
        <f>SUM(AC75:AH75)+SUM(AI75:AN75)</f>
        <v/>
      </c>
      <c r="AP75" s="142">
        <f>IF(AB75&lt;&gt;0,(AO75-AB75)/ABS(AB75),0)</f>
        <v/>
      </c>
    </row>
    <row r="76">
      <c r="A76" s="60" t="inlineStr">
        <is>
          <t>Direct - Childcare Cost</t>
        </is>
      </c>
      <c r="B76" s="18" t="n">
        <v>-1750.88</v>
      </c>
      <c r="C76" s="18" t="n">
        <v>-1341.47</v>
      </c>
      <c r="D76" s="18" t="n">
        <v>-1422.78</v>
      </c>
      <c r="E76" s="18" t="n">
        <v>-1368.34</v>
      </c>
      <c r="F76" s="18" t="n">
        <v>-2181.3</v>
      </c>
      <c r="G76" s="18" t="n">
        <v>-4010.75</v>
      </c>
      <c r="H76" s="18" t="n">
        <v>-2233.18</v>
      </c>
      <c r="I76" s="18" t="n">
        <v>-2334.650000000001</v>
      </c>
      <c r="J76" s="18" t="n">
        <v>-1612.96</v>
      </c>
      <c r="K76" s="18" t="n">
        <v>-1945.78</v>
      </c>
      <c r="L76" s="18" t="n">
        <v>-1666.79</v>
      </c>
      <c r="M76" s="18" t="n">
        <v>-1271.89</v>
      </c>
      <c r="N76" s="60">
        <f>SUM(B76:M76)</f>
        <v/>
      </c>
      <c r="O76" s="60">
        <f>-SUMIF('CED TB'!$T:$T,'CED P&amp;L'!$A76,'CED TB'!C:C)</f>
        <v/>
      </c>
      <c r="P76" s="60">
        <f>-SUMIF('CED TB'!$T:$T,'CED P&amp;L'!$A76,'CED TB'!D:D)</f>
        <v/>
      </c>
      <c r="Q76" s="60">
        <f>-SUMIF('CED TB'!$T:$T,'CED P&amp;L'!$A76,'CED TB'!E:E)</f>
        <v/>
      </c>
      <c r="R76" s="60">
        <f>-SUMIF('CED TB'!$T:$T,'CED P&amp;L'!$A76,'CED TB'!F:F)</f>
        <v/>
      </c>
      <c r="S76" s="60">
        <f>-SUMIF('CED TB'!$T:$T,'CED P&amp;L'!$A76,'CED TB'!G:G)</f>
        <v/>
      </c>
      <c r="T76" s="60">
        <f>-SUMIF('CED TB'!$T:$T,'CED P&amp;L'!$A76,'CED TB'!H:H)</f>
        <v/>
      </c>
      <c r="U76" s="60">
        <f>-SUMIF('CED TB'!$T:$T,'CED P&amp;L'!$A76,'CED TB'!I:I)</f>
        <v/>
      </c>
      <c r="V76" s="20" t="n"/>
      <c r="W76" s="20" t="n"/>
      <c r="X76" s="20" t="n"/>
      <c r="Y76" s="20" t="n"/>
      <c r="Z76" s="20" t="n"/>
      <c r="AA76" s="60">
        <f>SUM(O76:T76)</f>
        <v/>
      </c>
      <c r="AB76" s="8" t="n"/>
      <c r="AC76" s="20" t="n"/>
      <c r="AD76" s="20" t="n"/>
      <c r="AE76" s="20" t="n"/>
      <c r="AF76" s="20" t="n"/>
      <c r="AG76" s="20" t="n"/>
      <c r="AH76" s="20" t="n"/>
      <c r="AI76" s="134" t="n">
        <v>0</v>
      </c>
      <c r="AJ76" s="134" t="n">
        <v>0</v>
      </c>
      <c r="AK76" s="134" t="n">
        <v>0</v>
      </c>
      <c r="AL76" s="134" t="n">
        <v>0</v>
      </c>
      <c r="AM76" s="134" t="n">
        <v>0</v>
      </c>
      <c r="AN76" s="134" t="n">
        <v>0</v>
      </c>
      <c r="AO76" s="144">
        <f>SUM(AC76:AH76)+SUM(AI76:AN76)</f>
        <v/>
      </c>
      <c r="AP76" s="142">
        <f>IF(AB76&lt;&gt;0,(AO76-AB76)/ABS(AB76),0)</f>
        <v/>
      </c>
    </row>
    <row r="77">
      <c r="A77" s="60" t="inlineStr">
        <is>
          <t>Direct - Premises &amp; Admin</t>
        </is>
      </c>
      <c r="B77" s="18" t="n">
        <v>-2802.01</v>
      </c>
      <c r="C77" s="18" t="n">
        <v>-2178.51</v>
      </c>
      <c r="D77" s="18" t="n">
        <v>-2624.96</v>
      </c>
      <c r="E77" s="18" t="n">
        <v>-566.1500000000001</v>
      </c>
      <c r="F77" s="18" t="n">
        <v>-2423.59</v>
      </c>
      <c r="G77" s="18" t="n">
        <v>-1622.57</v>
      </c>
      <c r="H77" s="18" t="n">
        <v>-1899.31</v>
      </c>
      <c r="I77" s="18" t="n">
        <v>-1549.43</v>
      </c>
      <c r="J77" s="18" t="n">
        <v>-1666.25</v>
      </c>
      <c r="K77" s="18" t="n">
        <v>-1743.48</v>
      </c>
      <c r="L77" s="18" t="n">
        <v>-2292.4</v>
      </c>
      <c r="M77" s="18" t="n">
        <v>-2253.59</v>
      </c>
      <c r="N77" s="60">
        <f>SUM(B77:M77)</f>
        <v/>
      </c>
      <c r="O77" s="60">
        <f>-SUMIF('CED TB'!$T:$T,'CED P&amp;L'!$A77,'CED TB'!C:C)</f>
        <v/>
      </c>
      <c r="P77" s="60">
        <f>-SUMIF('CED TB'!$T:$T,'CED P&amp;L'!$A77,'CED TB'!D:D)</f>
        <v/>
      </c>
      <c r="Q77" s="60">
        <f>-SUMIF('CED TB'!$T:$T,'CED P&amp;L'!$A77,'CED TB'!E:E)</f>
        <v/>
      </c>
      <c r="R77" s="60">
        <f>-SUMIF('CED TB'!$T:$T,'CED P&amp;L'!$A77,'CED TB'!F:F)</f>
        <v/>
      </c>
      <c r="S77" s="60">
        <f>-SUMIF('CED TB'!$T:$T,'CED P&amp;L'!$A77,'CED TB'!G:G)</f>
        <v/>
      </c>
      <c r="T77" s="60">
        <f>-SUMIF('CED TB'!$T:$T,'CED P&amp;L'!$A77,'CED TB'!H:H)</f>
        <v/>
      </c>
      <c r="U77" s="60">
        <f>-SUMIF('CED TB'!$T:$T,'CED P&amp;L'!$A77,'CED TB'!I:I)</f>
        <v/>
      </c>
      <c r="V77" s="20" t="n"/>
      <c r="W77" s="20" t="n"/>
      <c r="X77" s="20" t="n"/>
      <c r="Y77" s="20" t="n"/>
      <c r="Z77" s="20" t="n"/>
      <c r="AA77" s="60">
        <f>SUM(O77:T77)</f>
        <v/>
      </c>
      <c r="AB77" s="8" t="n"/>
      <c r="AC77" s="20" t="n"/>
      <c r="AD77" s="20" t="n"/>
      <c r="AE77" s="20" t="n"/>
      <c r="AF77" s="20" t="n"/>
      <c r="AG77" s="20" t="n"/>
      <c r="AH77" s="20" t="n"/>
      <c r="AI77" s="134" t="n">
        <v>0</v>
      </c>
      <c r="AJ77" s="134" t="n">
        <v>0</v>
      </c>
      <c r="AK77" s="134" t="n">
        <v>0</v>
      </c>
      <c r="AL77" s="134" t="n">
        <v>0</v>
      </c>
      <c r="AM77" s="134" t="n">
        <v>0</v>
      </c>
      <c r="AN77" s="134" t="n">
        <v>0</v>
      </c>
      <c r="AO77" s="144">
        <f>SUM(AC77:AH77)+SUM(AI77:AN77)</f>
        <v/>
      </c>
      <c r="AP77" s="142">
        <f>IF(AB77&lt;&gt;0,(AO77-AB77)/ABS(AB77),0)</f>
        <v/>
      </c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60">
        <f>SUM(B78:M78)</f>
        <v/>
      </c>
      <c r="O78" s="60">
        <f>-SUMIF('CED TB'!$T:$T,'CED P&amp;L'!$A78,'CED TB'!C:C)</f>
        <v/>
      </c>
      <c r="P78" s="60">
        <f>-SUMIF('CED TB'!$T:$T,'CED P&amp;L'!$A78,'CED TB'!D:D)</f>
        <v/>
      </c>
      <c r="Q78" s="60">
        <f>-SUMIF('CED TB'!$T:$T,'CED P&amp;L'!$A78,'CED TB'!E:E)</f>
        <v/>
      </c>
      <c r="R78" s="60">
        <f>-SUMIF('CED TB'!$T:$T,'CED P&amp;L'!$A78,'CED TB'!F:F)</f>
        <v/>
      </c>
      <c r="S78" s="60">
        <f>-SUMIF('CED TB'!$T:$T,'CED P&amp;L'!$A78,'CED TB'!G:G)</f>
        <v/>
      </c>
      <c r="T78" s="60">
        <f>-SUMIF('CED TB'!$T:$T,'CED P&amp;L'!$A78,'CED TB'!H:H)</f>
        <v/>
      </c>
      <c r="U78" s="60">
        <f>-SUMIF('CED TB'!$T:$T,'CED P&amp;L'!$A78,'CED TB'!I:I)</f>
        <v/>
      </c>
      <c r="V78" s="20" t="n"/>
      <c r="W78" s="20" t="n"/>
      <c r="X78" s="20" t="n"/>
      <c r="Y78" s="20" t="n"/>
      <c r="Z78" s="20" t="n"/>
      <c r="AA78" s="60">
        <f>SUM(O78:T78)</f>
        <v/>
      </c>
      <c r="AB78" s="8" t="n"/>
      <c r="AC78" s="20" t="n"/>
      <c r="AD78" s="20" t="n"/>
      <c r="AE78" s="20" t="n"/>
      <c r="AF78" s="20" t="n"/>
      <c r="AG78" s="20" t="n"/>
      <c r="AH78" s="20" t="n"/>
      <c r="AI78" s="134" t="n">
        <v>0</v>
      </c>
      <c r="AJ78" s="134" t="n">
        <v>0</v>
      </c>
      <c r="AK78" s="134" t="n">
        <v>0</v>
      </c>
      <c r="AL78" s="134" t="n">
        <v>0</v>
      </c>
      <c r="AM78" s="134" t="n">
        <v>0</v>
      </c>
      <c r="AN78" s="134" t="n">
        <v>0</v>
      </c>
      <c r="AO78" s="144">
        <f>SUM(AC78:AH78)+SUM(AI78:AN78)</f>
        <v/>
      </c>
      <c r="AP78" s="142">
        <f>IF(AB78&lt;&gt;0,(AO78-AB78)/ABS(AB78),0)</f>
        <v/>
      </c>
    </row>
    <row r="79">
      <c r="A79" s="60" t="inlineStr">
        <is>
          <t>In-Direct - Overheads</t>
        </is>
      </c>
      <c r="B79" s="18" t="n">
        <v>-201.98</v>
      </c>
      <c r="C79" s="18" t="n">
        <v>-332.58</v>
      </c>
      <c r="D79" s="18" t="n">
        <v>-363.58</v>
      </c>
      <c r="E79" s="18" t="n">
        <v>-452.6899999999999</v>
      </c>
      <c r="F79" s="18" t="n">
        <v>-312.96</v>
      </c>
      <c r="G79" s="18" t="n">
        <v>-873.97</v>
      </c>
      <c r="H79" s="18" t="n">
        <v>-2280.29</v>
      </c>
      <c r="I79" s="18" t="n">
        <v>-1840.64</v>
      </c>
      <c r="J79" s="18" t="n">
        <v>-384.18</v>
      </c>
      <c r="K79" s="18" t="n">
        <v>-249.45</v>
      </c>
      <c r="L79" s="18" t="n">
        <v>-637.84</v>
      </c>
      <c r="M79" s="18" t="n">
        <v>-473.98</v>
      </c>
      <c r="N79" s="60">
        <f>SUM(B79:M79)</f>
        <v/>
      </c>
      <c r="O79" s="60">
        <f>-SUMIF('CED TB'!$T:$T,'CED P&amp;L'!$A79,'CED TB'!C:C)</f>
        <v/>
      </c>
      <c r="P79" s="60">
        <f>-SUMIF('CED TB'!$T:$T,'CED P&amp;L'!$A79,'CED TB'!D:D)</f>
        <v/>
      </c>
      <c r="Q79" s="60">
        <f>-SUMIF('CED TB'!$T:$T,'CED P&amp;L'!$A79,'CED TB'!E:E)</f>
        <v/>
      </c>
      <c r="R79" s="60">
        <f>-SUMIF('CED TB'!$T:$T,'CED P&amp;L'!$A79,'CED TB'!F:F)</f>
        <v/>
      </c>
      <c r="S79" s="60">
        <f>-SUMIF('CED TB'!$T:$T,'CED P&amp;L'!$A79,'CED TB'!G:G)</f>
        <v/>
      </c>
      <c r="T79" s="60">
        <f>-SUMIF('CED TB'!$T:$T,'CED P&amp;L'!$A79,'CED TB'!H:H)</f>
        <v/>
      </c>
      <c r="U79" s="60">
        <f>-SUMIF('CED TB'!$T:$T,'CED P&amp;L'!$A79,'CED TB'!I:I)</f>
        <v/>
      </c>
      <c r="V79" s="20" t="n"/>
      <c r="W79" s="20" t="n"/>
      <c r="X79" s="20" t="n"/>
      <c r="Y79" s="20" t="n"/>
      <c r="Z79" s="20" t="n"/>
      <c r="AA79" s="60">
        <f>SUM(O79:T79)</f>
        <v/>
      </c>
      <c r="AB79" s="8" t="n"/>
      <c r="AC79" s="20" t="n"/>
      <c r="AD79" s="20" t="n"/>
      <c r="AE79" s="20" t="n"/>
      <c r="AF79" s="20" t="n"/>
      <c r="AG79" s="20" t="n"/>
      <c r="AH79" s="20" t="n"/>
      <c r="AI79" s="134" t="n">
        <v>0</v>
      </c>
      <c r="AJ79" s="134" t="n">
        <v>0</v>
      </c>
      <c r="AK79" s="134" t="n">
        <v>0</v>
      </c>
      <c r="AL79" s="134" t="n">
        <v>0</v>
      </c>
      <c r="AM79" s="134" t="n">
        <v>0</v>
      </c>
      <c r="AN79" s="134" t="n">
        <v>0</v>
      </c>
      <c r="AO79" s="144">
        <f>SUM(AC79:AH79)+SUM(AI79:AN79)</f>
        <v/>
      </c>
      <c r="AP79" s="142">
        <f>IF(AB79&lt;&gt;0,(AO79-AB79)/ABS(AB79),0)</f>
        <v/>
      </c>
    </row>
    <row r="80" ht="15.75" customHeight="1">
      <c r="A80" s="8" t="n"/>
      <c r="B80" s="67" t="n">
        <v>7600.139999999999</v>
      </c>
      <c r="C80" s="67" t="n">
        <v>8981.249999999995</v>
      </c>
      <c r="D80" s="67" t="n">
        <v>19506.91</v>
      </c>
      <c r="E80" s="67" t="n">
        <v>9589.259999999998</v>
      </c>
      <c r="F80" s="67" t="n">
        <v>-278.0799999999958</v>
      </c>
      <c r="G80" s="67" t="n">
        <v>13009.61</v>
      </c>
      <c r="H80" s="67" t="n">
        <v>15197.46</v>
      </c>
      <c r="I80" s="67" t="n">
        <v>84.98000000000025</v>
      </c>
      <c r="J80" s="67" t="n">
        <v>-573.2599999999995</v>
      </c>
      <c r="K80" s="67" t="n">
        <v>6787.639999999999</v>
      </c>
      <c r="L80" s="67" t="n">
        <v>5233.940000000001</v>
      </c>
      <c r="M80" s="67" t="n">
        <v>7411.819999999996</v>
      </c>
      <c r="N80" s="64">
        <f>SUM(B80:M80)</f>
        <v/>
      </c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8" t="n"/>
      <c r="W80" s="68" t="n"/>
      <c r="X80" s="68" t="n"/>
      <c r="Y80" s="68" t="n"/>
      <c r="Z80" s="68" t="n"/>
      <c r="AA80" s="64">
        <f>SUM(O80:T80)</f>
        <v/>
      </c>
      <c r="AB80" s="8" t="n"/>
      <c r="AC80" s="68" t="n"/>
      <c r="AD80" s="68" t="n"/>
      <c r="AE80" s="68" t="n"/>
      <c r="AF80" s="68" t="n"/>
      <c r="AG80" s="68" t="n"/>
      <c r="AH80" s="68" t="n"/>
      <c r="AI80" s="134" t="n">
        <v>0</v>
      </c>
      <c r="AJ80" s="134" t="n">
        <v>0</v>
      </c>
      <c r="AK80" s="134" t="n">
        <v>0</v>
      </c>
      <c r="AL80" s="134" t="n">
        <v>0</v>
      </c>
      <c r="AM80" s="134" t="n">
        <v>0</v>
      </c>
      <c r="AN80" s="134" t="n">
        <v>0</v>
      </c>
      <c r="AO80" s="144">
        <f>SUM(AC80:AH80)+SUM(AI80:AN80)</f>
        <v/>
      </c>
      <c r="AP80" s="142">
        <f>IF(AB80&lt;&gt;0,(AO80-AB80)/ABS(AB80),0)</f>
        <v/>
      </c>
    </row>
    <row r="81" ht="15.75" customHeight="1">
      <c r="A81" s="8" t="n"/>
      <c r="B81" s="60" t="n">
        <v>0</v>
      </c>
      <c r="C81" s="60" t="n">
        <v>0</v>
      </c>
      <c r="D81" s="60" t="n">
        <v>0</v>
      </c>
      <c r="E81" s="60" t="n">
        <v>0</v>
      </c>
      <c r="F81" s="60" t="n">
        <v>4.547473508864641e-13</v>
      </c>
      <c r="G81" s="60" t="n">
        <v>0</v>
      </c>
      <c r="H81" s="60" t="n">
        <v>0</v>
      </c>
      <c r="I81" s="60" t="n">
        <v>-1.13686837721616e-12</v>
      </c>
      <c r="J81" s="60" t="n">
        <v>1.364242052659392e-12</v>
      </c>
      <c r="K81" s="60" t="n">
        <v>0</v>
      </c>
      <c r="L81" s="60" t="n">
        <v>0</v>
      </c>
      <c r="M81" s="60" t="n">
        <v>0</v>
      </c>
      <c r="N81" s="60">
        <f>SUM(B81:M81)</f>
        <v/>
      </c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34" t="n">
        <v>0</v>
      </c>
      <c r="AJ81" s="134" t="n">
        <v>0</v>
      </c>
      <c r="AK81" s="134" t="n">
        <v>0</v>
      </c>
      <c r="AL81" s="134" t="n">
        <v>0</v>
      </c>
      <c r="AM81" s="134" t="n">
        <v>0</v>
      </c>
      <c r="AN81" s="134" t="n">
        <v>0</v>
      </c>
      <c r="AO81" s="145">
        <f>SUM(AC81:AH81)+SUM(AI81:AN81)</f>
        <v/>
      </c>
      <c r="AP81" s="142">
        <f>IF(AB81&lt;&gt;0,(AO81-AB81)/ABS(AB81),0)</f>
        <v/>
      </c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60" t="n">
        <v>0</v>
      </c>
      <c r="C83" s="60" t="n">
        <v>0</v>
      </c>
      <c r="D83" s="60" t="n">
        <v>0</v>
      </c>
      <c r="E83" s="60" t="n">
        <v>0</v>
      </c>
      <c r="F83" s="60" t="n">
        <v>3.979039320256561e-12</v>
      </c>
      <c r="G83" s="60" t="n">
        <v>0</v>
      </c>
      <c r="H83" s="60" t="n">
        <v>0</v>
      </c>
      <c r="I83" s="60" t="n">
        <v>2.501110429875553e-12</v>
      </c>
      <c r="J83" s="60" t="n">
        <v>0</v>
      </c>
      <c r="K83" s="60" t="n">
        <v>0</v>
      </c>
      <c r="L83" s="60" t="n">
        <v>0</v>
      </c>
      <c r="M83" s="8" t="n"/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34" t="n">
        <v>0</v>
      </c>
      <c r="AJ83" s="134" t="n">
        <v>0</v>
      </c>
      <c r="AK83" s="134" t="n">
        <v>0</v>
      </c>
      <c r="AL83" s="134" t="n">
        <v>0</v>
      </c>
      <c r="AM83" s="134" t="n">
        <v>0</v>
      </c>
      <c r="AN83" s="134" t="n">
        <v>0</v>
      </c>
      <c r="AO83" s="145">
        <f>SUM(AC83:AH83)+SUM(AI83:AN83)</f>
        <v/>
      </c>
      <c r="AP83" s="142">
        <f>IF(AB83&lt;&gt;0,(AO83-AB83)/ABS(AB83),0)</f>
        <v/>
      </c>
    </row>
    <row r="84">
      <c r="A84" s="8" t="n"/>
      <c r="B84" s="60" t="n">
        <v>-7600.139999999996</v>
      </c>
      <c r="C84" s="60" t="n">
        <v>-8981.249999999996</v>
      </c>
      <c r="D84" s="60" t="n">
        <v>-19506.91</v>
      </c>
      <c r="E84" s="60" t="n">
        <v>-9589.26</v>
      </c>
      <c r="F84" s="60" t="n">
        <v>278.0799999999998</v>
      </c>
      <c r="G84" s="60" t="n">
        <v>-13009.61000000001</v>
      </c>
      <c r="H84" s="60" t="n">
        <v>-15197.46</v>
      </c>
      <c r="I84" s="60" t="n">
        <v>-84.97999999999774</v>
      </c>
      <c r="J84" s="60" t="n">
        <v>573.2599999999998</v>
      </c>
      <c r="K84" s="60" t="n">
        <v>-6787.639999999998</v>
      </c>
      <c r="L84" s="60" t="n">
        <v>-5233.939999999998</v>
      </c>
      <c r="M84" s="8" t="n"/>
      <c r="N84" s="8" t="n"/>
      <c r="O84" s="60">
        <f>SUM('CED TB'!C2:C36)</f>
        <v/>
      </c>
      <c r="P84" s="60">
        <f>SUM('CED TB'!D2:D36)</f>
        <v/>
      </c>
      <c r="Q84" s="60">
        <f>SUM('CED TB'!E2:E36)</f>
        <v/>
      </c>
      <c r="R84" s="60">
        <f>SUM('CED TB'!F2:F36)</f>
        <v/>
      </c>
      <c r="S84" s="60">
        <f>SUM('CED TB'!G2:G36)</f>
        <v/>
      </c>
      <c r="T84" s="60">
        <f>SUM('CED TB'!H2:H36)</f>
        <v/>
      </c>
      <c r="U84" s="60">
        <f>SUM('CED TB'!I2:I36)</f>
        <v/>
      </c>
      <c r="V84" s="60">
        <f>SUM('CED TB'!J2:J36)</f>
        <v/>
      </c>
      <c r="W84" s="60">
        <f>SUM('CED TB'!K2:K36)</f>
        <v/>
      </c>
      <c r="X84" s="60">
        <f>SUM('CED TB'!L2:L36)</f>
        <v/>
      </c>
      <c r="Y84" s="60">
        <f>SUM('CED TB'!M2:M36)</f>
        <v/>
      </c>
      <c r="Z84" s="60">
        <f>SUM('CED TB'!N2:N36)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134" t="n">
        <v>0</v>
      </c>
      <c r="AJ84" s="134" t="n">
        <v>0</v>
      </c>
      <c r="AK84" s="134" t="n">
        <v>0</v>
      </c>
      <c r="AL84" s="134" t="n">
        <v>0</v>
      </c>
      <c r="AM84" s="134" t="n">
        <v>0</v>
      </c>
      <c r="AN84" s="134" t="n">
        <v>0</v>
      </c>
      <c r="AO84" s="145">
        <f>SUM(AC84:AH84)+SUM(AI84:AN84)</f>
        <v/>
      </c>
      <c r="AP84" s="142">
        <f>IF(AB84&lt;&gt;0,(AO84-AB84)/ABS(AB84),0)</f>
        <v/>
      </c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Q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Boot Farm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22608.68</v>
      </c>
      <c r="C8" s="35" t="n">
        <v>22243.72</v>
      </c>
      <c r="D8" s="35" t="n">
        <v>27570.94</v>
      </c>
      <c r="E8" s="35" t="n">
        <v>32753.01</v>
      </c>
      <c r="F8" s="35" t="n">
        <v>29946.42</v>
      </c>
      <c r="G8" s="35" t="n">
        <v>32181.69</v>
      </c>
      <c r="H8" s="35" t="n">
        <v>44859.07</v>
      </c>
      <c r="I8" s="35" t="n">
        <v>41767.17</v>
      </c>
      <c r="J8" s="35" t="n">
        <v>32212.18</v>
      </c>
      <c r="K8" s="35" t="n">
        <v>31485.29</v>
      </c>
      <c r="L8" s="35" t="n">
        <v>27574.28</v>
      </c>
      <c r="M8" s="35" t="n">
        <v>37778.25</v>
      </c>
      <c r="N8" s="36">
        <f>SUM(B8:M8)</f>
        <v/>
      </c>
      <c r="O8" s="37">
        <f>-SUMIF('HAB TB'!$R:$R,'HAB P&amp;L'!$A8,'HAB TB'!C:C)</f>
        <v/>
      </c>
      <c r="P8" s="37">
        <f>-SUMIF('HAB TB'!$R:$R,'HAB P&amp;L'!$A8,'HAB TB'!D:D)</f>
        <v/>
      </c>
      <c r="Q8" s="37">
        <f>-SUMIF('HAB TB'!$R:$R,'HAB P&amp;L'!$A8,'HAB TB'!E:E)</f>
        <v/>
      </c>
      <c r="R8" s="37">
        <f>-SUMIF('HAB TB'!$R:$R,'HAB P&amp;L'!$A8,'HAB TB'!F:F)</f>
        <v/>
      </c>
      <c r="S8" s="37">
        <f>-SUMIF('HAB TB'!$R:$R,'HAB P&amp;L'!$A8,'HAB TB'!G:G)</f>
        <v/>
      </c>
      <c r="T8" s="37">
        <f>-SUMIF('HAB TB'!$R:$R,'HAB P&amp;L'!$A8,'HAB TB'!H:H)</f>
        <v/>
      </c>
      <c r="U8" s="37">
        <f>-SUMIF('HAB TB'!$R:$R,'HAB P&amp;L'!$A8,'HAB TB'!I:I)</f>
        <v/>
      </c>
      <c r="V8" s="38" t="n">
        <v>33555.29</v>
      </c>
      <c r="W8" s="38" t="n">
        <v>19742</v>
      </c>
      <c r="X8" s="38" t="n">
        <v>19733</v>
      </c>
      <c r="Y8" s="38" t="n">
        <v>19448</v>
      </c>
      <c r="Z8" s="38" t="n">
        <v>28969</v>
      </c>
      <c r="AA8" s="36">
        <f>SUM(O8:U8)</f>
        <v/>
      </c>
      <c r="AB8" s="36">
        <f>SUM(O8:Z8)</f>
        <v/>
      </c>
      <c r="AC8" s="38" t="n">
        <v>38106.5</v>
      </c>
      <c r="AD8" s="38" t="n">
        <v>35852.39</v>
      </c>
      <c r="AE8" s="38" t="n">
        <v>43430.94</v>
      </c>
      <c r="AF8" s="38" t="n">
        <v>32359.2</v>
      </c>
      <c r="AG8" s="38" t="n">
        <v>31981.84</v>
      </c>
      <c r="AH8" s="38" t="n">
        <v>34163.18</v>
      </c>
      <c r="AI8" s="118" t="n">
        <v>34163.18</v>
      </c>
      <c r="AJ8" s="119" t="n">
        <v>34163.18</v>
      </c>
      <c r="AK8" s="119" t="n">
        <v>34163.18</v>
      </c>
      <c r="AL8" s="119" t="n">
        <v>34163.18</v>
      </c>
      <c r="AM8" s="120" t="n">
        <v>34163.18</v>
      </c>
      <c r="AN8" s="118" t="n">
        <v>34163.18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5242.38</v>
      </c>
      <c r="C9" s="35" t="n">
        <v>14026.65</v>
      </c>
      <c r="D9" s="35" t="n">
        <v>14026.65</v>
      </c>
      <c r="E9" s="35" t="n">
        <v>5098.36</v>
      </c>
      <c r="F9" s="35" t="n">
        <v>5098.36</v>
      </c>
      <c r="G9" s="35" t="n">
        <v>21148.51</v>
      </c>
      <c r="H9" s="35" t="n">
        <v>21148.51</v>
      </c>
      <c r="I9" s="35" t="n">
        <v>0</v>
      </c>
      <c r="J9" s="35" t="n">
        <v>7047.23</v>
      </c>
      <c r="K9" s="35" t="n">
        <v>18081.4</v>
      </c>
      <c r="L9" s="35" t="n">
        <v>18081.4</v>
      </c>
      <c r="M9" s="35" t="n">
        <v>22099.92</v>
      </c>
      <c r="N9" s="36">
        <f>SUM(B9:M9)</f>
        <v/>
      </c>
      <c r="O9" s="37">
        <f>-SUMIF('HAB TB'!$R:$R,'HAB P&amp;L'!$A9,'HAB TB'!C:C)</f>
        <v/>
      </c>
      <c r="P9" s="37">
        <f>-SUMIF('HAB TB'!$R:$R,'HAB P&amp;L'!$A9,'HAB TB'!D:D)</f>
        <v/>
      </c>
      <c r="Q9" s="37">
        <f>-SUMIF('HAB TB'!$R:$R,'HAB P&amp;L'!$A9,'HAB TB'!E:E)</f>
        <v/>
      </c>
      <c r="R9" s="37">
        <f>-SUMIF('HAB TB'!$R:$R,'HAB P&amp;L'!$A9,'HAB TB'!F:F)</f>
        <v/>
      </c>
      <c r="S9" s="37">
        <f>-SUMIF('HAB TB'!$R:$R,'HAB P&amp;L'!$A9,'HAB TB'!G:G)</f>
        <v/>
      </c>
      <c r="T9" s="37">
        <f>-SUMIF('HAB TB'!$R:$R,'HAB P&amp;L'!$A9,'HAB TB'!H:H)</f>
        <v/>
      </c>
      <c r="U9" s="37">
        <f>-SUMIF('HAB TB'!$R:$R,'HAB P&amp;L'!$A9,'HAB TB'!I:I)</f>
        <v/>
      </c>
      <c r="V9" s="38" t="n">
        <v>0</v>
      </c>
      <c r="W9" s="38" t="n">
        <v>15801</v>
      </c>
      <c r="X9" s="38" t="n">
        <v>19151</v>
      </c>
      <c r="Y9" s="38" t="n">
        <v>18857</v>
      </c>
      <c r="Z9" s="38" t="n">
        <v>8843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8" t="n">
        <v>0</v>
      </c>
      <c r="AJ9" s="119" t="n">
        <v>0</v>
      </c>
      <c r="AK9" s="119" t="n">
        <v>0</v>
      </c>
      <c r="AL9" s="119" t="n">
        <v>0</v>
      </c>
      <c r="AM9" s="120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300</v>
      </c>
      <c r="F10" s="35" t="n">
        <v>150</v>
      </c>
      <c r="G10" s="35" t="n">
        <v>2213.27</v>
      </c>
      <c r="H10" s="35" t="n">
        <v>300</v>
      </c>
      <c r="I10" s="35" t="n">
        <v>300</v>
      </c>
      <c r="J10" s="35" t="n">
        <v>150</v>
      </c>
      <c r="K10" s="35" t="n">
        <v>230</v>
      </c>
      <c r="L10" s="35" t="n">
        <v>150</v>
      </c>
      <c r="M10" s="35" t="n">
        <v>150</v>
      </c>
      <c r="N10" s="36">
        <f>SUM(B10:M10)</f>
        <v/>
      </c>
      <c r="O10" s="37">
        <f>-SUMIF('HAB TB'!$R:$R,'HAB P&amp;L'!$A10,'HAB TB'!C:C)</f>
        <v/>
      </c>
      <c r="P10" s="37">
        <f>-SUMIF('HAB TB'!$R:$R,'HAB P&amp;L'!$A10,'HAB TB'!D:D)</f>
        <v/>
      </c>
      <c r="Q10" s="37">
        <f>-SUMIF('HAB TB'!$R:$R,'HAB P&amp;L'!$A10,'HAB TB'!E:E)</f>
        <v/>
      </c>
      <c r="R10" s="37">
        <f>-SUMIF('HAB TB'!$R:$R,'HAB P&amp;L'!$A10,'HAB TB'!F:F)</f>
        <v/>
      </c>
      <c r="S10" s="37">
        <f>-SUMIF('HAB TB'!$R:$R,'HAB P&amp;L'!$A10,'HAB TB'!G:G)</f>
        <v/>
      </c>
      <c r="T10" s="37">
        <f>-SUMIF('HAB TB'!$R:$R,'HAB P&amp;L'!$A10,'HAB TB'!H:H)</f>
        <v/>
      </c>
      <c r="U10" s="37">
        <f>-SUMIF('HAB TB'!$R:$R,'HAB P&amp;L'!$A10,'HAB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8" t="n">
        <v>0</v>
      </c>
      <c r="AJ10" s="119" t="n">
        <v>0</v>
      </c>
      <c r="AK10" s="119" t="n">
        <v>0</v>
      </c>
      <c r="AL10" s="119" t="n">
        <v>0</v>
      </c>
      <c r="AM10" s="120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27851.06</v>
      </c>
      <c r="C11" s="42" t="n">
        <v>36270.37</v>
      </c>
      <c r="D11" s="42" t="n">
        <v>41597.59</v>
      </c>
      <c r="E11" s="42" t="n">
        <v>38151.37</v>
      </c>
      <c r="F11" s="42" t="n">
        <v>35194.78</v>
      </c>
      <c r="G11" s="42" t="n">
        <v>55543.46999999999</v>
      </c>
      <c r="H11" s="42" t="n">
        <v>66307.58</v>
      </c>
      <c r="I11" s="42" t="n">
        <v>42067.17</v>
      </c>
      <c r="J11" s="42" t="n">
        <v>39409.41</v>
      </c>
      <c r="K11" s="42" t="n">
        <v>49796.69</v>
      </c>
      <c r="L11" s="42" t="n">
        <v>45805.68</v>
      </c>
      <c r="M11" s="42" t="n">
        <v>60028.17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3">
        <f>SUM(AI8:AI10)</f>
        <v/>
      </c>
      <c r="AJ11" s="124">
        <f>SUM(AJ8:AJ10)</f>
        <v/>
      </c>
      <c r="AK11" s="124">
        <f>SUM(AK8:AK10)</f>
        <v/>
      </c>
      <c r="AL11" s="124">
        <f>SUM(AL8:AL10)</f>
        <v/>
      </c>
      <c r="AM11" s="124">
        <f>SUM(AM8:AM10)</f>
        <v/>
      </c>
      <c r="AN11" s="123">
        <f>SUM(AN8:AN10)</f>
        <v/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7" t="n">
        <v>0</v>
      </c>
      <c r="AJ12" s="128" t="n">
        <v>0</v>
      </c>
      <c r="AK12" s="128" t="n">
        <v>0</v>
      </c>
      <c r="AL12" s="128" t="n">
        <v>0</v>
      </c>
      <c r="AM12" s="129" t="n">
        <v>0</v>
      </c>
      <c r="AN12" s="127" t="n">
        <v>0</v>
      </c>
      <c r="AO12" s="121">
        <f>SUM(AC12:AH12)+SUM(AI12:AN12)</f>
        <v/>
      </c>
      <c r="AP12" s="122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 t="n">
        <v>0</v>
      </c>
      <c r="AJ13" s="131" t="n">
        <v>0</v>
      </c>
      <c r="AK13" s="131" t="n">
        <v>0</v>
      </c>
      <c r="AL13" s="131" t="n">
        <v>0</v>
      </c>
      <c r="AM13" s="132" t="n">
        <v>0</v>
      </c>
      <c r="AN13" s="130" t="n">
        <v>0</v>
      </c>
      <c r="AO13" s="133">
        <f>SUM(AC13:AH13)+SUM(AI13:AN13)</f>
        <v/>
      </c>
      <c r="AP13" s="122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14028.96</v>
      </c>
      <c r="C16" s="35" t="n">
        <v>16418.51</v>
      </c>
      <c r="D16" s="35" t="n">
        <v>17522.64</v>
      </c>
      <c r="E16" s="35" t="n">
        <v>18482.09</v>
      </c>
      <c r="F16" s="35" t="n">
        <v>20020.2</v>
      </c>
      <c r="G16" s="35" t="n">
        <v>19124.39</v>
      </c>
      <c r="H16" s="35" t="n">
        <v>19993.06</v>
      </c>
      <c r="I16" s="35" t="n">
        <v>18672.65</v>
      </c>
      <c r="J16" s="35" t="n">
        <v>22682.26</v>
      </c>
      <c r="K16" s="35" t="n">
        <v>23747.06</v>
      </c>
      <c r="L16" s="35" t="n">
        <v>22885.49</v>
      </c>
      <c r="M16" s="35" t="n">
        <v>23532.82</v>
      </c>
      <c r="N16" s="36">
        <f>SUM(B16:M16)</f>
        <v/>
      </c>
      <c r="O16" s="37">
        <f>SUMIF('HAB TB'!$R:$R,'HAB P&amp;L'!$A16,'HAB TB'!C:C)</f>
        <v/>
      </c>
      <c r="P16" s="37">
        <f>SUMIF('HAB TB'!$R:$R,'HAB P&amp;L'!$A16,'HAB TB'!D:D)</f>
        <v/>
      </c>
      <c r="Q16" s="37">
        <f>SUMIF('HAB TB'!$R:$R,'HAB P&amp;L'!$A16,'HAB TB'!E:E)</f>
        <v/>
      </c>
      <c r="R16" s="37">
        <f>SUMIF('HAB TB'!$R:$R,'HAB P&amp;L'!$A16,'HAB TB'!F:F)</f>
        <v/>
      </c>
      <c r="S16" s="37">
        <f>SUMIF('HAB TB'!$R:$R,'HAB P&amp;L'!$A16,'HAB TB'!G:G)</f>
        <v/>
      </c>
      <c r="T16" s="37">
        <f>SUMIF('HAB TB'!$R:$R,'HAB P&amp;L'!$A16,'HAB TB'!H:H)</f>
        <v/>
      </c>
      <c r="U16" s="37">
        <f>SUMIF('HAB TB'!$R:$R,'HAB P&amp;L'!$A16,'HAB TB'!I:I)</f>
        <v/>
      </c>
      <c r="V16" s="38" t="n">
        <v>24045</v>
      </c>
      <c r="W16" s="38" t="n">
        <v>24045</v>
      </c>
      <c r="X16" s="38" t="n">
        <v>24045</v>
      </c>
      <c r="Y16" s="38" t="n">
        <v>24045</v>
      </c>
      <c r="Z16" s="38" t="n">
        <v>24045</v>
      </c>
      <c r="AA16" s="36">
        <f>SUM(O16:U16)</f>
        <v/>
      </c>
      <c r="AB16" s="36">
        <f>SUM(O16:Z16)</f>
        <v/>
      </c>
      <c r="AC16" s="38" t="n">
        <v>24045</v>
      </c>
      <c r="AD16" s="38" t="n">
        <v>24045</v>
      </c>
      <c r="AE16" s="38" t="n">
        <v>24045</v>
      </c>
      <c r="AF16" s="38" t="n">
        <v>24045</v>
      </c>
      <c r="AG16" s="38" t="n">
        <v>24045</v>
      </c>
      <c r="AH16" s="38" t="n">
        <v>24045</v>
      </c>
      <c r="AI16" s="118" t="n">
        <v>24045</v>
      </c>
      <c r="AJ16" s="119" t="n">
        <v>24045</v>
      </c>
      <c r="AK16" s="119" t="n">
        <v>24045</v>
      </c>
      <c r="AL16" s="119" t="n">
        <v>24045</v>
      </c>
      <c r="AM16" s="120" t="n">
        <v>24045</v>
      </c>
      <c r="AN16" s="118" t="n">
        <v>24045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1203.75</v>
      </c>
      <c r="C17" s="35" t="n">
        <v>1428.91</v>
      </c>
      <c r="D17" s="35" t="n">
        <v>1476.68</v>
      </c>
      <c r="E17" s="35" t="n">
        <v>2209.36</v>
      </c>
      <c r="F17" s="35" t="n">
        <v>2440.06</v>
      </c>
      <c r="G17" s="35" t="n">
        <v>2305.71</v>
      </c>
      <c r="H17" s="35" t="n">
        <v>2435.99</v>
      </c>
      <c r="I17" s="35" t="n">
        <v>2237.92</v>
      </c>
      <c r="J17" s="35" t="n">
        <v>2496.6</v>
      </c>
      <c r="K17" s="35" t="n">
        <v>2529.67</v>
      </c>
      <c r="L17" s="35" t="n">
        <v>2509.06</v>
      </c>
      <c r="M17" s="35" t="n">
        <v>2620.8</v>
      </c>
      <c r="N17" s="36">
        <f>SUM(B17:M17)</f>
        <v/>
      </c>
      <c r="O17" s="37">
        <f>SUMIF('HAB TB'!$R:$R,'HAB P&amp;L'!$A17,'HAB TB'!C:C)</f>
        <v/>
      </c>
      <c r="P17" s="37">
        <f>SUMIF('HAB TB'!$R:$R,'HAB P&amp;L'!$A17,'HAB TB'!D:D)</f>
        <v/>
      </c>
      <c r="Q17" s="37">
        <f>SUMIF('HAB TB'!$R:$R,'HAB P&amp;L'!$A17,'HAB TB'!E:E)</f>
        <v/>
      </c>
      <c r="R17" s="37">
        <f>SUMIF('HAB TB'!$R:$R,'HAB P&amp;L'!$A17,'HAB TB'!F:F)</f>
        <v/>
      </c>
      <c r="S17" s="37">
        <f>SUMIF('HAB TB'!$R:$R,'HAB P&amp;L'!$A17,'HAB TB'!G:G)</f>
        <v/>
      </c>
      <c r="T17" s="37">
        <f>SUMIF('HAB TB'!$R:$R,'HAB P&amp;L'!$A17,'HAB TB'!H:H)</f>
        <v/>
      </c>
      <c r="U17" s="37">
        <f>SUMIF('HAB TB'!$R:$R,'HAB P&amp;L'!$A17,'HAB TB'!I:I)</f>
        <v/>
      </c>
      <c r="V17" s="38" t="n">
        <v>2713</v>
      </c>
      <c r="W17" s="38" t="n">
        <v>2713</v>
      </c>
      <c r="X17" s="38" t="n">
        <v>2713</v>
      </c>
      <c r="Y17" s="38" t="n">
        <v>2713</v>
      </c>
      <c r="Z17" s="38" t="n">
        <v>2713</v>
      </c>
      <c r="AA17" s="36">
        <f>SUM(O17:U17)</f>
        <v/>
      </c>
      <c r="AB17" s="36">
        <f>SUM(O17:Z17)</f>
        <v/>
      </c>
      <c r="AC17" s="38" t="n">
        <v>2713</v>
      </c>
      <c r="AD17" s="38" t="n">
        <v>2713</v>
      </c>
      <c r="AE17" s="38" t="n">
        <v>2713</v>
      </c>
      <c r="AF17" s="38" t="n">
        <v>2713</v>
      </c>
      <c r="AG17" s="38" t="n">
        <v>2713</v>
      </c>
      <c r="AH17" s="38" t="n">
        <v>2713</v>
      </c>
      <c r="AI17" s="118" t="n">
        <v>2713</v>
      </c>
      <c r="AJ17" s="119" t="n">
        <v>2713</v>
      </c>
      <c r="AK17" s="119" t="n">
        <v>2713</v>
      </c>
      <c r="AL17" s="119" t="n">
        <v>2713</v>
      </c>
      <c r="AM17" s="120" t="n">
        <v>2713</v>
      </c>
      <c r="AN17" s="118" t="n">
        <v>2713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311.63</v>
      </c>
      <c r="C18" s="35" t="n">
        <v>367.72</v>
      </c>
      <c r="D18" s="35" t="n">
        <v>365.22</v>
      </c>
      <c r="E18" s="35" t="n">
        <v>382.57</v>
      </c>
      <c r="F18" s="35" t="n">
        <v>424.4</v>
      </c>
      <c r="G18" s="35" t="n">
        <v>305.58</v>
      </c>
      <c r="H18" s="35" t="n">
        <v>307.23</v>
      </c>
      <c r="I18" s="35" t="n">
        <v>283.62</v>
      </c>
      <c r="J18" s="35" t="n">
        <v>355.96</v>
      </c>
      <c r="K18" s="35" t="n">
        <v>382.65</v>
      </c>
      <c r="L18" s="35" t="n">
        <v>386.03</v>
      </c>
      <c r="M18" s="35" t="n">
        <v>392.32</v>
      </c>
      <c r="N18" s="36">
        <f>SUM(B18:M18)</f>
        <v/>
      </c>
      <c r="O18" s="37">
        <f>SUMIF('HAB TB'!$R:$R,'HAB P&amp;L'!$A18,'HAB TB'!C:C)</f>
        <v/>
      </c>
      <c r="P18" s="37">
        <f>SUMIF('HAB TB'!$R:$R,'HAB P&amp;L'!$A18,'HAB TB'!D:D)</f>
        <v/>
      </c>
      <c r="Q18" s="37">
        <f>SUMIF('HAB TB'!$R:$R,'HAB P&amp;L'!$A18,'HAB TB'!E:E)</f>
        <v/>
      </c>
      <c r="R18" s="37">
        <f>SUMIF('HAB TB'!$R:$R,'HAB P&amp;L'!$A18,'HAB TB'!F:F)</f>
        <v/>
      </c>
      <c r="S18" s="37">
        <f>SUMIF('HAB TB'!$R:$R,'HAB P&amp;L'!$A18,'HAB TB'!G:G)</f>
        <v/>
      </c>
      <c r="T18" s="37">
        <f>SUMIF('HAB TB'!$R:$R,'HAB P&amp;L'!$A18,'HAB TB'!H:H)</f>
        <v/>
      </c>
      <c r="U18" s="37">
        <f>SUMIF('HAB TB'!$R:$R,'HAB P&amp;L'!$A18,'HAB TB'!I:I)</f>
        <v/>
      </c>
      <c r="V18" s="38" t="n">
        <v>453</v>
      </c>
      <c r="W18" s="38" t="n">
        <v>453</v>
      </c>
      <c r="X18" s="38" t="n">
        <v>453</v>
      </c>
      <c r="Y18" s="38" t="n">
        <v>453</v>
      </c>
      <c r="Z18" s="38" t="n">
        <v>453</v>
      </c>
      <c r="AA18" s="36">
        <f>SUM(O18:U18)</f>
        <v/>
      </c>
      <c r="AB18" s="36">
        <f>SUM(O18:Z18)</f>
        <v/>
      </c>
      <c r="AC18" s="38" t="n">
        <v>453</v>
      </c>
      <c r="AD18" s="38" t="n">
        <v>453</v>
      </c>
      <c r="AE18" s="38" t="n">
        <v>453</v>
      </c>
      <c r="AF18" s="38" t="n">
        <v>453</v>
      </c>
      <c r="AG18" s="38" t="n">
        <v>453</v>
      </c>
      <c r="AH18" s="38" t="n">
        <v>453</v>
      </c>
      <c r="AI18" s="118" t="n">
        <v>453</v>
      </c>
      <c r="AJ18" s="119" t="n">
        <v>453</v>
      </c>
      <c r="AK18" s="119" t="n">
        <v>453</v>
      </c>
      <c r="AL18" s="119" t="n">
        <v>453</v>
      </c>
      <c r="AM18" s="120" t="n">
        <v>453</v>
      </c>
      <c r="AN18" s="118" t="n">
        <v>453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166.92</v>
      </c>
      <c r="E19" s="35" t="n">
        <v>0</v>
      </c>
      <c r="F19" s="35" t="n">
        <v>0</v>
      </c>
      <c r="G19" s="35" t="n">
        <v>155.16</v>
      </c>
      <c r="H19" s="35" t="n">
        <v>0</v>
      </c>
      <c r="I19" s="35" t="n">
        <v>0</v>
      </c>
      <c r="J19" s="35" t="n">
        <v>274.38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>
        <f>SUMIF('HAB TB'!$R:$R,'HAB P&amp;L'!$A19,'HAB TB'!C:C)</f>
        <v/>
      </c>
      <c r="P19" s="37">
        <f>SUMIF('HAB TB'!$R:$R,'HAB P&amp;L'!$A19,'HAB TB'!D:D)</f>
        <v/>
      </c>
      <c r="Q19" s="37">
        <f>SUMIF('HAB TB'!$R:$R,'HAB P&amp;L'!$A19,'HAB TB'!E:E)</f>
        <v/>
      </c>
      <c r="R19" s="37">
        <f>SUMIF('HAB TB'!$R:$R,'HAB P&amp;L'!$A19,'HAB TB'!F:F)</f>
        <v/>
      </c>
      <c r="S19" s="37">
        <f>SUMIF('HAB TB'!$R:$R,'HAB P&amp;L'!$A19,'HAB TB'!G:G)</f>
        <v/>
      </c>
      <c r="T19" s="37">
        <f>SUMIF('HAB TB'!$R:$R,'HAB P&amp;L'!$A19,'HAB TB'!H:H)</f>
        <v/>
      </c>
      <c r="U19" s="37">
        <f>SUMIF('HAB TB'!$R:$R,'HAB P&amp;L'!$A19,'HAB TB'!I:I)</f>
        <v/>
      </c>
      <c r="V19" s="38" t="n">
        <v>49</v>
      </c>
      <c r="W19" s="38" t="n">
        <v>49</v>
      </c>
      <c r="X19" s="38" t="n">
        <v>49</v>
      </c>
      <c r="Y19" s="38" t="n">
        <v>49</v>
      </c>
      <c r="Z19" s="38" t="n">
        <v>49</v>
      </c>
      <c r="AA19" s="36">
        <f>SUM(O19:U19)</f>
        <v/>
      </c>
      <c r="AB19" s="36">
        <f>SUM(O19:Z19)</f>
        <v/>
      </c>
      <c r="AC19" s="38" t="n">
        <v>49</v>
      </c>
      <c r="AD19" s="38" t="n">
        <v>49</v>
      </c>
      <c r="AE19" s="38" t="n">
        <v>49</v>
      </c>
      <c r="AF19" s="38" t="n">
        <v>49</v>
      </c>
      <c r="AG19" s="38" t="n">
        <v>49</v>
      </c>
      <c r="AH19" s="38" t="n">
        <v>49</v>
      </c>
      <c r="AI19" s="118" t="n">
        <v>49</v>
      </c>
      <c r="AJ19" s="119" t="n">
        <v>49</v>
      </c>
      <c r="AK19" s="119" t="n">
        <v>49</v>
      </c>
      <c r="AL19" s="119" t="n">
        <v>49</v>
      </c>
      <c r="AM19" s="120" t="n">
        <v>49</v>
      </c>
      <c r="AN19" s="118" t="n">
        <v>49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97.90000000000001</v>
      </c>
      <c r="C20" s="35" t="n">
        <v>24.95</v>
      </c>
      <c r="D20" s="35" t="n">
        <v>53.94</v>
      </c>
      <c r="E20" s="35" t="n">
        <v>109.2</v>
      </c>
      <c r="F20" s="35" t="n">
        <v>36</v>
      </c>
      <c r="G20" s="35" t="n">
        <v>29.94</v>
      </c>
      <c r="H20" s="35" t="n">
        <v>0</v>
      </c>
      <c r="I20" s="35" t="n">
        <v>74.40000000000001</v>
      </c>
      <c r="J20" s="35" t="n">
        <v>387.94</v>
      </c>
      <c r="K20" s="35" t="n">
        <v>115.2</v>
      </c>
      <c r="L20" s="35" t="n">
        <v>45</v>
      </c>
      <c r="M20" s="35" t="n">
        <v>636.5</v>
      </c>
      <c r="N20" s="36">
        <f>SUM(B20:M20)</f>
        <v/>
      </c>
      <c r="O20" s="37">
        <f>SUMIF('HAB TB'!$R:$R,'HAB P&amp;L'!$A20,'HAB TB'!C:C)</f>
        <v/>
      </c>
      <c r="P20" s="37">
        <f>SUMIF('HAB TB'!$R:$R,'HAB P&amp;L'!$A20,'HAB TB'!D:D)</f>
        <v/>
      </c>
      <c r="Q20" s="37">
        <f>SUMIF('HAB TB'!$R:$R,'HAB P&amp;L'!$A20,'HAB TB'!E:E)</f>
        <v/>
      </c>
      <c r="R20" s="37">
        <f>SUMIF('HAB TB'!$R:$R,'HAB P&amp;L'!$A20,'HAB TB'!F:F)</f>
        <v/>
      </c>
      <c r="S20" s="37">
        <f>SUMIF('HAB TB'!$R:$R,'HAB P&amp;L'!$A20,'HAB TB'!G:G)</f>
        <v/>
      </c>
      <c r="T20" s="37">
        <f>SUMIF('HAB TB'!$R:$R,'HAB P&amp;L'!$A20,'HAB TB'!H:H)</f>
        <v/>
      </c>
      <c r="U20" s="37">
        <f>SUMIF('HAB TB'!$R:$R,'HAB P&amp;L'!$A20,'HAB TB'!I:I)</f>
        <v/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118" t="n">
        <v>100</v>
      </c>
      <c r="AJ20" s="119" t="n">
        <v>100</v>
      </c>
      <c r="AK20" s="119" t="n">
        <v>100</v>
      </c>
      <c r="AL20" s="119" t="n">
        <v>100</v>
      </c>
      <c r="AM20" s="120" t="n">
        <v>100</v>
      </c>
      <c r="AN20" s="118" t="n">
        <v>100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6</v>
      </c>
      <c r="C21" s="35" t="n">
        <v>169.43</v>
      </c>
      <c r="D21" s="35" t="n">
        <v>78.2</v>
      </c>
      <c r="E21" s="35" t="n">
        <v>155.13</v>
      </c>
      <c r="F21" s="35" t="n">
        <v>174.31</v>
      </c>
      <c r="G21" s="35" t="n">
        <v>86.18000000000001</v>
      </c>
      <c r="H21" s="35" t="n">
        <v>68.59999999999999</v>
      </c>
      <c r="I21" s="35" t="n">
        <v>55.43</v>
      </c>
      <c r="J21" s="35" t="n">
        <v>96.39</v>
      </c>
      <c r="K21" s="35" t="n">
        <v>12.05</v>
      </c>
      <c r="L21" s="35" t="n">
        <v>77.67</v>
      </c>
      <c r="M21" s="35" t="n">
        <v>88.14</v>
      </c>
      <c r="N21" s="36">
        <f>SUM(B21:M21)</f>
        <v/>
      </c>
      <c r="O21" s="37">
        <f>SUMIF('HAB TB'!$R:$R,'HAB P&amp;L'!$A21,'HAB TB'!C:C)</f>
        <v/>
      </c>
      <c r="P21" s="37">
        <f>SUMIF('HAB TB'!$R:$R,'HAB P&amp;L'!$A21,'HAB TB'!D:D)</f>
        <v/>
      </c>
      <c r="Q21" s="37">
        <f>SUMIF('HAB TB'!$R:$R,'HAB P&amp;L'!$A21,'HAB TB'!E:E)</f>
        <v/>
      </c>
      <c r="R21" s="37">
        <f>SUMIF('HAB TB'!$R:$R,'HAB P&amp;L'!$A21,'HAB TB'!F:F)</f>
        <v/>
      </c>
      <c r="S21" s="37">
        <f>SUMIF('HAB TB'!$R:$R,'HAB P&amp;L'!$A21,'HAB TB'!G:G)</f>
        <v/>
      </c>
      <c r="T21" s="37">
        <f>SUMIF('HAB TB'!$R:$R,'HAB P&amp;L'!$A21,'HAB TB'!H:H)</f>
        <v/>
      </c>
      <c r="U21" s="37">
        <f>SUMIF('HAB TB'!$R:$R,'HAB P&amp;L'!$A21,'HAB TB'!I:I)</f>
        <v/>
      </c>
      <c r="V21" s="38" t="n">
        <v>100</v>
      </c>
      <c r="W21" s="38" t="n">
        <v>100</v>
      </c>
      <c r="X21" s="38" t="n">
        <v>100</v>
      </c>
      <c r="Y21" s="38" t="n">
        <v>100</v>
      </c>
      <c r="Z21" s="38" t="n">
        <v>100</v>
      </c>
      <c r="AA21" s="36">
        <f>SUM(O21:U21)</f>
        <v/>
      </c>
      <c r="AB21" s="36">
        <f>SUM(O21:Z21)</f>
        <v/>
      </c>
      <c r="AC21" s="38" t="n">
        <v>100</v>
      </c>
      <c r="AD21" s="38" t="n">
        <v>100</v>
      </c>
      <c r="AE21" s="38" t="n">
        <v>100</v>
      </c>
      <c r="AF21" s="38" t="n">
        <v>100</v>
      </c>
      <c r="AG21" s="38" t="n">
        <v>100</v>
      </c>
      <c r="AH21" s="38" t="n">
        <v>100</v>
      </c>
      <c r="AI21" s="118" t="n">
        <v>100</v>
      </c>
      <c r="AJ21" s="119" t="n">
        <v>100</v>
      </c>
      <c r="AK21" s="119" t="n">
        <v>100</v>
      </c>
      <c r="AL21" s="119" t="n">
        <v>100</v>
      </c>
      <c r="AM21" s="120" t="n">
        <v>100</v>
      </c>
      <c r="AN21" s="118" t="n">
        <v>100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SUMIF('HAB TB'!$R:$R,'HAB P&amp;L'!$A22,'HAB TB'!C:C)</f>
        <v/>
      </c>
      <c r="P22" s="37">
        <f>SUMIF('HAB TB'!$R:$R,'HAB P&amp;L'!$A22,'HAB TB'!D:D)</f>
        <v/>
      </c>
      <c r="Q22" s="37">
        <f>SUMIF('HAB TB'!$R:$R,'HAB P&amp;L'!$A22,'HAB TB'!E:E)</f>
        <v/>
      </c>
      <c r="R22" s="37">
        <f>SUMIF('HAB TB'!$R:$R,'HAB P&amp;L'!$A22,'HAB TB'!F:F)</f>
        <v/>
      </c>
      <c r="S22" s="37">
        <f>SUMIF('HAB TB'!$R:$R,'HAB P&amp;L'!$A22,'HAB TB'!G:G)</f>
        <v/>
      </c>
      <c r="T22" s="37">
        <f>SUMIF('HAB TB'!$R:$R,'HAB P&amp;L'!$A22,'HAB TB'!H:H)</f>
        <v/>
      </c>
      <c r="U22" s="37">
        <f>SUMIF('HAB TB'!$R:$R,'HAB P&amp;L'!$A22,'HAB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8" t="n">
        <v>0</v>
      </c>
      <c r="AJ22" s="119" t="n">
        <v>0</v>
      </c>
      <c r="AK22" s="119" t="n">
        <v>0</v>
      </c>
      <c r="AL22" s="119" t="n">
        <v>0</v>
      </c>
      <c r="AM22" s="120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45</v>
      </c>
      <c r="I23" s="35" t="n">
        <v>0</v>
      </c>
      <c r="J23" s="35" t="n">
        <v>62.98</v>
      </c>
      <c r="K23" s="35" t="n">
        <v>32.48</v>
      </c>
      <c r="L23" s="35" t="n">
        <v>14.88</v>
      </c>
      <c r="M23" s="35" t="n">
        <v>130.64</v>
      </c>
      <c r="N23" s="36">
        <f>SUM(B23:M23)</f>
        <v/>
      </c>
      <c r="O23" s="37">
        <f>SUMIF('HAB TB'!$R:$R,'HAB P&amp;L'!$A23,'HAB TB'!C:C)</f>
        <v/>
      </c>
      <c r="P23" s="37">
        <f>SUMIF('HAB TB'!$R:$R,'HAB P&amp;L'!$A23,'HAB TB'!D:D)</f>
        <v/>
      </c>
      <c r="Q23" s="37">
        <f>SUMIF('HAB TB'!$R:$R,'HAB P&amp;L'!$A23,'HAB TB'!E:E)</f>
        <v/>
      </c>
      <c r="R23" s="37">
        <f>SUMIF('HAB TB'!$R:$R,'HAB P&amp;L'!$A23,'HAB TB'!F:F)</f>
        <v/>
      </c>
      <c r="S23" s="37">
        <f>SUMIF('HAB TB'!$R:$R,'HAB P&amp;L'!$A23,'HAB TB'!G:G)</f>
        <v/>
      </c>
      <c r="T23" s="37">
        <f>SUMIF('HAB TB'!$R:$R,'HAB P&amp;L'!$A23,'HAB TB'!H:H)</f>
        <v/>
      </c>
      <c r="U23" s="37">
        <f>SUMIF('HAB TB'!$R:$R,'HAB P&amp;L'!$A23,'HAB TB'!I:I)</f>
        <v/>
      </c>
      <c r="V23" s="38" t="n">
        <v>42</v>
      </c>
      <c r="W23" s="38" t="n">
        <v>42</v>
      </c>
      <c r="X23" s="38" t="n">
        <v>42</v>
      </c>
      <c r="Y23" s="38" t="n">
        <v>42</v>
      </c>
      <c r="Z23" s="38" t="n">
        <v>42</v>
      </c>
      <c r="AA23" s="36">
        <f>SUM(O23:U23)</f>
        <v/>
      </c>
      <c r="AB23" s="36">
        <f>SUM(O23:Z23)</f>
        <v/>
      </c>
      <c r="AC23" s="38" t="n">
        <v>42</v>
      </c>
      <c r="AD23" s="38" t="n">
        <v>42</v>
      </c>
      <c r="AE23" s="38" t="n">
        <v>42</v>
      </c>
      <c r="AF23" s="38" t="n">
        <v>42</v>
      </c>
      <c r="AG23" s="38" t="n">
        <v>42</v>
      </c>
      <c r="AH23" s="38" t="n">
        <v>42</v>
      </c>
      <c r="AI23" s="118" t="n">
        <v>42</v>
      </c>
      <c r="AJ23" s="119" t="n">
        <v>42</v>
      </c>
      <c r="AK23" s="119" t="n">
        <v>42</v>
      </c>
      <c r="AL23" s="119" t="n">
        <v>42</v>
      </c>
      <c r="AM23" s="120" t="n">
        <v>42</v>
      </c>
      <c r="AN23" s="118" t="n">
        <v>42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SUMIF('HAB TB'!$R:$R,'HAB P&amp;L'!$A24,'HAB TB'!C:C)</f>
        <v/>
      </c>
      <c r="P24" s="37">
        <f>SUMIF('HAB TB'!$R:$R,'HAB P&amp;L'!$A24,'HAB TB'!D:D)</f>
        <v/>
      </c>
      <c r="Q24" s="37">
        <f>SUMIF('HAB TB'!$R:$R,'HAB P&amp;L'!$A24,'HAB TB'!E:E)</f>
        <v/>
      </c>
      <c r="R24" s="37">
        <f>SUMIF('HAB TB'!$R:$R,'HAB P&amp;L'!$A24,'HAB TB'!F:F)</f>
        <v/>
      </c>
      <c r="S24" s="37">
        <f>SUMIF('HAB TB'!$R:$R,'HAB P&amp;L'!$A24,'HAB TB'!G:G)</f>
        <v/>
      </c>
      <c r="T24" s="37">
        <f>SUMIF('HAB TB'!$R:$R,'HAB P&amp;L'!$A24,'HAB TB'!H:H)</f>
        <v/>
      </c>
      <c r="U24" s="37">
        <f>SUMIF('HAB TB'!$R:$R,'HAB P&amp;L'!$A24,'HAB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8" t="n">
        <v>0</v>
      </c>
      <c r="AJ24" s="119" t="n">
        <v>0</v>
      </c>
      <c r="AK24" s="119" t="n">
        <v>0</v>
      </c>
      <c r="AL24" s="119" t="n">
        <v>0</v>
      </c>
      <c r="AM24" s="120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15648.24</v>
      </c>
      <c r="C25" s="42" t="n">
        <v>18409.52</v>
      </c>
      <c r="D25" s="42" t="n">
        <v>19663.6</v>
      </c>
      <c r="E25" s="42" t="n">
        <v>21338.35</v>
      </c>
      <c r="F25" s="42" t="n">
        <v>23094.97</v>
      </c>
      <c r="G25" s="42" t="n">
        <v>22006.96</v>
      </c>
      <c r="H25" s="42" t="n">
        <v>22849.88</v>
      </c>
      <c r="I25" s="42" t="n">
        <v>21324.02</v>
      </c>
      <c r="J25" s="42" t="n">
        <v>26356.50999999999</v>
      </c>
      <c r="K25" s="42" t="n">
        <v>26819.11</v>
      </c>
      <c r="L25" s="42" t="n">
        <v>25918.13</v>
      </c>
      <c r="M25" s="42" t="n">
        <v>27401.22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3">
        <f>SUM(AI16:AI24)</f>
        <v/>
      </c>
      <c r="AJ25" s="124">
        <f>SUM(AJ16:AJ24)</f>
        <v/>
      </c>
      <c r="AK25" s="124">
        <f>SUM(AK16:AK24)</f>
        <v/>
      </c>
      <c r="AL25" s="124">
        <f>SUM(AL16:AL24)</f>
        <v/>
      </c>
      <c r="AM25" s="124">
        <f>SUM(AM16:AM24)</f>
        <v/>
      </c>
      <c r="AN25" s="123">
        <f>SUM(AN16:AN24)</f>
        <v/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7" t="n">
        <v>0</v>
      </c>
      <c r="AJ26" s="128" t="n">
        <v>0</v>
      </c>
      <c r="AK26" s="128" t="n">
        <v>0</v>
      </c>
      <c r="AL26" s="128" t="n">
        <v>0</v>
      </c>
      <c r="AM26" s="129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1097.02</v>
      </c>
      <c r="C27" s="35" t="n">
        <v>959.28</v>
      </c>
      <c r="D27" s="35" t="n">
        <v>1015.65</v>
      </c>
      <c r="E27" s="35" t="n">
        <v>970.3099999999999</v>
      </c>
      <c r="F27" s="35" t="n">
        <v>1124.45</v>
      </c>
      <c r="G27" s="35" t="n">
        <v>1191.59</v>
      </c>
      <c r="H27" s="35" t="n">
        <v>1055.31</v>
      </c>
      <c r="I27" s="35" t="n">
        <v>1034.07</v>
      </c>
      <c r="J27" s="35" t="n">
        <v>1031.82</v>
      </c>
      <c r="K27" s="35" t="n">
        <v>1321.23</v>
      </c>
      <c r="L27" s="35" t="n">
        <v>1037.74</v>
      </c>
      <c r="M27" s="35" t="n">
        <v>885.5599999999999</v>
      </c>
      <c r="N27" s="36">
        <f>SUM(B27:M27)</f>
        <v/>
      </c>
      <c r="O27" s="37">
        <f>SUMIF('HAB TB'!$R:$R,'HAB P&amp;L'!$A27,'HAB TB'!C:C)</f>
        <v/>
      </c>
      <c r="P27" s="37">
        <f>SUMIF('HAB TB'!$R:$R,'HAB P&amp;L'!$A27,'HAB TB'!D:D)</f>
        <v/>
      </c>
      <c r="Q27" s="37">
        <f>SUMIF('HAB TB'!$R:$R,'HAB P&amp;L'!$A27,'HAB TB'!E:E)</f>
        <v/>
      </c>
      <c r="R27" s="37">
        <f>SUMIF('HAB TB'!$R:$R,'HAB P&amp;L'!$A27,'HAB TB'!F:F)</f>
        <v/>
      </c>
      <c r="S27" s="37">
        <f>SUMIF('HAB TB'!$R:$R,'HAB P&amp;L'!$A27,'HAB TB'!G:G)</f>
        <v/>
      </c>
      <c r="T27" s="37">
        <f>SUMIF('HAB TB'!$R:$R,'HAB P&amp;L'!$A27,'HAB TB'!H:H)</f>
        <v/>
      </c>
      <c r="U27" s="37">
        <f>SUMIF('HAB TB'!$R:$R,'HAB P&amp;L'!$A27,'HAB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18" t="n">
        <v>0</v>
      </c>
      <c r="AJ27" s="119" t="n">
        <v>0</v>
      </c>
      <c r="AK27" s="119" t="n">
        <v>0</v>
      </c>
      <c r="AL27" s="119" t="n">
        <v>0</v>
      </c>
      <c r="AM27" s="120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683.49</v>
      </c>
      <c r="C28" s="35" t="n">
        <v>332.85</v>
      </c>
      <c r="D28" s="35" t="n">
        <v>213.47</v>
      </c>
      <c r="E28" s="35" t="n">
        <v>84.28999999999999</v>
      </c>
      <c r="F28" s="35" t="n">
        <v>1142.04</v>
      </c>
      <c r="G28" s="35" t="n">
        <v>347.81</v>
      </c>
      <c r="H28" s="35" t="n">
        <v>169.15</v>
      </c>
      <c r="I28" s="35" t="n">
        <v>231.52</v>
      </c>
      <c r="J28" s="35" t="n">
        <v>132.85</v>
      </c>
      <c r="K28" s="35" t="n">
        <v>444.81</v>
      </c>
      <c r="L28" s="35" t="n">
        <v>168.92</v>
      </c>
      <c r="M28" s="35" t="n">
        <v>104.22</v>
      </c>
      <c r="N28" s="36">
        <f>SUM(B28:M28)</f>
        <v/>
      </c>
      <c r="O28" s="37">
        <f>SUMIF('HAB TB'!$R:$R,'HAB P&amp;L'!$A28,'HAB TB'!C:C)</f>
        <v/>
      </c>
      <c r="P28" s="37">
        <f>SUMIF('HAB TB'!$R:$R,'HAB P&amp;L'!$A28,'HAB TB'!D:D)</f>
        <v/>
      </c>
      <c r="Q28" s="37">
        <f>SUMIF('HAB TB'!$R:$R,'HAB P&amp;L'!$A28,'HAB TB'!E:E)</f>
        <v/>
      </c>
      <c r="R28" s="37">
        <f>SUMIF('HAB TB'!$R:$R,'HAB P&amp;L'!$A28,'HAB TB'!F:F)</f>
        <v/>
      </c>
      <c r="S28" s="37">
        <f>SUMIF('HAB TB'!$R:$R,'HAB P&amp;L'!$A28,'HAB TB'!G:G)</f>
        <v/>
      </c>
      <c r="T28" s="37">
        <f>SUMIF('HAB TB'!$R:$R,'HAB P&amp;L'!$A28,'HAB TB'!H:H)</f>
        <v/>
      </c>
      <c r="U28" s="37">
        <f>SUMIF('HAB TB'!$R:$R,'HAB P&amp;L'!$A28,'HAB TB'!I:I)</f>
        <v/>
      </c>
      <c r="V28" s="38" t="n">
        <v>54</v>
      </c>
      <c r="W28" s="38" t="n">
        <v>55</v>
      </c>
      <c r="X28" s="38" t="n">
        <v>56</v>
      </c>
      <c r="Y28" s="38" t="n">
        <v>57</v>
      </c>
      <c r="Z28" s="38" t="n">
        <v>58</v>
      </c>
      <c r="AA28" s="36">
        <f>SUM(O28:U28)</f>
        <v/>
      </c>
      <c r="AB28" s="36">
        <f>SUM(O28:Z28)</f>
        <v/>
      </c>
      <c r="AC28" s="38" t="n">
        <v>58</v>
      </c>
      <c r="AD28" s="38" t="n">
        <v>58</v>
      </c>
      <c r="AE28" s="38" t="n">
        <v>58</v>
      </c>
      <c r="AF28" s="38" t="n">
        <v>58</v>
      </c>
      <c r="AG28" s="38" t="n">
        <v>58</v>
      </c>
      <c r="AH28" s="38" t="n">
        <v>58</v>
      </c>
      <c r="AI28" s="118" t="n">
        <v>58</v>
      </c>
      <c r="AJ28" s="119" t="n">
        <v>58</v>
      </c>
      <c r="AK28" s="119" t="n">
        <v>58</v>
      </c>
      <c r="AL28" s="119" t="n">
        <v>58</v>
      </c>
      <c r="AM28" s="120" t="n">
        <v>58</v>
      </c>
      <c r="AN28" s="118" t="n">
        <v>58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267.01</v>
      </c>
      <c r="C29" s="35" t="n">
        <v>23.97</v>
      </c>
      <c r="D29" s="35" t="n">
        <v>136.51</v>
      </c>
      <c r="E29" s="35" t="n">
        <v>153.58</v>
      </c>
      <c r="F29" s="35" t="n">
        <v>103.75</v>
      </c>
      <c r="G29" s="35" t="n">
        <v>4.94</v>
      </c>
      <c r="H29" s="35" t="n">
        <v>159.68</v>
      </c>
      <c r="I29" s="35" t="n">
        <v>40.09</v>
      </c>
      <c r="J29" s="35" t="n">
        <v>0</v>
      </c>
      <c r="K29" s="35" t="n">
        <v>131.01</v>
      </c>
      <c r="L29" s="35" t="n">
        <v>45.15000000000001</v>
      </c>
      <c r="M29" s="35" t="n">
        <v>38.38</v>
      </c>
      <c r="N29" s="36">
        <f>SUM(B29:M29)</f>
        <v/>
      </c>
      <c r="O29" s="37">
        <f>SUMIF('HAB TB'!$R:$R,'HAB P&amp;L'!$A29,'HAB TB'!C:C)</f>
        <v/>
      </c>
      <c r="P29" s="37">
        <f>SUMIF('HAB TB'!$R:$R,'HAB P&amp;L'!$A29,'HAB TB'!D:D)</f>
        <v/>
      </c>
      <c r="Q29" s="37">
        <f>SUMIF('HAB TB'!$R:$R,'HAB P&amp;L'!$A29,'HAB TB'!E:E)</f>
        <v/>
      </c>
      <c r="R29" s="37">
        <f>SUMIF('HAB TB'!$R:$R,'HAB P&amp;L'!$A29,'HAB TB'!F:F)</f>
        <v/>
      </c>
      <c r="S29" s="37">
        <f>SUMIF('HAB TB'!$R:$R,'HAB P&amp;L'!$A29,'HAB TB'!G:G)</f>
        <v/>
      </c>
      <c r="T29" s="37">
        <f>SUMIF('HAB TB'!$R:$R,'HAB P&amp;L'!$A29,'HAB TB'!H:H)</f>
        <v/>
      </c>
      <c r="U29" s="37">
        <f>SUMIF('HAB TB'!$R:$R,'HAB P&amp;L'!$A29,'HAB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18" t="n">
        <v>0</v>
      </c>
      <c r="AJ29" s="119" t="n">
        <v>0</v>
      </c>
      <c r="AK29" s="119" t="n">
        <v>0</v>
      </c>
      <c r="AL29" s="119" t="n">
        <v>0</v>
      </c>
      <c r="AM29" s="120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69.2</v>
      </c>
      <c r="C30" s="35" t="n">
        <v>20.73</v>
      </c>
      <c r="D30" s="35" t="n">
        <v>82.73</v>
      </c>
      <c r="E30" s="35" t="n">
        <v>16.99</v>
      </c>
      <c r="F30" s="35" t="n">
        <v>110.64</v>
      </c>
      <c r="G30" s="35" t="n">
        <v>52.16</v>
      </c>
      <c r="H30" s="35" t="n">
        <v>63.11</v>
      </c>
      <c r="I30" s="35" t="n">
        <v>0</v>
      </c>
      <c r="J30" s="35" t="n">
        <v>167.04</v>
      </c>
      <c r="K30" s="35" t="n">
        <v>39.54</v>
      </c>
      <c r="L30" s="35" t="n">
        <v>92.5</v>
      </c>
      <c r="M30" s="35" t="n">
        <v>7.71</v>
      </c>
      <c r="N30" s="36">
        <f>SUM(B30:M30)</f>
        <v/>
      </c>
      <c r="O30" s="37">
        <f>SUMIF('HAB TB'!$R:$R,'HAB P&amp;L'!$A30,'HAB TB'!C:C)</f>
        <v/>
      </c>
      <c r="P30" s="37">
        <f>SUMIF('HAB TB'!$R:$R,'HAB P&amp;L'!$A30,'HAB TB'!D:D)</f>
        <v/>
      </c>
      <c r="Q30" s="37">
        <f>SUMIF('HAB TB'!$R:$R,'HAB P&amp;L'!$A30,'HAB TB'!E:E)</f>
        <v/>
      </c>
      <c r="R30" s="37">
        <f>SUMIF('HAB TB'!$R:$R,'HAB P&amp;L'!$A30,'HAB TB'!F:F)</f>
        <v/>
      </c>
      <c r="S30" s="37">
        <f>SUMIF('HAB TB'!$R:$R,'HAB P&amp;L'!$A30,'HAB TB'!G:G)</f>
        <v/>
      </c>
      <c r="T30" s="37">
        <f>SUMIF('HAB TB'!$R:$R,'HAB P&amp;L'!$A30,'HAB TB'!H:H)</f>
        <v/>
      </c>
      <c r="U30" s="37">
        <f>SUMIF('HAB TB'!$R:$R,'HAB P&amp;L'!$A30,'HAB TB'!I:I)</f>
        <v/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118" t="n">
        <v>100</v>
      </c>
      <c r="AJ30" s="119" t="n">
        <v>100</v>
      </c>
      <c r="AK30" s="119" t="n">
        <v>100</v>
      </c>
      <c r="AL30" s="119" t="n">
        <v>100</v>
      </c>
      <c r="AM30" s="120" t="n">
        <v>100</v>
      </c>
      <c r="AN30" s="118" t="n">
        <v>100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158.02</v>
      </c>
      <c r="C31" s="35" t="n">
        <v>184.27</v>
      </c>
      <c r="D31" s="35" t="n">
        <v>189.68</v>
      </c>
      <c r="E31" s="35" t="n">
        <v>63.74</v>
      </c>
      <c r="F31" s="35" t="n">
        <v>202.4</v>
      </c>
      <c r="G31" s="35" t="n">
        <v>267.82</v>
      </c>
      <c r="H31" s="35" t="n">
        <v>261.62</v>
      </c>
      <c r="I31" s="35" t="n">
        <v>42.89</v>
      </c>
      <c r="J31" s="35" t="n">
        <v>215.43</v>
      </c>
      <c r="K31" s="35" t="n">
        <v>821.3499999999999</v>
      </c>
      <c r="L31" s="35" t="n">
        <v>88.28</v>
      </c>
      <c r="M31" s="35" t="n">
        <v>254.5</v>
      </c>
      <c r="N31" s="36">
        <f>SUM(B31:M31)</f>
        <v/>
      </c>
      <c r="O31" s="37">
        <f>SUMIF('HAB TB'!$R:$R,'HAB P&amp;L'!$A31,'HAB TB'!C:C)</f>
        <v/>
      </c>
      <c r="P31" s="37">
        <f>SUMIF('HAB TB'!$R:$R,'HAB P&amp;L'!$A31,'HAB TB'!D:D)</f>
        <v/>
      </c>
      <c r="Q31" s="37">
        <f>SUMIF('HAB TB'!$R:$R,'HAB P&amp;L'!$A31,'HAB TB'!E:E)</f>
        <v/>
      </c>
      <c r="R31" s="37">
        <f>SUMIF('HAB TB'!$R:$R,'HAB P&amp;L'!$A31,'HAB TB'!F:F)</f>
        <v/>
      </c>
      <c r="S31" s="37">
        <f>SUMIF('HAB TB'!$R:$R,'HAB P&amp;L'!$A31,'HAB TB'!G:G)</f>
        <v/>
      </c>
      <c r="T31" s="37">
        <f>SUMIF('HAB TB'!$R:$R,'HAB P&amp;L'!$A31,'HAB TB'!H:H)</f>
        <v/>
      </c>
      <c r="U31" s="37">
        <f>SUMIF('HAB TB'!$R:$R,'HAB P&amp;L'!$A31,'HAB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8" t="n">
        <v>50</v>
      </c>
      <c r="AJ31" s="119" t="n">
        <v>50</v>
      </c>
      <c r="AK31" s="119" t="n">
        <v>50</v>
      </c>
      <c r="AL31" s="119" t="n">
        <v>50</v>
      </c>
      <c r="AM31" s="120" t="n">
        <v>50</v>
      </c>
      <c r="AN31" s="118" t="n">
        <v>50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46.88</v>
      </c>
      <c r="C32" s="35" t="n">
        <v>44.14</v>
      </c>
      <c r="D32" s="35" t="n">
        <v>0</v>
      </c>
      <c r="E32" s="35" t="n">
        <v>49.12</v>
      </c>
      <c r="F32" s="35" t="n">
        <v>164.65</v>
      </c>
      <c r="G32" s="35" t="n">
        <v>149.95</v>
      </c>
      <c r="H32" s="35" t="n">
        <v>186.56</v>
      </c>
      <c r="I32" s="35" t="n">
        <v>0</v>
      </c>
      <c r="J32" s="35" t="n">
        <v>102.28</v>
      </c>
      <c r="K32" s="35" t="n">
        <v>135.69</v>
      </c>
      <c r="L32" s="35" t="n">
        <v>165.15</v>
      </c>
      <c r="M32" s="35" t="n">
        <v>270.8</v>
      </c>
      <c r="N32" s="36">
        <f>SUM(B32:M32)</f>
        <v/>
      </c>
      <c r="O32" s="37">
        <f>SUMIF('HAB TB'!$R:$R,'HAB P&amp;L'!$A32,'HAB TB'!C:C)</f>
        <v/>
      </c>
      <c r="P32" s="37">
        <f>SUMIF('HAB TB'!$R:$R,'HAB P&amp;L'!$A32,'HAB TB'!D:D)</f>
        <v/>
      </c>
      <c r="Q32" s="37">
        <f>SUMIF('HAB TB'!$R:$R,'HAB P&amp;L'!$A32,'HAB TB'!E:E)</f>
        <v/>
      </c>
      <c r="R32" s="37">
        <f>SUMIF('HAB TB'!$R:$R,'HAB P&amp;L'!$A32,'HAB TB'!F:F)</f>
        <v/>
      </c>
      <c r="S32" s="37">
        <f>SUMIF('HAB TB'!$R:$R,'HAB P&amp;L'!$A32,'HAB TB'!G:G)</f>
        <v/>
      </c>
      <c r="T32" s="37">
        <f>SUMIF('HAB TB'!$R:$R,'HAB P&amp;L'!$A32,'HAB TB'!H:H)</f>
        <v/>
      </c>
      <c r="U32" s="37">
        <f>SUMIF('HAB TB'!$R:$R,'HAB P&amp;L'!$A32,'HAB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18" t="n">
        <v>0</v>
      </c>
      <c r="AJ32" s="119" t="n">
        <v>0</v>
      </c>
      <c r="AK32" s="119" t="n">
        <v>0</v>
      </c>
      <c r="AL32" s="119" t="n">
        <v>0</v>
      </c>
      <c r="AM32" s="120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SUMIF('HAB TB'!$R:$R,'HAB P&amp;L'!$A33,'HAB TB'!C:C)</f>
        <v/>
      </c>
      <c r="P33" s="37">
        <f>SUMIF('HAB TB'!$R:$R,'HAB P&amp;L'!$A33,'HAB TB'!D:D)</f>
        <v/>
      </c>
      <c r="Q33" s="37">
        <f>SUMIF('HAB TB'!$R:$R,'HAB P&amp;L'!$A33,'HAB TB'!E:E)</f>
        <v/>
      </c>
      <c r="R33" s="37">
        <f>SUMIF('HAB TB'!$R:$R,'HAB P&amp;L'!$A33,'HAB TB'!F:F)</f>
        <v/>
      </c>
      <c r="S33" s="37">
        <f>SUMIF('HAB TB'!$R:$R,'HAB P&amp;L'!$A33,'HAB TB'!G:G)</f>
        <v/>
      </c>
      <c r="T33" s="37">
        <f>SUMIF('HAB TB'!$R:$R,'HAB P&amp;L'!$A33,'HAB TB'!H:H)</f>
        <v/>
      </c>
      <c r="U33" s="37">
        <f>SUMIF('HAB TB'!$R:$R,'HAB P&amp;L'!$A33,'HAB TB'!I:I)</f>
        <v/>
      </c>
      <c r="V33" s="38" t="n">
        <v>4</v>
      </c>
      <c r="W33" s="38" t="n">
        <v>5</v>
      </c>
      <c r="X33" s="38" t="n">
        <v>6</v>
      </c>
      <c r="Y33" s="38" t="n">
        <v>7</v>
      </c>
      <c r="Z33" s="38" t="n">
        <v>8</v>
      </c>
      <c r="AA33" s="36">
        <f>SUM(O33:U33)</f>
        <v/>
      </c>
      <c r="AB33" s="36">
        <f>SUM(O33:Z33)</f>
        <v/>
      </c>
      <c r="AC33" s="38" t="n">
        <v>8</v>
      </c>
      <c r="AD33" s="38" t="n">
        <v>8</v>
      </c>
      <c r="AE33" s="38" t="n">
        <v>8</v>
      </c>
      <c r="AF33" s="38" t="n">
        <v>8</v>
      </c>
      <c r="AG33" s="38" t="n">
        <v>8</v>
      </c>
      <c r="AH33" s="38" t="n">
        <v>8</v>
      </c>
      <c r="AI33" s="118" t="n">
        <v>8</v>
      </c>
      <c r="AJ33" s="119" t="n">
        <v>8</v>
      </c>
      <c r="AK33" s="119" t="n">
        <v>8</v>
      </c>
      <c r="AL33" s="119" t="n">
        <v>8</v>
      </c>
      <c r="AM33" s="120" t="n">
        <v>8</v>
      </c>
      <c r="AN33" s="118" t="n">
        <v>8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2321.62</v>
      </c>
      <c r="C34" s="42" t="n">
        <v>1565.24</v>
      </c>
      <c r="D34" s="42" t="n">
        <v>1638.04</v>
      </c>
      <c r="E34" s="42" t="n">
        <v>1338.03</v>
      </c>
      <c r="F34" s="42" t="n">
        <v>2847.93</v>
      </c>
      <c r="G34" s="42" t="n">
        <v>2014.27</v>
      </c>
      <c r="H34" s="42" t="n">
        <v>1895.43</v>
      </c>
      <c r="I34" s="42" t="n">
        <v>1348.57</v>
      </c>
      <c r="J34" s="42" t="n">
        <v>1649.42</v>
      </c>
      <c r="K34" s="42" t="n">
        <v>2893.63</v>
      </c>
      <c r="L34" s="42" t="n">
        <v>1597.74</v>
      </c>
      <c r="M34" s="42" t="n">
        <v>1561.17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3">
        <f>SUM(AI27:AI33)</f>
        <v/>
      </c>
      <c r="AJ34" s="124">
        <f>SUM(AJ27:AJ33)</f>
        <v/>
      </c>
      <c r="AK34" s="124">
        <f>SUM(AK27:AK33)</f>
        <v/>
      </c>
      <c r="AL34" s="124">
        <f>SUM(AL27:AL33)</f>
        <v/>
      </c>
      <c r="AM34" s="124">
        <f>SUM(AM27:AM33)</f>
        <v/>
      </c>
      <c r="AN34" s="123">
        <f>SUM(AN27:AN33)</f>
        <v/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7" t="n">
        <v>0</v>
      </c>
      <c r="AJ35" s="128" t="n">
        <v>0</v>
      </c>
      <c r="AK35" s="128" t="n">
        <v>0</v>
      </c>
      <c r="AL35" s="128" t="n">
        <v>0</v>
      </c>
      <c r="AM35" s="129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4000</v>
      </c>
      <c r="C36" s="35" t="n">
        <v>4000</v>
      </c>
      <c r="D36" s="35" t="n">
        <v>4000</v>
      </c>
      <c r="E36" s="35" t="n">
        <v>4000</v>
      </c>
      <c r="F36" s="35" t="n">
        <v>4000</v>
      </c>
      <c r="G36" s="35" t="n">
        <v>4000</v>
      </c>
      <c r="H36" s="35" t="n">
        <v>4000</v>
      </c>
      <c r="I36" s="35" t="n">
        <v>4000</v>
      </c>
      <c r="J36" s="35" t="n">
        <v>4000</v>
      </c>
      <c r="K36" s="35" t="n">
        <v>4000</v>
      </c>
      <c r="L36" s="35" t="n">
        <v>4000</v>
      </c>
      <c r="M36" s="35" t="n">
        <v>4000</v>
      </c>
      <c r="N36" s="36">
        <f>SUM(B36:M36)</f>
        <v/>
      </c>
      <c r="O36" s="37">
        <f>SUMIF('HAB TB'!$R:$R,'HAB P&amp;L'!$A36,'HAB TB'!C:C)</f>
        <v/>
      </c>
      <c r="P36" s="37">
        <f>SUMIF('HAB TB'!$R:$R,'HAB P&amp;L'!$A36,'HAB TB'!D:D)</f>
        <v/>
      </c>
      <c r="Q36" s="37">
        <f>SUMIF('HAB TB'!$R:$R,'HAB P&amp;L'!$A36,'HAB TB'!E:E)</f>
        <v/>
      </c>
      <c r="R36" s="37">
        <f>SUMIF('HAB TB'!$R:$R,'HAB P&amp;L'!$A36,'HAB TB'!F:F)</f>
        <v/>
      </c>
      <c r="S36" s="37">
        <f>SUMIF('HAB TB'!$R:$R,'HAB P&amp;L'!$A36,'HAB TB'!G:G)</f>
        <v/>
      </c>
      <c r="T36" s="37">
        <f>SUMIF('HAB TB'!$R:$R,'HAB P&amp;L'!$A36,'HAB TB'!H:H)</f>
        <v/>
      </c>
      <c r="U36" s="37">
        <f>SUMIF('HAB TB'!$R:$R,'HAB P&amp;L'!$A36,'HAB TB'!I:I)</f>
        <v/>
      </c>
      <c r="V36" s="38" t="n">
        <v>0</v>
      </c>
      <c r="W36" s="38" t="n">
        <v>0</v>
      </c>
      <c r="X36" s="38" t="n">
        <v>0</v>
      </c>
      <c r="Y36" s="38" t="n">
        <v>0</v>
      </c>
      <c r="Z36" s="38" t="n">
        <v>0</v>
      </c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8" t="n">
        <v>0</v>
      </c>
      <c r="AJ36" s="119" t="n">
        <v>0</v>
      </c>
      <c r="AK36" s="119" t="n">
        <v>0</v>
      </c>
      <c r="AL36" s="119" t="n">
        <v>0</v>
      </c>
      <c r="AM36" s="120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288.13</v>
      </c>
      <c r="C37" s="35" t="n">
        <v>288.13</v>
      </c>
      <c r="D37" s="35" t="n">
        <v>288.13</v>
      </c>
      <c r="E37" s="35" t="n">
        <v>332.67</v>
      </c>
      <c r="F37" s="35" t="n">
        <v>332.66</v>
      </c>
      <c r="G37" s="35" t="n">
        <v>332.67</v>
      </c>
      <c r="H37" s="35" t="n">
        <v>332.67</v>
      </c>
      <c r="I37" s="35" t="n">
        <v>332.67</v>
      </c>
      <c r="J37" s="35" t="n">
        <v>332.67</v>
      </c>
      <c r="K37" s="35" t="n">
        <v>332.67</v>
      </c>
      <c r="L37" s="35" t="n">
        <v>332.67</v>
      </c>
      <c r="M37" s="35" t="n">
        <v>332.67</v>
      </c>
      <c r="N37" s="36">
        <f>SUM(B37:M37)</f>
        <v/>
      </c>
      <c r="O37" s="37">
        <f>SUMIF('HAB TB'!$R:$R,'HAB P&amp;L'!$A37,'HAB TB'!C:C)</f>
        <v/>
      </c>
      <c r="P37" s="37">
        <f>SUMIF('HAB TB'!$R:$R,'HAB P&amp;L'!$A37,'HAB TB'!D:D)</f>
        <v/>
      </c>
      <c r="Q37" s="37">
        <f>SUMIF('HAB TB'!$R:$R,'HAB P&amp;L'!$A37,'HAB TB'!E:E)</f>
        <v/>
      </c>
      <c r="R37" s="37">
        <f>SUMIF('HAB TB'!$R:$R,'HAB P&amp;L'!$A37,'HAB TB'!F:F)</f>
        <v/>
      </c>
      <c r="S37" s="37">
        <f>SUMIF('HAB TB'!$R:$R,'HAB P&amp;L'!$A37,'HAB TB'!G:G)</f>
        <v/>
      </c>
      <c r="T37" s="37">
        <f>SUMIF('HAB TB'!$R:$R,'HAB P&amp;L'!$A37,'HAB TB'!H:H)</f>
        <v/>
      </c>
      <c r="U37" s="37">
        <f>SUMIF('HAB TB'!$R:$R,'HAB P&amp;L'!$A37,'HAB TB'!I:I)</f>
        <v/>
      </c>
      <c r="V37" s="38" t="n">
        <v>567</v>
      </c>
      <c r="W37" s="38" t="n">
        <v>567</v>
      </c>
      <c r="X37" s="38" t="n">
        <v>567</v>
      </c>
      <c r="Y37" s="38" t="n">
        <v>567</v>
      </c>
      <c r="Z37" s="38" t="n">
        <v>567</v>
      </c>
      <c r="AA37" s="36">
        <f>SUM(O37:U37)</f>
        <v/>
      </c>
      <c r="AB37" s="36">
        <f>SUM(O37:Z37)</f>
        <v/>
      </c>
      <c r="AC37" s="38" t="n">
        <v>567</v>
      </c>
      <c r="AD37" s="38" t="n">
        <v>567</v>
      </c>
      <c r="AE37" s="38" t="n">
        <v>567</v>
      </c>
      <c r="AF37" s="38" t="n">
        <v>567</v>
      </c>
      <c r="AG37" s="38" t="n">
        <v>567</v>
      </c>
      <c r="AH37" s="38" t="n">
        <v>567</v>
      </c>
      <c r="AI37" s="118" t="n">
        <v>567</v>
      </c>
      <c r="AJ37" s="119" t="n">
        <v>567</v>
      </c>
      <c r="AK37" s="119" t="n">
        <v>567</v>
      </c>
      <c r="AL37" s="119" t="n">
        <v>567</v>
      </c>
      <c r="AM37" s="120" t="n">
        <v>567</v>
      </c>
      <c r="AN37" s="118" t="n">
        <v>567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303.39</v>
      </c>
      <c r="C38" s="35" t="n">
        <v>600.05</v>
      </c>
      <c r="D38" s="35" t="n">
        <v>339.82</v>
      </c>
      <c r="E38" s="35" t="n">
        <v>1107.55</v>
      </c>
      <c r="F38" s="35" t="n">
        <v>191.41</v>
      </c>
      <c r="G38" s="35" t="n">
        <v>433.34</v>
      </c>
      <c r="H38" s="35" t="n">
        <v>13.48</v>
      </c>
      <c r="I38" s="35" t="n">
        <v>270.72</v>
      </c>
      <c r="J38" s="35" t="n">
        <v>252.23</v>
      </c>
      <c r="K38" s="35" t="n">
        <v>193.9</v>
      </c>
      <c r="L38" s="35" t="n">
        <v>265.24</v>
      </c>
      <c r="M38" s="35" t="n">
        <v>276.9</v>
      </c>
      <c r="N38" s="36">
        <f>SUM(B38:M38)</f>
        <v/>
      </c>
      <c r="O38" s="37">
        <f>SUMIF('HAB TB'!$R:$R,'HAB P&amp;L'!$A38,'HAB TB'!C:C)</f>
        <v/>
      </c>
      <c r="P38" s="37">
        <f>SUMIF('HAB TB'!$R:$R,'HAB P&amp;L'!$A38,'HAB TB'!D:D)</f>
        <v/>
      </c>
      <c r="Q38" s="37">
        <f>SUMIF('HAB TB'!$R:$R,'HAB P&amp;L'!$A38,'HAB TB'!E:E)</f>
        <v/>
      </c>
      <c r="R38" s="37">
        <f>SUMIF('HAB TB'!$R:$R,'HAB P&amp;L'!$A38,'HAB TB'!F:F)</f>
        <v/>
      </c>
      <c r="S38" s="37">
        <f>SUMIF('HAB TB'!$R:$R,'HAB P&amp;L'!$A38,'HAB TB'!G:G)</f>
        <v/>
      </c>
      <c r="T38" s="37">
        <f>SUMIF('HAB TB'!$R:$R,'HAB P&amp;L'!$A38,'HAB TB'!H:H)</f>
        <v/>
      </c>
      <c r="U38" s="37">
        <f>SUMIF('HAB TB'!$R:$R,'HAB P&amp;L'!$A38,'HAB TB'!I:I)</f>
        <v/>
      </c>
      <c r="V38" s="38" t="n">
        <v>370</v>
      </c>
      <c r="W38" s="38" t="n">
        <v>370</v>
      </c>
      <c r="X38" s="38" t="n">
        <v>370</v>
      </c>
      <c r="Y38" s="38" t="n">
        <v>370</v>
      </c>
      <c r="Z38" s="38" t="n">
        <v>370</v>
      </c>
      <c r="AA38" s="36">
        <f>SUM(O38:U38)</f>
        <v/>
      </c>
      <c r="AB38" s="36">
        <f>SUM(O38:Z38)</f>
        <v/>
      </c>
      <c r="AC38" s="38" t="n">
        <v>370</v>
      </c>
      <c r="AD38" s="38" t="n">
        <v>370</v>
      </c>
      <c r="AE38" s="38" t="n">
        <v>370</v>
      </c>
      <c r="AF38" s="38" t="n">
        <v>370</v>
      </c>
      <c r="AG38" s="38" t="n">
        <v>370</v>
      </c>
      <c r="AH38" s="38" t="n">
        <v>370</v>
      </c>
      <c r="AI38" s="118" t="n">
        <v>370</v>
      </c>
      <c r="AJ38" s="119" t="n">
        <v>370</v>
      </c>
      <c r="AK38" s="119" t="n">
        <v>370</v>
      </c>
      <c r="AL38" s="119" t="n">
        <v>370</v>
      </c>
      <c r="AM38" s="120" t="n">
        <v>370</v>
      </c>
      <c r="AN38" s="118" t="n">
        <v>370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14.75</v>
      </c>
      <c r="C39" s="35" t="n">
        <v>860.16</v>
      </c>
      <c r="D39" s="35" t="n">
        <v>301.16</v>
      </c>
      <c r="E39" s="35" t="n">
        <v>135.95</v>
      </c>
      <c r="F39" s="35" t="n">
        <v>458.8600000000001</v>
      </c>
      <c r="G39" s="35" t="n">
        <v>143.28</v>
      </c>
      <c r="H39" s="35" t="n">
        <v>52.85</v>
      </c>
      <c r="I39" s="35" t="n">
        <v>0</v>
      </c>
      <c r="J39" s="35" t="n">
        <v>837.0300000000001</v>
      </c>
      <c r="K39" s="35" t="n">
        <v>0</v>
      </c>
      <c r="L39" s="35" t="n">
        <v>0</v>
      </c>
      <c r="M39" s="35" t="n">
        <v>0</v>
      </c>
      <c r="N39" s="36">
        <f>SUM(B39:M39)</f>
        <v/>
      </c>
      <c r="O39" s="37">
        <f>SUMIF('HAB TB'!$R:$R,'HAB P&amp;L'!$A39,'HAB TB'!C:C)</f>
        <v/>
      </c>
      <c r="P39" s="37">
        <f>SUMIF('HAB TB'!$R:$R,'HAB P&amp;L'!$A39,'HAB TB'!D:D)</f>
        <v/>
      </c>
      <c r="Q39" s="37">
        <f>SUMIF('HAB TB'!$R:$R,'HAB P&amp;L'!$A39,'HAB TB'!E:E)</f>
        <v/>
      </c>
      <c r="R39" s="37">
        <f>SUMIF('HAB TB'!$R:$R,'HAB P&amp;L'!$A39,'HAB TB'!F:F)</f>
        <v/>
      </c>
      <c r="S39" s="37">
        <f>SUMIF('HAB TB'!$R:$R,'HAB P&amp;L'!$A39,'HAB TB'!G:G)</f>
        <v/>
      </c>
      <c r="T39" s="37">
        <f>SUMIF('HAB TB'!$R:$R,'HAB P&amp;L'!$A39,'HAB TB'!H:H)</f>
        <v/>
      </c>
      <c r="U39" s="37">
        <f>SUMIF('HAB TB'!$R:$R,'HAB P&amp;L'!$A39,'HAB TB'!I:I)</f>
        <v/>
      </c>
      <c r="V39" s="38" t="n"/>
      <c r="W39" s="38" t="n">
        <v>2500</v>
      </c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8" t="n">
        <v>0</v>
      </c>
      <c r="AJ39" s="119" t="n">
        <v>0</v>
      </c>
      <c r="AK39" s="119" t="n">
        <v>0</v>
      </c>
      <c r="AL39" s="119" t="n">
        <v>0</v>
      </c>
      <c r="AM39" s="120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241.17</v>
      </c>
      <c r="C40" s="35" t="n">
        <v>155.6</v>
      </c>
      <c r="D40" s="35" t="n">
        <v>234.59</v>
      </c>
      <c r="E40" s="35" t="n">
        <v>34.56</v>
      </c>
      <c r="F40" s="35" t="n">
        <v>327.88</v>
      </c>
      <c r="G40" s="35" t="n">
        <v>324.71</v>
      </c>
      <c r="H40" s="35" t="n">
        <v>295.5700000000001</v>
      </c>
      <c r="I40" s="35" t="n">
        <v>176.07</v>
      </c>
      <c r="J40" s="35" t="n">
        <v>356.1900000000001</v>
      </c>
      <c r="K40" s="35" t="n">
        <v>263.93</v>
      </c>
      <c r="L40" s="35" t="n">
        <v>133.32</v>
      </c>
      <c r="M40" s="35" t="n">
        <v>172.64</v>
      </c>
      <c r="N40" s="36">
        <f>SUM(B40:M40)</f>
        <v/>
      </c>
      <c r="O40" s="37">
        <f>SUMIF('HAB TB'!$R:$R,'HAB P&amp;L'!$A40,'HAB TB'!C:C)</f>
        <v/>
      </c>
      <c r="P40" s="37">
        <f>SUMIF('HAB TB'!$R:$R,'HAB P&amp;L'!$A40,'HAB TB'!D:D)</f>
        <v/>
      </c>
      <c r="Q40" s="37">
        <f>SUMIF('HAB TB'!$R:$R,'HAB P&amp;L'!$A40,'HAB TB'!E:E)</f>
        <v/>
      </c>
      <c r="R40" s="37">
        <f>SUMIF('HAB TB'!$R:$R,'HAB P&amp;L'!$A40,'HAB TB'!F:F)</f>
        <v/>
      </c>
      <c r="S40" s="37">
        <f>SUMIF('HAB TB'!$R:$R,'HAB P&amp;L'!$A40,'HAB TB'!G:G)</f>
        <v/>
      </c>
      <c r="T40" s="37">
        <f>SUMIF('HAB TB'!$R:$R,'HAB P&amp;L'!$A40,'HAB TB'!H:H)</f>
        <v/>
      </c>
      <c r="U40" s="37">
        <f>SUMIF('HAB TB'!$R:$R,'HAB P&amp;L'!$A40,'HAB TB'!I:I)</f>
        <v/>
      </c>
      <c r="V40" s="38" t="n">
        <v>240</v>
      </c>
      <c r="W40" s="38" t="n">
        <v>240</v>
      </c>
      <c r="X40" s="38" t="n">
        <v>240</v>
      </c>
      <c r="Y40" s="38" t="n">
        <v>240</v>
      </c>
      <c r="Z40" s="38" t="n">
        <v>240</v>
      </c>
      <c r="AA40" s="36">
        <f>SUM(O40:U40)</f>
        <v/>
      </c>
      <c r="AB40" s="36">
        <f>SUM(O40:Z40)</f>
        <v/>
      </c>
      <c r="AC40" s="38" t="n">
        <v>240</v>
      </c>
      <c r="AD40" s="38" t="n">
        <v>240</v>
      </c>
      <c r="AE40" s="38" t="n">
        <v>240</v>
      </c>
      <c r="AF40" s="38" t="n">
        <v>240</v>
      </c>
      <c r="AG40" s="38" t="n">
        <v>240</v>
      </c>
      <c r="AH40" s="38" t="n">
        <v>240</v>
      </c>
      <c r="AI40" s="118" t="n">
        <v>240</v>
      </c>
      <c r="AJ40" s="119" t="n">
        <v>240</v>
      </c>
      <c r="AK40" s="119" t="n">
        <v>240</v>
      </c>
      <c r="AL40" s="119" t="n">
        <v>240</v>
      </c>
      <c r="AM40" s="120" t="n">
        <v>240</v>
      </c>
      <c r="AN40" s="118" t="n">
        <v>240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174</v>
      </c>
      <c r="C41" s="35" t="n">
        <v>430.4</v>
      </c>
      <c r="D41" s="35" t="n">
        <v>327.59</v>
      </c>
      <c r="E41" s="35" t="n">
        <v>331.37</v>
      </c>
      <c r="F41" s="35" t="n">
        <v>431.6</v>
      </c>
      <c r="G41" s="35" t="n">
        <v>420.67</v>
      </c>
      <c r="H41" s="35" t="n">
        <v>375.23</v>
      </c>
      <c r="I41" s="35" t="n">
        <v>402.05</v>
      </c>
      <c r="J41" s="35" t="n">
        <v>655.86</v>
      </c>
      <c r="K41" s="35" t="n">
        <v>402.05</v>
      </c>
      <c r="L41" s="35" t="n">
        <v>307.15</v>
      </c>
      <c r="M41" s="35" t="n">
        <v>360.56</v>
      </c>
      <c r="N41" s="36">
        <f>SUM(B41:M41)</f>
        <v/>
      </c>
      <c r="O41" s="37">
        <f>SUMIF('HAB TB'!$R:$R,'HAB P&amp;L'!$A41,'HAB TB'!C:C)</f>
        <v/>
      </c>
      <c r="P41" s="37">
        <f>SUMIF('HAB TB'!$R:$R,'HAB P&amp;L'!$A41,'HAB TB'!D:D)</f>
        <v/>
      </c>
      <c r="Q41" s="37">
        <f>SUMIF('HAB TB'!$R:$R,'HAB P&amp;L'!$A41,'HAB TB'!E:E)</f>
        <v/>
      </c>
      <c r="R41" s="37">
        <f>SUMIF('HAB TB'!$R:$R,'HAB P&amp;L'!$A41,'HAB TB'!F:F)</f>
        <v/>
      </c>
      <c r="S41" s="37">
        <f>SUMIF('HAB TB'!$R:$R,'HAB P&amp;L'!$A41,'HAB TB'!G:G)</f>
        <v/>
      </c>
      <c r="T41" s="37">
        <f>SUMIF('HAB TB'!$R:$R,'HAB P&amp;L'!$A41,'HAB TB'!H:H)</f>
        <v/>
      </c>
      <c r="U41" s="37">
        <f>SUMIF('HAB TB'!$R:$R,'HAB P&amp;L'!$A41,'HAB TB'!I:I)</f>
        <v/>
      </c>
      <c r="V41" s="38" t="n">
        <v>395</v>
      </c>
      <c r="W41" s="38" t="n">
        <v>395</v>
      </c>
      <c r="X41" s="38" t="n">
        <v>395</v>
      </c>
      <c r="Y41" s="38" t="n">
        <v>395</v>
      </c>
      <c r="Z41" s="38" t="n">
        <v>395</v>
      </c>
      <c r="AA41" s="36">
        <f>SUM(O41:U41)</f>
        <v/>
      </c>
      <c r="AB41" s="36">
        <f>SUM(O41:Z41)</f>
        <v/>
      </c>
      <c r="AC41" s="38" t="n">
        <v>395</v>
      </c>
      <c r="AD41" s="38" t="n">
        <v>395</v>
      </c>
      <c r="AE41" s="38" t="n">
        <v>395</v>
      </c>
      <c r="AF41" s="38" t="n">
        <v>395</v>
      </c>
      <c r="AG41" s="38" t="n">
        <v>395</v>
      </c>
      <c r="AH41" s="38" t="n">
        <v>395</v>
      </c>
      <c r="AI41" s="118" t="n">
        <v>395</v>
      </c>
      <c r="AJ41" s="119" t="n">
        <v>395</v>
      </c>
      <c r="AK41" s="119" t="n">
        <v>395</v>
      </c>
      <c r="AL41" s="119" t="n">
        <v>395</v>
      </c>
      <c r="AM41" s="120" t="n">
        <v>395</v>
      </c>
      <c r="AN41" s="118" t="n">
        <v>395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57.7</v>
      </c>
      <c r="C42" s="35" t="n">
        <v>32.5</v>
      </c>
      <c r="D42" s="35" t="n">
        <v>46.08</v>
      </c>
      <c r="E42" s="35" t="n">
        <v>27.84</v>
      </c>
      <c r="F42" s="35" t="n">
        <v>46.06</v>
      </c>
      <c r="G42" s="35" t="n">
        <v>31.21</v>
      </c>
      <c r="H42" s="35" t="n">
        <v>278.14</v>
      </c>
      <c r="I42" s="35" t="n">
        <v>30.06</v>
      </c>
      <c r="J42" s="35" t="n">
        <v>26.83</v>
      </c>
      <c r="K42" s="35" t="n">
        <v>100.92</v>
      </c>
      <c r="L42" s="35" t="n">
        <v>34.91</v>
      </c>
      <c r="M42" s="35" t="n">
        <v>59.33000000000001</v>
      </c>
      <c r="N42" s="36">
        <f>SUM(B42:M42)</f>
        <v/>
      </c>
      <c r="O42" s="37">
        <f>SUMIF('HAB TB'!$R:$R,'HAB P&amp;L'!$A42,'HAB TB'!C:C)</f>
        <v/>
      </c>
      <c r="P42" s="37">
        <f>SUMIF('HAB TB'!$R:$R,'HAB P&amp;L'!$A42,'HAB TB'!D:D)</f>
        <v/>
      </c>
      <c r="Q42" s="37">
        <f>SUMIF('HAB TB'!$R:$R,'HAB P&amp;L'!$A42,'HAB TB'!E:E)</f>
        <v/>
      </c>
      <c r="R42" s="37">
        <f>SUMIF('HAB TB'!$R:$R,'HAB P&amp;L'!$A42,'HAB TB'!F:F)</f>
        <v/>
      </c>
      <c r="S42" s="37">
        <f>SUMIF('HAB TB'!$R:$R,'HAB P&amp;L'!$A42,'HAB TB'!G:G)</f>
        <v/>
      </c>
      <c r="T42" s="37">
        <f>SUMIF('HAB TB'!$R:$R,'HAB P&amp;L'!$A42,'HAB TB'!H:H)</f>
        <v/>
      </c>
      <c r="U42" s="37">
        <f>SUMIF('HAB TB'!$R:$R,'HAB P&amp;L'!$A42,'HAB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8" t="n">
        <v>0</v>
      </c>
      <c r="AJ42" s="119" t="n">
        <v>0</v>
      </c>
      <c r="AK42" s="119" t="n">
        <v>0</v>
      </c>
      <c r="AL42" s="119" t="n">
        <v>0</v>
      </c>
      <c r="AM42" s="120" t="n">
        <v>0</v>
      </c>
      <c r="AN42" s="118" t="n">
        <v>0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99.91</v>
      </c>
      <c r="C43" s="35" t="n">
        <v>98.52</v>
      </c>
      <c r="D43" s="35" t="n">
        <v>98.52</v>
      </c>
      <c r="E43" s="35" t="n">
        <v>99.91</v>
      </c>
      <c r="F43" s="35" t="n">
        <v>99.91</v>
      </c>
      <c r="G43" s="35" t="n">
        <v>99.91</v>
      </c>
      <c r="H43" s="35" t="n">
        <v>99.91</v>
      </c>
      <c r="I43" s="35" t="n">
        <v>99.91</v>
      </c>
      <c r="J43" s="35" t="n">
        <v>110.53</v>
      </c>
      <c r="K43" s="35" t="n">
        <v>7.5</v>
      </c>
      <c r="L43" s="35" t="n">
        <v>0</v>
      </c>
      <c r="M43" s="35" t="n">
        <v>7.5</v>
      </c>
      <c r="N43" s="36">
        <f>SUM(B43:M43)</f>
        <v/>
      </c>
      <c r="O43" s="37">
        <f>SUMIF('HAB TB'!$R:$R,'HAB P&amp;L'!$A43,'HAB TB'!C:C)</f>
        <v/>
      </c>
      <c r="P43" s="37">
        <f>SUMIF('HAB TB'!$R:$R,'HAB P&amp;L'!$A43,'HAB TB'!D:D)</f>
        <v/>
      </c>
      <c r="Q43" s="37">
        <f>SUMIF('HAB TB'!$R:$R,'HAB P&amp;L'!$A43,'HAB TB'!E:E)</f>
        <v/>
      </c>
      <c r="R43" s="37">
        <f>SUMIF('HAB TB'!$R:$R,'HAB P&amp;L'!$A43,'HAB TB'!F:F)</f>
        <v/>
      </c>
      <c r="S43" s="37">
        <f>SUMIF('HAB TB'!$R:$R,'HAB P&amp;L'!$A43,'HAB TB'!G:G)</f>
        <v/>
      </c>
      <c r="T43" s="37">
        <f>SUMIF('HAB TB'!$R:$R,'HAB P&amp;L'!$A43,'HAB TB'!H:H)</f>
        <v/>
      </c>
      <c r="U43" s="37">
        <f>SUMIF('HAB TB'!$R:$R,'HAB P&amp;L'!$A43,'HAB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8" t="n">
        <v>0</v>
      </c>
      <c r="AJ43" s="119" t="n">
        <v>0</v>
      </c>
      <c r="AK43" s="119" t="n">
        <v>0</v>
      </c>
      <c r="AL43" s="119" t="n">
        <v>0</v>
      </c>
      <c r="AM43" s="120" t="n">
        <v>0</v>
      </c>
      <c r="AN43" s="118" t="n">
        <v>0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SUMIF('HAB TB'!$R:$R,'HAB P&amp;L'!$A44,'HAB TB'!C:C)</f>
        <v/>
      </c>
      <c r="P44" s="37">
        <f>SUMIF('HAB TB'!$R:$R,'HAB P&amp;L'!$A44,'HAB TB'!D:D)</f>
        <v/>
      </c>
      <c r="Q44" s="37">
        <f>SUMIF('HAB TB'!$R:$R,'HAB P&amp;L'!$A44,'HAB TB'!E:E)</f>
        <v/>
      </c>
      <c r="R44" s="37">
        <f>SUMIF('HAB TB'!$R:$R,'HAB P&amp;L'!$A44,'HAB TB'!F:F)</f>
        <v/>
      </c>
      <c r="S44" s="37">
        <f>SUMIF('HAB TB'!$R:$R,'HAB P&amp;L'!$A44,'HAB TB'!G:G)</f>
        <v/>
      </c>
      <c r="T44" s="37">
        <f>SUMIF('HAB TB'!$R:$R,'HAB P&amp;L'!$A44,'HAB TB'!H:H)</f>
        <v/>
      </c>
      <c r="U44" s="37">
        <f>SUMIF('HAB TB'!$R:$R,'HAB P&amp;L'!$A44,'HAB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8" t="n">
        <v>0</v>
      </c>
      <c r="AJ44" s="119" t="n">
        <v>0</v>
      </c>
      <c r="AK44" s="119" t="n">
        <v>0</v>
      </c>
      <c r="AL44" s="119" t="n">
        <v>0</v>
      </c>
      <c r="AM44" s="120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SUMIF('HAB TB'!$R:$R,'HAB P&amp;L'!$A45,'HAB TB'!C:C)</f>
        <v/>
      </c>
      <c r="P45" s="37">
        <f>SUMIF('HAB TB'!$R:$R,'HAB P&amp;L'!$A45,'HAB TB'!D:D)</f>
        <v/>
      </c>
      <c r="Q45" s="37">
        <f>SUMIF('HAB TB'!$R:$R,'HAB P&amp;L'!$A45,'HAB TB'!E:E)</f>
        <v/>
      </c>
      <c r="R45" s="37">
        <f>SUMIF('HAB TB'!$R:$R,'HAB P&amp;L'!$A45,'HAB TB'!F:F)</f>
        <v/>
      </c>
      <c r="S45" s="37">
        <f>SUMIF('HAB TB'!$R:$R,'HAB P&amp;L'!$A45,'HAB TB'!G:G)</f>
        <v/>
      </c>
      <c r="T45" s="37">
        <f>SUMIF('HAB TB'!$R:$R,'HAB P&amp;L'!$A45,'HAB TB'!H:H)</f>
        <v/>
      </c>
      <c r="U45" s="37">
        <f>SUMIF('HAB TB'!$R:$R,'HAB P&amp;L'!$A45,'HAB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8" t="n">
        <v>100</v>
      </c>
      <c r="AJ45" s="119" t="n">
        <v>100</v>
      </c>
      <c r="AK45" s="119" t="n">
        <v>100</v>
      </c>
      <c r="AL45" s="119" t="n">
        <v>100</v>
      </c>
      <c r="AM45" s="120" t="n">
        <v>100</v>
      </c>
      <c r="AN45" s="118" t="n">
        <v>100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SUMIF('HAB TB'!$R:$R,'HAB P&amp;L'!$A46,'HAB TB'!C:C)</f>
        <v/>
      </c>
      <c r="P46" s="37">
        <f>SUMIF('HAB TB'!$R:$R,'HAB P&amp;L'!$A46,'HAB TB'!D:D)</f>
        <v/>
      </c>
      <c r="Q46" s="37">
        <f>SUMIF('HAB TB'!$R:$R,'HAB P&amp;L'!$A46,'HAB TB'!E:E)</f>
        <v/>
      </c>
      <c r="R46" s="37">
        <f>SUMIF('HAB TB'!$R:$R,'HAB P&amp;L'!$A46,'HAB TB'!F:F)</f>
        <v/>
      </c>
      <c r="S46" s="37">
        <f>SUMIF('HAB TB'!$R:$R,'HAB P&amp;L'!$A46,'HAB TB'!G:G)</f>
        <v/>
      </c>
      <c r="T46" s="37">
        <f>SUMIF('HAB TB'!$R:$R,'HAB P&amp;L'!$A46,'HAB TB'!H:H)</f>
        <v/>
      </c>
      <c r="U46" s="37">
        <f>SUMIF('HAB TB'!$R:$R,'HAB P&amp;L'!$A46,'HAB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8" t="n">
        <v>0</v>
      </c>
      <c r="AJ46" s="119" t="n">
        <v>0</v>
      </c>
      <c r="AK46" s="119" t="n">
        <v>0</v>
      </c>
      <c r="AL46" s="119" t="n">
        <v>0</v>
      </c>
      <c r="AM46" s="120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5179.05</v>
      </c>
      <c r="C47" s="42" t="n">
        <v>6465.360000000001</v>
      </c>
      <c r="D47" s="42" t="n">
        <v>5635.89</v>
      </c>
      <c r="E47" s="42" t="n">
        <v>6069.85</v>
      </c>
      <c r="F47" s="42" t="n">
        <v>5888.38</v>
      </c>
      <c r="G47" s="42" t="n">
        <v>5785.79</v>
      </c>
      <c r="H47" s="42" t="n">
        <v>5447.849999999999</v>
      </c>
      <c r="I47" s="42" t="n">
        <v>5311.48</v>
      </c>
      <c r="J47" s="42" t="n">
        <v>6571.339999999998</v>
      </c>
      <c r="K47" s="42" t="n">
        <v>5300.97</v>
      </c>
      <c r="L47" s="42" t="n">
        <v>5073.289999999999</v>
      </c>
      <c r="M47" s="42" t="n">
        <v>5209.6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3">
        <f>SUM(AI36:AI46)</f>
        <v/>
      </c>
      <c r="AJ47" s="124">
        <f>SUM(AJ36:AJ46)</f>
        <v/>
      </c>
      <c r="AK47" s="124">
        <f>SUM(AK36:AK46)</f>
        <v/>
      </c>
      <c r="AL47" s="124">
        <f>SUM(AL36:AL46)</f>
        <v/>
      </c>
      <c r="AM47" s="137">
        <f>SUM(AM36:AM46)</f>
        <v/>
      </c>
      <c r="AN47" s="123">
        <f>SUM(AN36:AN46)</f>
        <v/>
      </c>
      <c r="AO47" s="125">
        <f>SUM(AC47:AH47)+SUM(AI47:AN47)</f>
        <v/>
      </c>
      <c r="AP47" s="126">
        <f>IF(AB47&lt;&gt;0,(AO47-AB47)/ABS(AB47),0)</f>
        <v/>
      </c>
    </row>
    <row r="48">
      <c r="A48" s="22" t="inlineStr">
        <is>
          <t>Total Direct Costs</t>
        </is>
      </c>
      <c r="B48" s="23" t="n">
        <v>23148.91</v>
      </c>
      <c r="C48" s="23" t="n">
        <v>26440.12</v>
      </c>
      <c r="D48" s="23" t="n">
        <v>26937.53</v>
      </c>
      <c r="E48" s="23" t="n">
        <v>28746.23</v>
      </c>
      <c r="F48" s="23" t="n">
        <v>31831.28000000001</v>
      </c>
      <c r="G48" s="23" t="n">
        <v>29807.02</v>
      </c>
      <c r="H48" s="23" t="n">
        <v>30193.16</v>
      </c>
      <c r="I48" s="23" t="n">
        <v>27984.07</v>
      </c>
      <c r="J48" s="23" t="n">
        <v>34577.26999999999</v>
      </c>
      <c r="K48" s="23" t="n">
        <v>35013.71000000001</v>
      </c>
      <c r="L48" s="23" t="n">
        <v>32589.16</v>
      </c>
      <c r="M48" s="23" t="n">
        <v>34171.99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3">
        <f>AI25+AI34+AI47</f>
        <v/>
      </c>
      <c r="AJ48" s="147">
        <f>AJ25+AJ34+AJ47</f>
        <v/>
      </c>
      <c r="AK48" s="147">
        <f>AK25+AK34+AK47</f>
        <v/>
      </c>
      <c r="AL48" s="147">
        <f>AL25+AL34+AL47</f>
        <v/>
      </c>
      <c r="AM48" s="147">
        <f>AM25+AM34+AM47</f>
        <v/>
      </c>
      <c r="AN48" s="123">
        <f>AN25+AN34+AN47</f>
        <v/>
      </c>
      <c r="AO48" s="121">
        <f>SUM(AC48:AH48)+SUM(AI48:AN48)</f>
        <v/>
      </c>
      <c r="AP48" s="122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4702.150000000005</v>
      </c>
      <c r="C50" s="55" t="n">
        <v>9830.25</v>
      </c>
      <c r="D50" s="55" t="n">
        <v>14660.06</v>
      </c>
      <c r="E50" s="55" t="n">
        <v>9405.139999999992</v>
      </c>
      <c r="F50" s="55" t="n">
        <v>3363.499999999993</v>
      </c>
      <c r="G50" s="55" t="n">
        <v>25736.44999999999</v>
      </c>
      <c r="H50" s="55" t="n">
        <v>36114.42</v>
      </c>
      <c r="I50" s="55" t="n">
        <v>14083.1</v>
      </c>
      <c r="J50" s="55" t="n">
        <v>4832.140000000014</v>
      </c>
      <c r="K50" s="55" t="n">
        <v>14782.98</v>
      </c>
      <c r="L50" s="55" t="n">
        <v>13216.52</v>
      </c>
      <c r="M50" s="55" t="n">
        <v>25856.18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0">
        <f>AI11-AI48</f>
        <v/>
      </c>
      <c r="AJ50" s="140">
        <f>AJ11-AJ48</f>
        <v/>
      </c>
      <c r="AK50" s="140">
        <f>AK11-AK48</f>
        <v/>
      </c>
      <c r="AL50" s="140">
        <f>AL11-AL48</f>
        <v/>
      </c>
      <c r="AM50" s="140">
        <f>AM11-AM48</f>
        <v/>
      </c>
      <c r="AN50" s="140">
        <f>AN11-AN48</f>
        <v/>
      </c>
      <c r="AO50" s="141">
        <f>SUM(AC50:AH50)+SUM(AI50:AN50)</f>
        <v/>
      </c>
      <c r="AP50" s="14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SUMIF('HAB TB'!$R:$R,'HAB P&amp;L'!$A53,'HAB TB'!C:C)</f>
        <v/>
      </c>
      <c r="P53" s="37">
        <f>SUMIF('HAB TB'!$R:$R,'HAB P&amp;L'!$A53,'HAB TB'!D:D)</f>
        <v/>
      </c>
      <c r="Q53" s="37">
        <f>SUMIF('HAB TB'!$R:$R,'HAB P&amp;L'!$A53,'HAB TB'!E:E)</f>
        <v/>
      </c>
      <c r="R53" s="37">
        <f>SUMIF('HAB TB'!$R:$R,'HAB P&amp;L'!$A53,'HAB TB'!F:F)</f>
        <v/>
      </c>
      <c r="S53" s="37">
        <f>SUMIF('HAB TB'!$R:$R,'HAB P&amp;L'!$A53,'HAB TB'!G:G)</f>
        <v/>
      </c>
      <c r="T53" s="37">
        <f>SUMIF('HAB TB'!$R:$R,'HAB P&amp;L'!$A53,'HAB TB'!H:H)</f>
        <v/>
      </c>
      <c r="U53" s="37">
        <f>SUMIF('HAB TB'!$R:$R,'HAB P&amp;L'!$A53,'HAB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8" t="n">
        <v>0</v>
      </c>
      <c r="AJ53" s="119" t="n">
        <v>0</v>
      </c>
      <c r="AK53" s="119" t="n">
        <v>0</v>
      </c>
      <c r="AL53" s="119" t="n">
        <v>0</v>
      </c>
      <c r="AM53" s="120" t="n">
        <v>0</v>
      </c>
      <c r="AN53" s="118" t="n">
        <v>0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SUMIF('HAB TB'!$R:$R,'HAB P&amp;L'!$A54,'HAB TB'!C:C)</f>
        <v/>
      </c>
      <c r="P54" s="37">
        <f>SUMIF('HAB TB'!$R:$R,'HAB P&amp;L'!$A54,'HAB TB'!D:D)</f>
        <v/>
      </c>
      <c r="Q54" s="37">
        <f>SUMIF('HAB TB'!$R:$R,'HAB P&amp;L'!$A54,'HAB TB'!E:E)</f>
        <v/>
      </c>
      <c r="R54" s="37">
        <f>SUMIF('HAB TB'!$R:$R,'HAB P&amp;L'!$A54,'HAB TB'!F:F)</f>
        <v/>
      </c>
      <c r="S54" s="37">
        <f>SUMIF('HAB TB'!$R:$R,'HAB P&amp;L'!$A54,'HAB TB'!G:G)</f>
        <v/>
      </c>
      <c r="T54" s="37">
        <f>SUMIF('HAB TB'!$R:$R,'HAB P&amp;L'!$A54,'HAB TB'!H:H)</f>
        <v/>
      </c>
      <c r="U54" s="37">
        <f>SUMIF('HAB TB'!$R:$R,'HAB P&amp;L'!$A54,'HAB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8" t="n">
        <v>0</v>
      </c>
      <c r="AJ54" s="119" t="n">
        <v>0</v>
      </c>
      <c r="AK54" s="119" t="n">
        <v>0</v>
      </c>
      <c r="AL54" s="119" t="n">
        <v>0</v>
      </c>
      <c r="AM54" s="120" t="n">
        <v>0</v>
      </c>
      <c r="AN54" s="118" t="n">
        <v>0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SUMIF('HAB TB'!$R:$R,'HAB P&amp;L'!$A55,'HAB TB'!C:C)</f>
        <v/>
      </c>
      <c r="P55" s="37">
        <f>SUMIF('HAB TB'!$R:$R,'HAB P&amp;L'!$A55,'HAB TB'!D:D)</f>
        <v/>
      </c>
      <c r="Q55" s="37">
        <f>SUMIF('HAB TB'!$R:$R,'HAB P&amp;L'!$A55,'HAB TB'!E:E)</f>
        <v/>
      </c>
      <c r="R55" s="37">
        <f>SUMIF('HAB TB'!$R:$R,'HAB P&amp;L'!$A55,'HAB TB'!F:F)</f>
        <v/>
      </c>
      <c r="S55" s="37">
        <f>SUMIF('HAB TB'!$R:$R,'HAB P&amp;L'!$A55,'HAB TB'!G:G)</f>
        <v/>
      </c>
      <c r="T55" s="37">
        <f>SUMIF('HAB TB'!$R:$R,'HAB P&amp;L'!$A55,'HAB TB'!H:H)</f>
        <v/>
      </c>
      <c r="U55" s="37">
        <f>SUMIF('HAB TB'!$R:$R,'HAB P&amp;L'!$A55,'HAB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8" t="n">
        <v>0</v>
      </c>
      <c r="AJ55" s="119" t="n">
        <v>0</v>
      </c>
      <c r="AK55" s="119" t="n">
        <v>0</v>
      </c>
      <c r="AL55" s="119" t="n">
        <v>0</v>
      </c>
      <c r="AM55" s="120" t="n">
        <v>0</v>
      </c>
      <c r="AN55" s="118" t="n">
        <v>0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SUMIF('HAB TB'!$R:$R,'HAB P&amp;L'!$A56,'HAB TB'!C:C)</f>
        <v/>
      </c>
      <c r="P56" s="37">
        <f>SUMIF('HAB TB'!$R:$R,'HAB P&amp;L'!$A56,'HAB TB'!D:D)</f>
        <v/>
      </c>
      <c r="Q56" s="37">
        <f>SUMIF('HAB TB'!$R:$R,'HAB P&amp;L'!$A56,'HAB TB'!E:E)</f>
        <v/>
      </c>
      <c r="R56" s="37">
        <f>SUMIF('HAB TB'!$R:$R,'HAB P&amp;L'!$A56,'HAB TB'!F:F)</f>
        <v/>
      </c>
      <c r="S56" s="37">
        <f>SUMIF('HAB TB'!$R:$R,'HAB P&amp;L'!$A56,'HAB TB'!G:G)</f>
        <v/>
      </c>
      <c r="T56" s="37">
        <f>SUMIF('HAB TB'!$R:$R,'HAB P&amp;L'!$A56,'HAB TB'!H:H)</f>
        <v/>
      </c>
      <c r="U56" s="37">
        <f>SUMIF('HAB TB'!$R:$R,'HAB P&amp;L'!$A56,'HAB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8" t="n">
        <v>0</v>
      </c>
      <c r="AJ56" s="119" t="n">
        <v>0</v>
      </c>
      <c r="AK56" s="119" t="n">
        <v>0</v>
      </c>
      <c r="AL56" s="119" t="n">
        <v>0</v>
      </c>
      <c r="AM56" s="120" t="n">
        <v>0</v>
      </c>
      <c r="AN56" s="118" t="n">
        <v>0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360</v>
      </c>
      <c r="J57" s="35" t="n">
        <v>0</v>
      </c>
      <c r="K57" s="35" t="n">
        <v>302</v>
      </c>
      <c r="L57" s="35" t="n">
        <v>0</v>
      </c>
      <c r="M57" s="35" t="n">
        <v>0</v>
      </c>
      <c r="N57" s="36">
        <f>SUM(B57:M57)</f>
        <v/>
      </c>
      <c r="O57" s="37">
        <f>SUMIF('HAB TB'!$R:$R,'HAB P&amp;L'!$A57,'HAB TB'!C:C)</f>
        <v/>
      </c>
      <c r="P57" s="37">
        <f>SUMIF('HAB TB'!$R:$R,'HAB P&amp;L'!$A57,'HAB TB'!D:D)</f>
        <v/>
      </c>
      <c r="Q57" s="37">
        <f>SUMIF('HAB TB'!$R:$R,'HAB P&amp;L'!$A57,'HAB TB'!E:E)</f>
        <v/>
      </c>
      <c r="R57" s="37">
        <f>SUMIF('HAB TB'!$R:$R,'HAB P&amp;L'!$A57,'HAB TB'!F:F)</f>
        <v/>
      </c>
      <c r="S57" s="37">
        <f>SUMIF('HAB TB'!$R:$R,'HAB P&amp;L'!$A57,'HAB TB'!G:G)</f>
        <v/>
      </c>
      <c r="T57" s="37">
        <f>SUMIF('HAB TB'!$R:$R,'HAB P&amp;L'!$A57,'HAB TB'!H:H)</f>
        <v/>
      </c>
      <c r="U57" s="37">
        <f>SUMIF('HAB TB'!$R:$R,'HAB P&amp;L'!$A57,'HAB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18" t="n">
        <v>0</v>
      </c>
      <c r="AJ57" s="119" t="n">
        <v>0</v>
      </c>
      <c r="AK57" s="119" t="n">
        <v>0</v>
      </c>
      <c r="AL57" s="119" t="n">
        <v>0</v>
      </c>
      <c r="AM57" s="120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SUMIF('HAB TB'!$R:$R,'HAB P&amp;L'!$A58,'HAB TB'!C:C)</f>
        <v/>
      </c>
      <c r="P58" s="37">
        <f>SUMIF('HAB TB'!$R:$R,'HAB P&amp;L'!$A58,'HAB TB'!D:D)</f>
        <v/>
      </c>
      <c r="Q58" s="37">
        <f>SUMIF('HAB TB'!$R:$R,'HAB P&amp;L'!$A58,'HAB TB'!E:E)</f>
        <v/>
      </c>
      <c r="R58" s="37">
        <f>SUMIF('HAB TB'!$R:$R,'HAB P&amp;L'!$A58,'HAB TB'!F:F)</f>
        <v/>
      </c>
      <c r="S58" s="37">
        <f>SUMIF('HAB TB'!$R:$R,'HAB P&amp;L'!$A58,'HAB TB'!G:G)</f>
        <v/>
      </c>
      <c r="T58" s="37">
        <f>SUMIF('HAB TB'!$R:$R,'HAB P&amp;L'!$A58,'HAB TB'!H:H)</f>
        <v/>
      </c>
      <c r="U58" s="37">
        <f>SUMIF('HAB TB'!$R:$R,'HAB P&amp;L'!$A58,'HAB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8" t="n">
        <v>0</v>
      </c>
      <c r="AJ58" s="119" t="n">
        <v>0</v>
      </c>
      <c r="AK58" s="119" t="n">
        <v>0</v>
      </c>
      <c r="AL58" s="119" t="n">
        <v>0</v>
      </c>
      <c r="AM58" s="120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201.37</v>
      </c>
      <c r="G59" s="35" t="n">
        <v>201.38</v>
      </c>
      <c r="H59" s="35" t="n">
        <v>201.38</v>
      </c>
      <c r="I59" s="35" t="n">
        <v>311.37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SUMIF('HAB TB'!$R:$R,'HAB P&amp;L'!$A59,'HAB TB'!C:C)</f>
        <v/>
      </c>
      <c r="P59" s="37">
        <f>SUMIF('HAB TB'!$R:$R,'HAB P&amp;L'!$A59,'HAB TB'!D:D)</f>
        <v/>
      </c>
      <c r="Q59" s="37">
        <f>SUMIF('HAB TB'!$R:$R,'HAB P&amp;L'!$A59,'HAB TB'!E:E)</f>
        <v/>
      </c>
      <c r="R59" s="37">
        <f>SUMIF('HAB TB'!$R:$R,'HAB P&amp;L'!$A59,'HAB TB'!F:F)</f>
        <v/>
      </c>
      <c r="S59" s="37">
        <f>SUMIF('HAB TB'!$R:$R,'HAB P&amp;L'!$A59,'HAB TB'!G:G)</f>
        <v/>
      </c>
      <c r="T59" s="37">
        <f>SUMIF('HAB TB'!$R:$R,'HAB P&amp;L'!$A59,'HAB TB'!H:H)</f>
        <v/>
      </c>
      <c r="U59" s="37">
        <f>SUMIF('HAB TB'!$R:$R,'HAB P&amp;L'!$A59,'HAB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18" t="n">
        <v>0</v>
      </c>
      <c r="AJ59" s="119" t="n">
        <v>0</v>
      </c>
      <c r="AK59" s="119" t="n">
        <v>0</v>
      </c>
      <c r="AL59" s="119" t="n">
        <v>0</v>
      </c>
      <c r="AM59" s="120" t="n">
        <v>0</v>
      </c>
      <c r="AN59" s="118" t="n">
        <v>0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1.2</v>
      </c>
      <c r="C60" s="35" t="n">
        <v>1.2</v>
      </c>
      <c r="D60" s="35" t="n">
        <v>1.2</v>
      </c>
      <c r="E60" s="35" t="n">
        <v>1.2</v>
      </c>
      <c r="F60" s="35" t="n">
        <v>106.19</v>
      </c>
      <c r="G60" s="35" t="n">
        <v>111</v>
      </c>
      <c r="H60" s="35" t="n">
        <v>1.2</v>
      </c>
      <c r="I60" s="35" t="n">
        <v>46.2</v>
      </c>
      <c r="J60" s="35" t="n">
        <v>0.6</v>
      </c>
      <c r="K60" s="35" t="n">
        <v>68.8</v>
      </c>
      <c r="L60" s="35" t="n">
        <v>1.2</v>
      </c>
      <c r="M60" s="35" t="n">
        <v>1.8</v>
      </c>
      <c r="N60" s="36">
        <f>SUM(B60:M60)</f>
        <v/>
      </c>
      <c r="O60" s="37">
        <f>SUMIF('HAB TB'!$R:$R,'HAB P&amp;L'!$A60,'HAB TB'!C:C)</f>
        <v/>
      </c>
      <c r="P60" s="37">
        <f>SUMIF('HAB TB'!$R:$R,'HAB P&amp;L'!$A60,'HAB TB'!D:D)</f>
        <v/>
      </c>
      <c r="Q60" s="37">
        <f>SUMIF('HAB TB'!$R:$R,'HAB P&amp;L'!$A60,'HAB TB'!E:E)</f>
        <v/>
      </c>
      <c r="R60" s="37">
        <f>SUMIF('HAB TB'!$R:$R,'HAB P&amp;L'!$A60,'HAB TB'!F:F)</f>
        <v/>
      </c>
      <c r="S60" s="37">
        <f>SUMIF('HAB TB'!$R:$R,'HAB P&amp;L'!$A60,'HAB TB'!G:G)</f>
        <v/>
      </c>
      <c r="T60" s="37">
        <f>SUMIF('HAB TB'!$R:$R,'HAB P&amp;L'!$A60,'HAB TB'!H:H)</f>
        <v/>
      </c>
      <c r="U60" s="37">
        <f>SUMIF('HAB TB'!$R:$R,'HAB P&amp;L'!$A60,'HAB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8" t="n">
        <v>0</v>
      </c>
      <c r="AJ60" s="119" t="n">
        <v>0</v>
      </c>
      <c r="AK60" s="119" t="n">
        <v>0</v>
      </c>
      <c r="AL60" s="119" t="n">
        <v>0</v>
      </c>
      <c r="AM60" s="120" t="n">
        <v>0</v>
      </c>
      <c r="AN60" s="118" t="n">
        <v>0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79.86999999999999</v>
      </c>
      <c r="F61" s="35" t="n">
        <v>7.99</v>
      </c>
      <c r="G61" s="35" t="n">
        <v>68.95</v>
      </c>
      <c r="H61" s="35" t="n">
        <v>97.14</v>
      </c>
      <c r="I61" s="35" t="n">
        <v>0</v>
      </c>
      <c r="J61" s="35" t="n">
        <v>0</v>
      </c>
      <c r="K61" s="35" t="n">
        <v>80.61</v>
      </c>
      <c r="L61" s="35" t="n">
        <v>108.91</v>
      </c>
      <c r="M61" s="35" t="n">
        <v>33.88</v>
      </c>
      <c r="N61" s="36">
        <f>SUM(B61:M61)</f>
        <v/>
      </c>
      <c r="O61" s="37">
        <f>SUMIF('HAB TB'!$R:$R,'HAB P&amp;L'!$A61,'HAB TB'!C:C)</f>
        <v/>
      </c>
      <c r="P61" s="37">
        <f>SUMIF('HAB TB'!$R:$R,'HAB P&amp;L'!$A61,'HAB TB'!D:D)</f>
        <v/>
      </c>
      <c r="Q61" s="37">
        <f>SUMIF('HAB TB'!$R:$R,'HAB P&amp;L'!$A61,'HAB TB'!E:E)</f>
        <v/>
      </c>
      <c r="R61" s="37">
        <f>SUMIF('HAB TB'!$R:$R,'HAB P&amp;L'!$A61,'HAB TB'!F:F)</f>
        <v/>
      </c>
      <c r="S61" s="37">
        <f>SUMIF('HAB TB'!$R:$R,'HAB P&amp;L'!$A61,'HAB TB'!G:G)</f>
        <v/>
      </c>
      <c r="T61" s="37">
        <f>SUMIF('HAB TB'!$R:$R,'HAB P&amp;L'!$A61,'HAB TB'!H:H)</f>
        <v/>
      </c>
      <c r="U61" s="37">
        <f>SUMIF('HAB TB'!$R:$R,'HAB P&amp;L'!$A61,'HAB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8" t="n">
        <v>0</v>
      </c>
      <c r="AJ61" s="119" t="n">
        <v>0</v>
      </c>
      <c r="AK61" s="119" t="n">
        <v>0</v>
      </c>
      <c r="AL61" s="119" t="n">
        <v>0</v>
      </c>
      <c r="AM61" s="120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28</v>
      </c>
      <c r="F62" s="35" t="n">
        <v>57</v>
      </c>
      <c r="G62" s="35" t="n">
        <v>197.4</v>
      </c>
      <c r="H62" s="35" t="n">
        <v>388</v>
      </c>
      <c r="I62" s="35" t="n">
        <v>365.6</v>
      </c>
      <c r="J62" s="35" t="n">
        <v>31</v>
      </c>
      <c r="K62" s="35" t="n">
        <v>60</v>
      </c>
      <c r="L62" s="35" t="n">
        <v>0</v>
      </c>
      <c r="M62" s="35" t="n">
        <v>0</v>
      </c>
      <c r="N62" s="36">
        <f>SUM(B62:M62)</f>
        <v/>
      </c>
      <c r="O62" s="37">
        <f>SUMIF('HAB TB'!$R:$R,'HAB P&amp;L'!$A62,'HAB TB'!C:C)</f>
        <v/>
      </c>
      <c r="P62" s="37">
        <f>SUMIF('HAB TB'!$R:$R,'HAB P&amp;L'!$A62,'HAB TB'!D:D)</f>
        <v/>
      </c>
      <c r="Q62" s="37">
        <f>SUMIF('HAB TB'!$R:$R,'HAB P&amp;L'!$A62,'HAB TB'!E:E)</f>
        <v/>
      </c>
      <c r="R62" s="37">
        <f>SUMIF('HAB TB'!$R:$R,'HAB P&amp;L'!$A62,'HAB TB'!F:F)</f>
        <v/>
      </c>
      <c r="S62" s="37">
        <f>SUMIF('HAB TB'!$R:$R,'HAB P&amp;L'!$A62,'HAB TB'!G:G)</f>
        <v/>
      </c>
      <c r="T62" s="37">
        <f>SUMIF('HAB TB'!$R:$R,'HAB P&amp;L'!$A62,'HAB TB'!H:H)</f>
        <v/>
      </c>
      <c r="U62" s="37">
        <f>SUMIF('HAB TB'!$R:$R,'HAB P&amp;L'!$A62,'HAB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8" t="n">
        <v>0</v>
      </c>
      <c r="AJ62" s="119" t="n">
        <v>0</v>
      </c>
      <c r="AK62" s="119" t="n">
        <v>0</v>
      </c>
      <c r="AL62" s="119" t="n">
        <v>0</v>
      </c>
      <c r="AM62" s="120" t="n">
        <v>0</v>
      </c>
      <c r="AN62" s="118" t="n">
        <v>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SUMIF('HAB TB'!$R:$R,'HAB P&amp;L'!$A63,'HAB TB'!C:C)</f>
        <v/>
      </c>
      <c r="P63" s="37">
        <f>SUMIF('HAB TB'!$R:$R,'HAB P&amp;L'!$A63,'HAB TB'!D:D)</f>
        <v/>
      </c>
      <c r="Q63" s="37">
        <f>SUMIF('HAB TB'!$R:$R,'HAB P&amp;L'!$A63,'HAB TB'!E:E)</f>
        <v/>
      </c>
      <c r="R63" s="37">
        <f>SUMIF('HAB TB'!$R:$R,'HAB P&amp;L'!$A63,'HAB TB'!F:F)</f>
        <v/>
      </c>
      <c r="S63" s="37">
        <f>SUMIF('HAB TB'!$R:$R,'HAB P&amp;L'!$A63,'HAB TB'!G:G)</f>
        <v/>
      </c>
      <c r="T63" s="37">
        <f>SUMIF('HAB TB'!$R:$R,'HAB P&amp;L'!$A63,'HAB TB'!H:H)</f>
        <v/>
      </c>
      <c r="U63" s="37">
        <f>SUMIF('HAB TB'!$R:$R,'HAB P&amp;L'!$A63,'HAB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8" t="n">
        <v>0</v>
      </c>
      <c r="AJ63" s="119" t="n">
        <v>0</v>
      </c>
      <c r="AK63" s="119" t="n">
        <v>0</v>
      </c>
      <c r="AL63" s="119" t="n">
        <v>0</v>
      </c>
      <c r="AM63" s="120" t="n">
        <v>0</v>
      </c>
      <c r="AN63" s="118" t="n">
        <v>0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SUMIF('HAB TB'!$R:$R,'HAB P&amp;L'!$A64,'HAB TB'!C:C)</f>
        <v/>
      </c>
      <c r="P64" s="37">
        <f>SUMIF('HAB TB'!$R:$R,'HAB P&amp;L'!$A64,'HAB TB'!D:D)</f>
        <v/>
      </c>
      <c r="Q64" s="37">
        <f>SUMIF('HAB TB'!$R:$R,'HAB P&amp;L'!$A64,'HAB TB'!E:E)</f>
        <v/>
      </c>
      <c r="R64" s="37">
        <f>SUMIF('HAB TB'!$R:$R,'HAB P&amp;L'!$A64,'HAB TB'!F:F)</f>
        <v/>
      </c>
      <c r="S64" s="37">
        <f>SUMIF('HAB TB'!$R:$R,'HAB P&amp;L'!$A64,'HAB TB'!G:G)</f>
        <v/>
      </c>
      <c r="T64" s="37">
        <f>SUMIF('HAB TB'!$R:$R,'HAB P&amp;L'!$A64,'HAB TB'!H:H)</f>
        <v/>
      </c>
      <c r="U64" s="37">
        <f>SUMIF('HAB TB'!$R:$R,'HAB P&amp;L'!$A64,'HAB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8" t="n">
        <v>0</v>
      </c>
      <c r="AJ64" s="119" t="n">
        <v>0</v>
      </c>
      <c r="AK64" s="119" t="n">
        <v>0</v>
      </c>
      <c r="AL64" s="119" t="n">
        <v>0</v>
      </c>
      <c r="AM64" s="120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SUMIF('HAB TB'!$R:$R,'HAB P&amp;L'!$A65,'HAB TB'!C:C)</f>
        <v/>
      </c>
      <c r="P65" s="37">
        <f>SUMIF('HAB TB'!$R:$R,'HAB P&amp;L'!$A65,'HAB TB'!D:D)</f>
        <v/>
      </c>
      <c r="Q65" s="37">
        <f>SUMIF('HAB TB'!$R:$R,'HAB P&amp;L'!$A65,'HAB TB'!E:E)</f>
        <v/>
      </c>
      <c r="R65" s="37">
        <f>SUMIF('HAB TB'!$R:$R,'HAB P&amp;L'!$A65,'HAB TB'!F:F)</f>
        <v/>
      </c>
      <c r="S65" s="37">
        <f>SUMIF('HAB TB'!$R:$R,'HAB P&amp;L'!$A65,'HAB TB'!G:G)</f>
        <v/>
      </c>
      <c r="T65" s="37">
        <f>SUMIF('HAB TB'!$R:$R,'HAB P&amp;L'!$A65,'HAB TB'!H:H)</f>
        <v/>
      </c>
      <c r="U65" s="37">
        <f>SUMIF('HAB TB'!$R:$R,'HAB P&amp;L'!$A65,'HAB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8" t="n">
        <v>0</v>
      </c>
      <c r="AJ65" s="119" t="n">
        <v>0</v>
      </c>
      <c r="AK65" s="119" t="n">
        <v>0</v>
      </c>
      <c r="AL65" s="119" t="n">
        <v>0</v>
      </c>
      <c r="AM65" s="120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SUMIF('HAB TB'!$R:$R,'HAB P&amp;L'!$A66,'HAB TB'!C:C)</f>
        <v/>
      </c>
      <c r="P66" s="37">
        <f>SUMIF('HAB TB'!$R:$R,'HAB P&amp;L'!$A66,'HAB TB'!D:D)</f>
        <v/>
      </c>
      <c r="Q66" s="37">
        <f>SUMIF('HAB TB'!$R:$R,'HAB P&amp;L'!$A66,'HAB TB'!E:E)</f>
        <v/>
      </c>
      <c r="R66" s="37">
        <f>SUMIF('HAB TB'!$R:$R,'HAB P&amp;L'!$A66,'HAB TB'!F:F)</f>
        <v/>
      </c>
      <c r="S66" s="37">
        <f>SUMIF('HAB TB'!$R:$R,'HAB P&amp;L'!$A66,'HAB TB'!G:G)</f>
        <v/>
      </c>
      <c r="T66" s="37">
        <f>SUMIF('HAB TB'!$R:$R,'HAB P&amp;L'!$A66,'HAB TB'!H:H)</f>
        <v/>
      </c>
      <c r="U66" s="37">
        <f>SUMIF('HAB TB'!$R:$R,'HAB P&amp;L'!$A66,'HAB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8" t="n">
        <v>0</v>
      </c>
      <c r="AJ66" s="119" t="n">
        <v>0</v>
      </c>
      <c r="AK66" s="119" t="n">
        <v>0</v>
      </c>
      <c r="AL66" s="119" t="n">
        <v>0</v>
      </c>
      <c r="AM66" s="120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1304.8</v>
      </c>
      <c r="F67" s="35" t="n">
        <v>0</v>
      </c>
      <c r="G67" s="35" t="n">
        <v>0</v>
      </c>
      <c r="H67" s="35" t="n">
        <v>42.75</v>
      </c>
      <c r="I67" s="35" t="n">
        <v>-157.25</v>
      </c>
      <c r="J67" s="35" t="n">
        <v>42.75</v>
      </c>
      <c r="K67" s="35" t="n">
        <v>42.75</v>
      </c>
      <c r="L67" s="35" t="n">
        <v>42.75</v>
      </c>
      <c r="M67" s="35" t="n">
        <v>877.95</v>
      </c>
      <c r="N67" s="36">
        <f>SUM(B67:M67)</f>
        <v/>
      </c>
      <c r="O67" s="37">
        <f>SUMIF('HAB TB'!$R:$R,'HAB P&amp;L'!$A67,'HAB TB'!C:C)</f>
        <v/>
      </c>
      <c r="P67" s="37">
        <f>SUMIF('HAB TB'!$R:$R,'HAB P&amp;L'!$A67,'HAB TB'!D:D)</f>
        <v/>
      </c>
      <c r="Q67" s="37">
        <f>SUMIF('HAB TB'!$R:$R,'HAB P&amp;L'!$A67,'HAB TB'!E:E)</f>
        <v/>
      </c>
      <c r="R67" s="37">
        <f>SUMIF('HAB TB'!$R:$R,'HAB P&amp;L'!$A67,'HAB TB'!F:F)</f>
        <v/>
      </c>
      <c r="S67" s="37">
        <f>SUMIF('HAB TB'!$R:$R,'HAB P&amp;L'!$A67,'HAB TB'!G:G)</f>
        <v/>
      </c>
      <c r="T67" s="37">
        <f>SUMIF('HAB TB'!$R:$R,'HAB P&amp;L'!$A67,'HAB TB'!H:H)</f>
        <v/>
      </c>
      <c r="U67" s="37">
        <f>SUMIF('HAB TB'!$R:$R,'HAB P&amp;L'!$A67,'HAB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8" t="n">
        <v>0</v>
      </c>
      <c r="AJ67" s="119" t="n">
        <v>0</v>
      </c>
      <c r="AK67" s="119" t="n">
        <v>0</v>
      </c>
      <c r="AL67" s="119" t="n">
        <v>0</v>
      </c>
      <c r="AM67" s="120" t="n">
        <v>0</v>
      </c>
      <c r="AN67" s="118" t="n">
        <v>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8.5</v>
      </c>
      <c r="C68" s="35" t="n">
        <v>8.5</v>
      </c>
      <c r="D68" s="35" t="n">
        <v>68.5</v>
      </c>
      <c r="E68" s="35" t="n">
        <v>9.35</v>
      </c>
      <c r="F68" s="35" t="n">
        <v>8.5</v>
      </c>
      <c r="G68" s="35" t="n">
        <v>8.5</v>
      </c>
      <c r="H68" s="35" t="n">
        <v>8.5</v>
      </c>
      <c r="I68" s="35" t="n">
        <v>8.5</v>
      </c>
      <c r="J68" s="35" t="n">
        <v>8.5</v>
      </c>
      <c r="K68" s="35" t="n">
        <v>8.5</v>
      </c>
      <c r="L68" s="35" t="n">
        <v>16</v>
      </c>
      <c r="M68" s="35" t="n">
        <v>8.5</v>
      </c>
      <c r="N68" s="36">
        <f>SUM(B68:M68)</f>
        <v/>
      </c>
      <c r="O68" s="37">
        <f>SUMIF('HAB TB'!$R:$R,'HAB P&amp;L'!$A68,'HAB TB'!C:C)</f>
        <v/>
      </c>
      <c r="P68" s="37">
        <f>SUMIF('HAB TB'!$R:$R,'HAB P&amp;L'!$A68,'HAB TB'!D:D)</f>
        <v/>
      </c>
      <c r="Q68" s="37">
        <f>SUMIF('HAB TB'!$R:$R,'HAB P&amp;L'!$A68,'HAB TB'!E:E)</f>
        <v/>
      </c>
      <c r="R68" s="37">
        <f>SUMIF('HAB TB'!$R:$R,'HAB P&amp;L'!$A68,'HAB TB'!F:F)</f>
        <v/>
      </c>
      <c r="S68" s="37">
        <f>SUMIF('HAB TB'!$R:$R,'HAB P&amp;L'!$A68,'HAB TB'!G:G)</f>
        <v/>
      </c>
      <c r="T68" s="37">
        <f>SUMIF('HAB TB'!$R:$R,'HAB P&amp;L'!$A68,'HAB TB'!H:H)</f>
        <v/>
      </c>
      <c r="U68" s="37">
        <f>SUMIF('HAB TB'!$R:$R,'HAB P&amp;L'!$A68,'HAB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8" t="n">
        <v>0</v>
      </c>
      <c r="AJ68" s="119" t="n">
        <v>0</v>
      </c>
      <c r="AK68" s="119" t="n">
        <v>0</v>
      </c>
      <c r="AL68" s="119" t="n">
        <v>0</v>
      </c>
      <c r="AM68" s="120" t="n">
        <v>0</v>
      </c>
      <c r="AN68" s="118" t="n">
        <v>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211.08</v>
      </c>
      <c r="C69" s="42" t="n">
        <v>211.08</v>
      </c>
      <c r="D69" s="42" t="n">
        <v>271.08</v>
      </c>
      <c r="E69" s="42" t="n">
        <v>1624.6</v>
      </c>
      <c r="F69" s="42" t="n">
        <v>381.05</v>
      </c>
      <c r="G69" s="42" t="n">
        <v>587.23</v>
      </c>
      <c r="H69" s="42" t="n">
        <v>738.97</v>
      </c>
      <c r="I69" s="42" t="n">
        <v>934.4200000000001</v>
      </c>
      <c r="J69" s="42" t="n">
        <v>284.23</v>
      </c>
      <c r="K69" s="42" t="n">
        <v>777.4599999999999</v>
      </c>
      <c r="L69" s="42" t="n">
        <v>383.66</v>
      </c>
      <c r="M69" s="42" t="n">
        <v>1136.93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3">
        <f>SUM(AI53:AI68)</f>
        <v/>
      </c>
      <c r="AJ69" s="124">
        <f>SUM(AJ53:AJ68)</f>
        <v/>
      </c>
      <c r="AK69" s="124">
        <f>SUM(AK53:AK68)</f>
        <v/>
      </c>
      <c r="AL69" s="124">
        <f>SUM(AL53:AL68)</f>
        <v/>
      </c>
      <c r="AM69" s="124">
        <f>SUM(AM53:AM68)</f>
        <v/>
      </c>
      <c r="AN69" s="123">
        <f>SUM(AN53:AN68)</f>
        <v/>
      </c>
      <c r="AO69" s="125">
        <f>SUM(AC69:AH69)+SUM(AI69:AN69)</f>
        <v/>
      </c>
      <c r="AP69" s="126">
        <f>IF(AB69&lt;&gt;0,(AO69-AB69)/ABS(AB69),0)</f>
        <v/>
      </c>
    </row>
    <row r="70">
      <c r="A70" s="54" t="inlineStr">
        <is>
          <t>EBITDA</t>
        </is>
      </c>
      <c r="B70" s="55" t="n">
        <v>4491.070000000005</v>
      </c>
      <c r="C70" s="55" t="n">
        <v>9619.17</v>
      </c>
      <c r="D70" s="55" t="n">
        <v>14388.98</v>
      </c>
      <c r="E70" s="55" t="n">
        <v>7780.539999999992</v>
      </c>
      <c r="F70" s="55" t="n">
        <v>2982.449999999993</v>
      </c>
      <c r="G70" s="55" t="n">
        <v>25149.21999999999</v>
      </c>
      <c r="H70" s="55" t="n">
        <v>35375.45</v>
      </c>
      <c r="I70" s="55" t="n">
        <v>13148.68</v>
      </c>
      <c r="J70" s="55" t="n">
        <v>4547.910000000014</v>
      </c>
      <c r="K70" s="55" t="n">
        <v>14005.52</v>
      </c>
      <c r="L70" s="55" t="n">
        <v>12832.86</v>
      </c>
      <c r="M70" s="55" t="n">
        <v>24719.25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0">
        <f>AI50-AI69</f>
        <v/>
      </c>
      <c r="AJ70" s="140">
        <f>AJ50-AJ69</f>
        <v/>
      </c>
      <c r="AK70" s="140">
        <f>AK50-AK69</f>
        <v/>
      </c>
      <c r="AL70" s="140">
        <f>AL50-AL69</f>
        <v/>
      </c>
      <c r="AM70" s="140">
        <f>AM50-AM69</f>
        <v/>
      </c>
      <c r="AN70" s="140">
        <f>AN50-AN69</f>
        <v/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22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60">
        <f>SUM(O71:T71)</f>
        <v/>
      </c>
      <c r="AB71" s="56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2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60">
        <f>SUM(O72:T72)</f>
        <v/>
      </c>
      <c r="AB72" s="56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34" t="inlineStr">
        <is>
          <t>Borrowing Costs</t>
        </is>
      </c>
      <c r="B73" s="8" t="n"/>
      <c r="C73" s="8" t="n"/>
      <c r="D73" s="8" t="n"/>
      <c r="E73" s="8" t="n"/>
      <c r="F73" s="8" t="n"/>
      <c r="G73" s="8" t="n"/>
      <c r="H73" s="8" t="n"/>
      <c r="I73" s="56" t="n"/>
      <c r="J73" s="56" t="n"/>
      <c r="K73" s="56" t="n"/>
      <c r="L73" s="56" t="n"/>
      <c r="M73" s="56" t="n"/>
      <c r="N73" s="56" t="n"/>
      <c r="O73" s="60" t="n">
        <v>0</v>
      </c>
      <c r="P73" s="60" t="n">
        <v>0</v>
      </c>
      <c r="Q73" s="60" t="n">
        <v>0</v>
      </c>
      <c r="R73" s="60" t="n">
        <v>0</v>
      </c>
      <c r="S73" s="60" t="n">
        <v>0</v>
      </c>
      <c r="T73" s="60" t="n">
        <v>0</v>
      </c>
      <c r="U73" s="60" t="n">
        <v>1</v>
      </c>
      <c r="V73" s="60" t="n">
        <v>0</v>
      </c>
      <c r="W73" s="60" t="n">
        <v>0</v>
      </c>
      <c r="X73" s="60" t="n">
        <v>0</v>
      </c>
      <c r="Y73" s="60" t="n">
        <v>0</v>
      </c>
      <c r="Z73" s="60" t="n">
        <v>0</v>
      </c>
      <c r="AA73" s="8" t="n"/>
      <c r="AB73" s="60">
        <f>SUM(O73:Z73)</f>
        <v/>
      </c>
      <c r="AC73" s="8" t="n"/>
      <c r="AD73" s="8" t="n"/>
      <c r="AE73" s="8" t="n"/>
      <c r="AF73" s="8" t="n"/>
      <c r="AG73" s="8" t="n"/>
      <c r="AH73" s="8" t="n"/>
      <c r="AI73" s="148" t="n">
        <v>0</v>
      </c>
      <c r="AJ73" s="148" t="n">
        <v>0</v>
      </c>
      <c r="AK73" s="148" t="n">
        <v>0</v>
      </c>
      <c r="AL73" s="148" t="n">
        <v>0</v>
      </c>
      <c r="AM73" s="148" t="n">
        <v>0</v>
      </c>
      <c r="AN73" s="148" t="n">
        <v>0</v>
      </c>
      <c r="AO73" s="145">
        <f>SUM(AC73:AH73)+SUM(AI73:AN73)</f>
        <v/>
      </c>
      <c r="AP73" s="142">
        <f>IF(AB73&lt;&gt;0,(AO73-AB73)/ABS(AB73),0)</f>
        <v/>
      </c>
    </row>
    <row r="74">
      <c r="A74" s="34" t="inlineStr">
        <is>
          <t>Depreciation</t>
        </is>
      </c>
      <c r="B74" s="8" t="n"/>
      <c r="C74" s="8" t="n"/>
      <c r="D74" s="8" t="n"/>
      <c r="E74" s="8" t="n"/>
      <c r="F74" s="8" t="n"/>
      <c r="G74" s="8" t="n"/>
      <c r="H74" s="8" t="n"/>
      <c r="I74" s="56" t="n"/>
      <c r="J74" s="56" t="n"/>
      <c r="K74" s="56" t="n"/>
      <c r="L74" s="56" t="n"/>
      <c r="M74" s="56" t="n"/>
      <c r="N74" s="56" t="n"/>
      <c r="O74" s="60" t="n">
        <v>134.8375</v>
      </c>
      <c r="P74" s="60" t="n">
        <v>134.8375</v>
      </c>
      <c r="Q74" s="60" t="n">
        <v>134.8375</v>
      </c>
      <c r="R74" s="60" t="n">
        <v>134.8375</v>
      </c>
      <c r="S74" s="60" t="n">
        <v>134.8375</v>
      </c>
      <c r="T74" s="60" t="n">
        <v>134.8375</v>
      </c>
      <c r="U74" s="60" t="n">
        <v>135.8375</v>
      </c>
      <c r="V74" s="60" t="n">
        <v>134.8375</v>
      </c>
      <c r="W74" s="60" t="n">
        <v>134.8375</v>
      </c>
      <c r="X74" s="60" t="n">
        <v>134.8375</v>
      </c>
      <c r="Y74" s="60" t="n">
        <v>134.8375</v>
      </c>
      <c r="Z74" s="60" t="n">
        <v>134.8375</v>
      </c>
      <c r="AA74" s="8" t="n"/>
      <c r="AB74" s="60">
        <f>SUM(O74:Z74)</f>
        <v/>
      </c>
      <c r="AC74" s="8" t="n"/>
      <c r="AD74" s="8" t="n"/>
      <c r="AE74" s="8" t="n"/>
      <c r="AF74" s="8" t="n"/>
      <c r="AG74" s="8" t="n"/>
      <c r="AH74" s="8" t="n"/>
      <c r="AI74" s="148" t="n">
        <v>0</v>
      </c>
      <c r="AJ74" s="148" t="n">
        <v>0</v>
      </c>
      <c r="AK74" s="148" t="n">
        <v>0</v>
      </c>
      <c r="AL74" s="148" t="n">
        <v>0</v>
      </c>
      <c r="AM74" s="148" t="n">
        <v>0</v>
      </c>
      <c r="AN74" s="148" t="n">
        <v>0</v>
      </c>
      <c r="AO74" s="145">
        <f>SUM(AC74:AH74)+SUM(AI74:AN74)</f>
        <v/>
      </c>
      <c r="AP74" s="142">
        <f>IF(AB74&lt;&gt;0,(AO74-AB74)/ABS(AB74),0)</f>
        <v/>
      </c>
    </row>
    <row r="75">
      <c r="A75" s="34" t="inlineStr">
        <is>
          <t>Amortisation</t>
        </is>
      </c>
      <c r="B75" s="8" t="n"/>
      <c r="C75" s="8" t="n"/>
      <c r="D75" s="8" t="n"/>
      <c r="E75" s="8" t="n"/>
      <c r="F75" s="8" t="n"/>
      <c r="G75" s="8" t="n"/>
      <c r="H75" s="8" t="n"/>
      <c r="I75" s="56" t="n"/>
      <c r="J75" s="56" t="n"/>
      <c r="K75" s="56" t="n"/>
      <c r="L75" s="56" t="n"/>
      <c r="M75" s="56" t="n"/>
      <c r="N75" s="56" t="n"/>
      <c r="O75" s="60" t="n">
        <v>0</v>
      </c>
      <c r="P75" s="60" t="n">
        <v>0</v>
      </c>
      <c r="Q75" s="60" t="n">
        <v>0</v>
      </c>
      <c r="R75" s="60" t="n">
        <v>0</v>
      </c>
      <c r="S75" s="60" t="n">
        <v>0</v>
      </c>
      <c r="T75" s="60" t="n">
        <v>0</v>
      </c>
      <c r="U75" s="60" t="n">
        <v>1</v>
      </c>
      <c r="V75" s="60" t="n">
        <v>0</v>
      </c>
      <c r="W75" s="60" t="n">
        <v>0</v>
      </c>
      <c r="X75" s="60" t="n">
        <v>0</v>
      </c>
      <c r="Y75" s="60" t="n">
        <v>0</v>
      </c>
      <c r="Z75" s="60" t="n">
        <v>0</v>
      </c>
      <c r="AA75" s="8" t="n"/>
      <c r="AB75" s="60">
        <f>SUM(O75:Z75)</f>
        <v/>
      </c>
      <c r="AC75" s="8" t="n"/>
      <c r="AD75" s="8" t="n"/>
      <c r="AE75" s="8" t="n"/>
      <c r="AF75" s="8" t="n"/>
      <c r="AG75" s="8" t="n"/>
      <c r="AH75" s="8" t="n"/>
      <c r="AI75" s="148" t="n">
        <v>0</v>
      </c>
      <c r="AJ75" s="148" t="n">
        <v>0</v>
      </c>
      <c r="AK75" s="148" t="n">
        <v>0</v>
      </c>
      <c r="AL75" s="148" t="n">
        <v>0</v>
      </c>
      <c r="AM75" s="148" t="n">
        <v>0</v>
      </c>
      <c r="AN75" s="148" t="n">
        <v>0</v>
      </c>
      <c r="AO75" s="145">
        <f>SUM(AC75:AH75)+SUM(AI75:AN75)</f>
        <v/>
      </c>
      <c r="AP75" s="142">
        <f>IF(AB75&lt;&gt;0,(AO75-AB75)/ABS(AB75),0)</f>
        <v/>
      </c>
    </row>
    <row r="76">
      <c r="A76" s="70" t="inlineStr">
        <is>
          <t>Profit Before Tax</t>
        </is>
      </c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>
        <f>O70-SUM(O73:O75)</f>
        <v/>
      </c>
      <c r="P76" s="56">
        <f>P70-SUM(P73:P75)</f>
        <v/>
      </c>
      <c r="Q76" s="56">
        <f>Q70-SUM(Q73:Q75)</f>
        <v/>
      </c>
      <c r="R76" s="56">
        <f>R70-SUM(R73:R75)</f>
        <v/>
      </c>
      <c r="S76" s="56">
        <f>S70-SUM(S73:S75)</f>
        <v/>
      </c>
      <c r="T76" s="56">
        <f>T70-SUM(T73:T75)</f>
        <v/>
      </c>
      <c r="U76" s="56">
        <f>U70-SUM(U73:U75)</f>
        <v/>
      </c>
      <c r="V76" s="56">
        <f>V70-SUM(V73:V75)</f>
        <v/>
      </c>
      <c r="W76" s="56">
        <f>W70-SUM(W73:W75)</f>
        <v/>
      </c>
      <c r="X76" s="56">
        <f>X70-SUM(X73:X75)</f>
        <v/>
      </c>
      <c r="Y76" s="56">
        <f>Y70-SUM(Y73:Y75)</f>
        <v/>
      </c>
      <c r="Z76" s="56">
        <f>Z70-SUM(Z73:Z75)</f>
        <v/>
      </c>
      <c r="AA76" s="56" t="n"/>
      <c r="AB76" s="56">
        <f>AB70-SUM(AB73:AB75)</f>
        <v/>
      </c>
      <c r="AC76" s="56" t="n"/>
      <c r="AD76" s="56" t="n"/>
      <c r="AE76" s="56" t="n"/>
      <c r="AF76" s="56" t="n"/>
      <c r="AG76" s="56" t="n"/>
      <c r="AH76" s="56" t="n"/>
      <c r="AI76" s="127" t="n">
        <v>0</v>
      </c>
      <c r="AJ76" s="127" t="n">
        <v>0</v>
      </c>
      <c r="AK76" s="127" t="n">
        <v>0</v>
      </c>
      <c r="AL76" s="127" t="n">
        <v>0</v>
      </c>
      <c r="AM76" s="127" t="n">
        <v>0</v>
      </c>
      <c r="AN76" s="127" t="n">
        <v>0</v>
      </c>
      <c r="AO76" s="145">
        <f>SUM(AC76:AH76)+SUM(AI76:AN76)</f>
        <v/>
      </c>
      <c r="AP76" s="142">
        <f>IF(AB76&lt;&gt;0,(AO76-AB76)/ABS(AB76),0)</f>
        <v/>
      </c>
    </row>
    <row r="77" ht="15.75" customHeight="1">
      <c r="A77" s="71" t="inlineStr">
        <is>
          <t>Corp Tax Due</t>
        </is>
      </c>
      <c r="B77" s="64" t="n"/>
      <c r="C77" s="64" t="n"/>
      <c r="D77" s="64" t="n"/>
      <c r="E77" s="64" t="n"/>
      <c r="F77" s="64" t="n"/>
      <c r="G77" s="64" t="n"/>
      <c r="H77" s="64" t="n"/>
      <c r="I77" s="72" t="n"/>
      <c r="J77" s="72" t="n"/>
      <c r="K77" s="72" t="n"/>
      <c r="L77" s="72" t="n"/>
      <c r="M77" s="72" t="n"/>
      <c r="N77" s="72" t="n"/>
      <c r="O77" s="72">
        <f>(O76*0.25)</f>
        <v/>
      </c>
      <c r="P77" s="72">
        <f>(P76*0.25)</f>
        <v/>
      </c>
      <c r="Q77" s="72">
        <f>(Q76*0.25)</f>
        <v/>
      </c>
      <c r="R77" s="72">
        <f>(R76*0.25)</f>
        <v/>
      </c>
      <c r="S77" s="72">
        <f>(S76*0.25)</f>
        <v/>
      </c>
      <c r="T77" s="72">
        <f>(T76*0.25)</f>
        <v/>
      </c>
      <c r="U77" s="72">
        <f>(U76*0.25)</f>
        <v/>
      </c>
      <c r="V77" s="72">
        <f>(V76*0.25)</f>
        <v/>
      </c>
      <c r="W77" s="72">
        <f>(W76*0.25)</f>
        <v/>
      </c>
      <c r="X77" s="72">
        <f>(X76*0.25)</f>
        <v/>
      </c>
      <c r="Y77" s="72">
        <f>(Y76*0.25)</f>
        <v/>
      </c>
      <c r="Z77" s="72">
        <f>(Z76*0.25)</f>
        <v/>
      </c>
      <c r="AA77" s="72" t="n"/>
      <c r="AB77" s="72">
        <f>(AB76*0.25)</f>
        <v/>
      </c>
      <c r="AC77" s="72" t="n"/>
      <c r="AD77" s="72" t="n"/>
      <c r="AE77" s="72" t="n"/>
      <c r="AF77" s="72" t="n"/>
      <c r="AG77" s="72" t="n"/>
      <c r="AH77" s="72" t="n"/>
      <c r="AI77" s="134" t="n">
        <v>0</v>
      </c>
      <c r="AJ77" s="134" t="n">
        <v>0</v>
      </c>
      <c r="AK77" s="134" t="n">
        <v>0</v>
      </c>
      <c r="AL77" s="134" t="n">
        <v>0</v>
      </c>
      <c r="AM77" s="134" t="n">
        <v>0</v>
      </c>
      <c r="AN77" s="134" t="n">
        <v>0</v>
      </c>
      <c r="AO77" s="145">
        <f>SUM(AC77:AH77)+SUM(AI77:AN77)</f>
        <v/>
      </c>
      <c r="AP77" s="142">
        <f>IF(AB77&lt;&gt;0,(AO77-AB77)/ABS(AB77),0)</f>
        <v/>
      </c>
    </row>
    <row r="78" ht="15.75" customHeight="1">
      <c r="A78" s="34" t="n"/>
      <c r="B78" s="8" t="n"/>
      <c r="C78" s="8" t="n"/>
      <c r="D78" s="8" t="n"/>
      <c r="E78" s="8" t="n"/>
      <c r="F78" s="8" t="n"/>
      <c r="G78" s="8" t="n"/>
      <c r="H78" s="8" t="n"/>
      <c r="I78" s="56" t="n"/>
      <c r="J78" s="56" t="n"/>
      <c r="K78" s="56" t="n"/>
      <c r="L78" s="56" t="n"/>
      <c r="M78" s="56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6" t="n"/>
      <c r="X78" s="56" t="n"/>
      <c r="Y78" s="56" t="n"/>
      <c r="Z78" s="56" t="n"/>
      <c r="AA78" s="56" t="n"/>
      <c r="AB78" s="56" t="n"/>
      <c r="AC78" s="56" t="n"/>
      <c r="AD78" s="56" t="n"/>
      <c r="AE78" s="56" t="n"/>
      <c r="AF78" s="56" t="n"/>
      <c r="AG78" s="56" t="n"/>
      <c r="AH78" s="56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34" t="n"/>
      <c r="B79" s="8" t="n"/>
      <c r="C79" s="8" t="n"/>
      <c r="D79" s="8" t="n"/>
      <c r="E79" s="8" t="n"/>
      <c r="F79" s="8" t="n"/>
      <c r="G79" s="8" t="n"/>
      <c r="H79" s="8" t="n"/>
      <c r="I79" s="56" t="n"/>
      <c r="J79" s="56" t="n"/>
      <c r="K79" s="56" t="n"/>
      <c r="L79" s="56" t="n"/>
      <c r="M79" s="56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  <c r="Z79" s="56" t="n"/>
      <c r="AA79" s="56" t="n"/>
      <c r="AB79" s="56" t="n"/>
      <c r="AC79" s="56" t="n"/>
      <c r="AD79" s="56" t="n"/>
      <c r="AE79" s="56" t="n"/>
      <c r="AF79" s="56" t="n"/>
      <c r="AG79" s="56" t="n"/>
      <c r="AH79" s="56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>
      <c r="A80" s="34" t="n"/>
      <c r="B80" s="8" t="n"/>
      <c r="C80" s="8" t="n"/>
      <c r="D80" s="8" t="n"/>
      <c r="E80" s="8" t="n"/>
      <c r="F80" s="8" t="n"/>
      <c r="G80" s="8" t="n"/>
      <c r="H80" s="8" t="n"/>
      <c r="I80" s="56" t="n"/>
      <c r="J80" s="56" t="n"/>
      <c r="K80" s="56" t="n"/>
      <c r="L80" s="56" t="n"/>
      <c r="M80" s="56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6" t="n"/>
      <c r="X80" s="56" t="n"/>
      <c r="Y80" s="56" t="n"/>
      <c r="Z80" s="56" t="n"/>
      <c r="AA80" s="56" t="n"/>
      <c r="AB80" s="56" t="n"/>
      <c r="AC80" s="56" t="n"/>
      <c r="AD80" s="56" t="n"/>
      <c r="AE80" s="56" t="n"/>
      <c r="AF80" s="56" t="n"/>
      <c r="AG80" s="56" t="n"/>
      <c r="AH80" s="56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34" t="n"/>
      <c r="B81" s="8" t="n"/>
      <c r="C81" s="8" t="n"/>
      <c r="D81" s="8" t="n"/>
      <c r="E81" s="8" t="n"/>
      <c r="F81" s="8" t="n"/>
      <c r="G81" s="8" t="n"/>
      <c r="H81" s="8" t="n"/>
      <c r="I81" s="56" t="n"/>
      <c r="J81" s="56" t="n"/>
      <c r="K81" s="56" t="n"/>
      <c r="L81" s="56" t="n"/>
      <c r="M81" s="56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  <c r="Z81" s="56" t="n"/>
      <c r="AA81" s="56" t="n"/>
      <c r="AB81" s="56" t="n"/>
      <c r="AC81" s="56" t="n"/>
      <c r="AD81" s="56" t="n"/>
      <c r="AE81" s="56" t="n"/>
      <c r="AF81" s="56" t="n"/>
      <c r="AG81" s="56" t="n"/>
      <c r="AH81" s="56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34" t="n"/>
      <c r="B82" s="8" t="n"/>
      <c r="C82" s="8" t="n"/>
      <c r="D82" s="8" t="n"/>
      <c r="E82" s="8" t="n"/>
      <c r="F82" s="8" t="n"/>
      <c r="G82" s="8" t="n"/>
      <c r="H82" s="8" t="n"/>
      <c r="I82" s="56" t="n"/>
      <c r="J82" s="56" t="n"/>
      <c r="K82" s="56" t="n"/>
      <c r="L82" s="56" t="n"/>
      <c r="M82" s="56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6" t="n"/>
      <c r="X82" s="56" t="n"/>
      <c r="Y82" s="56" t="n"/>
      <c r="Z82" s="56" t="n"/>
      <c r="AA82" s="56" t="n"/>
      <c r="AB82" s="56" t="n"/>
      <c r="AC82" s="56" t="n"/>
      <c r="AD82" s="56" t="n"/>
      <c r="AE82" s="56" t="n"/>
      <c r="AF82" s="56" t="n"/>
      <c r="AG82" s="56" t="n"/>
      <c r="AH82" s="56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34" t="n"/>
      <c r="B83" s="8" t="n"/>
      <c r="C83" s="8" t="n"/>
      <c r="D83" s="8" t="n"/>
      <c r="E83" s="8" t="n"/>
      <c r="F83" s="8" t="n"/>
      <c r="G83" s="8" t="n"/>
      <c r="H83" s="8" t="n"/>
      <c r="I83" s="56" t="n"/>
      <c r="J83" s="56" t="n"/>
      <c r="K83" s="56" t="n"/>
      <c r="L83" s="56" t="n"/>
      <c r="M83" s="56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  <c r="Z83" s="56" t="n"/>
      <c r="AA83" s="56" t="n"/>
      <c r="AB83" s="56" t="n"/>
      <c r="AC83" s="56" t="n"/>
      <c r="AD83" s="56" t="n"/>
      <c r="AE83" s="56" t="n"/>
      <c r="AF83" s="56" t="n"/>
      <c r="AG83" s="56" t="n"/>
      <c r="AH83" s="56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34" t="n"/>
      <c r="B84" s="8" t="n"/>
      <c r="C84" s="8" t="n"/>
      <c r="D84" s="8" t="n"/>
      <c r="E84" s="8" t="n"/>
      <c r="F84" s="8" t="n"/>
      <c r="G84" s="8" t="n"/>
      <c r="H84" s="8" t="n"/>
      <c r="I84" s="56" t="n"/>
      <c r="J84" s="56" t="n"/>
      <c r="K84" s="56" t="n"/>
      <c r="L84" s="56" t="n"/>
      <c r="M84" s="56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6" t="n"/>
      <c r="X84" s="56" t="n"/>
      <c r="Y84" s="56" t="n"/>
      <c r="Z84" s="56" t="n"/>
      <c r="AA84" s="56" t="n"/>
      <c r="AB84" s="56" t="n"/>
      <c r="AC84" s="56" t="n"/>
      <c r="AD84" s="56" t="n"/>
      <c r="AE84" s="56" t="n"/>
      <c r="AF84" s="56" t="n"/>
      <c r="AG84" s="56" t="n"/>
      <c r="AH84" s="56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60" t="inlineStr">
        <is>
          <t>Memo</t>
        </is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60">
        <f>SUM(O85:T85)</f>
        <v/>
      </c>
      <c r="AB85" s="56" t="n"/>
      <c r="AC85" s="8" t="n"/>
      <c r="AD85" s="8" t="n"/>
      <c r="AE85" s="8" t="n"/>
      <c r="AF85" s="8" t="n"/>
      <c r="AG85" s="8" t="n"/>
      <c r="AH85" s="8" t="n"/>
      <c r="AI85" s="148" t="n">
        <v>0</v>
      </c>
      <c r="AJ85" s="148" t="n">
        <v>0</v>
      </c>
      <c r="AK85" s="148" t="n">
        <v>0</v>
      </c>
      <c r="AL85" s="148" t="n">
        <v>0</v>
      </c>
      <c r="AM85" s="148" t="n">
        <v>0</v>
      </c>
      <c r="AN85" s="148" t="n">
        <v>0</v>
      </c>
      <c r="AO85" s="145">
        <f>SUM(AC85:AH85)+SUM(AI85:AN85)</f>
        <v/>
      </c>
      <c r="AP85" s="142">
        <f>IF(AB85&lt;&gt;0,(AO85-AB85)/ABS(AB85),0)</f>
        <v/>
      </c>
    </row>
    <row r="86">
      <c r="A86" s="60" t="inlineStr">
        <is>
          <t>Direct - Sales</t>
        </is>
      </c>
      <c r="B86" s="60" t="n">
        <v>27851.06</v>
      </c>
      <c r="C86" s="60" t="n">
        <v>36270.37</v>
      </c>
      <c r="D86" s="60" t="n">
        <v>41597.59</v>
      </c>
      <c r="E86" s="60" t="n">
        <v>38151.37</v>
      </c>
      <c r="F86" s="60" t="n">
        <v>35194.78</v>
      </c>
      <c r="G86" s="60" t="n">
        <v>55543.46999999999</v>
      </c>
      <c r="H86" s="60" t="n">
        <v>66307.58</v>
      </c>
      <c r="I86" s="60" t="n">
        <v>42067.17</v>
      </c>
      <c r="J86" s="60" t="n">
        <v>39409.41</v>
      </c>
      <c r="K86" s="60" t="n">
        <v>49796.69</v>
      </c>
      <c r="L86" s="60" t="n">
        <v>45805.68</v>
      </c>
      <c r="M86" s="8" t="n"/>
      <c r="N86" s="8" t="n"/>
      <c r="O86" s="60">
        <f>-SUMIF('HAB TB'!$T:$T,'HAB P&amp;L'!$A86,'HAB TB'!C:C)</f>
        <v/>
      </c>
      <c r="P86" s="60">
        <f>-SUMIF('HAB TB'!$T:$T,'HAB P&amp;L'!$A86,'HAB TB'!D:D)</f>
        <v/>
      </c>
      <c r="Q86" s="60">
        <f>-SUMIF('HAB TB'!$T:$T,'HAB P&amp;L'!$A86,'HAB TB'!E:E)</f>
        <v/>
      </c>
      <c r="R86" s="60">
        <f>-SUMIF('HAB TB'!$T:$T,'HAB P&amp;L'!$A86,'HAB TB'!F:F)</f>
        <v/>
      </c>
      <c r="S86" s="60">
        <f>-SUMIF('HAB TB'!$T:$T,'HAB P&amp;L'!$A86,'HAB TB'!G:G)</f>
        <v/>
      </c>
      <c r="T86" s="60">
        <f>-SUMIF('HAB TB'!$T:$T,'HAB P&amp;L'!$A86,'HAB TB'!H:H)</f>
        <v/>
      </c>
      <c r="U86" s="60">
        <f>-SUMIF('HAB TB'!$T:$T,'HAB P&amp;L'!$A86,'HAB TB'!I:I)</f>
        <v/>
      </c>
      <c r="V86" s="60">
        <f>-SUMIF('HAB TB'!$T:$T,'HAB P&amp;L'!$A86,'HAB TB'!J:J)</f>
        <v/>
      </c>
      <c r="W86" s="60">
        <f>-SUMIF('HAB TB'!$T:$T,'HAB P&amp;L'!$A86,'HAB TB'!K:K)</f>
        <v/>
      </c>
      <c r="X86" s="60">
        <f>-SUMIF('HAB TB'!$T:$T,'HAB P&amp;L'!$A86,'HAB TB'!L:L)</f>
        <v/>
      </c>
      <c r="Y86" s="60">
        <f>-SUMIF('HAB TB'!$T:$T,'HAB P&amp;L'!$A86,'HAB TB'!M:M)</f>
        <v/>
      </c>
      <c r="Z86" s="60">
        <f>-SUMIF('HAB TB'!$T:$T,'HAB P&amp;L'!$A86,'HAB TB'!N:N)</f>
        <v/>
      </c>
      <c r="AA86" s="60">
        <f>SUM(O86:T86)</f>
        <v/>
      </c>
      <c r="AB86" s="8" t="n"/>
      <c r="AC86" s="8" t="n"/>
      <c r="AD86" s="8" t="n"/>
      <c r="AE86" s="8" t="n"/>
      <c r="AF86" s="8" t="n"/>
      <c r="AG86" s="8" t="n"/>
      <c r="AH86" s="8" t="n"/>
      <c r="AI86" s="134" t="n">
        <v>0</v>
      </c>
      <c r="AJ86" s="134" t="n">
        <v>0</v>
      </c>
      <c r="AK86" s="134" t="n">
        <v>0</v>
      </c>
      <c r="AL86" s="134" t="n">
        <v>0</v>
      </c>
      <c r="AM86" s="134" t="n">
        <v>0</v>
      </c>
      <c r="AN86" s="134" t="n">
        <v>0</v>
      </c>
      <c r="AO86" s="145">
        <f>SUM(AC86:AH86)+SUM(AI86:AN86)</f>
        <v/>
      </c>
      <c r="AP86" s="142">
        <f>IF(AB86&lt;&gt;0,(AO86-AB86)/ABS(AB86),0)</f>
        <v/>
      </c>
    </row>
    <row r="87">
      <c r="A87" s="34" t="inlineStr">
        <is>
          <t>Direct - Staff Cost</t>
        </is>
      </c>
      <c r="B87" s="60" t="n">
        <v>-15648.24</v>
      </c>
      <c r="C87" s="60" t="n">
        <v>-18409.52</v>
      </c>
      <c r="D87" s="60" t="n">
        <v>-19663.6</v>
      </c>
      <c r="E87" s="60" t="n">
        <v>-21338.35</v>
      </c>
      <c r="F87" s="60" t="n">
        <v>-23094.97</v>
      </c>
      <c r="G87" s="60" t="n">
        <v>-22006.96</v>
      </c>
      <c r="H87" s="60" t="n">
        <v>-22849.88</v>
      </c>
      <c r="I87" s="60" t="n">
        <v>-21324.02</v>
      </c>
      <c r="J87" s="60" t="n">
        <v>-26356.50999999999</v>
      </c>
      <c r="K87" s="60" t="n">
        <v>-26819.11</v>
      </c>
      <c r="L87" s="60" t="n">
        <v>-25918.13</v>
      </c>
      <c r="M87" s="8" t="n"/>
      <c r="N87" s="8" t="n"/>
      <c r="O87" s="60">
        <f>-SUMIF('HAB TB'!$T:$T,'HAB P&amp;L'!$A87,'HAB TB'!C:C)</f>
        <v/>
      </c>
      <c r="P87" s="60">
        <f>-SUMIF('HAB TB'!$T:$T,'HAB P&amp;L'!$A87,'HAB TB'!D:D)</f>
        <v/>
      </c>
      <c r="Q87" s="60">
        <f>-SUMIF('HAB TB'!$T:$T,'HAB P&amp;L'!$A87,'HAB TB'!E:E)</f>
        <v/>
      </c>
      <c r="R87" s="60">
        <f>-SUMIF('HAB TB'!$T:$T,'HAB P&amp;L'!$A87,'HAB TB'!F:F)</f>
        <v/>
      </c>
      <c r="S87" s="60">
        <f>-SUMIF('HAB TB'!$T:$T,'HAB P&amp;L'!$A87,'HAB TB'!G:G)</f>
        <v/>
      </c>
      <c r="T87" s="60">
        <f>-SUMIF('HAB TB'!$T:$T,'HAB P&amp;L'!$A87,'HAB TB'!H:H)</f>
        <v/>
      </c>
      <c r="U87" s="60">
        <f>-SUMIF('HAB TB'!$T:$T,'HAB P&amp;L'!$A87,'HAB TB'!I:I)</f>
        <v/>
      </c>
      <c r="V87" s="60">
        <f>-SUMIF('HAB TB'!$T:$T,'HAB P&amp;L'!$A87,'HAB TB'!J:J)</f>
        <v/>
      </c>
      <c r="W87" s="60">
        <f>-SUMIF('HAB TB'!$T:$T,'HAB P&amp;L'!$A87,'HAB TB'!K:K)</f>
        <v/>
      </c>
      <c r="X87" s="60">
        <f>-SUMIF('HAB TB'!$T:$T,'HAB P&amp;L'!$A87,'HAB TB'!L:L)</f>
        <v/>
      </c>
      <c r="Y87" s="60">
        <f>-SUMIF('HAB TB'!$T:$T,'HAB P&amp;L'!$A87,'HAB TB'!M:M)</f>
        <v/>
      </c>
      <c r="Z87" s="60">
        <f>-SUMIF('HAB TB'!$T:$T,'HAB P&amp;L'!$A87,'HAB TB'!N:N)</f>
        <v/>
      </c>
      <c r="AA87" s="60">
        <f>SUM(O87:T87)</f>
        <v/>
      </c>
      <c r="AB87" s="8" t="n"/>
      <c r="AC87" s="8" t="n"/>
      <c r="AD87" s="8" t="n"/>
      <c r="AE87" s="8" t="n"/>
      <c r="AF87" s="8" t="n"/>
      <c r="AG87" s="8" t="n"/>
      <c r="AH87" s="8" t="n"/>
      <c r="AI87" s="134" t="n">
        <v>0</v>
      </c>
      <c r="AJ87" s="134" t="n">
        <v>0</v>
      </c>
      <c r="AK87" s="134" t="n">
        <v>0</v>
      </c>
      <c r="AL87" s="134" t="n">
        <v>0</v>
      </c>
      <c r="AM87" s="134" t="n">
        <v>0</v>
      </c>
      <c r="AN87" s="134" t="n">
        <v>0</v>
      </c>
      <c r="AO87" s="145">
        <f>SUM(AC87:AH87)+SUM(AI87:AN87)</f>
        <v/>
      </c>
      <c r="AP87" s="142">
        <f>IF(AB87&lt;&gt;0,(AO87-AB87)/ABS(AB87),0)</f>
        <v/>
      </c>
    </row>
    <row r="88">
      <c r="A88" s="60" t="inlineStr">
        <is>
          <t>Direct - Childcare Cost</t>
        </is>
      </c>
      <c r="B88" s="60" t="n">
        <v>-2321.62</v>
      </c>
      <c r="C88" s="60" t="n">
        <v>-1565.24</v>
      </c>
      <c r="D88" s="60" t="n">
        <v>-1638.04</v>
      </c>
      <c r="E88" s="60" t="n">
        <v>-1338.03</v>
      </c>
      <c r="F88" s="60" t="n">
        <v>-2847.929999999999</v>
      </c>
      <c r="G88" s="60" t="n">
        <v>-2014.27</v>
      </c>
      <c r="H88" s="60" t="n">
        <v>-1895.43</v>
      </c>
      <c r="I88" s="60" t="n">
        <v>-1348.57</v>
      </c>
      <c r="J88" s="60" t="n">
        <v>-1649.42</v>
      </c>
      <c r="K88" s="60" t="n">
        <v>-2893.63</v>
      </c>
      <c r="L88" s="60" t="n">
        <v>-1597.74</v>
      </c>
      <c r="M88" s="60" t="n">
        <v>-1561.17</v>
      </c>
      <c r="N88" s="8" t="n"/>
      <c r="O88" s="60">
        <f>-SUMIF('HAB TB'!$T:$T,'HAB P&amp;L'!$A88,'HAB TB'!C:C)</f>
        <v/>
      </c>
      <c r="P88" s="60">
        <f>-SUMIF('HAB TB'!$T:$T,'HAB P&amp;L'!$A88,'HAB TB'!D:D)</f>
        <v/>
      </c>
      <c r="Q88" s="60">
        <f>-SUMIF('HAB TB'!$T:$T,'HAB P&amp;L'!$A88,'HAB TB'!E:E)</f>
        <v/>
      </c>
      <c r="R88" s="60">
        <f>-SUMIF('HAB TB'!$T:$T,'HAB P&amp;L'!$A88,'HAB TB'!F:F)</f>
        <v/>
      </c>
      <c r="S88" s="60">
        <f>-SUMIF('HAB TB'!$T:$T,'HAB P&amp;L'!$A88,'HAB TB'!G:G)</f>
        <v/>
      </c>
      <c r="T88" s="60">
        <f>-SUMIF('HAB TB'!$T:$T,'HAB P&amp;L'!$A88,'HAB TB'!H:H)</f>
        <v/>
      </c>
      <c r="U88" s="60">
        <f>-SUMIF('HAB TB'!$T:$T,'HAB P&amp;L'!$A88,'HAB TB'!I:I)</f>
        <v/>
      </c>
      <c r="V88" s="60">
        <f>-SUMIF('HAB TB'!$T:$T,'HAB P&amp;L'!$A88,'HAB TB'!J:J)</f>
        <v/>
      </c>
      <c r="W88" s="60">
        <f>-SUMIF('HAB TB'!$T:$T,'HAB P&amp;L'!$A88,'HAB TB'!K:K)</f>
        <v/>
      </c>
      <c r="X88" s="60">
        <f>-SUMIF('HAB TB'!$T:$T,'HAB P&amp;L'!$A88,'HAB TB'!L:L)</f>
        <v/>
      </c>
      <c r="Y88" s="60">
        <f>-SUMIF('HAB TB'!$T:$T,'HAB P&amp;L'!$A88,'HAB TB'!M:M)</f>
        <v/>
      </c>
      <c r="Z88" s="60">
        <f>-SUMIF('HAB TB'!$T:$T,'HAB P&amp;L'!$A88,'HAB TB'!N:N)</f>
        <v/>
      </c>
      <c r="AA88" s="60">
        <f>SUM(O88:T88)</f>
        <v/>
      </c>
      <c r="AB88" s="8" t="n"/>
      <c r="AC88" s="8" t="n"/>
      <c r="AD88" s="8" t="n"/>
      <c r="AE88" s="8" t="n"/>
      <c r="AF88" s="8" t="n"/>
      <c r="AG88" s="8" t="n"/>
      <c r="AH88" s="8" t="n"/>
      <c r="AI88" s="134" t="n">
        <v>0</v>
      </c>
      <c r="AJ88" s="134" t="n">
        <v>0</v>
      </c>
      <c r="AK88" s="134" t="n">
        <v>0</v>
      </c>
      <c r="AL88" s="134" t="n">
        <v>0</v>
      </c>
      <c r="AM88" s="134" t="n">
        <v>0</v>
      </c>
      <c r="AN88" s="134" t="n">
        <v>0</v>
      </c>
      <c r="AO88" s="145">
        <f>SUM(AC88:AH88)+SUM(AI88:AN88)</f>
        <v/>
      </c>
      <c r="AP88" s="142">
        <f>IF(AB88&lt;&gt;0,(AO88-AB88)/ABS(AB88),0)</f>
        <v/>
      </c>
    </row>
    <row r="89">
      <c r="A89" s="60" t="inlineStr">
        <is>
          <t>Direct - Premises &amp; Admin</t>
        </is>
      </c>
      <c r="B89" s="60" t="n">
        <v>-5179.05</v>
      </c>
      <c r="C89" s="60" t="n">
        <v>-6465.360000000001</v>
      </c>
      <c r="D89" s="60" t="n">
        <v>-5635.89</v>
      </c>
      <c r="E89" s="60" t="n">
        <v>-6069.85</v>
      </c>
      <c r="F89" s="60" t="n">
        <v>-5888.38</v>
      </c>
      <c r="G89" s="60" t="n">
        <v>-5785.790000000001</v>
      </c>
      <c r="H89" s="60" t="n">
        <v>-5447.849999999999</v>
      </c>
      <c r="I89" s="60" t="n">
        <v>-5311.48</v>
      </c>
      <c r="J89" s="60" t="n">
        <v>-6571.339999999998</v>
      </c>
      <c r="K89" s="60" t="n">
        <v>-5300.97</v>
      </c>
      <c r="L89" s="60" t="n">
        <v>-5073.289999999999</v>
      </c>
      <c r="M89" s="60" t="n">
        <v>-5209.6</v>
      </c>
      <c r="N89" s="8" t="n"/>
      <c r="O89" s="60">
        <f>-SUMIF('HAB TB'!$T:$T,'HAB P&amp;L'!$A89,'HAB TB'!C:C)</f>
        <v/>
      </c>
      <c r="P89" s="60">
        <f>-SUMIF('HAB TB'!$T:$T,'HAB P&amp;L'!$A89,'HAB TB'!D:D)</f>
        <v/>
      </c>
      <c r="Q89" s="60">
        <f>-SUMIF('HAB TB'!$T:$T,'HAB P&amp;L'!$A89,'HAB TB'!E:E)</f>
        <v/>
      </c>
      <c r="R89" s="60">
        <f>-SUMIF('HAB TB'!$T:$T,'HAB P&amp;L'!$A89,'HAB TB'!F:F)</f>
        <v/>
      </c>
      <c r="S89" s="60">
        <f>-SUMIF('HAB TB'!$T:$T,'HAB P&amp;L'!$A89,'HAB TB'!G:G)</f>
        <v/>
      </c>
      <c r="T89" s="60">
        <f>-SUMIF('HAB TB'!$T:$T,'HAB P&amp;L'!$A89,'HAB TB'!H:H)</f>
        <v/>
      </c>
      <c r="U89" s="60">
        <f>-SUMIF('HAB TB'!$T:$T,'HAB P&amp;L'!$A89,'HAB TB'!I:I)</f>
        <v/>
      </c>
      <c r="V89" s="60">
        <f>-SUMIF('HAB TB'!$T:$T,'HAB P&amp;L'!$A89,'HAB TB'!J:J)</f>
        <v/>
      </c>
      <c r="W89" s="60">
        <f>-SUMIF('HAB TB'!$T:$T,'HAB P&amp;L'!$A89,'HAB TB'!K:K)</f>
        <v/>
      </c>
      <c r="X89" s="60">
        <f>-SUMIF('HAB TB'!$T:$T,'HAB P&amp;L'!$A89,'HAB TB'!L:L)</f>
        <v/>
      </c>
      <c r="Y89" s="60">
        <f>-SUMIF('HAB TB'!$T:$T,'HAB P&amp;L'!$A89,'HAB TB'!M:M)</f>
        <v/>
      </c>
      <c r="Z89" s="60">
        <f>-SUMIF('HAB TB'!$T:$T,'HAB P&amp;L'!$A89,'HAB TB'!N:N)</f>
        <v/>
      </c>
      <c r="AA89" s="60">
        <f>SUM(O89:T89)</f>
        <v/>
      </c>
      <c r="AB89" s="8" t="n"/>
      <c r="AC89" s="8" t="n"/>
      <c r="AD89" s="8" t="n"/>
      <c r="AE89" s="8" t="n"/>
      <c r="AF89" s="8" t="n"/>
      <c r="AG89" s="8" t="n"/>
      <c r="AH89" s="8" t="n"/>
      <c r="AI89" s="134" t="n">
        <v>0</v>
      </c>
      <c r="AJ89" s="134" t="n">
        <v>0</v>
      </c>
      <c r="AK89" s="134" t="n">
        <v>0</v>
      </c>
      <c r="AL89" s="134" t="n">
        <v>0</v>
      </c>
      <c r="AM89" s="134" t="n">
        <v>0</v>
      </c>
      <c r="AN89" s="134" t="n">
        <v>0</v>
      </c>
      <c r="AO89" s="145">
        <f>SUM(AC89:AH89)+SUM(AI89:AN89)</f>
        <v/>
      </c>
      <c r="AP89" s="142">
        <f>IF(AB89&lt;&gt;0,(AO89-AB89)/ABS(AB89),0)</f>
        <v/>
      </c>
    </row>
    <row r="90">
      <c r="A90" s="60" t="inlineStr">
        <is>
          <t>In-Direct - Staff Cost</t>
        </is>
      </c>
      <c r="B90" s="60" t="n">
        <v>0</v>
      </c>
      <c r="C90" s="60" t="n">
        <v>0</v>
      </c>
      <c r="D90" s="60" t="n">
        <v>0</v>
      </c>
      <c r="E90" s="60" t="n">
        <v>0</v>
      </c>
      <c r="F90" s="60" t="n">
        <v>0</v>
      </c>
      <c r="G90" s="60" t="n">
        <v>0</v>
      </c>
      <c r="H90" s="60" t="n">
        <v>0</v>
      </c>
      <c r="I90" s="60" t="n">
        <v>0</v>
      </c>
      <c r="J90" s="60" t="n">
        <v>0</v>
      </c>
      <c r="K90" s="60" t="n">
        <v>0</v>
      </c>
      <c r="L90" s="60" t="n">
        <v>0</v>
      </c>
      <c r="M90" s="60" t="n">
        <v>0</v>
      </c>
      <c r="N90" s="8" t="n"/>
      <c r="O90" s="60">
        <f>-SUMIF('HAB TB'!$T:$T,'HAB P&amp;L'!$A90,'HAB TB'!C:C)</f>
        <v/>
      </c>
      <c r="P90" s="60">
        <f>-SUMIF('HAB TB'!$T:$T,'HAB P&amp;L'!$A90,'HAB TB'!D:D)</f>
        <v/>
      </c>
      <c r="Q90" s="60">
        <f>-SUMIF('HAB TB'!$T:$T,'HAB P&amp;L'!$A90,'HAB TB'!E:E)</f>
        <v/>
      </c>
      <c r="R90" s="60">
        <f>-SUMIF('HAB TB'!$T:$T,'HAB P&amp;L'!$A90,'HAB TB'!F:F)</f>
        <v/>
      </c>
      <c r="S90" s="60">
        <f>-SUMIF('HAB TB'!$T:$T,'HAB P&amp;L'!$A90,'HAB TB'!G:G)</f>
        <v/>
      </c>
      <c r="T90" s="60">
        <f>-SUMIF('HAB TB'!$T:$T,'HAB P&amp;L'!$A90,'HAB TB'!H:H)</f>
        <v/>
      </c>
      <c r="U90" s="60">
        <f>-SUMIF('HAB TB'!$T:$T,'HAB P&amp;L'!$A90,'HAB TB'!I:I)</f>
        <v/>
      </c>
      <c r="V90" s="60">
        <f>-SUMIF('HAB TB'!$T:$T,'HAB P&amp;L'!$A90,'HAB TB'!J:J)</f>
        <v/>
      </c>
      <c r="W90" s="60">
        <f>-SUMIF('HAB TB'!$T:$T,'HAB P&amp;L'!$A90,'HAB TB'!K:K)</f>
        <v/>
      </c>
      <c r="X90" s="60">
        <f>-SUMIF('HAB TB'!$T:$T,'HAB P&amp;L'!$A90,'HAB TB'!L:L)</f>
        <v/>
      </c>
      <c r="Y90" s="60">
        <f>-SUMIF('HAB TB'!$T:$T,'HAB P&amp;L'!$A90,'HAB TB'!M:M)</f>
        <v/>
      </c>
      <c r="Z90" s="60">
        <f>-SUMIF('HAB TB'!$T:$T,'HAB P&amp;L'!$A90,'HAB TB'!N:N)</f>
        <v/>
      </c>
      <c r="AA90" s="60">
        <f>SUM(O90:T90)</f>
        <v/>
      </c>
      <c r="AB90" s="8" t="n"/>
      <c r="AC90" s="8" t="n"/>
      <c r="AD90" s="8" t="n"/>
      <c r="AE90" s="8" t="n"/>
      <c r="AF90" s="8" t="n"/>
      <c r="AG90" s="8" t="n"/>
      <c r="AH90" s="8" t="n"/>
      <c r="AI90" s="134" t="n">
        <v>0</v>
      </c>
      <c r="AJ90" s="134" t="n">
        <v>0</v>
      </c>
      <c r="AK90" s="134" t="n">
        <v>0</v>
      </c>
      <c r="AL90" s="134" t="n">
        <v>0</v>
      </c>
      <c r="AM90" s="134" t="n">
        <v>0</v>
      </c>
      <c r="AN90" s="134" t="n">
        <v>0</v>
      </c>
      <c r="AO90" s="145">
        <f>SUM(AC90:AH90)+SUM(AI90:AN90)</f>
        <v/>
      </c>
      <c r="AP90" s="142">
        <f>IF(AB90&lt;&gt;0,(AO90-AB90)/ABS(AB90),0)</f>
        <v/>
      </c>
    </row>
    <row r="91">
      <c r="A91" s="60" t="inlineStr">
        <is>
          <t>In-Direct - Overheads</t>
        </is>
      </c>
      <c r="B91" s="60" t="n">
        <v>-211.08</v>
      </c>
      <c r="C91" s="60" t="n">
        <v>-211.08</v>
      </c>
      <c r="D91" s="60" t="n">
        <v>-271.08</v>
      </c>
      <c r="E91" s="60" t="n">
        <v>-1624.6</v>
      </c>
      <c r="F91" s="60" t="n">
        <v>-381.05</v>
      </c>
      <c r="G91" s="60" t="n">
        <v>-587.23</v>
      </c>
      <c r="H91" s="60" t="n">
        <v>-738.97</v>
      </c>
      <c r="I91" s="60" t="n">
        <v>-934.4200000000001</v>
      </c>
      <c r="J91" s="60" t="n">
        <v>-284.23</v>
      </c>
      <c r="K91" s="60" t="n">
        <v>-777.4599999999999</v>
      </c>
      <c r="L91" s="60" t="n">
        <v>-383.66</v>
      </c>
      <c r="M91" s="60" t="n">
        <v>-1136.93</v>
      </c>
      <c r="N91" s="8" t="n"/>
      <c r="O91" s="60">
        <f>-SUMIF('HAB TB'!$T:$T,'HAB P&amp;L'!$A91,'HAB TB'!C:C)</f>
        <v/>
      </c>
      <c r="P91" s="60">
        <f>-SUMIF('HAB TB'!$T:$T,'HAB P&amp;L'!$A91,'HAB TB'!D:D)</f>
        <v/>
      </c>
      <c r="Q91" s="60">
        <f>-SUMIF('HAB TB'!$T:$T,'HAB P&amp;L'!$A91,'HAB TB'!E:E)</f>
        <v/>
      </c>
      <c r="R91" s="60">
        <f>-SUMIF('HAB TB'!$T:$T,'HAB P&amp;L'!$A91,'HAB TB'!F:F)</f>
        <v/>
      </c>
      <c r="S91" s="60">
        <f>-SUMIF('HAB TB'!$T:$T,'HAB P&amp;L'!$A91,'HAB TB'!G:G)</f>
        <v/>
      </c>
      <c r="T91" s="60">
        <f>-SUMIF('HAB TB'!$T:$T,'HAB P&amp;L'!$A91,'HAB TB'!H:H)</f>
        <v/>
      </c>
      <c r="U91" s="60">
        <f>-SUMIF('HAB TB'!$T:$T,'HAB P&amp;L'!$A91,'HAB TB'!I:I)</f>
        <v/>
      </c>
      <c r="V91" s="60">
        <f>-SUMIF('HAB TB'!$T:$T,'HAB P&amp;L'!$A91,'HAB TB'!J:J)</f>
        <v/>
      </c>
      <c r="W91" s="60">
        <f>-SUMIF('HAB TB'!$T:$T,'HAB P&amp;L'!$A91,'HAB TB'!K:K)</f>
        <v/>
      </c>
      <c r="X91" s="60">
        <f>-SUMIF('HAB TB'!$T:$T,'HAB P&amp;L'!$A91,'HAB TB'!L:L)</f>
        <v/>
      </c>
      <c r="Y91" s="60">
        <f>-SUMIF('HAB TB'!$T:$T,'HAB P&amp;L'!$A91,'HAB TB'!M:M)</f>
        <v/>
      </c>
      <c r="Z91" s="60">
        <f>-SUMIF('HAB TB'!$T:$T,'HAB P&amp;L'!$A91,'HAB TB'!N:N)</f>
        <v/>
      </c>
      <c r="AA91" s="60">
        <f>SUM(O91:T91)</f>
        <v/>
      </c>
      <c r="AB91" s="8" t="n"/>
      <c r="AC91" s="8" t="n"/>
      <c r="AD91" s="8" t="n"/>
      <c r="AE91" s="8" t="n"/>
      <c r="AF91" s="8" t="n"/>
      <c r="AG91" s="8" t="n"/>
      <c r="AH91" s="8" t="n"/>
      <c r="AI91" s="134" t="n">
        <v>0</v>
      </c>
      <c r="AJ91" s="134" t="n">
        <v>0</v>
      </c>
      <c r="AK91" s="134" t="n">
        <v>0</v>
      </c>
      <c r="AL91" s="134" t="n">
        <v>0</v>
      </c>
      <c r="AM91" s="134" t="n">
        <v>0</v>
      </c>
      <c r="AN91" s="134" t="n">
        <v>0</v>
      </c>
      <c r="AO91" s="145">
        <f>SUM(AC91:AH91)+SUM(AI91:AN91)</f>
        <v/>
      </c>
      <c r="AP91" s="142">
        <f>IF(AB91&lt;&gt;0,(AO91-AB91)/ABS(AB91),0)</f>
        <v/>
      </c>
    </row>
    <row r="92" ht="15.75" customHeight="1">
      <c r="A92" s="8" t="n"/>
      <c r="B92" s="64" t="n">
        <v>4491.070000000004</v>
      </c>
      <c r="C92" s="64" t="n">
        <v>9619.170000000002</v>
      </c>
      <c r="D92" s="64" t="n">
        <v>14388.98</v>
      </c>
      <c r="E92" s="64" t="n">
        <v>7780.539999999992</v>
      </c>
      <c r="F92" s="64" t="n">
        <v>2982.449999999993</v>
      </c>
      <c r="G92" s="64" t="n">
        <v>25149.21999999999</v>
      </c>
      <c r="H92" s="64" t="n">
        <v>35375.45</v>
      </c>
      <c r="I92" s="64" t="n">
        <v>13148.68</v>
      </c>
      <c r="J92" s="64" t="n">
        <v>4547.910000000011</v>
      </c>
      <c r="K92" s="64" t="n">
        <v>14005.52</v>
      </c>
      <c r="L92" s="64" t="n">
        <v>12832.86</v>
      </c>
      <c r="M92" s="64" t="n">
        <v>-7907.700000000001</v>
      </c>
      <c r="N92" s="8" t="n"/>
      <c r="O92" s="64">
        <f>SUM(O86:O91)</f>
        <v/>
      </c>
      <c r="P92" s="64">
        <f>SUM(P86:P91)</f>
        <v/>
      </c>
      <c r="Q92" s="64">
        <f>SUM(Q86:Q91)</f>
        <v/>
      </c>
      <c r="R92" s="64">
        <f>SUM(R86:R91)</f>
        <v/>
      </c>
      <c r="S92" s="64">
        <f>SUM(S86:S91)</f>
        <v/>
      </c>
      <c r="T92" s="64">
        <f>SUM(T86:T91)</f>
        <v/>
      </c>
      <c r="U92" s="64">
        <f>SUM(U86:U91)</f>
        <v/>
      </c>
      <c r="V92" s="64">
        <f>SUM(V86:V91)</f>
        <v/>
      </c>
      <c r="W92" s="64">
        <f>SUM(W86:W91)</f>
        <v/>
      </c>
      <c r="X92" s="64">
        <f>SUM(X86:X91)</f>
        <v/>
      </c>
      <c r="Y92" s="64">
        <f>SUM(Y86:Y91)</f>
        <v/>
      </c>
      <c r="Z92" s="64">
        <f>SUM(Z86:Z91)</f>
        <v/>
      </c>
      <c r="AA92" s="60">
        <f>SUM(O92:T92)</f>
        <v/>
      </c>
      <c r="AB92" s="8" t="n"/>
      <c r="AC92" s="64" t="n"/>
      <c r="AD92" s="64" t="n"/>
      <c r="AE92" s="64" t="n"/>
      <c r="AF92" s="64" t="n"/>
      <c r="AG92" s="64" t="n"/>
      <c r="AH92" s="64" t="n"/>
      <c r="AI92" s="134" t="n">
        <v>0</v>
      </c>
      <c r="AJ92" s="134" t="n">
        <v>0</v>
      </c>
      <c r="AK92" s="134" t="n">
        <v>0</v>
      </c>
      <c r="AL92" s="134" t="n">
        <v>0</v>
      </c>
      <c r="AM92" s="134" t="n">
        <v>0</v>
      </c>
      <c r="AN92" s="134" t="n">
        <v>0</v>
      </c>
      <c r="AO92" s="145">
        <f>SUM(AC92:AH92)+SUM(AI92:AN92)</f>
        <v/>
      </c>
      <c r="AP92" s="142">
        <f>IF(AB92&lt;&gt;0,(AO92-AB92)/ABS(AB92),0)</f>
        <v/>
      </c>
    </row>
    <row r="93" ht="15.75" customHeight="1">
      <c r="A93" s="8" t="n"/>
      <c r="B93" s="60" t="n">
        <v>0</v>
      </c>
      <c r="C93" s="60" t="n">
        <v>0</v>
      </c>
      <c r="D93" s="60" t="n">
        <v>0</v>
      </c>
      <c r="E93" s="60" t="n">
        <v>0</v>
      </c>
      <c r="F93" s="60" t="n">
        <v>0</v>
      </c>
      <c r="G93" s="60" t="n">
        <v>0</v>
      </c>
      <c r="H93" s="60" t="n">
        <v>0</v>
      </c>
      <c r="I93" s="60" t="n">
        <v>0</v>
      </c>
      <c r="J93" s="60" t="n">
        <v>0</v>
      </c>
      <c r="K93" s="60" t="n">
        <v>0</v>
      </c>
      <c r="L93" s="60" t="n">
        <v>0</v>
      </c>
      <c r="M93" s="60" t="n">
        <v>32626.95</v>
      </c>
      <c r="N93" s="8" t="n"/>
      <c r="O93" s="60">
        <f>+O70-O92</f>
        <v/>
      </c>
      <c r="P93" s="60">
        <f>+P70-P92</f>
        <v/>
      </c>
      <c r="Q93" s="60">
        <f>+Q70-Q92</f>
        <v/>
      </c>
      <c r="R93" s="60">
        <f>+R70-R92</f>
        <v/>
      </c>
      <c r="S93" s="60">
        <f>+S70-S92</f>
        <v/>
      </c>
      <c r="T93" s="60">
        <f>+T70-T92</f>
        <v/>
      </c>
      <c r="U93" s="60">
        <f>+U70-U92</f>
        <v/>
      </c>
      <c r="V93" s="60">
        <f>+V70-V92</f>
        <v/>
      </c>
      <c r="W93" s="60">
        <f>+W70-W92</f>
        <v/>
      </c>
      <c r="X93" s="60">
        <f>+X70-X92</f>
        <v/>
      </c>
      <c r="Y93" s="60">
        <f>+Y70-Y92</f>
        <v/>
      </c>
      <c r="Z93" s="60">
        <f>+Z70-Z92</f>
        <v/>
      </c>
      <c r="AA93" s="60">
        <f>SUM(O93:T93)</f>
        <v/>
      </c>
      <c r="AB93" s="8" t="n"/>
      <c r="AC93" s="8" t="n"/>
      <c r="AD93" s="8" t="n"/>
      <c r="AE93" s="8" t="n"/>
      <c r="AF93" s="8" t="n"/>
      <c r="AG93" s="8" t="n"/>
      <c r="AH93" s="8" t="n"/>
      <c r="AI93" s="134" t="n">
        <v>0</v>
      </c>
      <c r="AJ93" s="134" t="n">
        <v>0</v>
      </c>
      <c r="AK93" s="134" t="n">
        <v>0</v>
      </c>
      <c r="AL93" s="134" t="n">
        <v>0</v>
      </c>
      <c r="AM93" s="134" t="n">
        <v>0</v>
      </c>
      <c r="AN93" s="134" t="n">
        <v>0</v>
      </c>
      <c r="AO93" s="145">
        <f>SUM(AC93:AH93)+SUM(AI93:AN93)</f>
        <v/>
      </c>
      <c r="AP93" s="142">
        <f>IF(AB93&lt;&gt;0,(AO93-AB93)/ABS(AB93),0)</f>
        <v/>
      </c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60" t="n">
        <v>0</v>
      </c>
      <c r="C95" s="60" t="n">
        <v>0</v>
      </c>
      <c r="D95" s="60" t="n">
        <v>0</v>
      </c>
      <c r="E95" s="60" t="n">
        <v>0</v>
      </c>
      <c r="F95" s="60" t="n">
        <v>-8.640199666842818e-12</v>
      </c>
      <c r="G95" s="60" t="n">
        <v>0</v>
      </c>
      <c r="H95" s="60" t="n">
        <v>0</v>
      </c>
      <c r="I95" s="60" t="n">
        <v>0</v>
      </c>
      <c r="J95" s="60" t="n">
        <v>0</v>
      </c>
      <c r="K95" s="60" t="n">
        <v>0</v>
      </c>
      <c r="L95" s="60" t="n">
        <v>0</v>
      </c>
      <c r="M95" s="60" t="n">
        <v>-32626.94999999999</v>
      </c>
      <c r="N95" s="8" t="n"/>
      <c r="O95" s="60">
        <f>O92+O96</f>
        <v/>
      </c>
      <c r="P95" s="60">
        <f>P92+P96</f>
        <v/>
      </c>
      <c r="Q95" s="60">
        <f>Q92+Q96</f>
        <v/>
      </c>
      <c r="R95" s="60">
        <f>R92+R96</f>
        <v/>
      </c>
      <c r="S95" s="60">
        <f>S92+S96</f>
        <v/>
      </c>
      <c r="T95" s="60">
        <f>T92+T96</f>
        <v/>
      </c>
      <c r="U95" s="60">
        <f>U92+U96</f>
        <v/>
      </c>
      <c r="V95" s="60">
        <f>V92+V96</f>
        <v/>
      </c>
      <c r="W95" s="60">
        <f>W92+W96</f>
        <v/>
      </c>
      <c r="X95" s="60">
        <f>X92+X96</f>
        <v/>
      </c>
      <c r="Y95" s="60">
        <f>Y92+Y96</f>
        <v/>
      </c>
      <c r="Z95" s="60">
        <f>Z92+Z96</f>
        <v/>
      </c>
      <c r="AA95" s="8" t="n"/>
      <c r="AB95" s="8" t="n"/>
      <c r="AC95" s="8" t="n"/>
      <c r="AD95" s="8" t="n"/>
      <c r="AE95" s="8" t="n"/>
      <c r="AF95" s="8" t="n"/>
      <c r="AG95" s="8" t="n"/>
      <c r="AH95" s="8" t="n"/>
      <c r="AI95" s="134" t="n">
        <v>0</v>
      </c>
      <c r="AJ95" s="134" t="n">
        <v>0</v>
      </c>
      <c r="AK95" s="134" t="n">
        <v>0</v>
      </c>
      <c r="AL95" s="134" t="n">
        <v>0</v>
      </c>
      <c r="AM95" s="134" t="n">
        <v>0</v>
      </c>
      <c r="AN95" s="134" t="n">
        <v>0</v>
      </c>
      <c r="AO95" s="145">
        <f>SUM(AC95:AH95)+SUM(AI95:AN95)</f>
        <v/>
      </c>
      <c r="AP95" s="142">
        <f>IF(AB95&lt;&gt;0,(AO95-AB95)/ABS(AB95),0)</f>
        <v/>
      </c>
    </row>
    <row r="96">
      <c r="A96" s="8" t="n"/>
      <c r="B96" s="60" t="n">
        <v>-4491.070000000002</v>
      </c>
      <c r="C96" s="60" t="n">
        <v>-9619.170000000006</v>
      </c>
      <c r="D96" s="60" t="n">
        <v>-14388.98</v>
      </c>
      <c r="E96" s="60" t="n">
        <v>-7780.539999999989</v>
      </c>
      <c r="F96" s="60" t="n">
        <v>-2982.450000000002</v>
      </c>
      <c r="G96" s="60" t="n">
        <v>-25149.21999999999</v>
      </c>
      <c r="H96" s="60" t="n">
        <v>-35375.45</v>
      </c>
      <c r="I96" s="60" t="n">
        <v>-13148.68</v>
      </c>
      <c r="J96" s="60" t="n">
        <v>-4547.910000000006</v>
      </c>
      <c r="K96" s="60" t="n">
        <v>-14005.52</v>
      </c>
      <c r="L96" s="60" t="n">
        <v>-12832.86</v>
      </c>
      <c r="M96" s="60" t="n">
        <v>-24719.24999999999</v>
      </c>
      <c r="N96" s="8" t="n"/>
      <c r="O96" s="60">
        <f>SUM('HAB TB'!C2:C46)</f>
        <v/>
      </c>
      <c r="P96" s="60">
        <f>SUM('HAB TB'!D2:D46)</f>
        <v/>
      </c>
      <c r="Q96" s="60">
        <f>SUM('HAB TB'!E2:E46)</f>
        <v/>
      </c>
      <c r="R96" s="60">
        <f>SUM('HAB TB'!F2:F46)</f>
        <v/>
      </c>
      <c r="S96" s="60">
        <f>SUM('HAB TB'!G2:G46)</f>
        <v/>
      </c>
      <c r="T96" s="60">
        <f>SUM('HAB TB'!H2:H46)</f>
        <v/>
      </c>
      <c r="U96" s="60">
        <f>SUM('HAB TB'!I2:I46)</f>
        <v/>
      </c>
      <c r="V96" s="60">
        <f>SUM('HAB TB'!J2:J46)</f>
        <v/>
      </c>
      <c r="W96" s="60">
        <f>SUM('HAB TB'!K2:K46)</f>
        <v/>
      </c>
      <c r="X96" s="60">
        <f>SUM('HAB TB'!L2:L46)</f>
        <v/>
      </c>
      <c r="Y96" s="60">
        <f>SUM('HAB TB'!M2:M46)</f>
        <v/>
      </c>
      <c r="Z96" s="60">
        <f>SUM('HAB TB'!N2:N46)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134" t="n">
        <v>0</v>
      </c>
      <c r="AJ96" s="134" t="n">
        <v>0</v>
      </c>
      <c r="AK96" s="134" t="n">
        <v>0</v>
      </c>
      <c r="AL96" s="134" t="n">
        <v>0</v>
      </c>
      <c r="AM96" s="134" t="n">
        <v>0</v>
      </c>
      <c r="AN96" s="134" t="n">
        <v>0</v>
      </c>
      <c r="AO96" s="145">
        <f>SUM(AC96:AH96)+SUM(AI96:AN96)</f>
        <v/>
      </c>
      <c r="AP96" s="142">
        <f>IF(AB96&lt;&gt;0,(AO96-AB96)/ABS(AB96),0)</f>
        <v/>
      </c>
    </row>
  </sheetData>
  <mergeCells count="1">
    <mergeCell ref="AI1:AQ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Hazebrouck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44526.36</v>
      </c>
      <c r="C8" s="35" t="n">
        <v>42668.15</v>
      </c>
      <c r="D8" s="35" t="n">
        <v>49356.27</v>
      </c>
      <c r="E8" s="35" t="n">
        <v>55745.42</v>
      </c>
      <c r="F8" s="35" t="n">
        <v>50381.74</v>
      </c>
      <c r="G8" s="35" t="n">
        <v>50496.26</v>
      </c>
      <c r="H8" s="35" t="n">
        <v>61970.37</v>
      </c>
      <c r="I8" s="35" t="n">
        <v>50217.38</v>
      </c>
      <c r="J8" s="35" t="n">
        <v>36754.18</v>
      </c>
      <c r="K8" s="35" t="n">
        <v>35941.95</v>
      </c>
      <c r="L8" s="35" t="n">
        <v>31455.98</v>
      </c>
      <c r="M8" s="35" t="n">
        <v>43997.17</v>
      </c>
      <c r="N8" s="36">
        <f>SUM(B8:M8)</f>
        <v/>
      </c>
      <c r="O8" s="37">
        <f>-SUMIF('HB TB'!$R:$R,'HB P&amp;L'!$A8,'HB TB'!C:C)</f>
        <v/>
      </c>
      <c r="P8" s="37">
        <f>-SUMIF('HB TB'!$R:$R,'HB P&amp;L'!$A8,'HB TB'!D:D)</f>
        <v/>
      </c>
      <c r="Q8" s="37">
        <f>-SUMIF('HB TB'!$R:$R,'HB P&amp;L'!$A8,'HB TB'!E:E)</f>
        <v/>
      </c>
      <c r="R8" s="37">
        <f>-SUMIF('HB TB'!$R:$R,'HB P&amp;L'!$A8,'HB TB'!F:F)</f>
        <v/>
      </c>
      <c r="S8" s="37">
        <f>-SUMIF('HB TB'!$R:$R,'HB P&amp;L'!$A8,'HB TB'!G:G)</f>
        <v/>
      </c>
      <c r="T8" s="37">
        <f>-SUMIF('HB TB'!$R:$R,'HB P&amp;L'!$A8,'HB TB'!H:H)</f>
        <v/>
      </c>
      <c r="U8" s="37">
        <f>-SUMIF('HB TB'!$R:$R,'HB P&amp;L'!$A8,'HB TB'!I:I)</f>
        <v/>
      </c>
      <c r="V8" s="38" t="n">
        <v>38209</v>
      </c>
      <c r="W8" s="38" t="n">
        <v>28974</v>
      </c>
      <c r="X8" s="38" t="n">
        <v>31722</v>
      </c>
      <c r="Y8" s="38" t="n">
        <v>31557</v>
      </c>
      <c r="Z8" s="38" t="n">
        <v>38081</v>
      </c>
      <c r="AA8" s="36">
        <f>SUM(O8:U8)</f>
        <v/>
      </c>
      <c r="AB8" s="36">
        <f>SUM(O8:Z8)</f>
        <v/>
      </c>
      <c r="AC8" s="38" t="n">
        <v>59616.39</v>
      </c>
      <c r="AD8" s="38" t="n">
        <v>56865.4</v>
      </c>
      <c r="AE8" s="38" t="n">
        <v>68454.33</v>
      </c>
      <c r="AF8" s="38" t="n">
        <v>58114.53</v>
      </c>
      <c r="AG8" s="38" t="n">
        <v>45217.21</v>
      </c>
      <c r="AH8" s="38" t="n">
        <v>47158.84</v>
      </c>
      <c r="AI8" s="118" t="n">
        <v>47158.84</v>
      </c>
      <c r="AJ8" s="119" t="n">
        <v>47158.84</v>
      </c>
      <c r="AK8" s="119" t="n">
        <v>47158.84</v>
      </c>
      <c r="AL8" s="119" t="n">
        <v>47158.84</v>
      </c>
      <c r="AM8" s="120" t="n">
        <v>47158.84</v>
      </c>
      <c r="AN8" s="118" t="n">
        <v>47158.84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16877.61</v>
      </c>
      <c r="C9" s="35" t="n">
        <v>16877.61</v>
      </c>
      <c r="D9" s="35" t="n">
        <v>17395.39</v>
      </c>
      <c r="E9" s="35" t="n">
        <v>12211.58</v>
      </c>
      <c r="F9" s="35" t="n">
        <v>12211.58</v>
      </c>
      <c r="G9" s="35" t="n">
        <v>12211.58</v>
      </c>
      <c r="H9" s="35" t="n">
        <v>35264.02</v>
      </c>
      <c r="I9" s="35" t="n">
        <v>0</v>
      </c>
      <c r="J9" s="35" t="n">
        <v>14082.29</v>
      </c>
      <c r="K9" s="35" t="n">
        <v>14082.29</v>
      </c>
      <c r="L9" s="35" t="n">
        <v>33950.17</v>
      </c>
      <c r="M9" s="35" t="n">
        <v>34388.31</v>
      </c>
      <c r="N9" s="36">
        <f>SUM(B9:M9)</f>
        <v/>
      </c>
      <c r="O9" s="37">
        <f>-SUMIF('HB TB'!$R:$R,'HB P&amp;L'!$A9,'HB TB'!C:C)</f>
        <v/>
      </c>
      <c r="P9" s="37">
        <f>-SUMIF('HB TB'!$R:$R,'HB P&amp;L'!$A9,'HB TB'!D:D)</f>
        <v/>
      </c>
      <c r="Q9" s="37">
        <f>-SUMIF('HB TB'!$R:$R,'HB P&amp;L'!$A9,'HB TB'!E:E)</f>
        <v/>
      </c>
      <c r="R9" s="37">
        <f>-SUMIF('HB TB'!$R:$R,'HB P&amp;L'!$A9,'HB TB'!F:F)</f>
        <v/>
      </c>
      <c r="S9" s="37">
        <f>-SUMIF('HB TB'!$R:$R,'HB P&amp;L'!$A9,'HB TB'!G:G)</f>
        <v/>
      </c>
      <c r="T9" s="37">
        <f>-SUMIF('HB TB'!$R:$R,'HB P&amp;L'!$A9,'HB TB'!H:H)</f>
        <v/>
      </c>
      <c r="U9" s="37">
        <f>-SUMIF('HB TB'!$R:$R,'HB P&amp;L'!$A9,'HB TB'!I:I)</f>
        <v/>
      </c>
      <c r="V9" s="38" t="n"/>
      <c r="W9" s="38" t="n">
        <v>22105.08</v>
      </c>
      <c r="X9" s="38" t="n">
        <v>27987</v>
      </c>
      <c r="Y9" s="38" t="n">
        <v>27276</v>
      </c>
      <c r="Z9" s="38" t="n">
        <v>11777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8" t="n">
        <v>0</v>
      </c>
      <c r="AJ9" s="119" t="n">
        <v>0</v>
      </c>
      <c r="AK9" s="119" t="n">
        <v>0</v>
      </c>
      <c r="AL9" s="119" t="n">
        <v>0</v>
      </c>
      <c r="AM9" s="120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100</v>
      </c>
      <c r="C10" s="35" t="n">
        <v>100</v>
      </c>
      <c r="D10" s="35" t="n">
        <v>150</v>
      </c>
      <c r="E10" s="35" t="n">
        <v>150</v>
      </c>
      <c r="F10" s="35" t="n">
        <v>150</v>
      </c>
      <c r="G10" s="35" t="n">
        <v>150</v>
      </c>
      <c r="H10" s="35" t="n">
        <v>150</v>
      </c>
      <c r="I10" s="35" t="n">
        <v>3333.04</v>
      </c>
      <c r="J10" s="35" t="n">
        <v>150</v>
      </c>
      <c r="K10" s="35" t="n">
        <v>150</v>
      </c>
      <c r="L10" s="35" t="n">
        <v>150</v>
      </c>
      <c r="M10" s="35" t="n">
        <v>150</v>
      </c>
      <c r="N10" s="36">
        <f>SUM(B10:M10)</f>
        <v/>
      </c>
      <c r="O10" s="37">
        <f>-SUMIF('HB TB'!$R:$R,'HB P&amp;L'!$A10,'HB TB'!C:C)</f>
        <v/>
      </c>
      <c r="P10" s="37">
        <f>-SUMIF('HB TB'!$R:$R,'HB P&amp;L'!$A10,'HB TB'!D:D)</f>
        <v/>
      </c>
      <c r="Q10" s="37">
        <f>-SUMIF('HB TB'!$R:$R,'HB P&amp;L'!$A10,'HB TB'!E:E)</f>
        <v/>
      </c>
      <c r="R10" s="37">
        <f>-SUMIF('HB TB'!$R:$R,'HB P&amp;L'!$A10,'HB TB'!F:F)</f>
        <v/>
      </c>
      <c r="S10" s="37">
        <f>-SUMIF('HB TB'!$R:$R,'HB P&amp;L'!$A10,'HB TB'!G:G)</f>
        <v/>
      </c>
      <c r="T10" s="37">
        <f>-SUMIF('HB TB'!$R:$R,'HB P&amp;L'!$A10,'HB TB'!H:H)</f>
        <v/>
      </c>
      <c r="U10" s="37">
        <f>-SUMIF('HB TB'!$R:$R,'HB P&amp;L'!$A10,'HB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8" t="n">
        <v>0</v>
      </c>
      <c r="AJ10" s="119" t="n">
        <v>0</v>
      </c>
      <c r="AK10" s="119" t="n">
        <v>0</v>
      </c>
      <c r="AL10" s="119" t="n">
        <v>0</v>
      </c>
      <c r="AM10" s="120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61503.97</v>
      </c>
      <c r="C11" s="42" t="n">
        <v>59645.76</v>
      </c>
      <c r="D11" s="42" t="n">
        <v>66901.66</v>
      </c>
      <c r="E11" s="42" t="n">
        <v>68107</v>
      </c>
      <c r="F11" s="42" t="n">
        <v>62743.32</v>
      </c>
      <c r="G11" s="42" t="n">
        <v>62857.84</v>
      </c>
      <c r="H11" s="42" t="n">
        <v>97384.39</v>
      </c>
      <c r="I11" s="42" t="n">
        <v>53550.42</v>
      </c>
      <c r="J11" s="42" t="n">
        <v>50986.47</v>
      </c>
      <c r="K11" s="42" t="n">
        <v>50174.24</v>
      </c>
      <c r="L11" s="42" t="n">
        <v>65556.14999999999</v>
      </c>
      <c r="M11" s="42" t="n">
        <v>78535.48000000001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3">
        <f>SUM(AI8:AI10)</f>
        <v/>
      </c>
      <c r="AJ11" s="124">
        <f>SUM(AJ8:AJ10)</f>
        <v/>
      </c>
      <c r="AK11" s="124">
        <f>SUM(AK8:AK10)</f>
        <v/>
      </c>
      <c r="AL11" s="124">
        <f>SUM(AL8:AL10)</f>
        <v/>
      </c>
      <c r="AM11" s="124">
        <f>SUM(AM8:AM10)</f>
        <v/>
      </c>
      <c r="AN11" s="123">
        <f>SUM(AN8:AN10)</f>
        <v/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7" t="n">
        <v>0</v>
      </c>
      <c r="AJ12" s="128" t="n">
        <v>0</v>
      </c>
      <c r="AK12" s="128" t="n">
        <v>0</v>
      </c>
      <c r="AL12" s="128" t="n">
        <v>0</v>
      </c>
      <c r="AM12" s="129" t="n">
        <v>0</v>
      </c>
      <c r="AN12" s="127" t="n">
        <v>0</v>
      </c>
      <c r="AO12" s="121">
        <f>SUM(AC12:AH12)+SUM(AI12:AN12)</f>
        <v/>
      </c>
      <c r="AP12" s="122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 t="n">
        <v>0</v>
      </c>
      <c r="AJ13" s="131" t="n">
        <v>0</v>
      </c>
      <c r="AK13" s="131" t="n">
        <v>0</v>
      </c>
      <c r="AL13" s="131" t="n">
        <v>0</v>
      </c>
      <c r="AM13" s="132" t="n">
        <v>0</v>
      </c>
      <c r="AN13" s="130" t="n">
        <v>0</v>
      </c>
      <c r="AO13" s="133">
        <f>SUM(AC13:AH13)+SUM(AI13:AN13)</f>
        <v/>
      </c>
      <c r="AP13" s="122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24899.66</v>
      </c>
      <c r="C16" s="35" t="n">
        <v>26577.82</v>
      </c>
      <c r="D16" s="35" t="n">
        <v>26925.91</v>
      </c>
      <c r="E16" s="35" t="n">
        <v>29092.65</v>
      </c>
      <c r="F16" s="35" t="n">
        <v>30703.98</v>
      </c>
      <c r="G16" s="35" t="n">
        <v>32699.41</v>
      </c>
      <c r="H16" s="35" t="n">
        <v>32041.49</v>
      </c>
      <c r="I16" s="35" t="n">
        <v>30033.99</v>
      </c>
      <c r="J16" s="35" t="n">
        <v>30047.01</v>
      </c>
      <c r="K16" s="35" t="n">
        <v>23930.87</v>
      </c>
      <c r="L16" s="35" t="n">
        <v>23821.02</v>
      </c>
      <c r="M16" s="35" t="n">
        <v>27265.52</v>
      </c>
      <c r="N16" s="36">
        <f>SUM(B16:M16)</f>
        <v/>
      </c>
      <c r="O16" s="37">
        <f>SUMIF('HB TB'!$R:$R,'HB P&amp;L'!$A16,'HB TB'!C:C)</f>
        <v/>
      </c>
      <c r="P16" s="37">
        <f>SUMIF('HB TB'!$R:$R,'HB P&amp;L'!$A16,'HB TB'!D:D)</f>
        <v/>
      </c>
      <c r="Q16" s="37">
        <f>SUMIF('HB TB'!$R:$R,'HB P&amp;L'!$A16,'HB TB'!E:E)</f>
        <v/>
      </c>
      <c r="R16" s="37">
        <f>SUMIF('HB TB'!$R:$R,'HB P&amp;L'!$A16,'HB TB'!F:F)</f>
        <v/>
      </c>
      <c r="S16" s="37">
        <f>SUMIF('HB TB'!$R:$R,'HB P&amp;L'!$A16,'HB TB'!G:G)</f>
        <v/>
      </c>
      <c r="T16" s="37">
        <f>SUMIF('HB TB'!$R:$R,'HB P&amp;L'!$A16,'HB TB'!H:H)</f>
        <v/>
      </c>
      <c r="U16" s="37">
        <f>SUMIF('HB TB'!$R:$R,'HB P&amp;L'!$A16,'HB TB'!I:I)</f>
        <v/>
      </c>
      <c r="V16" s="38" t="n">
        <v>25386.13</v>
      </c>
      <c r="W16" s="38" t="n">
        <v>25386.13</v>
      </c>
      <c r="X16" s="38" t="n">
        <v>25386.13</v>
      </c>
      <c r="Y16" s="38" t="n">
        <v>25386.13</v>
      </c>
      <c r="Z16" s="38" t="n">
        <v>25386.13</v>
      </c>
      <c r="AA16" s="36">
        <f>SUM(O16:U16)</f>
        <v/>
      </c>
      <c r="AB16" s="36">
        <f>SUM(O16:Z16)</f>
        <v/>
      </c>
      <c r="AC16" s="38" t="n">
        <v>25386.13</v>
      </c>
      <c r="AD16" s="38" t="n">
        <v>25386.13</v>
      </c>
      <c r="AE16" s="38" t="n">
        <v>25386.13</v>
      </c>
      <c r="AF16" s="38" t="n">
        <v>25386.13</v>
      </c>
      <c r="AG16" s="38" t="n">
        <v>25386.13</v>
      </c>
      <c r="AH16" s="38" t="n">
        <v>25386.13</v>
      </c>
      <c r="AI16" s="118" t="n">
        <v>25386.13</v>
      </c>
      <c r="AJ16" s="119" t="n">
        <v>25386.13</v>
      </c>
      <c r="AK16" s="119" t="n">
        <v>25386.13</v>
      </c>
      <c r="AL16" s="119" t="n">
        <v>25386.13</v>
      </c>
      <c r="AM16" s="120" t="n">
        <v>25386.13</v>
      </c>
      <c r="AN16" s="118" t="n">
        <v>25386.13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2002.62</v>
      </c>
      <c r="C17" s="35" t="n">
        <v>2207.05</v>
      </c>
      <c r="D17" s="35" t="n">
        <v>2189.18</v>
      </c>
      <c r="E17" s="35" t="n">
        <v>3403.25</v>
      </c>
      <c r="F17" s="35" t="n">
        <v>3660.67</v>
      </c>
      <c r="G17" s="35" t="n">
        <v>3726.55</v>
      </c>
      <c r="H17" s="35" t="n">
        <v>3675.17</v>
      </c>
      <c r="I17" s="35" t="n">
        <v>3450.1</v>
      </c>
      <c r="J17" s="35" t="n">
        <v>3516.17</v>
      </c>
      <c r="K17" s="35" t="n">
        <v>2723.85</v>
      </c>
      <c r="L17" s="35" t="n">
        <v>2722.83</v>
      </c>
      <c r="M17" s="35" t="n">
        <v>2951.52</v>
      </c>
      <c r="N17" s="36">
        <f>SUM(B17:M17)</f>
        <v/>
      </c>
      <c r="O17" s="37">
        <f>SUMIF('HB TB'!$R:$R,'HB P&amp;L'!$A17,'HB TB'!C:C)</f>
        <v/>
      </c>
      <c r="P17" s="37">
        <f>SUMIF('HB TB'!$R:$R,'HB P&amp;L'!$A17,'HB TB'!D:D)</f>
        <v/>
      </c>
      <c r="Q17" s="37">
        <f>SUMIF('HB TB'!$R:$R,'HB P&amp;L'!$A17,'HB TB'!E:E)</f>
        <v/>
      </c>
      <c r="R17" s="37">
        <f>SUMIF('HB TB'!$R:$R,'HB P&amp;L'!$A17,'HB TB'!F:F)</f>
        <v/>
      </c>
      <c r="S17" s="37">
        <f>SUMIF('HB TB'!$R:$R,'HB P&amp;L'!$A17,'HB TB'!G:G)</f>
        <v/>
      </c>
      <c r="T17" s="37">
        <f>SUMIF('HB TB'!$R:$R,'HB P&amp;L'!$A17,'HB TB'!H:H)</f>
        <v/>
      </c>
      <c r="U17" s="37">
        <f>SUMIF('HB TB'!$R:$R,'HB P&amp;L'!$A17,'HB TB'!I:I)</f>
        <v/>
      </c>
      <c r="V17" s="38" t="n">
        <v>2708.66</v>
      </c>
      <c r="W17" s="38" t="n">
        <v>2708.66</v>
      </c>
      <c r="X17" s="38" t="n">
        <v>2708.66</v>
      </c>
      <c r="Y17" s="38" t="n">
        <v>2708.66</v>
      </c>
      <c r="Z17" s="38" t="n">
        <v>2708.66</v>
      </c>
      <c r="AA17" s="36">
        <f>SUM(O17:U17)</f>
        <v/>
      </c>
      <c r="AB17" s="36">
        <f>SUM(O17:Z17)</f>
        <v/>
      </c>
      <c r="AC17" s="38" t="n">
        <v>2708.66</v>
      </c>
      <c r="AD17" s="38" t="n">
        <v>2708.66</v>
      </c>
      <c r="AE17" s="38" t="n">
        <v>2708.66</v>
      </c>
      <c r="AF17" s="38" t="n">
        <v>2708.66</v>
      </c>
      <c r="AG17" s="38" t="n">
        <v>2708.66</v>
      </c>
      <c r="AH17" s="38" t="n">
        <v>2708.66</v>
      </c>
      <c r="AI17" s="118" t="n">
        <v>2708.66</v>
      </c>
      <c r="AJ17" s="119" t="n">
        <v>2708.66</v>
      </c>
      <c r="AK17" s="119" t="n">
        <v>2708.66</v>
      </c>
      <c r="AL17" s="119" t="n">
        <v>2708.66</v>
      </c>
      <c r="AM17" s="120" t="n">
        <v>2708.66</v>
      </c>
      <c r="AN17" s="118" t="n">
        <v>2708.66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498.73</v>
      </c>
      <c r="C18" s="35" t="n">
        <v>506.68</v>
      </c>
      <c r="D18" s="35" t="n">
        <v>526.7</v>
      </c>
      <c r="E18" s="35" t="n">
        <v>643.53</v>
      </c>
      <c r="F18" s="35" t="n">
        <v>694.99</v>
      </c>
      <c r="G18" s="35" t="n">
        <v>708.16</v>
      </c>
      <c r="H18" s="35" t="n">
        <v>700.99</v>
      </c>
      <c r="I18" s="35" t="n">
        <v>652.88</v>
      </c>
      <c r="J18" s="35" t="n">
        <v>662.3</v>
      </c>
      <c r="K18" s="35" t="n">
        <v>516.9299999999999</v>
      </c>
      <c r="L18" s="35" t="n">
        <v>516.73</v>
      </c>
      <c r="M18" s="35" t="n">
        <v>527.27</v>
      </c>
      <c r="N18" s="36">
        <f>SUM(B18:M18)</f>
        <v/>
      </c>
      <c r="O18" s="37">
        <f>SUMIF('HB TB'!$R:$R,'HB P&amp;L'!$A18,'HB TB'!C:C)</f>
        <v/>
      </c>
      <c r="P18" s="37">
        <f>SUMIF('HB TB'!$R:$R,'HB P&amp;L'!$A18,'HB TB'!D:D)</f>
        <v/>
      </c>
      <c r="Q18" s="37">
        <f>SUMIF('HB TB'!$R:$R,'HB P&amp;L'!$A18,'HB TB'!E:E)</f>
        <v/>
      </c>
      <c r="R18" s="37">
        <f>SUMIF('HB TB'!$R:$R,'HB P&amp;L'!$A18,'HB TB'!F:F)</f>
        <v/>
      </c>
      <c r="S18" s="37">
        <f>SUMIF('HB TB'!$R:$R,'HB P&amp;L'!$A18,'HB TB'!G:G)</f>
        <v/>
      </c>
      <c r="T18" s="37">
        <f>SUMIF('HB TB'!$R:$R,'HB P&amp;L'!$A18,'HB TB'!H:H)</f>
        <v/>
      </c>
      <c r="U18" s="37">
        <f>SUMIF('HB TB'!$R:$R,'HB P&amp;L'!$A18,'HB TB'!I:I)</f>
        <v/>
      </c>
      <c r="V18" s="38" t="n">
        <v>513.88</v>
      </c>
      <c r="W18" s="38" t="n">
        <v>513.88</v>
      </c>
      <c r="X18" s="38" t="n">
        <v>513.88</v>
      </c>
      <c r="Y18" s="38" t="n">
        <v>513.88</v>
      </c>
      <c r="Z18" s="38" t="n">
        <v>513.88</v>
      </c>
      <c r="AA18" s="36">
        <f>SUM(O18:U18)</f>
        <v/>
      </c>
      <c r="AB18" s="36">
        <f>SUM(O18:Z18)</f>
        <v/>
      </c>
      <c r="AC18" s="38" t="n">
        <v>513.88</v>
      </c>
      <c r="AD18" s="38" t="n">
        <v>513.88</v>
      </c>
      <c r="AE18" s="38" t="n">
        <v>513.88</v>
      </c>
      <c r="AF18" s="38" t="n">
        <v>513.88</v>
      </c>
      <c r="AG18" s="38" t="n">
        <v>513.88</v>
      </c>
      <c r="AH18" s="38" t="n">
        <v>513.88</v>
      </c>
      <c r="AI18" s="118" t="n">
        <v>513.88</v>
      </c>
      <c r="AJ18" s="119" t="n">
        <v>513.88</v>
      </c>
      <c r="AK18" s="119" t="n">
        <v>513.88</v>
      </c>
      <c r="AL18" s="119" t="n">
        <v>513.88</v>
      </c>
      <c r="AM18" s="120" t="n">
        <v>513.88</v>
      </c>
      <c r="AN18" s="118" t="n">
        <v>513.88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70.56</v>
      </c>
      <c r="C19" s="35" t="n">
        <v>56.16</v>
      </c>
      <c r="D19" s="35" t="n">
        <v>171.23</v>
      </c>
      <c r="E19" s="35" t="n">
        <v>0</v>
      </c>
      <c r="F19" s="35" t="n">
        <v>119.96</v>
      </c>
      <c r="G19" s="35" t="n">
        <v>78.48</v>
      </c>
      <c r="H19" s="35" t="n">
        <v>0</v>
      </c>
      <c r="I19" s="35" t="n">
        <v>0</v>
      </c>
      <c r="J19" s="35" t="n">
        <v>0</v>
      </c>
      <c r="K19" s="35" t="n">
        <v>136.44</v>
      </c>
      <c r="L19" s="35" t="n">
        <v>0</v>
      </c>
      <c r="M19" s="35" t="n">
        <v>0</v>
      </c>
      <c r="N19" s="36">
        <f>SUM(B19:M19)</f>
        <v/>
      </c>
      <c r="O19" s="37">
        <f>SUMIF('HB TB'!$R:$R,'HB P&amp;L'!$A19,'HB TB'!C:C)</f>
        <v/>
      </c>
      <c r="P19" s="37">
        <f>SUMIF('HB TB'!$R:$R,'HB P&amp;L'!$A19,'HB TB'!D:D)</f>
        <v/>
      </c>
      <c r="Q19" s="37">
        <f>SUMIF('HB TB'!$R:$R,'HB P&amp;L'!$A19,'HB TB'!E:E)</f>
        <v/>
      </c>
      <c r="R19" s="37">
        <f>SUMIF('HB TB'!$R:$R,'HB P&amp;L'!$A19,'HB TB'!F:F)</f>
        <v/>
      </c>
      <c r="S19" s="37">
        <f>SUMIF('HB TB'!$R:$R,'HB P&amp;L'!$A19,'HB TB'!G:G)</f>
        <v/>
      </c>
      <c r="T19" s="37">
        <f>SUMIF('HB TB'!$R:$R,'HB P&amp;L'!$A19,'HB TB'!H:H)</f>
        <v/>
      </c>
      <c r="U19" s="37">
        <f>SUMIF('HB TB'!$R:$R,'HB P&amp;L'!$A19,'HB TB'!I:I)</f>
        <v/>
      </c>
      <c r="V19" s="38" t="n">
        <v>50</v>
      </c>
      <c r="W19" s="38" t="n">
        <v>50</v>
      </c>
      <c r="X19" s="38" t="n">
        <v>50</v>
      </c>
      <c r="Y19" s="38" t="n">
        <v>50</v>
      </c>
      <c r="Z19" s="38" t="n">
        <v>50</v>
      </c>
      <c r="AA19" s="36">
        <f>SUM(O19:U19)</f>
        <v/>
      </c>
      <c r="AB19" s="36">
        <f>SUM(O19:Z19)</f>
        <v/>
      </c>
      <c r="AC19" s="38" t="n">
        <v>50</v>
      </c>
      <c r="AD19" s="38" t="n">
        <v>50</v>
      </c>
      <c r="AE19" s="38" t="n">
        <v>50</v>
      </c>
      <c r="AF19" s="38" t="n">
        <v>50</v>
      </c>
      <c r="AG19" s="38" t="n">
        <v>50</v>
      </c>
      <c r="AH19" s="38" t="n">
        <v>50</v>
      </c>
      <c r="AI19" s="118" t="n">
        <v>50</v>
      </c>
      <c r="AJ19" s="119" t="n">
        <v>50</v>
      </c>
      <c r="AK19" s="119" t="n">
        <v>50</v>
      </c>
      <c r="AL19" s="119" t="n">
        <v>50</v>
      </c>
      <c r="AM19" s="120" t="n">
        <v>50</v>
      </c>
      <c r="AN19" s="118" t="n">
        <v>50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96</v>
      </c>
      <c r="C20" s="35" t="n">
        <v>0</v>
      </c>
      <c r="D20" s="35" t="n">
        <v>48</v>
      </c>
      <c r="E20" s="35" t="n">
        <v>156</v>
      </c>
      <c r="F20" s="35" t="n">
        <v>98.40000000000001</v>
      </c>
      <c r="G20" s="35" t="n">
        <v>0</v>
      </c>
      <c r="H20" s="35" t="n">
        <v>270</v>
      </c>
      <c r="I20" s="35" t="n">
        <v>0</v>
      </c>
      <c r="J20" s="35" t="n">
        <v>0</v>
      </c>
      <c r="K20" s="35" t="n">
        <v>193.2</v>
      </c>
      <c r="L20" s="35" t="n">
        <v>594</v>
      </c>
      <c r="M20" s="35" t="n">
        <v>37.2</v>
      </c>
      <c r="N20" s="36">
        <f>SUM(B20:M20)</f>
        <v/>
      </c>
      <c r="O20" s="37">
        <f>SUMIF('HB TB'!$R:$R,'HB P&amp;L'!$A20,'HB TB'!C:C)</f>
        <v/>
      </c>
      <c r="P20" s="37">
        <f>SUMIF('HB TB'!$R:$R,'HB P&amp;L'!$A20,'HB TB'!D:D)</f>
        <v/>
      </c>
      <c r="Q20" s="37">
        <f>SUMIF('HB TB'!$R:$R,'HB P&amp;L'!$A20,'HB TB'!E:E)</f>
        <v/>
      </c>
      <c r="R20" s="37">
        <f>SUMIF('HB TB'!$R:$R,'HB P&amp;L'!$A20,'HB TB'!F:F)</f>
        <v/>
      </c>
      <c r="S20" s="37">
        <f>SUMIF('HB TB'!$R:$R,'HB P&amp;L'!$A20,'HB TB'!G:G)</f>
        <v/>
      </c>
      <c r="T20" s="37">
        <f>SUMIF('HB TB'!$R:$R,'HB P&amp;L'!$A20,'HB TB'!H:H)</f>
        <v/>
      </c>
      <c r="U20" s="37">
        <f>SUMIF('HB TB'!$R:$R,'HB P&amp;L'!$A20,'HB TB'!I:I)</f>
        <v/>
      </c>
      <c r="V20" s="38" t="n">
        <v>0</v>
      </c>
      <c r="W20" s="38" t="n">
        <v>0</v>
      </c>
      <c r="X20" s="38" t="n">
        <v>0</v>
      </c>
      <c r="Y20" s="38" t="n">
        <v>0</v>
      </c>
      <c r="Z20" s="38" t="n">
        <v>0</v>
      </c>
      <c r="AA20" s="36">
        <f>SUM(O20:U20)</f>
        <v/>
      </c>
      <c r="AB20" s="36">
        <f>SUM(O20:Z20)</f>
        <v/>
      </c>
      <c r="AC20" s="38" t="n">
        <v>0</v>
      </c>
      <c r="AD20" s="38" t="n">
        <v>0</v>
      </c>
      <c r="AE20" s="38" t="n">
        <v>0</v>
      </c>
      <c r="AF20" s="38" t="n">
        <v>0</v>
      </c>
      <c r="AG20" s="38" t="n">
        <v>0</v>
      </c>
      <c r="AH20" s="38" t="n">
        <v>0</v>
      </c>
      <c r="AI20" s="118" t="n">
        <v>0</v>
      </c>
      <c r="AJ20" s="119" t="n">
        <v>0</v>
      </c>
      <c r="AK20" s="119" t="n">
        <v>0</v>
      </c>
      <c r="AL20" s="119" t="n">
        <v>0</v>
      </c>
      <c r="AM20" s="120" t="n">
        <v>0</v>
      </c>
      <c r="AN20" s="118" t="n">
        <v>0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133.75</v>
      </c>
      <c r="C21" s="35" t="n">
        <v>119.98</v>
      </c>
      <c r="D21" s="35" t="n">
        <v>168.98</v>
      </c>
      <c r="E21" s="35" t="n">
        <v>151.14</v>
      </c>
      <c r="F21" s="35" t="n">
        <v>162.64</v>
      </c>
      <c r="G21" s="35" t="n">
        <v>156.4</v>
      </c>
      <c r="H21" s="35" t="n">
        <v>78.23999999999999</v>
      </c>
      <c r="I21" s="35" t="n">
        <v>238.74</v>
      </c>
      <c r="J21" s="35" t="n">
        <v>0</v>
      </c>
      <c r="K21" s="35" t="n">
        <v>154.24</v>
      </c>
      <c r="L21" s="35" t="n">
        <v>73.00999999999999</v>
      </c>
      <c r="M21" s="35" t="n">
        <v>375.95</v>
      </c>
      <c r="N21" s="36">
        <f>SUM(B21:M21)</f>
        <v/>
      </c>
      <c r="O21" s="37">
        <f>SUMIF('HB TB'!$R:$R,'HB P&amp;L'!$A21,'HB TB'!C:C)</f>
        <v/>
      </c>
      <c r="P21" s="37">
        <f>SUMIF('HB TB'!$R:$R,'HB P&amp;L'!$A21,'HB TB'!D:D)</f>
        <v/>
      </c>
      <c r="Q21" s="37">
        <f>SUMIF('HB TB'!$R:$R,'HB P&amp;L'!$A21,'HB TB'!E:E)</f>
        <v/>
      </c>
      <c r="R21" s="37">
        <f>SUMIF('HB TB'!$R:$R,'HB P&amp;L'!$A21,'HB TB'!F:F)</f>
        <v/>
      </c>
      <c r="S21" s="37">
        <f>SUMIF('HB TB'!$R:$R,'HB P&amp;L'!$A21,'HB TB'!G:G)</f>
        <v/>
      </c>
      <c r="T21" s="37">
        <f>SUMIF('HB TB'!$R:$R,'HB P&amp;L'!$A21,'HB TB'!H:H)</f>
        <v/>
      </c>
      <c r="U21" s="37">
        <f>SUMIF('HB TB'!$R:$R,'HB P&amp;L'!$A21,'HB TB'!I:I)</f>
        <v/>
      </c>
      <c r="V21" s="38" t="n">
        <v>132.69</v>
      </c>
      <c r="W21" s="38" t="n">
        <v>132.69</v>
      </c>
      <c r="X21" s="38" t="n">
        <v>132.69</v>
      </c>
      <c r="Y21" s="38" t="n">
        <v>132.69</v>
      </c>
      <c r="Z21" s="38" t="n">
        <v>132.69</v>
      </c>
      <c r="AA21" s="36">
        <f>SUM(O21:U21)</f>
        <v/>
      </c>
      <c r="AB21" s="36">
        <f>SUM(O21:Z21)</f>
        <v/>
      </c>
      <c r="AC21" s="38" t="n">
        <v>132.69</v>
      </c>
      <c r="AD21" s="38" t="n">
        <v>132.69</v>
      </c>
      <c r="AE21" s="38" t="n">
        <v>132.69</v>
      </c>
      <c r="AF21" s="38" t="n">
        <v>132.69</v>
      </c>
      <c r="AG21" s="38" t="n">
        <v>132.69</v>
      </c>
      <c r="AH21" s="38" t="n">
        <v>132.69</v>
      </c>
      <c r="AI21" s="118" t="n">
        <v>132.69</v>
      </c>
      <c r="AJ21" s="119" t="n">
        <v>132.69</v>
      </c>
      <c r="AK21" s="119" t="n">
        <v>132.69</v>
      </c>
      <c r="AL21" s="119" t="n">
        <v>132.69</v>
      </c>
      <c r="AM21" s="120" t="n">
        <v>132.69</v>
      </c>
      <c r="AN21" s="118" t="n">
        <v>132.69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SUMIF('HB TB'!$R:$R,'HB P&amp;L'!$A22,'HB TB'!C:C)</f>
        <v/>
      </c>
      <c r="P22" s="37">
        <f>SUMIF('HB TB'!$R:$R,'HB P&amp;L'!$A22,'HB TB'!D:D)</f>
        <v/>
      </c>
      <c r="Q22" s="37">
        <f>SUMIF('HB TB'!$R:$R,'HB P&amp;L'!$A22,'HB TB'!E:E)</f>
        <v/>
      </c>
      <c r="R22" s="37">
        <f>SUMIF('HB TB'!$R:$R,'HB P&amp;L'!$A22,'HB TB'!F:F)</f>
        <v/>
      </c>
      <c r="S22" s="37">
        <f>SUMIF('HB TB'!$R:$R,'HB P&amp;L'!$A22,'HB TB'!G:G)</f>
        <v/>
      </c>
      <c r="T22" s="37">
        <f>SUMIF('HB TB'!$R:$R,'HB P&amp;L'!$A22,'HB TB'!H:H)</f>
        <v/>
      </c>
      <c r="U22" s="37">
        <f>SUMIF('HB TB'!$R:$R,'HB P&amp;L'!$A22,'HB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8" t="n">
        <v>0</v>
      </c>
      <c r="AJ22" s="119" t="n">
        <v>0</v>
      </c>
      <c r="AK22" s="119" t="n">
        <v>0</v>
      </c>
      <c r="AL22" s="119" t="n">
        <v>0</v>
      </c>
      <c r="AM22" s="120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30</v>
      </c>
      <c r="I23" s="35" t="n">
        <v>9.49</v>
      </c>
      <c r="J23" s="35" t="n">
        <v>21</v>
      </c>
      <c r="K23" s="35" t="n">
        <v>26.97</v>
      </c>
      <c r="L23" s="35" t="n">
        <v>0</v>
      </c>
      <c r="M23" s="35" t="n">
        <v>10.05</v>
      </c>
      <c r="N23" s="36">
        <f>SUM(B23:M23)</f>
        <v/>
      </c>
      <c r="O23" s="37">
        <f>SUMIF('HB TB'!$R:$R,'HB P&amp;L'!$A23,'HB TB'!C:C)</f>
        <v/>
      </c>
      <c r="P23" s="37">
        <f>SUMIF('HB TB'!$R:$R,'HB P&amp;L'!$A23,'HB TB'!D:D)</f>
        <v/>
      </c>
      <c r="Q23" s="37">
        <f>SUMIF('HB TB'!$R:$R,'HB P&amp;L'!$A23,'HB TB'!E:E)</f>
        <v/>
      </c>
      <c r="R23" s="37">
        <f>SUMIF('HB TB'!$R:$R,'HB P&amp;L'!$A23,'HB TB'!F:F)</f>
        <v/>
      </c>
      <c r="S23" s="37">
        <f>SUMIF('HB TB'!$R:$R,'HB P&amp;L'!$A23,'HB TB'!G:G)</f>
        <v/>
      </c>
      <c r="T23" s="37">
        <f>SUMIF('HB TB'!$R:$R,'HB P&amp;L'!$A23,'HB TB'!H:H)</f>
        <v/>
      </c>
      <c r="U23" s="37">
        <f>SUMIF('HB TB'!$R:$R,'HB P&amp;L'!$A23,'HB TB'!I:I)</f>
        <v/>
      </c>
      <c r="V23" s="38" t="n">
        <v>42</v>
      </c>
      <c r="W23" s="38" t="n">
        <v>42</v>
      </c>
      <c r="X23" s="38" t="n">
        <v>42</v>
      </c>
      <c r="Y23" s="38" t="n">
        <v>42</v>
      </c>
      <c r="Z23" s="38" t="n">
        <v>42</v>
      </c>
      <c r="AA23" s="36">
        <f>SUM(O23:U23)</f>
        <v/>
      </c>
      <c r="AB23" s="36">
        <f>SUM(O23:Z23)</f>
        <v/>
      </c>
      <c r="AC23" s="38" t="n">
        <v>42</v>
      </c>
      <c r="AD23" s="38" t="n">
        <v>42</v>
      </c>
      <c r="AE23" s="38" t="n">
        <v>42</v>
      </c>
      <c r="AF23" s="38" t="n">
        <v>42</v>
      </c>
      <c r="AG23" s="38" t="n">
        <v>42</v>
      </c>
      <c r="AH23" s="38" t="n">
        <v>42</v>
      </c>
      <c r="AI23" s="118" t="n">
        <v>42</v>
      </c>
      <c r="AJ23" s="119" t="n">
        <v>42</v>
      </c>
      <c r="AK23" s="119" t="n">
        <v>42</v>
      </c>
      <c r="AL23" s="119" t="n">
        <v>42</v>
      </c>
      <c r="AM23" s="120" t="n">
        <v>42</v>
      </c>
      <c r="AN23" s="118" t="n">
        <v>42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SUMIF('HB TB'!$R:$R,'HB P&amp;L'!$A24,'HB TB'!C:C)</f>
        <v/>
      </c>
      <c r="P24" s="37">
        <f>SUMIF('HB TB'!$R:$R,'HB P&amp;L'!$A24,'HB TB'!D:D)</f>
        <v/>
      </c>
      <c r="Q24" s="37">
        <f>SUMIF('HB TB'!$R:$R,'HB P&amp;L'!$A24,'HB TB'!E:E)</f>
        <v/>
      </c>
      <c r="R24" s="37">
        <f>SUMIF('HB TB'!$R:$R,'HB P&amp;L'!$A24,'HB TB'!F:F)</f>
        <v/>
      </c>
      <c r="S24" s="37">
        <f>SUMIF('HB TB'!$R:$R,'HB P&amp;L'!$A24,'HB TB'!G:G)</f>
        <v/>
      </c>
      <c r="T24" s="37">
        <f>SUMIF('HB TB'!$R:$R,'HB P&amp;L'!$A24,'HB TB'!H:H)</f>
        <v/>
      </c>
      <c r="U24" s="37">
        <f>SUMIF('HB TB'!$R:$R,'HB P&amp;L'!$A24,'HB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8" t="n">
        <v>0</v>
      </c>
      <c r="AJ24" s="119" t="n">
        <v>0</v>
      </c>
      <c r="AK24" s="119" t="n">
        <v>0</v>
      </c>
      <c r="AL24" s="119" t="n">
        <v>0</v>
      </c>
      <c r="AM24" s="120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27701.32</v>
      </c>
      <c r="C25" s="42" t="n">
        <v>29467.69</v>
      </c>
      <c r="D25" s="42" t="n">
        <v>30030</v>
      </c>
      <c r="E25" s="42" t="n">
        <v>33446.57</v>
      </c>
      <c r="F25" s="42" t="n">
        <v>35440.64</v>
      </c>
      <c r="G25" s="42" t="n">
        <v>37369.00000000001</v>
      </c>
      <c r="H25" s="42" t="n">
        <v>36795.89</v>
      </c>
      <c r="I25" s="42" t="n">
        <v>34385.2</v>
      </c>
      <c r="J25" s="42" t="n">
        <v>34246.48</v>
      </c>
      <c r="K25" s="42" t="n">
        <v>27682.5</v>
      </c>
      <c r="L25" s="42" t="n">
        <v>27727.59</v>
      </c>
      <c r="M25" s="42" t="n">
        <v>31167.51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3">
        <f>SUM(AI16:AI24)</f>
        <v/>
      </c>
      <c r="AJ25" s="124">
        <f>SUM(AJ16:AJ24)</f>
        <v/>
      </c>
      <c r="AK25" s="124">
        <f>SUM(AK16:AK24)</f>
        <v/>
      </c>
      <c r="AL25" s="124">
        <f>SUM(AL16:AL24)</f>
        <v/>
      </c>
      <c r="AM25" s="124">
        <f>SUM(AM16:AM24)</f>
        <v/>
      </c>
      <c r="AN25" s="123">
        <f>SUM(AN16:AN24)</f>
        <v/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7" t="n">
        <v>0</v>
      </c>
      <c r="AJ26" s="128" t="n">
        <v>0</v>
      </c>
      <c r="AK26" s="128" t="n">
        <v>0</v>
      </c>
      <c r="AL26" s="128" t="n">
        <v>0</v>
      </c>
      <c r="AM26" s="129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2744.18</v>
      </c>
      <c r="C27" s="35" t="n">
        <v>2024.31</v>
      </c>
      <c r="D27" s="35" t="n">
        <v>2049.67</v>
      </c>
      <c r="E27" s="35" t="n">
        <v>1664.58</v>
      </c>
      <c r="F27" s="35" t="n">
        <v>1769.58</v>
      </c>
      <c r="G27" s="35" t="n">
        <v>2265.91</v>
      </c>
      <c r="H27" s="35" t="n">
        <v>2338.29</v>
      </c>
      <c r="I27" s="35" t="n">
        <v>1692.46</v>
      </c>
      <c r="J27" s="35" t="n">
        <v>2080.16</v>
      </c>
      <c r="K27" s="35" t="n">
        <v>2053.82</v>
      </c>
      <c r="L27" s="35" t="n">
        <v>1983.01</v>
      </c>
      <c r="M27" s="35" t="n">
        <v>1442.92</v>
      </c>
      <c r="N27" s="36">
        <f>SUM(B27:M27)</f>
        <v/>
      </c>
      <c r="O27" s="37">
        <f>SUMIF('HB TB'!$R:$R,'HB P&amp;L'!$A27,'HB TB'!C:C)</f>
        <v/>
      </c>
      <c r="P27" s="37">
        <f>SUMIF('HB TB'!$R:$R,'HB P&amp;L'!$A27,'HB TB'!D:D)</f>
        <v/>
      </c>
      <c r="Q27" s="37">
        <f>SUMIF('HB TB'!$R:$R,'HB P&amp;L'!$A27,'HB TB'!E:E)</f>
        <v/>
      </c>
      <c r="R27" s="37">
        <f>SUMIF('HB TB'!$R:$R,'HB P&amp;L'!$A27,'HB TB'!F:F)</f>
        <v/>
      </c>
      <c r="S27" s="37">
        <f>SUMIF('HB TB'!$R:$R,'HB P&amp;L'!$A27,'HB TB'!G:G)</f>
        <v/>
      </c>
      <c r="T27" s="37">
        <f>SUMIF('HB TB'!$R:$R,'HB P&amp;L'!$A27,'HB TB'!H:H)</f>
        <v/>
      </c>
      <c r="U27" s="37">
        <f>SUMIF('HB TB'!$R:$R,'HB P&amp;L'!$A27,'HB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18" t="n">
        <v>0</v>
      </c>
      <c r="AJ27" s="119" t="n">
        <v>0</v>
      </c>
      <c r="AK27" s="119" t="n">
        <v>0</v>
      </c>
      <c r="AL27" s="119" t="n">
        <v>0</v>
      </c>
      <c r="AM27" s="120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345.51</v>
      </c>
      <c r="C28" s="35" t="n">
        <v>751.0200000000001</v>
      </c>
      <c r="D28" s="35" t="n">
        <v>178.36</v>
      </c>
      <c r="E28" s="35" t="n">
        <v>150.78</v>
      </c>
      <c r="F28" s="35" t="n">
        <v>488.33</v>
      </c>
      <c r="G28" s="35" t="n">
        <v>322.31</v>
      </c>
      <c r="H28" s="35" t="n">
        <v>82.25999999999999</v>
      </c>
      <c r="I28" s="35" t="n">
        <v>311.59</v>
      </c>
      <c r="J28" s="35" t="n">
        <v>65.91</v>
      </c>
      <c r="K28" s="35" t="n">
        <v>455.4800000000001</v>
      </c>
      <c r="L28" s="35" t="n">
        <v>445.5099999999999</v>
      </c>
      <c r="M28" s="35" t="n">
        <v>229.46</v>
      </c>
      <c r="N28" s="36">
        <f>SUM(B28:M28)</f>
        <v/>
      </c>
      <c r="O28" s="37">
        <f>SUMIF('HB TB'!$R:$R,'HB P&amp;L'!$A28,'HB TB'!C:C)</f>
        <v/>
      </c>
      <c r="P28" s="37">
        <f>SUMIF('HB TB'!$R:$R,'HB P&amp;L'!$A28,'HB TB'!D:D)</f>
        <v/>
      </c>
      <c r="Q28" s="37">
        <f>SUMIF('HB TB'!$R:$R,'HB P&amp;L'!$A28,'HB TB'!E:E)</f>
        <v/>
      </c>
      <c r="R28" s="37">
        <f>SUMIF('HB TB'!$R:$R,'HB P&amp;L'!$A28,'HB TB'!F:F)</f>
        <v/>
      </c>
      <c r="S28" s="37">
        <f>SUMIF('HB TB'!$R:$R,'HB P&amp;L'!$A28,'HB TB'!G:G)</f>
        <v/>
      </c>
      <c r="T28" s="37">
        <f>SUMIF('HB TB'!$R:$R,'HB P&amp;L'!$A28,'HB TB'!H:H)</f>
        <v/>
      </c>
      <c r="U28" s="37">
        <f>SUMIF('HB TB'!$R:$R,'HB P&amp;L'!$A28,'HB TB'!I:I)</f>
        <v/>
      </c>
      <c r="V28" s="38" t="n">
        <v>53</v>
      </c>
      <c r="W28" s="38" t="n">
        <v>53</v>
      </c>
      <c r="X28" s="38" t="n">
        <v>53</v>
      </c>
      <c r="Y28" s="38" t="n">
        <v>53</v>
      </c>
      <c r="Z28" s="38" t="n">
        <v>53</v>
      </c>
      <c r="AA28" s="36">
        <f>SUM(O28:U28)</f>
        <v/>
      </c>
      <c r="AB28" s="36">
        <f>SUM(O28:Z28)</f>
        <v/>
      </c>
      <c r="AC28" s="38" t="n">
        <v>53</v>
      </c>
      <c r="AD28" s="38" t="n">
        <v>53</v>
      </c>
      <c r="AE28" s="38" t="n">
        <v>53</v>
      </c>
      <c r="AF28" s="38" t="n">
        <v>53</v>
      </c>
      <c r="AG28" s="38" t="n">
        <v>53</v>
      </c>
      <c r="AH28" s="38" t="n">
        <v>53</v>
      </c>
      <c r="AI28" s="118" t="n">
        <v>53</v>
      </c>
      <c r="AJ28" s="119" t="n">
        <v>53</v>
      </c>
      <c r="AK28" s="119" t="n">
        <v>53</v>
      </c>
      <c r="AL28" s="119" t="n">
        <v>53</v>
      </c>
      <c r="AM28" s="120" t="n">
        <v>53</v>
      </c>
      <c r="AN28" s="118" t="n">
        <v>53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69.13</v>
      </c>
      <c r="C29" s="35" t="n">
        <v>84.98</v>
      </c>
      <c r="D29" s="35" t="n">
        <v>67.86</v>
      </c>
      <c r="E29" s="35" t="n">
        <v>123.59</v>
      </c>
      <c r="F29" s="35" t="n">
        <v>68.06999999999999</v>
      </c>
      <c r="G29" s="35" t="n">
        <v>30.29</v>
      </c>
      <c r="H29" s="35" t="n">
        <v>53.46</v>
      </c>
      <c r="I29" s="35" t="n">
        <v>187.21</v>
      </c>
      <c r="J29" s="35" t="n">
        <v>111.33</v>
      </c>
      <c r="K29" s="35" t="n">
        <v>121.13</v>
      </c>
      <c r="L29" s="35" t="n">
        <v>192.24</v>
      </c>
      <c r="M29" s="35" t="n">
        <v>74.47</v>
      </c>
      <c r="N29" s="36">
        <f>SUM(B29:M29)</f>
        <v/>
      </c>
      <c r="O29" s="37">
        <f>SUMIF('HB TB'!$R:$R,'HB P&amp;L'!$A29,'HB TB'!C:C)</f>
        <v/>
      </c>
      <c r="P29" s="37">
        <f>SUMIF('HB TB'!$R:$R,'HB P&amp;L'!$A29,'HB TB'!D:D)</f>
        <v/>
      </c>
      <c r="Q29" s="37">
        <f>SUMIF('HB TB'!$R:$R,'HB P&amp;L'!$A29,'HB TB'!E:E)</f>
        <v/>
      </c>
      <c r="R29" s="37">
        <f>SUMIF('HB TB'!$R:$R,'HB P&amp;L'!$A29,'HB TB'!F:F)</f>
        <v/>
      </c>
      <c r="S29" s="37">
        <f>SUMIF('HB TB'!$R:$R,'HB P&amp;L'!$A29,'HB TB'!G:G)</f>
        <v/>
      </c>
      <c r="T29" s="37">
        <f>SUMIF('HB TB'!$R:$R,'HB P&amp;L'!$A29,'HB TB'!H:H)</f>
        <v/>
      </c>
      <c r="U29" s="37">
        <f>SUMIF('HB TB'!$R:$R,'HB P&amp;L'!$A29,'HB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18" t="n">
        <v>0</v>
      </c>
      <c r="AJ29" s="119" t="n">
        <v>0</v>
      </c>
      <c r="AK29" s="119" t="n">
        <v>0</v>
      </c>
      <c r="AL29" s="119" t="n">
        <v>0</v>
      </c>
      <c r="AM29" s="120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65.61999999999999</v>
      </c>
      <c r="C30" s="35" t="n">
        <v>0</v>
      </c>
      <c r="D30" s="35" t="n">
        <v>34.48999999999999</v>
      </c>
      <c r="E30" s="35" t="n">
        <v>0</v>
      </c>
      <c r="F30" s="35" t="n">
        <v>10.98</v>
      </c>
      <c r="G30" s="35" t="n">
        <v>60.12</v>
      </c>
      <c r="H30" s="35" t="n">
        <v>75.83</v>
      </c>
      <c r="I30" s="35" t="n">
        <v>75.47</v>
      </c>
      <c r="J30" s="35" t="n">
        <v>37.5</v>
      </c>
      <c r="K30" s="35" t="n">
        <v>39.66</v>
      </c>
      <c r="L30" s="35" t="n">
        <v>17.99</v>
      </c>
      <c r="M30" s="35" t="n">
        <v>26.23</v>
      </c>
      <c r="N30" s="36">
        <f>SUM(B30:M30)</f>
        <v/>
      </c>
      <c r="O30" s="37">
        <f>SUMIF('HB TB'!$R:$R,'HB P&amp;L'!$A30,'HB TB'!C:C)</f>
        <v/>
      </c>
      <c r="P30" s="37">
        <f>SUMIF('HB TB'!$R:$R,'HB P&amp;L'!$A30,'HB TB'!D:D)</f>
        <v/>
      </c>
      <c r="Q30" s="37">
        <f>SUMIF('HB TB'!$R:$R,'HB P&amp;L'!$A30,'HB TB'!E:E)</f>
        <v/>
      </c>
      <c r="R30" s="37">
        <f>SUMIF('HB TB'!$R:$R,'HB P&amp;L'!$A30,'HB TB'!F:F)</f>
        <v/>
      </c>
      <c r="S30" s="37">
        <f>SUMIF('HB TB'!$R:$R,'HB P&amp;L'!$A30,'HB TB'!G:G)</f>
        <v/>
      </c>
      <c r="T30" s="37">
        <f>SUMIF('HB TB'!$R:$R,'HB P&amp;L'!$A30,'HB TB'!H:H)</f>
        <v/>
      </c>
      <c r="U30" s="37">
        <f>SUMIF('HB TB'!$R:$R,'HB P&amp;L'!$A30,'HB TB'!I:I)</f>
        <v/>
      </c>
      <c r="V30" s="38" t="n">
        <v>98</v>
      </c>
      <c r="W30" s="38" t="n">
        <v>98</v>
      </c>
      <c r="X30" s="38" t="n">
        <v>98</v>
      </c>
      <c r="Y30" s="38" t="n">
        <v>98</v>
      </c>
      <c r="Z30" s="38" t="n">
        <v>98</v>
      </c>
      <c r="AA30" s="36">
        <f>SUM(O30:U30)</f>
        <v/>
      </c>
      <c r="AB30" s="36">
        <f>SUM(O30:Z30)</f>
        <v/>
      </c>
      <c r="AC30" s="38" t="n">
        <v>98</v>
      </c>
      <c r="AD30" s="38" t="n">
        <v>98</v>
      </c>
      <c r="AE30" s="38" t="n">
        <v>98</v>
      </c>
      <c r="AF30" s="38" t="n">
        <v>98</v>
      </c>
      <c r="AG30" s="38" t="n">
        <v>98</v>
      </c>
      <c r="AH30" s="38" t="n">
        <v>98</v>
      </c>
      <c r="AI30" s="118" t="n">
        <v>98</v>
      </c>
      <c r="AJ30" s="119" t="n">
        <v>98</v>
      </c>
      <c r="AK30" s="119" t="n">
        <v>98</v>
      </c>
      <c r="AL30" s="119" t="n">
        <v>98</v>
      </c>
      <c r="AM30" s="120" t="n">
        <v>98</v>
      </c>
      <c r="AN30" s="118" t="n">
        <v>98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46.92999999999999</v>
      </c>
      <c r="C31" s="35" t="n">
        <v>379.43</v>
      </c>
      <c r="D31" s="35" t="n">
        <v>0</v>
      </c>
      <c r="E31" s="35" t="n">
        <v>296.79</v>
      </c>
      <c r="F31" s="35" t="n">
        <v>5.49</v>
      </c>
      <c r="G31" s="35" t="n">
        <v>42.48</v>
      </c>
      <c r="H31" s="35" t="n">
        <v>146.76</v>
      </c>
      <c r="I31" s="35" t="n">
        <v>139.82</v>
      </c>
      <c r="J31" s="35" t="n">
        <v>78.06999999999999</v>
      </c>
      <c r="K31" s="35" t="n">
        <v>255.55</v>
      </c>
      <c r="L31" s="35" t="n">
        <v>279.7</v>
      </c>
      <c r="M31" s="35" t="n">
        <v>94.52999999999999</v>
      </c>
      <c r="N31" s="36">
        <f>SUM(B31:M31)</f>
        <v/>
      </c>
      <c r="O31" s="37">
        <f>SUMIF('HB TB'!$R:$R,'HB P&amp;L'!$A31,'HB TB'!C:C)</f>
        <v/>
      </c>
      <c r="P31" s="37">
        <f>SUMIF('HB TB'!$R:$R,'HB P&amp;L'!$A31,'HB TB'!D:D)</f>
        <v/>
      </c>
      <c r="Q31" s="37">
        <f>SUMIF('HB TB'!$R:$R,'HB P&amp;L'!$A31,'HB TB'!E:E)</f>
        <v/>
      </c>
      <c r="R31" s="37">
        <f>SUMIF('HB TB'!$R:$R,'HB P&amp;L'!$A31,'HB TB'!F:F)</f>
        <v/>
      </c>
      <c r="S31" s="37">
        <f>SUMIF('HB TB'!$R:$R,'HB P&amp;L'!$A31,'HB TB'!G:G)</f>
        <v/>
      </c>
      <c r="T31" s="37">
        <f>SUMIF('HB TB'!$R:$R,'HB P&amp;L'!$A31,'HB TB'!H:H)</f>
        <v/>
      </c>
      <c r="U31" s="37">
        <f>SUMIF('HB TB'!$R:$R,'HB P&amp;L'!$A31,'HB TB'!I:I)</f>
        <v/>
      </c>
      <c r="V31" s="38" t="n">
        <v>53</v>
      </c>
      <c r="W31" s="38" t="n">
        <v>53</v>
      </c>
      <c r="X31" s="38" t="n">
        <v>53</v>
      </c>
      <c r="Y31" s="38" t="n">
        <v>53</v>
      </c>
      <c r="Z31" s="38" t="n">
        <v>53</v>
      </c>
      <c r="AA31" s="36">
        <f>SUM(O31:U31)</f>
        <v/>
      </c>
      <c r="AB31" s="36">
        <f>SUM(O31:Z31)</f>
        <v/>
      </c>
      <c r="AC31" s="38" t="n">
        <v>53</v>
      </c>
      <c r="AD31" s="38" t="n">
        <v>53</v>
      </c>
      <c r="AE31" s="38" t="n">
        <v>53</v>
      </c>
      <c r="AF31" s="38" t="n">
        <v>53</v>
      </c>
      <c r="AG31" s="38" t="n">
        <v>53</v>
      </c>
      <c r="AH31" s="38" t="n">
        <v>53</v>
      </c>
      <c r="AI31" s="118" t="n">
        <v>53</v>
      </c>
      <c r="AJ31" s="119" t="n">
        <v>53</v>
      </c>
      <c r="AK31" s="119" t="n">
        <v>53</v>
      </c>
      <c r="AL31" s="119" t="n">
        <v>53</v>
      </c>
      <c r="AM31" s="120" t="n">
        <v>53</v>
      </c>
      <c r="AN31" s="118" t="n">
        <v>53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177.16</v>
      </c>
      <c r="C32" s="35" t="n">
        <v>97.81999999999999</v>
      </c>
      <c r="D32" s="35" t="n">
        <v>168.92</v>
      </c>
      <c r="E32" s="35" t="n">
        <v>204.4</v>
      </c>
      <c r="F32" s="35" t="n">
        <v>266.11</v>
      </c>
      <c r="G32" s="35" t="n">
        <v>242.35</v>
      </c>
      <c r="H32" s="35" t="n">
        <v>117.49</v>
      </c>
      <c r="I32" s="35" t="n">
        <v>282.09</v>
      </c>
      <c r="J32" s="35" t="n">
        <v>150.05</v>
      </c>
      <c r="K32" s="35" t="n">
        <v>101.07</v>
      </c>
      <c r="L32" s="35" t="n">
        <v>140.87</v>
      </c>
      <c r="M32" s="35" t="n">
        <v>168.72</v>
      </c>
      <c r="N32" s="36">
        <f>SUM(B32:M32)</f>
        <v/>
      </c>
      <c r="O32" s="37">
        <f>SUMIF('HB TB'!$R:$R,'HB P&amp;L'!$A32,'HB TB'!C:C)</f>
        <v/>
      </c>
      <c r="P32" s="37">
        <f>SUMIF('HB TB'!$R:$R,'HB P&amp;L'!$A32,'HB TB'!D:D)</f>
        <v/>
      </c>
      <c r="Q32" s="37">
        <f>SUMIF('HB TB'!$R:$R,'HB P&amp;L'!$A32,'HB TB'!E:E)</f>
        <v/>
      </c>
      <c r="R32" s="37">
        <f>SUMIF('HB TB'!$R:$R,'HB P&amp;L'!$A32,'HB TB'!F:F)</f>
        <v/>
      </c>
      <c r="S32" s="37">
        <f>SUMIF('HB TB'!$R:$R,'HB P&amp;L'!$A32,'HB TB'!G:G)</f>
        <v/>
      </c>
      <c r="T32" s="37">
        <f>SUMIF('HB TB'!$R:$R,'HB P&amp;L'!$A32,'HB TB'!H:H)</f>
        <v/>
      </c>
      <c r="U32" s="37">
        <f>SUMIF('HB TB'!$R:$R,'HB P&amp;L'!$A32,'HB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18" t="n">
        <v>0</v>
      </c>
      <c r="AJ32" s="119" t="n">
        <v>0</v>
      </c>
      <c r="AK32" s="119" t="n">
        <v>0</v>
      </c>
      <c r="AL32" s="119" t="n">
        <v>0</v>
      </c>
      <c r="AM32" s="120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SUMIF('HB TB'!$R:$R,'HB P&amp;L'!$A33,'HB TB'!C:C)</f>
        <v/>
      </c>
      <c r="P33" s="37">
        <f>SUMIF('HB TB'!$R:$R,'HB P&amp;L'!$A33,'HB TB'!D:D)</f>
        <v/>
      </c>
      <c r="Q33" s="37">
        <f>SUMIF('HB TB'!$R:$R,'HB P&amp;L'!$A33,'HB TB'!E:E)</f>
        <v/>
      </c>
      <c r="R33" s="37">
        <f>SUMIF('HB TB'!$R:$R,'HB P&amp;L'!$A33,'HB TB'!F:F)</f>
        <v/>
      </c>
      <c r="S33" s="37">
        <f>SUMIF('HB TB'!$R:$R,'HB P&amp;L'!$A33,'HB TB'!G:G)</f>
        <v/>
      </c>
      <c r="T33" s="37">
        <f>SUMIF('HB TB'!$R:$R,'HB P&amp;L'!$A33,'HB TB'!H:H)</f>
        <v/>
      </c>
      <c r="U33" s="37">
        <f>SUMIF('HB TB'!$R:$R,'HB P&amp;L'!$A33,'HB TB'!I:I)</f>
        <v/>
      </c>
      <c r="V33" s="38" t="n">
        <v>0</v>
      </c>
      <c r="W33" s="38" t="n">
        <v>0</v>
      </c>
      <c r="X33" s="38" t="n">
        <v>0</v>
      </c>
      <c r="Y33" s="38" t="n">
        <v>0</v>
      </c>
      <c r="Z33" s="38" t="n">
        <v>0</v>
      </c>
      <c r="AA33" s="36">
        <f>SUM(O33:U33)</f>
        <v/>
      </c>
      <c r="AB33" s="36">
        <f>SUM(O33:Z33)</f>
        <v/>
      </c>
      <c r="AC33" s="38" t="n">
        <v>0</v>
      </c>
      <c r="AD33" s="38" t="n">
        <v>0</v>
      </c>
      <c r="AE33" s="38" t="n">
        <v>0</v>
      </c>
      <c r="AF33" s="38" t="n">
        <v>0</v>
      </c>
      <c r="AG33" s="38" t="n">
        <v>0</v>
      </c>
      <c r="AH33" s="38" t="n">
        <v>0</v>
      </c>
      <c r="AI33" s="118" t="n">
        <v>0</v>
      </c>
      <c r="AJ33" s="119" t="n">
        <v>0</v>
      </c>
      <c r="AK33" s="119" t="n">
        <v>0</v>
      </c>
      <c r="AL33" s="119" t="n">
        <v>0</v>
      </c>
      <c r="AM33" s="120" t="n">
        <v>0</v>
      </c>
      <c r="AN33" s="118" t="n">
        <v>0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3448.529999999999</v>
      </c>
      <c r="C34" s="42" t="n">
        <v>3337.56</v>
      </c>
      <c r="D34" s="42" t="n">
        <v>2499.3</v>
      </c>
      <c r="E34" s="42" t="n">
        <v>2440.14</v>
      </c>
      <c r="F34" s="42" t="n">
        <v>2608.56</v>
      </c>
      <c r="G34" s="42" t="n">
        <v>2963.46</v>
      </c>
      <c r="H34" s="42" t="n">
        <v>2814.09</v>
      </c>
      <c r="I34" s="42" t="n">
        <v>2688.64</v>
      </c>
      <c r="J34" s="42" t="n">
        <v>2523.02</v>
      </c>
      <c r="K34" s="42" t="n">
        <v>3026.71</v>
      </c>
      <c r="L34" s="42" t="n">
        <v>3059.32</v>
      </c>
      <c r="M34" s="42" t="n">
        <v>2036.33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3">
        <f>SUM(AI27:AI33)</f>
        <v/>
      </c>
      <c r="AJ34" s="124">
        <f>SUM(AJ27:AJ33)</f>
        <v/>
      </c>
      <c r="AK34" s="124">
        <f>SUM(AK27:AK33)</f>
        <v/>
      </c>
      <c r="AL34" s="124">
        <f>SUM(AL27:AL33)</f>
        <v/>
      </c>
      <c r="AM34" s="124">
        <f>SUM(AM27:AM33)</f>
        <v/>
      </c>
      <c r="AN34" s="123">
        <f>SUM(AN27:AN33)</f>
        <v/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7" t="n">
        <v>0</v>
      </c>
      <c r="AJ35" s="128" t="n">
        <v>0</v>
      </c>
      <c r="AK35" s="128" t="n">
        <v>0</v>
      </c>
      <c r="AL35" s="128" t="n">
        <v>0</v>
      </c>
      <c r="AM35" s="129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4645.83</v>
      </c>
      <c r="C36" s="35" t="n">
        <v>4645.83</v>
      </c>
      <c r="D36" s="35" t="n">
        <v>4645.83</v>
      </c>
      <c r="E36" s="35" t="n">
        <v>4645.83</v>
      </c>
      <c r="F36" s="35" t="n">
        <v>4645.83</v>
      </c>
      <c r="G36" s="35" t="n">
        <v>4645.83</v>
      </c>
      <c r="H36" s="35" t="n">
        <v>4645.84</v>
      </c>
      <c r="I36" s="35" t="n">
        <v>4645.83</v>
      </c>
      <c r="J36" s="35" t="n">
        <v>4645.84</v>
      </c>
      <c r="K36" s="35" t="n">
        <v>4645.83</v>
      </c>
      <c r="L36" s="35" t="n">
        <v>4645.83</v>
      </c>
      <c r="M36" s="35" t="n">
        <v>4645.83</v>
      </c>
      <c r="N36" s="36">
        <f>SUM(B36:M36)</f>
        <v/>
      </c>
      <c r="O36" s="37">
        <f>SUMIF('HB TB'!$R:$R,'HB P&amp;L'!$A36,'HB TB'!C:C)</f>
        <v/>
      </c>
      <c r="P36" s="37">
        <f>SUMIF('HB TB'!$R:$R,'HB P&amp;L'!$A36,'HB TB'!D:D)</f>
        <v/>
      </c>
      <c r="Q36" s="37">
        <f>SUMIF('HB TB'!$R:$R,'HB P&amp;L'!$A36,'HB TB'!E:E)</f>
        <v/>
      </c>
      <c r="R36" s="37">
        <f>SUMIF('HB TB'!$R:$R,'HB P&amp;L'!$A36,'HB TB'!F:F)</f>
        <v/>
      </c>
      <c r="S36" s="37">
        <f>SUMIF('HB TB'!$R:$R,'HB P&amp;L'!$A36,'HB TB'!G:G)</f>
        <v/>
      </c>
      <c r="T36" s="37">
        <f>SUMIF('HB TB'!$R:$R,'HB P&amp;L'!$A36,'HB TB'!H:H)</f>
        <v/>
      </c>
      <c r="U36" s="37">
        <f>SUMIF('HB TB'!$R:$R,'HB P&amp;L'!$A36,'HB TB'!I:I)</f>
        <v/>
      </c>
      <c r="V36" s="38" t="n">
        <v>4646</v>
      </c>
      <c r="W36" s="38" t="n">
        <v>4646</v>
      </c>
      <c r="X36" s="38" t="n">
        <v>4646</v>
      </c>
      <c r="Y36" s="38" t="n">
        <v>4646</v>
      </c>
      <c r="Z36" s="38" t="n">
        <v>4646</v>
      </c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8" t="n">
        <v>0</v>
      </c>
      <c r="AJ36" s="119" t="n">
        <v>0</v>
      </c>
      <c r="AK36" s="119" t="n">
        <v>0</v>
      </c>
      <c r="AL36" s="119" t="n">
        <v>0</v>
      </c>
      <c r="AM36" s="120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3844.75</v>
      </c>
      <c r="C37" s="35" t="n">
        <v>3844.75</v>
      </c>
      <c r="D37" s="35" t="n">
        <v>3844.75</v>
      </c>
      <c r="E37" s="35" t="n">
        <v>3908.13</v>
      </c>
      <c r="F37" s="35" t="n">
        <v>3908.13</v>
      </c>
      <c r="G37" s="35" t="n">
        <v>3908.13</v>
      </c>
      <c r="H37" s="35" t="n">
        <v>3908.13</v>
      </c>
      <c r="I37" s="35" t="n">
        <v>3908.13</v>
      </c>
      <c r="J37" s="35" t="n">
        <v>3908.13</v>
      </c>
      <c r="K37" s="35" t="n">
        <v>3908.13</v>
      </c>
      <c r="L37" s="35" t="n">
        <v>3908.13</v>
      </c>
      <c r="M37" s="35" t="n">
        <v>3908.13</v>
      </c>
      <c r="N37" s="36">
        <f>SUM(B37:M37)</f>
        <v/>
      </c>
      <c r="O37" s="37">
        <f>SUMIF('HB TB'!$R:$R,'HB P&amp;L'!$A37,'HB TB'!C:C)</f>
        <v/>
      </c>
      <c r="P37" s="37">
        <f>SUMIF('HB TB'!$R:$R,'HB P&amp;L'!$A37,'HB TB'!D:D)</f>
        <v/>
      </c>
      <c r="Q37" s="37">
        <f>SUMIF('HB TB'!$R:$R,'HB P&amp;L'!$A37,'HB TB'!E:E)</f>
        <v/>
      </c>
      <c r="R37" s="37">
        <f>SUMIF('HB TB'!$R:$R,'HB P&amp;L'!$A37,'HB TB'!F:F)</f>
        <v/>
      </c>
      <c r="S37" s="37">
        <f>SUMIF('HB TB'!$R:$R,'HB P&amp;L'!$A37,'HB TB'!G:G)</f>
        <v/>
      </c>
      <c r="T37" s="37">
        <f>SUMIF('HB TB'!$R:$R,'HB P&amp;L'!$A37,'HB TB'!H:H)</f>
        <v/>
      </c>
      <c r="U37" s="37">
        <f>SUMIF('HB TB'!$R:$R,'HB P&amp;L'!$A37,'HB TB'!I:I)</f>
        <v/>
      </c>
      <c r="V37" s="38" t="n">
        <v>3082.92</v>
      </c>
      <c r="W37" s="38" t="n">
        <v>3082.92</v>
      </c>
      <c r="X37" s="38" t="n">
        <v>3082.92</v>
      </c>
      <c r="Y37" s="38" t="n">
        <v>3082.92</v>
      </c>
      <c r="Z37" s="38" t="n">
        <v>3082.92</v>
      </c>
      <c r="AA37" s="36">
        <f>SUM(O37:U37)</f>
        <v/>
      </c>
      <c r="AB37" s="36">
        <f>SUM(O37:Z37)</f>
        <v/>
      </c>
      <c r="AC37" s="38" t="n">
        <v>3082.92</v>
      </c>
      <c r="AD37" s="38" t="n">
        <v>3082.92</v>
      </c>
      <c r="AE37" s="38" t="n">
        <v>3082.92</v>
      </c>
      <c r="AF37" s="38" t="n">
        <v>3082.92</v>
      </c>
      <c r="AG37" s="38" t="n">
        <v>3082.92</v>
      </c>
      <c r="AH37" s="38" t="n">
        <v>3082.92</v>
      </c>
      <c r="AI37" s="118" t="n">
        <v>3082.92</v>
      </c>
      <c r="AJ37" s="119" t="n">
        <v>3082.92</v>
      </c>
      <c r="AK37" s="119" t="n">
        <v>3082.92</v>
      </c>
      <c r="AL37" s="119" t="n">
        <v>3082.92</v>
      </c>
      <c r="AM37" s="120" t="n">
        <v>3082.92</v>
      </c>
      <c r="AN37" s="118" t="n">
        <v>3082.92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300</v>
      </c>
      <c r="C38" s="35" t="n">
        <v>300</v>
      </c>
      <c r="D38" s="35" t="n">
        <v>300</v>
      </c>
      <c r="E38" s="35" t="n">
        <v>300</v>
      </c>
      <c r="F38" s="35" t="n">
        <v>300</v>
      </c>
      <c r="G38" s="35" t="n">
        <v>300</v>
      </c>
      <c r="H38" s="35" t="n">
        <v>300</v>
      </c>
      <c r="I38" s="35" t="n">
        <v>300</v>
      </c>
      <c r="J38" s="35" t="n">
        <v>300</v>
      </c>
      <c r="K38" s="35" t="n">
        <v>300</v>
      </c>
      <c r="L38" s="35" t="n">
        <v>300</v>
      </c>
      <c r="M38" s="35" t="n">
        <v>300</v>
      </c>
      <c r="N38" s="36">
        <f>SUM(B38:M38)</f>
        <v/>
      </c>
      <c r="O38" s="37">
        <f>SUMIF('HB TB'!$R:$R,'HB P&amp;L'!$A38,'HB TB'!C:C)</f>
        <v/>
      </c>
      <c r="P38" s="37">
        <f>SUMIF('HB TB'!$R:$R,'HB P&amp;L'!$A38,'HB TB'!D:D)</f>
        <v/>
      </c>
      <c r="Q38" s="37">
        <f>SUMIF('HB TB'!$R:$R,'HB P&amp;L'!$A38,'HB TB'!E:E)</f>
        <v/>
      </c>
      <c r="R38" s="37">
        <f>SUMIF('HB TB'!$R:$R,'HB P&amp;L'!$A38,'HB TB'!F:F)</f>
        <v/>
      </c>
      <c r="S38" s="37">
        <f>SUMIF('HB TB'!$R:$R,'HB P&amp;L'!$A38,'HB TB'!G:G)</f>
        <v/>
      </c>
      <c r="T38" s="37">
        <f>SUMIF('HB TB'!$R:$R,'HB P&amp;L'!$A38,'HB TB'!H:H)</f>
        <v/>
      </c>
      <c r="U38" s="37">
        <f>SUMIF('HB TB'!$R:$R,'HB P&amp;L'!$A38,'HB TB'!I:I)</f>
        <v/>
      </c>
      <c r="V38" s="38" t="n">
        <v>300</v>
      </c>
      <c r="W38" s="38" t="n">
        <v>300</v>
      </c>
      <c r="X38" s="38" t="n">
        <v>300</v>
      </c>
      <c r="Y38" s="38" t="n">
        <v>300</v>
      </c>
      <c r="Z38" s="38" t="n">
        <v>300</v>
      </c>
      <c r="AA38" s="36">
        <f>SUM(O38:U38)</f>
        <v/>
      </c>
      <c r="AB38" s="36">
        <f>SUM(O38:Z38)</f>
        <v/>
      </c>
      <c r="AC38" s="38" t="n">
        <v>300</v>
      </c>
      <c r="AD38" s="38" t="n">
        <v>300</v>
      </c>
      <c r="AE38" s="38" t="n">
        <v>300</v>
      </c>
      <c r="AF38" s="38" t="n">
        <v>300</v>
      </c>
      <c r="AG38" s="38" t="n">
        <v>300</v>
      </c>
      <c r="AH38" s="38" t="n">
        <v>300</v>
      </c>
      <c r="AI38" s="118" t="n">
        <v>300</v>
      </c>
      <c r="AJ38" s="119" t="n">
        <v>300</v>
      </c>
      <c r="AK38" s="119" t="n">
        <v>300</v>
      </c>
      <c r="AL38" s="119" t="n">
        <v>300</v>
      </c>
      <c r="AM38" s="120" t="n">
        <v>300</v>
      </c>
      <c r="AN38" s="118" t="n">
        <v>300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29.52</v>
      </c>
      <c r="C39" s="35" t="n">
        <v>4464.59</v>
      </c>
      <c r="D39" s="35" t="n">
        <v>0</v>
      </c>
      <c r="E39" s="35" t="n">
        <v>0</v>
      </c>
      <c r="F39" s="35" t="n">
        <v>48.2</v>
      </c>
      <c r="G39" s="35" t="n">
        <v>0</v>
      </c>
      <c r="H39" s="35" t="n">
        <v>0</v>
      </c>
      <c r="I39" s="35" t="n">
        <v>36.18</v>
      </c>
      <c r="J39" s="35" t="n">
        <v>48.39</v>
      </c>
      <c r="K39" s="35" t="n">
        <v>21.13</v>
      </c>
      <c r="L39" s="35" t="n">
        <v>40</v>
      </c>
      <c r="M39" s="35" t="n">
        <v>0</v>
      </c>
      <c r="N39" s="36">
        <f>SUM(B39:M39)</f>
        <v/>
      </c>
      <c r="O39" s="37">
        <f>SUMIF('HB TB'!$R:$R,'HB P&amp;L'!$A39,'HB TB'!C:C)</f>
        <v/>
      </c>
      <c r="P39" s="37">
        <f>SUMIF('HB TB'!$R:$R,'HB P&amp;L'!$A39,'HB TB'!D:D)</f>
        <v/>
      </c>
      <c r="Q39" s="37">
        <f>SUMIF('HB TB'!$R:$R,'HB P&amp;L'!$A39,'HB TB'!E:E)</f>
        <v/>
      </c>
      <c r="R39" s="37">
        <f>SUMIF('HB TB'!$R:$R,'HB P&amp;L'!$A39,'HB TB'!F:F)</f>
        <v/>
      </c>
      <c r="S39" s="37">
        <f>SUMIF('HB TB'!$R:$R,'HB P&amp;L'!$A39,'HB TB'!G:G)</f>
        <v/>
      </c>
      <c r="T39" s="37">
        <f>SUMIF('HB TB'!$R:$R,'HB P&amp;L'!$A39,'HB TB'!H:H)</f>
        <v/>
      </c>
      <c r="U39" s="37">
        <f>SUMIF('HB TB'!$R:$R,'HB P&amp;L'!$A39,'HB TB'!I:I)</f>
        <v/>
      </c>
      <c r="V39" s="38" t="n">
        <v>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8" t="n">
        <v>0</v>
      </c>
      <c r="AJ39" s="119" t="n">
        <v>0</v>
      </c>
      <c r="AK39" s="119" t="n">
        <v>0</v>
      </c>
      <c r="AL39" s="119" t="n">
        <v>0</v>
      </c>
      <c r="AM39" s="120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1025.16</v>
      </c>
      <c r="C40" s="35" t="n">
        <v>994.6700000000001</v>
      </c>
      <c r="D40" s="35" t="n">
        <v>1230.5</v>
      </c>
      <c r="E40" s="35" t="n">
        <v>952.4300000000001</v>
      </c>
      <c r="F40" s="35" t="n">
        <v>1083.43</v>
      </c>
      <c r="G40" s="35" t="n">
        <v>1263.91</v>
      </c>
      <c r="H40" s="35" t="n">
        <v>1279.37</v>
      </c>
      <c r="I40" s="35" t="n">
        <v>880.76</v>
      </c>
      <c r="J40" s="35" t="n">
        <v>903.78</v>
      </c>
      <c r="K40" s="35" t="n">
        <v>1337.18</v>
      </c>
      <c r="L40" s="35" t="n">
        <v>906.53</v>
      </c>
      <c r="M40" s="35" t="n">
        <v>956.1900000000001</v>
      </c>
      <c r="N40" s="36">
        <f>SUM(B40:M40)</f>
        <v/>
      </c>
      <c r="O40" s="37">
        <f>SUMIF('HB TB'!$R:$R,'HB P&amp;L'!$A40,'HB TB'!C:C)</f>
        <v/>
      </c>
      <c r="P40" s="37">
        <f>SUMIF('HB TB'!$R:$R,'HB P&amp;L'!$A40,'HB TB'!D:D)</f>
        <v/>
      </c>
      <c r="Q40" s="37">
        <f>SUMIF('HB TB'!$R:$R,'HB P&amp;L'!$A40,'HB TB'!E:E)</f>
        <v/>
      </c>
      <c r="R40" s="37">
        <f>SUMIF('HB TB'!$R:$R,'HB P&amp;L'!$A40,'HB TB'!F:F)</f>
        <v/>
      </c>
      <c r="S40" s="37">
        <f>SUMIF('HB TB'!$R:$R,'HB P&amp;L'!$A40,'HB TB'!G:G)</f>
        <v/>
      </c>
      <c r="T40" s="37">
        <f>SUMIF('HB TB'!$R:$R,'HB P&amp;L'!$A40,'HB TB'!H:H)</f>
        <v/>
      </c>
      <c r="U40" s="37">
        <f>SUMIF('HB TB'!$R:$R,'HB P&amp;L'!$A40,'HB TB'!I:I)</f>
        <v/>
      </c>
      <c r="V40" s="38" t="n">
        <v>1107</v>
      </c>
      <c r="W40" s="38" t="n">
        <v>1107</v>
      </c>
      <c r="X40" s="38" t="n">
        <v>1107</v>
      </c>
      <c r="Y40" s="38" t="n">
        <v>1107</v>
      </c>
      <c r="Z40" s="38" t="n">
        <v>1107</v>
      </c>
      <c r="AA40" s="36">
        <f>SUM(O40:U40)</f>
        <v/>
      </c>
      <c r="AB40" s="36">
        <f>SUM(O40:Z40)</f>
        <v/>
      </c>
      <c r="AC40" s="38" t="n">
        <v>1107</v>
      </c>
      <c r="AD40" s="38" t="n">
        <v>1107</v>
      </c>
      <c r="AE40" s="38" t="n">
        <v>1107</v>
      </c>
      <c r="AF40" s="38" t="n">
        <v>1107</v>
      </c>
      <c r="AG40" s="38" t="n">
        <v>1107</v>
      </c>
      <c r="AH40" s="38" t="n">
        <v>1107</v>
      </c>
      <c r="AI40" s="118" t="n">
        <v>1107</v>
      </c>
      <c r="AJ40" s="119" t="n">
        <v>1107</v>
      </c>
      <c r="AK40" s="119" t="n">
        <v>1107</v>
      </c>
      <c r="AL40" s="119" t="n">
        <v>1107</v>
      </c>
      <c r="AM40" s="120" t="n">
        <v>1107</v>
      </c>
      <c r="AN40" s="118" t="n">
        <v>1107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335.27</v>
      </c>
      <c r="C41" s="35" t="n">
        <v>416.27</v>
      </c>
      <c r="D41" s="35" t="n">
        <v>437.9400000000001</v>
      </c>
      <c r="E41" s="35" t="n">
        <v>344.92</v>
      </c>
      <c r="F41" s="35" t="n">
        <v>406.1900000000001</v>
      </c>
      <c r="G41" s="35" t="n">
        <v>426.02</v>
      </c>
      <c r="H41" s="35" t="n">
        <v>372.62</v>
      </c>
      <c r="I41" s="35" t="n">
        <v>437.31</v>
      </c>
      <c r="J41" s="35" t="n">
        <v>655.72</v>
      </c>
      <c r="K41" s="35" t="n">
        <v>386.92</v>
      </c>
      <c r="L41" s="35" t="n">
        <v>388.32</v>
      </c>
      <c r="M41" s="35" t="n">
        <v>441.73</v>
      </c>
      <c r="N41" s="36">
        <f>SUM(B41:M41)</f>
        <v/>
      </c>
      <c r="O41" s="37">
        <f>SUMIF('HB TB'!$R:$R,'HB P&amp;L'!$A41,'HB TB'!C:C)</f>
        <v/>
      </c>
      <c r="P41" s="37">
        <f>SUMIF('HB TB'!$R:$R,'HB P&amp;L'!$A41,'HB TB'!D:D)</f>
        <v/>
      </c>
      <c r="Q41" s="37">
        <f>SUMIF('HB TB'!$R:$R,'HB P&amp;L'!$A41,'HB TB'!E:E)</f>
        <v/>
      </c>
      <c r="R41" s="37">
        <f>SUMIF('HB TB'!$R:$R,'HB P&amp;L'!$A41,'HB TB'!F:F)</f>
        <v/>
      </c>
      <c r="S41" s="37">
        <f>SUMIF('HB TB'!$R:$R,'HB P&amp;L'!$A41,'HB TB'!G:G)</f>
        <v/>
      </c>
      <c r="T41" s="37">
        <f>SUMIF('HB TB'!$R:$R,'HB P&amp;L'!$A41,'HB TB'!H:H)</f>
        <v/>
      </c>
      <c r="U41" s="37">
        <f>SUMIF('HB TB'!$R:$R,'HB P&amp;L'!$A41,'HB TB'!I:I)</f>
        <v/>
      </c>
      <c r="V41" s="38" t="n">
        <v>423</v>
      </c>
      <c r="W41" s="38" t="n">
        <v>423</v>
      </c>
      <c r="X41" s="38" t="n">
        <v>423</v>
      </c>
      <c r="Y41" s="38" t="n">
        <v>423</v>
      </c>
      <c r="Z41" s="38" t="n">
        <v>423</v>
      </c>
      <c r="AA41" s="36">
        <f>SUM(O41:U41)</f>
        <v/>
      </c>
      <c r="AB41" s="36">
        <f>SUM(O41:Z41)</f>
        <v/>
      </c>
      <c r="AC41" s="38" t="n">
        <v>423</v>
      </c>
      <c r="AD41" s="38" t="n">
        <v>423</v>
      </c>
      <c r="AE41" s="38" t="n">
        <v>423</v>
      </c>
      <c r="AF41" s="38" t="n">
        <v>423</v>
      </c>
      <c r="AG41" s="38" t="n">
        <v>423</v>
      </c>
      <c r="AH41" s="38" t="n">
        <v>423</v>
      </c>
      <c r="AI41" s="118" t="n">
        <v>423</v>
      </c>
      <c r="AJ41" s="119" t="n">
        <v>423</v>
      </c>
      <c r="AK41" s="119" t="n">
        <v>423</v>
      </c>
      <c r="AL41" s="119" t="n">
        <v>423</v>
      </c>
      <c r="AM41" s="120" t="n">
        <v>423</v>
      </c>
      <c r="AN41" s="118" t="n">
        <v>423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108.05</v>
      </c>
      <c r="C42" s="35" t="n">
        <v>44.34</v>
      </c>
      <c r="D42" s="35" t="n">
        <v>32.23</v>
      </c>
      <c r="E42" s="35" t="n">
        <v>12</v>
      </c>
      <c r="F42" s="35" t="n">
        <v>40.39</v>
      </c>
      <c r="G42" s="35" t="n">
        <v>34.34</v>
      </c>
      <c r="H42" s="35" t="n">
        <v>140.57</v>
      </c>
      <c r="I42" s="35" t="n">
        <v>47.51</v>
      </c>
      <c r="J42" s="35" t="n">
        <v>80.84999999999999</v>
      </c>
      <c r="K42" s="35" t="n">
        <v>63.14</v>
      </c>
      <c r="L42" s="35" t="n">
        <v>51.95</v>
      </c>
      <c r="M42" s="35" t="n">
        <v>154.14</v>
      </c>
      <c r="N42" s="36">
        <f>SUM(B42:M42)</f>
        <v/>
      </c>
      <c r="O42" s="37">
        <f>SUMIF('HB TB'!$R:$R,'HB P&amp;L'!$A42,'HB TB'!C:C)</f>
        <v/>
      </c>
      <c r="P42" s="37">
        <f>SUMIF('HB TB'!$R:$R,'HB P&amp;L'!$A42,'HB TB'!D:D)</f>
        <v/>
      </c>
      <c r="Q42" s="37">
        <f>SUMIF('HB TB'!$R:$R,'HB P&amp;L'!$A42,'HB TB'!E:E)</f>
        <v/>
      </c>
      <c r="R42" s="37">
        <f>SUMIF('HB TB'!$R:$R,'HB P&amp;L'!$A42,'HB TB'!F:F)</f>
        <v/>
      </c>
      <c r="S42" s="37">
        <f>SUMIF('HB TB'!$R:$R,'HB P&amp;L'!$A42,'HB TB'!G:G)</f>
        <v/>
      </c>
      <c r="T42" s="37">
        <f>SUMIF('HB TB'!$R:$R,'HB P&amp;L'!$A42,'HB TB'!H:H)</f>
        <v/>
      </c>
      <c r="U42" s="37">
        <f>SUMIF('HB TB'!$R:$R,'HB P&amp;L'!$A42,'HB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8" t="n">
        <v>0</v>
      </c>
      <c r="AJ42" s="119" t="n">
        <v>0</v>
      </c>
      <c r="AK42" s="119" t="n">
        <v>0</v>
      </c>
      <c r="AL42" s="119" t="n">
        <v>0</v>
      </c>
      <c r="AM42" s="120" t="n">
        <v>0</v>
      </c>
      <c r="AN42" s="118" t="n">
        <v>0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SUMIF('HB TB'!$R:$R,'HB P&amp;L'!$A43,'HB TB'!C:C)</f>
        <v/>
      </c>
      <c r="P43" s="37">
        <f>SUMIF('HB TB'!$R:$R,'HB P&amp;L'!$A43,'HB TB'!D:D)</f>
        <v/>
      </c>
      <c r="Q43" s="37">
        <f>SUMIF('HB TB'!$R:$R,'HB P&amp;L'!$A43,'HB TB'!E:E)</f>
        <v/>
      </c>
      <c r="R43" s="37">
        <f>SUMIF('HB TB'!$R:$R,'HB P&amp;L'!$A43,'HB TB'!F:F)</f>
        <v/>
      </c>
      <c r="S43" s="37">
        <f>SUMIF('HB TB'!$R:$R,'HB P&amp;L'!$A43,'HB TB'!G:G)</f>
        <v/>
      </c>
      <c r="T43" s="37">
        <f>SUMIF('HB TB'!$R:$R,'HB P&amp;L'!$A43,'HB TB'!H:H)</f>
        <v/>
      </c>
      <c r="U43" s="37">
        <f>SUMIF('HB TB'!$R:$R,'HB P&amp;L'!$A43,'HB TB'!I:I)</f>
        <v/>
      </c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118" t="n">
        <v>0</v>
      </c>
      <c r="AJ43" s="119" t="n">
        <v>0</v>
      </c>
      <c r="AK43" s="119" t="n">
        <v>0</v>
      </c>
      <c r="AL43" s="119" t="n">
        <v>0</v>
      </c>
      <c r="AM43" s="120" t="n">
        <v>0</v>
      </c>
      <c r="AN43" s="118" t="n">
        <v>0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SUMIF('HB TB'!$R:$R,'HB P&amp;L'!$A44,'HB TB'!C:C)</f>
        <v/>
      </c>
      <c r="P44" s="37">
        <f>SUMIF('HB TB'!$R:$R,'HB P&amp;L'!$A44,'HB TB'!D:D)</f>
        <v/>
      </c>
      <c r="Q44" s="37">
        <f>SUMIF('HB TB'!$R:$R,'HB P&amp;L'!$A44,'HB TB'!E:E)</f>
        <v/>
      </c>
      <c r="R44" s="37">
        <f>SUMIF('HB TB'!$R:$R,'HB P&amp;L'!$A44,'HB TB'!F:F)</f>
        <v/>
      </c>
      <c r="S44" s="37">
        <f>SUMIF('HB TB'!$R:$R,'HB P&amp;L'!$A44,'HB TB'!G:G)</f>
        <v/>
      </c>
      <c r="T44" s="37">
        <f>SUMIF('HB TB'!$R:$R,'HB P&amp;L'!$A44,'HB TB'!H:H)</f>
        <v/>
      </c>
      <c r="U44" s="37">
        <f>SUMIF('HB TB'!$R:$R,'HB P&amp;L'!$A44,'HB TB'!I:I)</f>
        <v/>
      </c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118" t="n">
        <v>0</v>
      </c>
      <c r="AJ44" s="119" t="n">
        <v>0</v>
      </c>
      <c r="AK44" s="119" t="n">
        <v>0</v>
      </c>
      <c r="AL44" s="119" t="n">
        <v>0</v>
      </c>
      <c r="AM44" s="120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220</v>
      </c>
      <c r="G45" s="35" t="n">
        <v>45</v>
      </c>
      <c r="H45" s="35" t="n">
        <v>0</v>
      </c>
      <c r="I45" s="35" t="n">
        <v>90</v>
      </c>
      <c r="J45" s="35" t="n">
        <v>0</v>
      </c>
      <c r="K45" s="35" t="n">
        <v>137.5</v>
      </c>
      <c r="L45" s="35" t="n">
        <v>137.5</v>
      </c>
      <c r="M45" s="35" t="n">
        <v>137.5</v>
      </c>
      <c r="N45" s="36">
        <f>SUM(B45:M45)</f>
        <v/>
      </c>
      <c r="O45" s="37">
        <f>SUMIF('HB TB'!$R:$R,'HB P&amp;L'!$A45,'HB TB'!C:C)</f>
        <v/>
      </c>
      <c r="P45" s="37">
        <f>SUMIF('HB TB'!$R:$R,'HB P&amp;L'!$A45,'HB TB'!D:D)</f>
        <v/>
      </c>
      <c r="Q45" s="37">
        <f>SUMIF('HB TB'!$R:$R,'HB P&amp;L'!$A45,'HB TB'!E:E)</f>
        <v/>
      </c>
      <c r="R45" s="37">
        <f>SUMIF('HB TB'!$R:$R,'HB P&amp;L'!$A45,'HB TB'!F:F)</f>
        <v/>
      </c>
      <c r="S45" s="37">
        <f>SUMIF('HB TB'!$R:$R,'HB P&amp;L'!$A45,'HB TB'!G:G)</f>
        <v/>
      </c>
      <c r="T45" s="37">
        <f>SUMIF('HB TB'!$R:$R,'HB P&amp;L'!$A45,'HB TB'!H:H)</f>
        <v/>
      </c>
      <c r="U45" s="37">
        <f>SUMIF('HB TB'!$R:$R,'HB P&amp;L'!$A45,'HB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8" t="n">
        <v>100</v>
      </c>
      <c r="AJ45" s="119" t="n">
        <v>100</v>
      </c>
      <c r="AK45" s="119" t="n">
        <v>100</v>
      </c>
      <c r="AL45" s="119" t="n">
        <v>100</v>
      </c>
      <c r="AM45" s="120" t="n">
        <v>100</v>
      </c>
      <c r="AN45" s="118" t="n">
        <v>100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SUMIF('HB TB'!$R:$R,'HB P&amp;L'!$A46,'HB TB'!C:C)</f>
        <v/>
      </c>
      <c r="P46" s="37">
        <f>SUMIF('HB TB'!$R:$R,'HB P&amp;L'!$A46,'HB TB'!D:D)</f>
        <v/>
      </c>
      <c r="Q46" s="37">
        <f>SUMIF('HB TB'!$R:$R,'HB P&amp;L'!$A46,'HB TB'!E:E)</f>
        <v/>
      </c>
      <c r="R46" s="37">
        <f>SUMIF('HB TB'!$R:$R,'HB P&amp;L'!$A46,'HB TB'!F:F)</f>
        <v/>
      </c>
      <c r="S46" s="37">
        <f>SUMIF('HB TB'!$R:$R,'HB P&amp;L'!$A46,'HB TB'!G:G)</f>
        <v/>
      </c>
      <c r="T46" s="37">
        <f>SUMIF('HB TB'!$R:$R,'HB P&amp;L'!$A46,'HB TB'!H:H)</f>
        <v/>
      </c>
      <c r="U46" s="37">
        <f>SUMIF('HB TB'!$R:$R,'HB P&amp;L'!$A46,'HB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8" t="n">
        <v>0</v>
      </c>
      <c r="AJ46" s="119" t="n">
        <v>0</v>
      </c>
      <c r="AK46" s="119" t="n">
        <v>0</v>
      </c>
      <c r="AL46" s="119" t="n">
        <v>0</v>
      </c>
      <c r="AM46" s="120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10288.58</v>
      </c>
      <c r="C47" s="42" t="n">
        <v>14710.45</v>
      </c>
      <c r="D47" s="42" t="n">
        <v>10491.25</v>
      </c>
      <c r="E47" s="42" t="n">
        <v>10163.31</v>
      </c>
      <c r="F47" s="42" t="n">
        <v>10652.17</v>
      </c>
      <c r="G47" s="42" t="n">
        <v>10623.23</v>
      </c>
      <c r="H47" s="42" t="n">
        <v>10646.53</v>
      </c>
      <c r="I47" s="42" t="n">
        <v>10345.72</v>
      </c>
      <c r="J47" s="42" t="n">
        <v>10542.71</v>
      </c>
      <c r="K47" s="42" t="n">
        <v>10799.83</v>
      </c>
      <c r="L47" s="42" t="n">
        <v>10378.26</v>
      </c>
      <c r="M47" s="42" t="n">
        <v>10543.52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3">
        <f>SUM(AI36:AI46)</f>
        <v/>
      </c>
      <c r="AJ47" s="124">
        <f>SUM(AJ36:AJ46)</f>
        <v/>
      </c>
      <c r="AK47" s="124">
        <f>SUM(AK36:AK46)</f>
        <v/>
      </c>
      <c r="AL47" s="124">
        <f>SUM(AL36:AL46)</f>
        <v/>
      </c>
      <c r="AM47" s="137">
        <f>SUM(AM36:AM46)</f>
        <v/>
      </c>
      <c r="AN47" s="123">
        <f>SUM(AN36:AN46)</f>
        <v/>
      </c>
      <c r="AO47" s="125">
        <f>SUM(AC47:AH47)+SUM(AI47:AN47)</f>
        <v/>
      </c>
      <c r="AP47" s="126">
        <f>IF(AB47&lt;&gt;0,(AO47-AB47)/ABS(AB47),0)</f>
        <v/>
      </c>
    </row>
    <row r="48">
      <c r="A48" s="22" t="inlineStr">
        <is>
          <t>Total Direct Costs</t>
        </is>
      </c>
      <c r="B48" s="23" t="n">
        <v>41438.43</v>
      </c>
      <c r="C48" s="23" t="n">
        <v>47515.7</v>
      </c>
      <c r="D48" s="23" t="n">
        <v>43020.55</v>
      </c>
      <c r="E48" s="23" t="n">
        <v>46050.02</v>
      </c>
      <c r="F48" s="23" t="n">
        <v>48701.37</v>
      </c>
      <c r="G48" s="23" t="n">
        <v>50955.69</v>
      </c>
      <c r="H48" s="23" t="n">
        <v>50256.50999999999</v>
      </c>
      <c r="I48" s="23" t="n">
        <v>47419.56</v>
      </c>
      <c r="J48" s="23" t="n">
        <v>47312.21</v>
      </c>
      <c r="K48" s="23" t="n">
        <v>41509.03999999999</v>
      </c>
      <c r="L48" s="23" t="n">
        <v>41165.17</v>
      </c>
      <c r="M48" s="23" t="n">
        <v>43747.36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3">
        <f>AI25+AI34+AI47</f>
        <v/>
      </c>
      <c r="AJ48" s="147">
        <f>AJ25+AJ34+AJ47</f>
        <v/>
      </c>
      <c r="AK48" s="147">
        <f>AK25+AK34+AK47</f>
        <v/>
      </c>
      <c r="AL48" s="147">
        <f>AL25+AL34+AL47</f>
        <v/>
      </c>
      <c r="AM48" s="147">
        <f>AM25+AM34+AM47</f>
        <v/>
      </c>
      <c r="AN48" s="123">
        <f>AN25+AN34+AN47</f>
        <v/>
      </c>
      <c r="AO48" s="121">
        <f>SUM(AC48:AH48)+SUM(AI48:AN48)</f>
        <v/>
      </c>
      <c r="AP48" s="122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20065.54</v>
      </c>
      <c r="C50" s="55" t="n">
        <v>12130.06</v>
      </c>
      <c r="D50" s="55" t="n">
        <v>23881.11</v>
      </c>
      <c r="E50" s="55" t="n">
        <v>22056.98</v>
      </c>
      <c r="F50" s="55" t="n">
        <v>14041.95</v>
      </c>
      <c r="G50" s="55" t="n">
        <v>11902.15</v>
      </c>
      <c r="H50" s="55" t="n">
        <v>47127.88</v>
      </c>
      <c r="I50" s="55" t="n">
        <v>6130.860000000001</v>
      </c>
      <c r="J50" s="55" t="n">
        <v>3674.260000000002</v>
      </c>
      <c r="K50" s="55" t="n">
        <v>8665.200000000004</v>
      </c>
      <c r="L50" s="55" t="n">
        <v>24390.98</v>
      </c>
      <c r="M50" s="55" t="n">
        <v>34788.12000000001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0">
        <f>AI11-AI48</f>
        <v/>
      </c>
      <c r="AJ50" s="140">
        <f>AJ11-AJ48</f>
        <v/>
      </c>
      <c r="AK50" s="140">
        <f>AK11-AK48</f>
        <v/>
      </c>
      <c r="AL50" s="140">
        <f>AL11-AL48</f>
        <v/>
      </c>
      <c r="AM50" s="140">
        <f>AM11-AM48</f>
        <v/>
      </c>
      <c r="AN50" s="140">
        <f>AN11-AN48</f>
        <v/>
      </c>
      <c r="AO50" s="141">
        <f>SUM(AC50:AH50)+SUM(AI50:AN50)</f>
        <v/>
      </c>
      <c r="AP50" s="14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SUMIF('HB TB'!$R:$R,'HB P&amp;L'!$A53,'HB TB'!C:C)</f>
        <v/>
      </c>
      <c r="P53" s="37">
        <f>SUMIF('HB TB'!$R:$R,'HB P&amp;L'!$A53,'HB TB'!D:D)</f>
        <v/>
      </c>
      <c r="Q53" s="37">
        <f>SUMIF('HB TB'!$R:$R,'HB P&amp;L'!$A53,'HB TB'!E:E)</f>
        <v/>
      </c>
      <c r="R53" s="37">
        <f>SUMIF('HB TB'!$R:$R,'HB P&amp;L'!$A53,'HB TB'!F:F)</f>
        <v/>
      </c>
      <c r="S53" s="37">
        <f>SUMIF('HB TB'!$R:$R,'HB P&amp;L'!$A53,'HB TB'!G:G)</f>
        <v/>
      </c>
      <c r="T53" s="37">
        <f>SUMIF('HB TB'!$R:$R,'HB P&amp;L'!$A53,'HB TB'!H:H)</f>
        <v/>
      </c>
      <c r="U53" s="37">
        <f>SUMIF('HB TB'!$R:$R,'HB P&amp;L'!$A53,'HB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8" t="n">
        <v>0</v>
      </c>
      <c r="AJ53" s="119" t="n">
        <v>0</v>
      </c>
      <c r="AK53" s="119" t="n">
        <v>0</v>
      </c>
      <c r="AL53" s="119" t="n">
        <v>0</v>
      </c>
      <c r="AM53" s="120" t="n">
        <v>0</v>
      </c>
      <c r="AN53" s="118" t="n">
        <v>0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SUMIF('HB TB'!$R:$R,'HB P&amp;L'!$A54,'HB TB'!C:C)</f>
        <v/>
      </c>
      <c r="P54" s="37">
        <f>SUMIF('HB TB'!$R:$R,'HB P&amp;L'!$A54,'HB TB'!D:D)</f>
        <v/>
      </c>
      <c r="Q54" s="37">
        <f>SUMIF('HB TB'!$R:$R,'HB P&amp;L'!$A54,'HB TB'!E:E)</f>
        <v/>
      </c>
      <c r="R54" s="37">
        <f>SUMIF('HB TB'!$R:$R,'HB P&amp;L'!$A54,'HB TB'!F:F)</f>
        <v/>
      </c>
      <c r="S54" s="37">
        <f>SUMIF('HB TB'!$R:$R,'HB P&amp;L'!$A54,'HB TB'!G:G)</f>
        <v/>
      </c>
      <c r="T54" s="37">
        <f>SUMIF('HB TB'!$R:$R,'HB P&amp;L'!$A54,'HB TB'!H:H)</f>
        <v/>
      </c>
      <c r="U54" s="37">
        <f>SUMIF('HB TB'!$R:$R,'HB P&amp;L'!$A54,'HB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8" t="n">
        <v>0</v>
      </c>
      <c r="AJ54" s="119" t="n">
        <v>0</v>
      </c>
      <c r="AK54" s="119" t="n">
        <v>0</v>
      </c>
      <c r="AL54" s="119" t="n">
        <v>0</v>
      </c>
      <c r="AM54" s="120" t="n">
        <v>0</v>
      </c>
      <c r="AN54" s="118" t="n">
        <v>0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SUMIF('HB TB'!$R:$R,'HB P&amp;L'!$A55,'HB TB'!C:C)</f>
        <v/>
      </c>
      <c r="P55" s="37">
        <f>SUMIF('HB TB'!$R:$R,'HB P&amp;L'!$A55,'HB TB'!D:D)</f>
        <v/>
      </c>
      <c r="Q55" s="37">
        <f>SUMIF('HB TB'!$R:$R,'HB P&amp;L'!$A55,'HB TB'!E:E)</f>
        <v/>
      </c>
      <c r="R55" s="37">
        <f>SUMIF('HB TB'!$R:$R,'HB P&amp;L'!$A55,'HB TB'!F:F)</f>
        <v/>
      </c>
      <c r="S55" s="37">
        <f>SUMIF('HB TB'!$R:$R,'HB P&amp;L'!$A55,'HB TB'!G:G)</f>
        <v/>
      </c>
      <c r="T55" s="37">
        <f>SUMIF('HB TB'!$R:$R,'HB P&amp;L'!$A55,'HB TB'!H:H)</f>
        <v/>
      </c>
      <c r="U55" s="37">
        <f>SUMIF('HB TB'!$R:$R,'HB P&amp;L'!$A55,'HB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8" t="n">
        <v>0</v>
      </c>
      <c r="AJ55" s="119" t="n">
        <v>0</v>
      </c>
      <c r="AK55" s="119" t="n">
        <v>0</v>
      </c>
      <c r="AL55" s="119" t="n">
        <v>0</v>
      </c>
      <c r="AM55" s="120" t="n">
        <v>0</v>
      </c>
      <c r="AN55" s="118" t="n">
        <v>0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SUMIF('HB TB'!$R:$R,'HB P&amp;L'!$A56,'HB TB'!C:C)</f>
        <v/>
      </c>
      <c r="P56" s="37">
        <f>SUMIF('HB TB'!$R:$R,'HB P&amp;L'!$A56,'HB TB'!D:D)</f>
        <v/>
      </c>
      <c r="Q56" s="37">
        <f>SUMIF('HB TB'!$R:$R,'HB P&amp;L'!$A56,'HB TB'!E:E)</f>
        <v/>
      </c>
      <c r="R56" s="37">
        <f>SUMIF('HB TB'!$R:$R,'HB P&amp;L'!$A56,'HB TB'!F:F)</f>
        <v/>
      </c>
      <c r="S56" s="37">
        <f>SUMIF('HB TB'!$R:$R,'HB P&amp;L'!$A56,'HB TB'!G:G)</f>
        <v/>
      </c>
      <c r="T56" s="37">
        <f>SUMIF('HB TB'!$R:$R,'HB P&amp;L'!$A56,'HB TB'!H:H)</f>
        <v/>
      </c>
      <c r="U56" s="37">
        <f>SUMIF('HB TB'!$R:$R,'HB P&amp;L'!$A56,'HB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8" t="n">
        <v>0</v>
      </c>
      <c r="AJ56" s="119" t="n">
        <v>0</v>
      </c>
      <c r="AK56" s="119" t="n">
        <v>0</v>
      </c>
      <c r="AL56" s="119" t="n">
        <v>0</v>
      </c>
      <c r="AM56" s="120" t="n">
        <v>0</v>
      </c>
      <c r="AN56" s="118" t="n">
        <v>0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160.38</v>
      </c>
      <c r="N57" s="36">
        <f>SUM(B57:M57)</f>
        <v/>
      </c>
      <c r="O57" s="37">
        <f>SUMIF('HB TB'!$R:$R,'HB P&amp;L'!$A57,'HB TB'!C:C)</f>
        <v/>
      </c>
      <c r="P57" s="37">
        <f>SUMIF('HB TB'!$R:$R,'HB P&amp;L'!$A57,'HB TB'!D:D)</f>
        <v/>
      </c>
      <c r="Q57" s="37">
        <f>SUMIF('HB TB'!$R:$R,'HB P&amp;L'!$A57,'HB TB'!E:E)</f>
        <v/>
      </c>
      <c r="R57" s="37">
        <f>SUMIF('HB TB'!$R:$R,'HB P&amp;L'!$A57,'HB TB'!F:F)</f>
        <v/>
      </c>
      <c r="S57" s="37">
        <f>SUMIF('HB TB'!$R:$R,'HB P&amp;L'!$A57,'HB TB'!G:G)</f>
        <v/>
      </c>
      <c r="T57" s="37">
        <f>SUMIF('HB TB'!$R:$R,'HB P&amp;L'!$A57,'HB TB'!H:H)</f>
        <v/>
      </c>
      <c r="U57" s="37">
        <f>SUMIF('HB TB'!$R:$R,'HB P&amp;L'!$A57,'HB TB'!I:I)</f>
        <v/>
      </c>
      <c r="V57" s="38" t="n"/>
      <c r="W57" s="38" t="n"/>
      <c r="X57" s="38" t="n"/>
      <c r="Y57" s="38" t="n"/>
      <c r="Z57" s="38">
        <f>30*10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18" t="n">
        <v>0</v>
      </c>
      <c r="AJ57" s="119" t="n">
        <v>0</v>
      </c>
      <c r="AK57" s="119" t="n">
        <v>0</v>
      </c>
      <c r="AL57" s="119" t="n">
        <v>0</v>
      </c>
      <c r="AM57" s="120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SUMIF('HB TB'!$R:$R,'HB P&amp;L'!$A58,'HB TB'!C:C)</f>
        <v/>
      </c>
      <c r="P58" s="37">
        <f>SUMIF('HB TB'!$R:$R,'HB P&amp;L'!$A58,'HB TB'!D:D)</f>
        <v/>
      </c>
      <c r="Q58" s="37">
        <f>SUMIF('HB TB'!$R:$R,'HB P&amp;L'!$A58,'HB TB'!E:E)</f>
        <v/>
      </c>
      <c r="R58" s="37">
        <f>SUMIF('HB TB'!$R:$R,'HB P&amp;L'!$A58,'HB TB'!F:F)</f>
        <v/>
      </c>
      <c r="S58" s="37">
        <f>SUMIF('HB TB'!$R:$R,'HB P&amp;L'!$A58,'HB TB'!G:G)</f>
        <v/>
      </c>
      <c r="T58" s="37">
        <f>SUMIF('HB TB'!$R:$R,'HB P&amp;L'!$A58,'HB TB'!H:H)</f>
        <v/>
      </c>
      <c r="U58" s="37">
        <f>SUMIF('HB TB'!$R:$R,'HB P&amp;L'!$A58,'HB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8" t="n">
        <v>0</v>
      </c>
      <c r="AJ58" s="119" t="n">
        <v>0</v>
      </c>
      <c r="AK58" s="119" t="n">
        <v>0</v>
      </c>
      <c r="AL58" s="119" t="n">
        <v>0</v>
      </c>
      <c r="AM58" s="120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SUMIF('HB TB'!$R:$R,'HB P&amp;L'!$A59,'HB TB'!C:C)</f>
        <v/>
      </c>
      <c r="P59" s="37">
        <f>SUMIF('HB TB'!$R:$R,'HB P&amp;L'!$A59,'HB TB'!D:D)</f>
        <v/>
      </c>
      <c r="Q59" s="37">
        <f>SUMIF('HB TB'!$R:$R,'HB P&amp;L'!$A59,'HB TB'!E:E)</f>
        <v/>
      </c>
      <c r="R59" s="37">
        <f>SUMIF('HB TB'!$R:$R,'HB P&amp;L'!$A59,'HB TB'!F:F)</f>
        <v/>
      </c>
      <c r="S59" s="37">
        <f>SUMIF('HB TB'!$R:$R,'HB P&amp;L'!$A59,'HB TB'!G:G)</f>
        <v/>
      </c>
      <c r="T59" s="37">
        <f>SUMIF('HB TB'!$R:$R,'HB P&amp;L'!$A59,'HB TB'!H:H)</f>
        <v/>
      </c>
      <c r="U59" s="37">
        <f>SUMIF('HB TB'!$R:$R,'HB P&amp;L'!$A59,'HB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18" t="n">
        <v>0</v>
      </c>
      <c r="AJ59" s="119" t="n">
        <v>0</v>
      </c>
      <c r="AK59" s="119" t="n">
        <v>0</v>
      </c>
      <c r="AL59" s="119" t="n">
        <v>0</v>
      </c>
      <c r="AM59" s="120" t="n">
        <v>0</v>
      </c>
      <c r="AN59" s="118" t="n">
        <v>0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6</v>
      </c>
      <c r="C60" s="35" t="n">
        <v>4.8</v>
      </c>
      <c r="D60" s="35" t="n">
        <v>5.4</v>
      </c>
      <c r="E60" s="35" t="n">
        <v>5.399999999999999</v>
      </c>
      <c r="F60" s="35" t="n">
        <v>6</v>
      </c>
      <c r="G60" s="35" t="n">
        <v>4.2</v>
      </c>
      <c r="H60" s="35" t="n">
        <v>6.600000000000001</v>
      </c>
      <c r="I60" s="35" t="n">
        <v>3</v>
      </c>
      <c r="J60" s="35" t="n">
        <v>2.4</v>
      </c>
      <c r="K60" s="35" t="n">
        <v>70</v>
      </c>
      <c r="L60" s="35" t="n">
        <v>1.8</v>
      </c>
      <c r="M60" s="35" t="n">
        <v>3</v>
      </c>
      <c r="N60" s="36">
        <f>SUM(B60:M60)</f>
        <v/>
      </c>
      <c r="O60" s="37">
        <f>SUMIF('HB TB'!$R:$R,'HB P&amp;L'!$A60,'HB TB'!C:C)</f>
        <v/>
      </c>
      <c r="P60" s="37">
        <f>SUMIF('HB TB'!$R:$R,'HB P&amp;L'!$A60,'HB TB'!D:D)</f>
        <v/>
      </c>
      <c r="Q60" s="37">
        <f>SUMIF('HB TB'!$R:$R,'HB P&amp;L'!$A60,'HB TB'!E:E)</f>
        <v/>
      </c>
      <c r="R60" s="37">
        <f>SUMIF('HB TB'!$R:$R,'HB P&amp;L'!$A60,'HB TB'!F:F)</f>
        <v/>
      </c>
      <c r="S60" s="37">
        <f>SUMIF('HB TB'!$R:$R,'HB P&amp;L'!$A60,'HB TB'!G:G)</f>
        <v/>
      </c>
      <c r="T60" s="37">
        <f>SUMIF('HB TB'!$R:$R,'HB P&amp;L'!$A60,'HB TB'!H:H)</f>
        <v/>
      </c>
      <c r="U60" s="37">
        <f>SUMIF('HB TB'!$R:$R,'HB P&amp;L'!$A60,'HB TB'!I:I)</f>
        <v/>
      </c>
      <c r="V60" s="38" t="n">
        <v>5</v>
      </c>
      <c r="W60" s="38" t="n">
        <v>5</v>
      </c>
      <c r="X60" s="38" t="n">
        <v>5</v>
      </c>
      <c r="Y60" s="38" t="n">
        <v>5</v>
      </c>
      <c r="Z60" s="38" t="n">
        <v>5</v>
      </c>
      <c r="AA60" s="36">
        <f>SUM(O60:U60)</f>
        <v/>
      </c>
      <c r="AB60" s="36">
        <f>SUM(O60:Z60)</f>
        <v/>
      </c>
      <c r="AC60" s="38" t="n">
        <v>5</v>
      </c>
      <c r="AD60" s="38" t="n">
        <v>5</v>
      </c>
      <c r="AE60" s="38" t="n">
        <v>5</v>
      </c>
      <c r="AF60" s="38" t="n">
        <v>5</v>
      </c>
      <c r="AG60" s="38" t="n">
        <v>5</v>
      </c>
      <c r="AH60" s="38" t="n">
        <v>5</v>
      </c>
      <c r="AI60" s="118" t="n">
        <v>5</v>
      </c>
      <c r="AJ60" s="119" t="n">
        <v>5</v>
      </c>
      <c r="AK60" s="119" t="n">
        <v>5</v>
      </c>
      <c r="AL60" s="119" t="n">
        <v>5</v>
      </c>
      <c r="AM60" s="120" t="n">
        <v>5</v>
      </c>
      <c r="AN60" s="118" t="n">
        <v>5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3.98</v>
      </c>
      <c r="D61" s="35" t="n">
        <v>29.96</v>
      </c>
      <c r="E61" s="35" t="n">
        <v>11.95</v>
      </c>
      <c r="F61" s="35" t="n">
        <v>14.88</v>
      </c>
      <c r="G61" s="35" t="n">
        <v>60.69</v>
      </c>
      <c r="H61" s="35" t="n">
        <v>102.51</v>
      </c>
      <c r="I61" s="35" t="n">
        <v>0</v>
      </c>
      <c r="J61" s="35" t="n">
        <v>0</v>
      </c>
      <c r="K61" s="35" t="n">
        <v>15.26</v>
      </c>
      <c r="L61" s="35" t="n">
        <v>12.12</v>
      </c>
      <c r="M61" s="35" t="n">
        <v>54</v>
      </c>
      <c r="N61" s="36">
        <f>SUM(B61:M61)</f>
        <v/>
      </c>
      <c r="O61" s="37">
        <f>SUMIF('HB TB'!$R:$R,'HB P&amp;L'!$A61,'HB TB'!C:C)</f>
        <v/>
      </c>
      <c r="P61" s="37">
        <f>SUMIF('HB TB'!$R:$R,'HB P&amp;L'!$A61,'HB TB'!D:D)</f>
        <v/>
      </c>
      <c r="Q61" s="37">
        <f>SUMIF('HB TB'!$R:$R,'HB P&amp;L'!$A61,'HB TB'!E:E)</f>
        <v/>
      </c>
      <c r="R61" s="37">
        <f>SUMIF('HB TB'!$R:$R,'HB P&amp;L'!$A61,'HB TB'!F:F)</f>
        <v/>
      </c>
      <c r="S61" s="37">
        <f>SUMIF('HB TB'!$R:$R,'HB P&amp;L'!$A61,'HB TB'!G:G)</f>
        <v/>
      </c>
      <c r="T61" s="37">
        <f>SUMIF('HB TB'!$R:$R,'HB P&amp;L'!$A61,'HB TB'!H:H)</f>
        <v/>
      </c>
      <c r="U61" s="37">
        <f>SUMIF('HB TB'!$R:$R,'HB P&amp;L'!$A61,'HB TB'!I:I)</f>
        <v/>
      </c>
      <c r="V61" s="38" t="n">
        <v>0</v>
      </c>
      <c r="W61" s="38" t="n">
        <v>0</v>
      </c>
      <c r="X61" s="38" t="n">
        <v>0</v>
      </c>
      <c r="Y61" s="38" t="n">
        <v>0</v>
      </c>
      <c r="Z61" s="38" t="n">
        <v>0</v>
      </c>
      <c r="AA61" s="36">
        <f>SUM(O61:U61)</f>
        <v/>
      </c>
      <c r="AB61" s="36">
        <f>SUM(O61:Z61)</f>
        <v/>
      </c>
      <c r="AC61" s="38" t="n">
        <v>0</v>
      </c>
      <c r="AD61" s="38" t="n">
        <v>0</v>
      </c>
      <c r="AE61" s="38" t="n">
        <v>0</v>
      </c>
      <c r="AF61" s="38" t="n">
        <v>0</v>
      </c>
      <c r="AG61" s="38" t="n">
        <v>0</v>
      </c>
      <c r="AH61" s="38" t="n">
        <v>0</v>
      </c>
      <c r="AI61" s="118" t="n">
        <v>0</v>
      </c>
      <c r="AJ61" s="119" t="n">
        <v>0</v>
      </c>
      <c r="AK61" s="119" t="n">
        <v>0</v>
      </c>
      <c r="AL61" s="119" t="n">
        <v>0</v>
      </c>
      <c r="AM61" s="120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18</v>
      </c>
      <c r="C62" s="35" t="n">
        <v>0</v>
      </c>
      <c r="D62" s="35" t="n">
        <v>80</v>
      </c>
      <c r="E62" s="35" t="n">
        <v>110</v>
      </c>
      <c r="F62" s="35" t="n">
        <v>330</v>
      </c>
      <c r="G62" s="35" t="n">
        <v>250</v>
      </c>
      <c r="H62" s="35" t="n">
        <v>0</v>
      </c>
      <c r="I62" s="35" t="n">
        <v>180</v>
      </c>
      <c r="J62" s="35" t="n">
        <v>70</v>
      </c>
      <c r="K62" s="35" t="n">
        <v>0</v>
      </c>
      <c r="L62" s="35" t="n">
        <v>40</v>
      </c>
      <c r="M62" s="35" t="n">
        <v>0</v>
      </c>
      <c r="N62" s="36">
        <f>SUM(B62:M62)</f>
        <v/>
      </c>
      <c r="O62" s="37">
        <f>SUMIF('HB TB'!$R:$R,'HB P&amp;L'!$A62,'HB TB'!C:C)</f>
        <v/>
      </c>
      <c r="P62" s="37">
        <f>SUMIF('HB TB'!$R:$R,'HB P&amp;L'!$A62,'HB TB'!D:D)</f>
        <v/>
      </c>
      <c r="Q62" s="37">
        <f>SUMIF('HB TB'!$R:$R,'HB P&amp;L'!$A62,'HB TB'!E:E)</f>
        <v/>
      </c>
      <c r="R62" s="37">
        <f>SUMIF('HB TB'!$R:$R,'HB P&amp;L'!$A62,'HB TB'!F:F)</f>
        <v/>
      </c>
      <c r="S62" s="37">
        <f>SUMIF('HB TB'!$R:$R,'HB P&amp;L'!$A62,'HB TB'!G:G)</f>
        <v/>
      </c>
      <c r="T62" s="37">
        <f>SUMIF('HB TB'!$R:$R,'HB P&amp;L'!$A62,'HB TB'!H:H)</f>
        <v/>
      </c>
      <c r="U62" s="37">
        <f>SUMIF('HB TB'!$R:$R,'HB P&amp;L'!$A62,'HB TB'!I:I)</f>
        <v/>
      </c>
      <c r="V62" s="38" t="n">
        <v>100</v>
      </c>
      <c r="W62" s="38" t="n">
        <v>100</v>
      </c>
      <c r="X62" s="38" t="n">
        <v>100</v>
      </c>
      <c r="Y62" s="38" t="n">
        <v>100</v>
      </c>
      <c r="Z62" s="38" t="n">
        <v>100</v>
      </c>
      <c r="AA62" s="36">
        <f>SUM(O62:U62)</f>
        <v/>
      </c>
      <c r="AB62" s="36">
        <f>SUM(O62:Z62)</f>
        <v/>
      </c>
      <c r="AC62" s="38" t="n">
        <v>100</v>
      </c>
      <c r="AD62" s="38" t="n">
        <v>100</v>
      </c>
      <c r="AE62" s="38" t="n">
        <v>100</v>
      </c>
      <c r="AF62" s="38" t="n">
        <v>100</v>
      </c>
      <c r="AG62" s="38" t="n">
        <v>100</v>
      </c>
      <c r="AH62" s="38" t="n">
        <v>100</v>
      </c>
      <c r="AI62" s="118" t="n">
        <v>100</v>
      </c>
      <c r="AJ62" s="119" t="n">
        <v>100</v>
      </c>
      <c r="AK62" s="119" t="n">
        <v>100</v>
      </c>
      <c r="AL62" s="119" t="n">
        <v>100</v>
      </c>
      <c r="AM62" s="120" t="n">
        <v>100</v>
      </c>
      <c r="AN62" s="118" t="n">
        <v>100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SUMIF('HB TB'!$R:$R,'HB P&amp;L'!$A63,'HB TB'!C:C)</f>
        <v/>
      </c>
      <c r="P63" s="37">
        <f>SUMIF('HB TB'!$R:$R,'HB P&amp;L'!$A63,'HB TB'!D:D)</f>
        <v/>
      </c>
      <c r="Q63" s="37">
        <f>SUMIF('HB TB'!$R:$R,'HB P&amp;L'!$A63,'HB TB'!E:E)</f>
        <v/>
      </c>
      <c r="R63" s="37">
        <f>SUMIF('HB TB'!$R:$R,'HB P&amp;L'!$A63,'HB TB'!F:F)</f>
        <v/>
      </c>
      <c r="S63" s="37">
        <f>SUMIF('HB TB'!$R:$R,'HB P&amp;L'!$A63,'HB TB'!G:G)</f>
        <v/>
      </c>
      <c r="T63" s="37">
        <f>SUMIF('HB TB'!$R:$R,'HB P&amp;L'!$A63,'HB TB'!H:H)</f>
        <v/>
      </c>
      <c r="U63" s="37">
        <f>SUMIF('HB TB'!$R:$R,'HB P&amp;L'!$A63,'HB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8" t="n">
        <v>0</v>
      </c>
      <c r="AJ63" s="119" t="n">
        <v>0</v>
      </c>
      <c r="AK63" s="119" t="n">
        <v>0</v>
      </c>
      <c r="AL63" s="119" t="n">
        <v>0</v>
      </c>
      <c r="AM63" s="120" t="n">
        <v>0</v>
      </c>
      <c r="AN63" s="118" t="n">
        <v>0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SUMIF('HB TB'!$R:$R,'HB P&amp;L'!$A64,'HB TB'!C:C)</f>
        <v/>
      </c>
      <c r="P64" s="37">
        <f>SUMIF('HB TB'!$R:$R,'HB P&amp;L'!$A64,'HB TB'!D:D)</f>
        <v/>
      </c>
      <c r="Q64" s="37">
        <f>SUMIF('HB TB'!$R:$R,'HB P&amp;L'!$A64,'HB TB'!E:E)</f>
        <v/>
      </c>
      <c r="R64" s="37">
        <f>SUMIF('HB TB'!$R:$R,'HB P&amp;L'!$A64,'HB TB'!F:F)</f>
        <v/>
      </c>
      <c r="S64" s="37">
        <f>SUMIF('HB TB'!$R:$R,'HB P&amp;L'!$A64,'HB TB'!G:G)</f>
        <v/>
      </c>
      <c r="T64" s="37">
        <f>SUMIF('HB TB'!$R:$R,'HB P&amp;L'!$A64,'HB TB'!H:H)</f>
        <v/>
      </c>
      <c r="U64" s="37">
        <f>SUMIF('HB TB'!$R:$R,'HB P&amp;L'!$A64,'HB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8" t="n">
        <v>0</v>
      </c>
      <c r="AJ64" s="119" t="n">
        <v>0</v>
      </c>
      <c r="AK64" s="119" t="n">
        <v>0</v>
      </c>
      <c r="AL64" s="119" t="n">
        <v>0</v>
      </c>
      <c r="AM64" s="120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SUMIF('HB TB'!$R:$R,'HB P&amp;L'!$A65,'HB TB'!C:C)</f>
        <v/>
      </c>
      <c r="P65" s="37">
        <f>SUMIF('HB TB'!$R:$R,'HB P&amp;L'!$A65,'HB TB'!D:D)</f>
        <v/>
      </c>
      <c r="Q65" s="37">
        <f>SUMIF('HB TB'!$R:$R,'HB P&amp;L'!$A65,'HB TB'!E:E)</f>
        <v/>
      </c>
      <c r="R65" s="37">
        <f>SUMIF('HB TB'!$R:$R,'HB P&amp;L'!$A65,'HB TB'!F:F)</f>
        <v/>
      </c>
      <c r="S65" s="37">
        <f>SUMIF('HB TB'!$R:$R,'HB P&amp;L'!$A65,'HB TB'!G:G)</f>
        <v/>
      </c>
      <c r="T65" s="37">
        <f>SUMIF('HB TB'!$R:$R,'HB P&amp;L'!$A65,'HB TB'!H:H)</f>
        <v/>
      </c>
      <c r="U65" s="37">
        <f>SUMIF('HB TB'!$R:$R,'HB P&amp;L'!$A65,'HB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8" t="n">
        <v>0</v>
      </c>
      <c r="AJ65" s="119" t="n">
        <v>0</v>
      </c>
      <c r="AK65" s="119" t="n">
        <v>0</v>
      </c>
      <c r="AL65" s="119" t="n">
        <v>0</v>
      </c>
      <c r="AM65" s="120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SUMIF('HB TB'!$R:$R,'HB P&amp;L'!$A66,'HB TB'!C:C)</f>
        <v/>
      </c>
      <c r="P66" s="37">
        <f>SUMIF('HB TB'!$R:$R,'HB P&amp;L'!$A66,'HB TB'!D:D)</f>
        <v/>
      </c>
      <c r="Q66" s="37">
        <f>SUMIF('HB TB'!$R:$R,'HB P&amp;L'!$A66,'HB TB'!E:E)</f>
        <v/>
      </c>
      <c r="R66" s="37">
        <f>SUMIF('HB TB'!$R:$R,'HB P&amp;L'!$A66,'HB TB'!F:F)</f>
        <v/>
      </c>
      <c r="S66" s="37">
        <f>SUMIF('HB TB'!$R:$R,'HB P&amp;L'!$A66,'HB TB'!G:G)</f>
        <v/>
      </c>
      <c r="T66" s="37">
        <f>SUMIF('HB TB'!$R:$R,'HB P&amp;L'!$A66,'HB TB'!H:H)</f>
        <v/>
      </c>
      <c r="U66" s="37">
        <f>SUMIF('HB TB'!$R:$R,'HB P&amp;L'!$A66,'HB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8" t="n">
        <v>0</v>
      </c>
      <c r="AJ66" s="119" t="n">
        <v>0</v>
      </c>
      <c r="AK66" s="119" t="n">
        <v>0</v>
      </c>
      <c r="AL66" s="119" t="n">
        <v>0</v>
      </c>
      <c r="AM66" s="120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SUMIF('HB TB'!$R:$R,'HB P&amp;L'!$A67,'HB TB'!C:C)</f>
        <v/>
      </c>
      <c r="P67" s="37">
        <f>SUMIF('HB TB'!$R:$R,'HB P&amp;L'!$A67,'HB TB'!D:D)</f>
        <v/>
      </c>
      <c r="Q67" s="37">
        <f>SUMIF('HB TB'!$R:$R,'HB P&amp;L'!$A67,'HB TB'!E:E)</f>
        <v/>
      </c>
      <c r="R67" s="37">
        <f>SUMIF('HB TB'!$R:$R,'HB P&amp;L'!$A67,'HB TB'!F:F)</f>
        <v/>
      </c>
      <c r="S67" s="37">
        <f>SUMIF('HB TB'!$R:$R,'HB P&amp;L'!$A67,'HB TB'!G:G)</f>
        <v/>
      </c>
      <c r="T67" s="37">
        <f>SUMIF('HB TB'!$R:$R,'HB P&amp;L'!$A67,'HB TB'!H:H)</f>
        <v/>
      </c>
      <c r="U67" s="37">
        <f>SUMIF('HB TB'!$R:$R,'HB P&amp;L'!$A67,'HB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8" t="n">
        <v>0</v>
      </c>
      <c r="AJ67" s="119" t="n">
        <v>0</v>
      </c>
      <c r="AK67" s="119" t="n">
        <v>0</v>
      </c>
      <c r="AL67" s="119" t="n">
        <v>0</v>
      </c>
      <c r="AM67" s="120" t="n">
        <v>0</v>
      </c>
      <c r="AN67" s="118" t="n">
        <v>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SUMIF('HB TB'!$R:$R,'HB P&amp;L'!$A68,'HB TB'!C:C)</f>
        <v/>
      </c>
      <c r="P68" s="37">
        <f>SUMIF('HB TB'!$R:$R,'HB P&amp;L'!$A68,'HB TB'!D:D)</f>
        <v/>
      </c>
      <c r="Q68" s="37">
        <f>SUMIF('HB TB'!$R:$R,'HB P&amp;L'!$A68,'HB TB'!E:E)</f>
        <v/>
      </c>
      <c r="R68" s="37">
        <f>SUMIF('HB TB'!$R:$R,'HB P&amp;L'!$A68,'HB TB'!F:F)</f>
        <v/>
      </c>
      <c r="S68" s="37">
        <f>SUMIF('HB TB'!$R:$R,'HB P&amp;L'!$A68,'HB TB'!G:G)</f>
        <v/>
      </c>
      <c r="T68" s="37">
        <f>SUMIF('HB TB'!$R:$R,'HB P&amp;L'!$A68,'HB TB'!H:H)</f>
        <v/>
      </c>
      <c r="U68" s="37">
        <f>SUMIF('HB TB'!$R:$R,'HB P&amp;L'!$A68,'HB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8" t="n">
        <v>0</v>
      </c>
      <c r="AJ68" s="119" t="n">
        <v>0</v>
      </c>
      <c r="AK68" s="119" t="n">
        <v>0</v>
      </c>
      <c r="AL68" s="119" t="n">
        <v>0</v>
      </c>
      <c r="AM68" s="120" t="n">
        <v>0</v>
      </c>
      <c r="AN68" s="118" t="n">
        <v>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225.38</v>
      </c>
      <c r="C69" s="42" t="n">
        <v>210.16</v>
      </c>
      <c r="D69" s="42" t="n">
        <v>316.74</v>
      </c>
      <c r="E69" s="42" t="n">
        <v>328.73</v>
      </c>
      <c r="F69" s="42" t="n">
        <v>552.26</v>
      </c>
      <c r="G69" s="42" t="n">
        <v>516.27</v>
      </c>
      <c r="H69" s="42" t="n">
        <v>310.49</v>
      </c>
      <c r="I69" s="42" t="n">
        <v>384.38</v>
      </c>
      <c r="J69" s="42" t="n">
        <v>273.78</v>
      </c>
      <c r="K69" s="42" t="n">
        <v>300.06</v>
      </c>
      <c r="L69" s="42" t="n">
        <v>268.72</v>
      </c>
      <c r="M69" s="42" t="n">
        <v>432.18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3">
        <f>SUM(AI53:AI68)</f>
        <v/>
      </c>
      <c r="AJ69" s="124">
        <f>SUM(AJ53:AJ68)</f>
        <v/>
      </c>
      <c r="AK69" s="124">
        <f>SUM(AK53:AK68)</f>
        <v/>
      </c>
      <c r="AL69" s="124">
        <f>SUM(AL53:AL68)</f>
        <v/>
      </c>
      <c r="AM69" s="124">
        <f>SUM(AM53:AM68)</f>
        <v/>
      </c>
      <c r="AN69" s="123">
        <f>SUM(AN53:AN68)</f>
        <v/>
      </c>
      <c r="AO69" s="125">
        <f>SUM(AC69:AH69)+SUM(AI69:AN69)</f>
        <v/>
      </c>
      <c r="AP69" s="126">
        <f>IF(AB69&lt;&gt;0,(AO69-AB69)/ABS(AB69),0)</f>
        <v/>
      </c>
    </row>
    <row r="70">
      <c r="A70" s="54" t="inlineStr">
        <is>
          <t>EBITDA</t>
        </is>
      </c>
      <c r="B70" s="55" t="n">
        <v>19840.16</v>
      </c>
      <c r="C70" s="55" t="n">
        <v>11919.90000000001</v>
      </c>
      <c r="D70" s="55" t="n">
        <v>23564.37</v>
      </c>
      <c r="E70" s="55" t="n">
        <v>21728.25</v>
      </c>
      <c r="F70" s="55" t="n">
        <v>13489.69</v>
      </c>
      <c r="G70" s="55" t="n">
        <v>11385.88</v>
      </c>
      <c r="H70" s="55" t="n">
        <v>46817.39000000001</v>
      </c>
      <c r="I70" s="55" t="n">
        <v>5746.48</v>
      </c>
      <c r="J70" s="55" t="n">
        <v>3400.480000000002</v>
      </c>
      <c r="K70" s="55" t="n">
        <v>8365.140000000005</v>
      </c>
      <c r="L70" s="55" t="n">
        <v>24122.25999999999</v>
      </c>
      <c r="M70" s="55" t="n">
        <v>34355.94000000001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0">
        <f>AI50-AI69</f>
        <v/>
      </c>
      <c r="AJ70" s="140">
        <f>AJ50-AJ69</f>
        <v/>
      </c>
      <c r="AK70" s="140">
        <f>AK50-AK69</f>
        <v/>
      </c>
      <c r="AL70" s="140">
        <f>AL50-AL69</f>
        <v/>
      </c>
      <c r="AM70" s="140">
        <f>AM50-AM69</f>
        <v/>
      </c>
      <c r="AN70" s="140">
        <f>AN50-AN69</f>
        <v/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60">
        <f>SUM(O72:T72)</f>
        <v/>
      </c>
      <c r="AB72" s="56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60" t="inlineStr">
        <is>
          <t>Memo</t>
        </is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60">
        <f>SUM(O73:T73)</f>
        <v/>
      </c>
      <c r="AB73" s="56" t="n"/>
      <c r="AC73" s="8" t="n"/>
      <c r="AD73" s="8" t="n"/>
      <c r="AE73" s="8" t="n"/>
      <c r="AF73" s="8" t="n"/>
      <c r="AG73" s="8" t="n"/>
      <c r="AH73" s="8" t="n"/>
      <c r="AI73" s="148" t="n">
        <v>0</v>
      </c>
      <c r="AJ73" s="148" t="n">
        <v>0</v>
      </c>
      <c r="AK73" s="148" t="n">
        <v>0</v>
      </c>
      <c r="AL73" s="148" t="n">
        <v>0</v>
      </c>
      <c r="AM73" s="148" t="n">
        <v>0</v>
      </c>
      <c r="AN73" s="148" t="n">
        <v>0</v>
      </c>
      <c r="AO73" s="145">
        <f>SUM(AC73:AH73)+SUM(AI73:AN73)</f>
        <v/>
      </c>
      <c r="AP73" s="142">
        <f>IF(AB73&lt;&gt;0,(AO73-AB73)/ABS(AB73),0)</f>
        <v/>
      </c>
    </row>
    <row r="74">
      <c r="A74" s="60" t="inlineStr">
        <is>
          <t>Direct - Sales</t>
        </is>
      </c>
      <c r="B74" s="60" t="n">
        <v>61503.97</v>
      </c>
      <c r="C74" s="60" t="n">
        <v>59645.76</v>
      </c>
      <c r="D74" s="60" t="n">
        <v>66901.66</v>
      </c>
      <c r="E74" s="60" t="n">
        <v>68107</v>
      </c>
      <c r="F74" s="60" t="n">
        <v>62743.32</v>
      </c>
      <c r="G74" s="60" t="n">
        <v>62857.84</v>
      </c>
      <c r="H74" s="60" t="n">
        <v>97384.39</v>
      </c>
      <c r="I74" s="60" t="n">
        <v>53550.42</v>
      </c>
      <c r="J74" s="60" t="n">
        <v>50986.47</v>
      </c>
      <c r="K74" s="8" t="n"/>
      <c r="L74" s="8" t="n"/>
      <c r="M74" s="8" t="n"/>
      <c r="N74" s="8" t="n"/>
      <c r="O74" s="60">
        <f>-SUMIF('HB TB'!$T:$T,'HB P&amp;L'!$A74,'HB TB'!C:C)</f>
        <v/>
      </c>
      <c r="P74" s="60">
        <f>-SUMIF('HB TB'!$T:$T,'HB P&amp;L'!$A74,'HB TB'!D:D)</f>
        <v/>
      </c>
      <c r="Q74" s="60">
        <f>-SUMIF('HB TB'!$T:$T,'HB P&amp;L'!$A74,'HB TB'!E:E)</f>
        <v/>
      </c>
      <c r="R74" s="60">
        <f>-SUMIF('HB TB'!$T:$T,'HB P&amp;L'!$A74,'HB TB'!F:F)</f>
        <v/>
      </c>
      <c r="S74" s="60">
        <f>-SUMIF('HB TB'!$T:$T,'HB P&amp;L'!$A74,'HB TB'!G:G)</f>
        <v/>
      </c>
      <c r="T74" s="60">
        <f>-SUMIF('HB TB'!$T:$T,'HB P&amp;L'!$A74,'HB TB'!H:H)</f>
        <v/>
      </c>
      <c r="U74" s="60">
        <f>-SUMIF('HB TB'!$T:$T,'HB P&amp;L'!$A74,'HB TB'!I:I)</f>
        <v/>
      </c>
      <c r="V74" s="60">
        <f>-SUMIF('HB TB'!$T:$T,'HB P&amp;L'!$A74,'HB TB'!J:J)</f>
        <v/>
      </c>
      <c r="W74" s="60">
        <f>-SUMIF('HB TB'!$T:$T,'HB P&amp;L'!$A74,'HB TB'!K:K)</f>
        <v/>
      </c>
      <c r="X74" s="60">
        <f>-SUMIF('HB TB'!$T:$T,'HB P&amp;L'!$A74,'HB TB'!L:L)</f>
        <v/>
      </c>
      <c r="Y74" s="60">
        <f>-SUMIF('HB TB'!$T:$T,'HB P&amp;L'!$A74,'HB TB'!M:M)</f>
        <v/>
      </c>
      <c r="Z74" s="60">
        <f>-SUMIF('HB TB'!$T:$T,'HB P&amp;L'!$A74,'HB TB'!N:N)</f>
        <v/>
      </c>
      <c r="AA74" s="60">
        <f>SUM(O74:T74)</f>
        <v/>
      </c>
      <c r="AB74" s="8" t="n"/>
      <c r="AC74" s="8" t="n"/>
      <c r="AD74" s="8" t="n"/>
      <c r="AE74" s="8" t="n"/>
      <c r="AF74" s="8" t="n"/>
      <c r="AG74" s="8" t="n"/>
      <c r="AH74" s="8" t="n"/>
      <c r="AI74" s="134" t="n">
        <v>0</v>
      </c>
      <c r="AJ74" s="134" t="n">
        <v>0</v>
      </c>
      <c r="AK74" s="134" t="n">
        <v>0</v>
      </c>
      <c r="AL74" s="134" t="n">
        <v>0</v>
      </c>
      <c r="AM74" s="134" t="n">
        <v>0</v>
      </c>
      <c r="AN74" s="134" t="n">
        <v>0</v>
      </c>
      <c r="AO74" s="145">
        <f>SUM(AC74:AH74)+SUM(AI74:AN74)</f>
        <v/>
      </c>
      <c r="AP74" s="142">
        <f>IF(AB74&lt;&gt;0,(AO74-AB74)/ABS(AB74),0)</f>
        <v/>
      </c>
    </row>
    <row r="75">
      <c r="A75" s="34" t="inlineStr">
        <is>
          <t>Direct - Staff Cost</t>
        </is>
      </c>
      <c r="B75" s="18" t="n">
        <v>-27701.32</v>
      </c>
      <c r="C75" s="18" t="n">
        <v>-29467.69</v>
      </c>
      <c r="D75" s="18" t="n">
        <v>-30030</v>
      </c>
      <c r="E75" s="18" t="n">
        <v>-33446.57</v>
      </c>
      <c r="F75" s="18" t="n">
        <v>-35440.64</v>
      </c>
      <c r="G75" s="18" t="n">
        <v>-37369.00000000001</v>
      </c>
      <c r="H75" s="18" t="n">
        <v>-36795.89</v>
      </c>
      <c r="I75" s="18" t="n">
        <v>-34385.2</v>
      </c>
      <c r="J75" s="18" t="n">
        <v>-34246.48</v>
      </c>
      <c r="K75" s="18" t="n"/>
      <c r="L75" s="18" t="n"/>
      <c r="M75" s="18" t="n"/>
      <c r="N75" s="8" t="n"/>
      <c r="O75" s="60">
        <f>-SUMIF('HB TB'!$T:$T,'HB P&amp;L'!$A75,'HB TB'!C:C)</f>
        <v/>
      </c>
      <c r="P75" s="60">
        <f>-SUMIF('HB TB'!$T:$T,'HB P&amp;L'!$A75,'HB TB'!D:D)</f>
        <v/>
      </c>
      <c r="Q75" s="60">
        <f>-SUMIF('HB TB'!$T:$T,'HB P&amp;L'!$A75,'HB TB'!E:E)</f>
        <v/>
      </c>
      <c r="R75" s="60">
        <f>-SUMIF('HB TB'!$T:$T,'HB P&amp;L'!$A75,'HB TB'!F:F)</f>
        <v/>
      </c>
      <c r="S75" s="60">
        <f>-SUMIF('HB TB'!$T:$T,'HB P&amp;L'!$A75,'HB TB'!G:G)</f>
        <v/>
      </c>
      <c r="T75" s="60">
        <f>-SUMIF('HB TB'!$T:$T,'HB P&amp;L'!$A75,'HB TB'!H:H)</f>
        <v/>
      </c>
      <c r="U75" s="60">
        <f>-SUMIF('HB TB'!$T:$T,'HB P&amp;L'!$A75,'HB TB'!I:I)</f>
        <v/>
      </c>
      <c r="V75" s="60">
        <f>-SUMIF('HB TB'!$T:$T,'HB P&amp;L'!$A75,'HB TB'!J:J)</f>
        <v/>
      </c>
      <c r="W75" s="60">
        <f>-SUMIF('HB TB'!$T:$T,'HB P&amp;L'!$A75,'HB TB'!K:K)</f>
        <v/>
      </c>
      <c r="X75" s="60">
        <f>-SUMIF('HB TB'!$T:$T,'HB P&amp;L'!$A75,'HB TB'!L:L)</f>
        <v/>
      </c>
      <c r="Y75" s="60">
        <f>-SUMIF('HB TB'!$T:$T,'HB P&amp;L'!$A75,'HB TB'!M:M)</f>
        <v/>
      </c>
      <c r="Z75" s="60">
        <f>-SUMIF('HB TB'!$T:$T,'HB P&amp;L'!$A75,'HB TB'!N:N)</f>
        <v/>
      </c>
      <c r="AA75" s="60">
        <f>SUM(O75:T75)</f>
        <v/>
      </c>
      <c r="AB75" s="8" t="n"/>
      <c r="AC75" s="8" t="n"/>
      <c r="AD75" s="8" t="n"/>
      <c r="AE75" s="8" t="n"/>
      <c r="AF75" s="8" t="n"/>
      <c r="AG75" s="8" t="n"/>
      <c r="AH75" s="8" t="n"/>
      <c r="AI75" s="134" t="n">
        <v>0</v>
      </c>
      <c r="AJ75" s="134" t="n">
        <v>0</v>
      </c>
      <c r="AK75" s="134" t="n">
        <v>0</v>
      </c>
      <c r="AL75" s="134" t="n">
        <v>0</v>
      </c>
      <c r="AM75" s="134" t="n">
        <v>0</v>
      </c>
      <c r="AN75" s="134" t="n">
        <v>0</v>
      </c>
      <c r="AO75" s="144">
        <f>SUM(AC75:AH75)+SUM(AI75:AN75)</f>
        <v/>
      </c>
      <c r="AP75" s="142">
        <f>IF(AB75&lt;&gt;0,(AO75-AB75)/ABS(AB75),0)</f>
        <v/>
      </c>
    </row>
    <row r="76">
      <c r="A76" s="60" t="inlineStr">
        <is>
          <t>Direct - Childcare Cost</t>
        </is>
      </c>
      <c r="B76" s="18" t="n">
        <v>-3448.529999999999</v>
      </c>
      <c r="C76" s="18" t="n">
        <v>-3337.56</v>
      </c>
      <c r="D76" s="18" t="n">
        <v>-2499.3</v>
      </c>
      <c r="E76" s="18" t="n">
        <v>-2440.14</v>
      </c>
      <c r="F76" s="18" t="n">
        <v>-2608.559999999999</v>
      </c>
      <c r="G76" s="18" t="n">
        <v>-2963.46</v>
      </c>
      <c r="H76" s="18" t="n">
        <v>-2814.09</v>
      </c>
      <c r="I76" s="18" t="n">
        <v>-2688.64</v>
      </c>
      <c r="J76" s="18" t="n">
        <v>-2523.02</v>
      </c>
      <c r="K76" s="18" t="n"/>
      <c r="L76" s="18" t="n"/>
      <c r="M76" s="18" t="n"/>
      <c r="N76" s="8" t="n"/>
      <c r="O76" s="60">
        <f>-SUMIF('HB TB'!$T:$T,'HB P&amp;L'!$A76,'HB TB'!C:C)</f>
        <v/>
      </c>
      <c r="P76" s="60">
        <f>-SUMIF('HB TB'!$T:$T,'HB P&amp;L'!$A76,'HB TB'!D:D)</f>
        <v/>
      </c>
      <c r="Q76" s="60">
        <f>-SUMIF('HB TB'!$T:$T,'HB P&amp;L'!$A76,'HB TB'!E:E)</f>
        <v/>
      </c>
      <c r="R76" s="60">
        <f>-SUMIF('HB TB'!$T:$T,'HB P&amp;L'!$A76,'HB TB'!F:F)</f>
        <v/>
      </c>
      <c r="S76" s="60">
        <f>-SUMIF('HB TB'!$T:$T,'HB P&amp;L'!$A76,'HB TB'!G:G)</f>
        <v/>
      </c>
      <c r="T76" s="60">
        <f>-SUMIF('HB TB'!$T:$T,'HB P&amp;L'!$A76,'HB TB'!H:H)</f>
        <v/>
      </c>
      <c r="U76" s="60">
        <f>-SUMIF('HB TB'!$T:$T,'HB P&amp;L'!$A76,'HB TB'!I:I)</f>
        <v/>
      </c>
      <c r="V76" s="60">
        <f>-SUMIF('HB TB'!$T:$T,'HB P&amp;L'!$A76,'HB TB'!J:J)</f>
        <v/>
      </c>
      <c r="W76" s="60">
        <f>-SUMIF('HB TB'!$T:$T,'HB P&amp;L'!$A76,'HB TB'!K:K)</f>
        <v/>
      </c>
      <c r="X76" s="60">
        <f>-SUMIF('HB TB'!$T:$T,'HB P&amp;L'!$A76,'HB TB'!L:L)</f>
        <v/>
      </c>
      <c r="Y76" s="60">
        <f>-SUMIF('HB TB'!$T:$T,'HB P&amp;L'!$A76,'HB TB'!M:M)</f>
        <v/>
      </c>
      <c r="Z76" s="60">
        <f>-SUMIF('HB TB'!$T:$T,'HB P&amp;L'!$A76,'HB TB'!N:N)</f>
        <v/>
      </c>
      <c r="AA76" s="60">
        <f>SUM(O76:T76)</f>
        <v/>
      </c>
      <c r="AB76" s="8" t="n"/>
      <c r="AC76" s="8" t="n"/>
      <c r="AD76" s="8" t="n"/>
      <c r="AE76" s="8" t="n"/>
      <c r="AF76" s="8" t="n"/>
      <c r="AG76" s="8" t="n"/>
      <c r="AH76" s="8" t="n"/>
      <c r="AI76" s="134" t="n">
        <v>0</v>
      </c>
      <c r="AJ76" s="134" t="n">
        <v>0</v>
      </c>
      <c r="AK76" s="134" t="n">
        <v>0</v>
      </c>
      <c r="AL76" s="134" t="n">
        <v>0</v>
      </c>
      <c r="AM76" s="134" t="n">
        <v>0</v>
      </c>
      <c r="AN76" s="134" t="n">
        <v>0</v>
      </c>
      <c r="AO76" s="144">
        <f>SUM(AC76:AH76)+SUM(AI76:AN76)</f>
        <v/>
      </c>
      <c r="AP76" s="142">
        <f>IF(AB76&lt;&gt;0,(AO76-AB76)/ABS(AB76),0)</f>
        <v/>
      </c>
    </row>
    <row r="77">
      <c r="A77" s="60" t="inlineStr">
        <is>
          <t>Direct - Premises &amp; Admin</t>
        </is>
      </c>
      <c r="B77" s="18" t="n">
        <v>-10288.58</v>
      </c>
      <c r="C77" s="18" t="n">
        <v>-14710.45</v>
      </c>
      <c r="D77" s="18" t="n">
        <v>-10491.25</v>
      </c>
      <c r="E77" s="18" t="n">
        <v>-10163.31</v>
      </c>
      <c r="F77" s="18" t="n">
        <v>-10652.17</v>
      </c>
      <c r="G77" s="18" t="n">
        <v>-10623.23</v>
      </c>
      <c r="H77" s="18" t="n">
        <v>-10646.53</v>
      </c>
      <c r="I77" s="18" t="n">
        <v>-10345.72</v>
      </c>
      <c r="J77" s="18" t="n">
        <v>-10542.71</v>
      </c>
      <c r="K77" s="18" t="n"/>
      <c r="L77" s="18" t="n"/>
      <c r="M77" s="18" t="n"/>
      <c r="N77" s="8" t="n"/>
      <c r="O77" s="60">
        <f>-SUMIF('HB TB'!$T:$T,'HB P&amp;L'!$A77,'HB TB'!C:C)</f>
        <v/>
      </c>
      <c r="P77" s="60">
        <f>-SUMIF('HB TB'!$T:$T,'HB P&amp;L'!$A77,'HB TB'!D:D)</f>
        <v/>
      </c>
      <c r="Q77" s="60">
        <f>-SUMIF('HB TB'!$T:$T,'HB P&amp;L'!$A77,'HB TB'!E:E)</f>
        <v/>
      </c>
      <c r="R77" s="60">
        <f>-SUMIF('HB TB'!$T:$T,'HB P&amp;L'!$A77,'HB TB'!F:F)</f>
        <v/>
      </c>
      <c r="S77" s="60">
        <f>-SUMIF('HB TB'!$T:$T,'HB P&amp;L'!$A77,'HB TB'!G:G)</f>
        <v/>
      </c>
      <c r="T77" s="60">
        <f>-SUMIF('HB TB'!$T:$T,'HB P&amp;L'!$A77,'HB TB'!H:H)</f>
        <v/>
      </c>
      <c r="U77" s="60">
        <f>-SUMIF('HB TB'!$T:$T,'HB P&amp;L'!$A77,'HB TB'!I:I)</f>
        <v/>
      </c>
      <c r="V77" s="60">
        <f>-SUMIF('HB TB'!$T:$T,'HB P&amp;L'!$A77,'HB TB'!J:J)</f>
        <v/>
      </c>
      <c r="W77" s="60">
        <f>-SUMIF('HB TB'!$T:$T,'HB P&amp;L'!$A77,'HB TB'!K:K)</f>
        <v/>
      </c>
      <c r="X77" s="60">
        <f>-SUMIF('HB TB'!$T:$T,'HB P&amp;L'!$A77,'HB TB'!L:L)</f>
        <v/>
      </c>
      <c r="Y77" s="60">
        <f>-SUMIF('HB TB'!$T:$T,'HB P&amp;L'!$A77,'HB TB'!M:M)</f>
        <v/>
      </c>
      <c r="Z77" s="60">
        <f>-SUMIF('HB TB'!$T:$T,'HB P&amp;L'!$A77,'HB TB'!N:N)</f>
        <v/>
      </c>
      <c r="AA77" s="60">
        <f>SUM(O77:T77)</f>
        <v/>
      </c>
      <c r="AB77" s="8" t="n"/>
      <c r="AC77" s="8" t="n"/>
      <c r="AD77" s="8" t="n"/>
      <c r="AE77" s="8" t="n"/>
      <c r="AF77" s="8" t="n"/>
      <c r="AG77" s="8" t="n"/>
      <c r="AH77" s="8" t="n"/>
      <c r="AI77" s="134" t="n">
        <v>0</v>
      </c>
      <c r="AJ77" s="134" t="n">
        <v>0</v>
      </c>
      <c r="AK77" s="134" t="n">
        <v>0</v>
      </c>
      <c r="AL77" s="134" t="n">
        <v>0</v>
      </c>
      <c r="AM77" s="134" t="n">
        <v>0</v>
      </c>
      <c r="AN77" s="134" t="n">
        <v>0</v>
      </c>
      <c r="AO77" s="144">
        <f>SUM(AC77:AH77)+SUM(AI77:AN77)</f>
        <v/>
      </c>
      <c r="AP77" s="142">
        <f>IF(AB77&lt;&gt;0,(AO77-AB77)/ABS(AB77),0)</f>
        <v/>
      </c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/>
      <c r="L78" s="18" t="n"/>
      <c r="M78" s="18" t="n"/>
      <c r="N78" s="8" t="n"/>
      <c r="O78" s="60">
        <f>-SUMIF('HB TB'!$T:$T,'HB P&amp;L'!$A78,'HB TB'!C:C)</f>
        <v/>
      </c>
      <c r="P78" s="60">
        <f>-SUMIF('HB TB'!$T:$T,'HB P&amp;L'!$A78,'HB TB'!D:D)</f>
        <v/>
      </c>
      <c r="Q78" s="60">
        <f>-SUMIF('HB TB'!$T:$T,'HB P&amp;L'!$A78,'HB TB'!E:E)</f>
        <v/>
      </c>
      <c r="R78" s="60">
        <f>-SUMIF('HB TB'!$T:$T,'HB P&amp;L'!$A78,'HB TB'!F:F)</f>
        <v/>
      </c>
      <c r="S78" s="60">
        <f>-SUMIF('HB TB'!$T:$T,'HB P&amp;L'!$A78,'HB TB'!G:G)</f>
        <v/>
      </c>
      <c r="T78" s="60">
        <f>-SUMIF('HB TB'!$T:$T,'HB P&amp;L'!$A78,'HB TB'!H:H)</f>
        <v/>
      </c>
      <c r="U78" s="60">
        <f>-SUMIF('HB TB'!$T:$T,'HB P&amp;L'!$A78,'HB TB'!I:I)</f>
        <v/>
      </c>
      <c r="V78" s="60">
        <f>-SUMIF('HB TB'!$T:$T,'HB P&amp;L'!$A78,'HB TB'!J:J)</f>
        <v/>
      </c>
      <c r="W78" s="60">
        <f>-SUMIF('HB TB'!$T:$T,'HB P&amp;L'!$A78,'HB TB'!K:K)</f>
        <v/>
      </c>
      <c r="X78" s="60">
        <f>-SUMIF('HB TB'!$T:$T,'HB P&amp;L'!$A78,'HB TB'!L:L)</f>
        <v/>
      </c>
      <c r="Y78" s="60">
        <f>-SUMIF('HB TB'!$T:$T,'HB P&amp;L'!$A78,'HB TB'!M:M)</f>
        <v/>
      </c>
      <c r="Z78" s="60">
        <f>-SUMIF('HB TB'!$T:$T,'HB P&amp;L'!$A78,'HB TB'!N:N)</f>
        <v/>
      </c>
      <c r="AA78" s="60">
        <f>SUM(O78:T78)</f>
        <v/>
      </c>
      <c r="AB78" s="8" t="n"/>
      <c r="AC78" s="8" t="n"/>
      <c r="AD78" s="8" t="n"/>
      <c r="AE78" s="8" t="n"/>
      <c r="AF78" s="8" t="n"/>
      <c r="AG78" s="8" t="n"/>
      <c r="AH78" s="8" t="n"/>
      <c r="AI78" s="134" t="n">
        <v>0</v>
      </c>
      <c r="AJ78" s="134" t="n">
        <v>0</v>
      </c>
      <c r="AK78" s="134" t="n">
        <v>0</v>
      </c>
      <c r="AL78" s="134" t="n">
        <v>0</v>
      </c>
      <c r="AM78" s="134" t="n">
        <v>0</v>
      </c>
      <c r="AN78" s="134" t="n">
        <v>0</v>
      </c>
      <c r="AO78" s="144">
        <f>SUM(AC78:AH78)+SUM(AI78:AN78)</f>
        <v/>
      </c>
      <c r="AP78" s="142">
        <f>IF(AB78&lt;&gt;0,(AO78-AB78)/ABS(AB78),0)</f>
        <v/>
      </c>
    </row>
    <row r="79">
      <c r="A79" s="60" t="inlineStr">
        <is>
          <t>In-Direct - Overheads</t>
        </is>
      </c>
      <c r="B79" s="18" t="n">
        <v>-225.38</v>
      </c>
      <c r="C79" s="18" t="n">
        <v>-210.16</v>
      </c>
      <c r="D79" s="18" t="n">
        <v>-316.74</v>
      </c>
      <c r="E79" s="18" t="n">
        <v>-328.73</v>
      </c>
      <c r="F79" s="18" t="n">
        <v>-552.26</v>
      </c>
      <c r="G79" s="18" t="n">
        <v>-516.27</v>
      </c>
      <c r="H79" s="18" t="n">
        <v>-310.49</v>
      </c>
      <c r="I79" s="18" t="n">
        <v>-384.38</v>
      </c>
      <c r="J79" s="18" t="n">
        <v>-273.78</v>
      </c>
      <c r="K79" s="18" t="n"/>
      <c r="L79" s="18" t="n"/>
      <c r="M79" s="18" t="n"/>
      <c r="N79" s="8" t="n"/>
      <c r="O79" s="60">
        <f>-SUMIF('HB TB'!$T:$T,'HB P&amp;L'!$A79,'HB TB'!C:C)</f>
        <v/>
      </c>
      <c r="P79" s="60">
        <f>-SUMIF('HB TB'!$T:$T,'HB P&amp;L'!$A79,'HB TB'!D:D)</f>
        <v/>
      </c>
      <c r="Q79" s="60">
        <f>-SUMIF('HB TB'!$T:$T,'HB P&amp;L'!$A79,'HB TB'!E:E)</f>
        <v/>
      </c>
      <c r="R79" s="60">
        <f>-SUMIF('HB TB'!$T:$T,'HB P&amp;L'!$A79,'HB TB'!F:F)</f>
        <v/>
      </c>
      <c r="S79" s="60">
        <f>-SUMIF('HB TB'!$T:$T,'HB P&amp;L'!$A79,'HB TB'!G:G)</f>
        <v/>
      </c>
      <c r="T79" s="60">
        <f>-SUMIF('HB TB'!$T:$T,'HB P&amp;L'!$A79,'HB TB'!H:H)</f>
        <v/>
      </c>
      <c r="U79" s="60">
        <f>-SUMIF('HB TB'!$T:$T,'HB P&amp;L'!$A79,'HB TB'!I:I)</f>
        <v/>
      </c>
      <c r="V79" s="60">
        <f>-SUMIF('HB TB'!$T:$T,'HB P&amp;L'!$A79,'HB TB'!J:J)</f>
        <v/>
      </c>
      <c r="W79" s="60">
        <f>-SUMIF('HB TB'!$T:$T,'HB P&amp;L'!$A79,'HB TB'!K:K)</f>
        <v/>
      </c>
      <c r="X79" s="60">
        <f>-SUMIF('HB TB'!$T:$T,'HB P&amp;L'!$A79,'HB TB'!L:L)</f>
        <v/>
      </c>
      <c r="Y79" s="60">
        <f>-SUMIF('HB TB'!$T:$T,'HB P&amp;L'!$A79,'HB TB'!M:M)</f>
        <v/>
      </c>
      <c r="Z79" s="60">
        <f>-SUMIF('HB TB'!$T:$T,'HB P&amp;L'!$A79,'HB TB'!N:N)</f>
        <v/>
      </c>
      <c r="AA79" s="60">
        <f>SUM(O79:T79)</f>
        <v/>
      </c>
      <c r="AB79" s="8" t="n"/>
      <c r="AC79" s="8" t="n"/>
      <c r="AD79" s="8" t="n"/>
      <c r="AE79" s="8" t="n"/>
      <c r="AF79" s="8" t="n"/>
      <c r="AG79" s="8" t="n"/>
      <c r="AH79" s="8" t="n"/>
      <c r="AI79" s="134" t="n">
        <v>0</v>
      </c>
      <c r="AJ79" s="134" t="n">
        <v>0</v>
      </c>
      <c r="AK79" s="134" t="n">
        <v>0</v>
      </c>
      <c r="AL79" s="134" t="n">
        <v>0</v>
      </c>
      <c r="AM79" s="134" t="n">
        <v>0</v>
      </c>
      <c r="AN79" s="134" t="n">
        <v>0</v>
      </c>
      <c r="AO79" s="144">
        <f>SUM(AC79:AH79)+SUM(AI79:AN79)</f>
        <v/>
      </c>
      <c r="AP79" s="142">
        <f>IF(AB79&lt;&gt;0,(AO79-AB79)/ABS(AB79),0)</f>
        <v/>
      </c>
    </row>
    <row r="80" ht="15.75" customHeight="1">
      <c r="A80" s="8" t="n"/>
      <c r="B80" s="67" t="n">
        <v>19840.16</v>
      </c>
      <c r="C80" s="67" t="n">
        <v>11919.9</v>
      </c>
      <c r="D80" s="67" t="n">
        <v>23564.37</v>
      </c>
      <c r="E80" s="67" t="n">
        <v>21728.25</v>
      </c>
      <c r="F80" s="67" t="n">
        <v>13489.69</v>
      </c>
      <c r="G80" s="67" t="n">
        <v>11385.88</v>
      </c>
      <c r="H80" s="67" t="n">
        <v>46817.39000000001</v>
      </c>
      <c r="I80" s="67" t="n">
        <v>5746.480000000002</v>
      </c>
      <c r="J80" s="67" t="n">
        <v>3400.479999999997</v>
      </c>
      <c r="K80" s="67" t="n"/>
      <c r="L80" s="67" t="n"/>
      <c r="M80" s="67" t="n"/>
      <c r="N80" s="64" t="n"/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4">
        <f>SUM(V74:V79)</f>
        <v/>
      </c>
      <c r="W80" s="64">
        <f>SUM(W74:W79)</f>
        <v/>
      </c>
      <c r="X80" s="64">
        <f>SUM(X74:X79)</f>
        <v/>
      </c>
      <c r="Y80" s="64">
        <f>SUM(Y74:Y79)</f>
        <v/>
      </c>
      <c r="Z80" s="64">
        <f>SUM(Z74:Z79)</f>
        <v/>
      </c>
      <c r="AA80" s="64">
        <f>SUM(O80:T80)</f>
        <v/>
      </c>
      <c r="AB80" s="8" t="n"/>
      <c r="AC80" s="64" t="n"/>
      <c r="AD80" s="64" t="n"/>
      <c r="AE80" s="64" t="n"/>
      <c r="AF80" s="64" t="n"/>
      <c r="AG80" s="64" t="n"/>
      <c r="AH80" s="64" t="n"/>
      <c r="AI80" s="134" t="n">
        <v>0</v>
      </c>
      <c r="AJ80" s="149" t="n">
        <v>0</v>
      </c>
      <c r="AK80" s="149" t="n">
        <v>0</v>
      </c>
      <c r="AL80" s="149" t="n">
        <v>0</v>
      </c>
      <c r="AM80" s="149" t="n">
        <v>0</v>
      </c>
      <c r="AN80" s="149" t="n">
        <v>0</v>
      </c>
      <c r="AO80" s="150">
        <f>SUM(AC80:AH80)+SUM(AI80:AN80)</f>
        <v/>
      </c>
      <c r="AP80" s="151">
        <f>IF(AB80&lt;&gt;0,(AO80-AB80)/ABS(AB80),0)</f>
        <v/>
      </c>
    </row>
    <row r="81" ht="15.75" customHeight="1">
      <c r="A81" s="8" t="n"/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0</v>
      </c>
      <c r="G81" s="18" t="n">
        <v>0</v>
      </c>
      <c r="H81" s="18" t="n">
        <v>0</v>
      </c>
      <c r="I81" s="18" t="n">
        <v>0</v>
      </c>
      <c r="J81" s="18" t="n">
        <v>5.456968210637569e-12</v>
      </c>
      <c r="K81" s="18" t="n"/>
      <c r="L81" s="18" t="n"/>
      <c r="M81" s="18" t="n"/>
      <c r="N81" s="8" t="n"/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34" t="n">
        <v>0</v>
      </c>
      <c r="AJ81" s="134" t="n">
        <v>0</v>
      </c>
      <c r="AK81" s="134" t="n">
        <v>0</v>
      </c>
      <c r="AL81" s="134" t="n">
        <v>0</v>
      </c>
      <c r="AM81" s="134" t="n">
        <v>0</v>
      </c>
      <c r="AN81" s="134" t="n">
        <v>0</v>
      </c>
      <c r="AO81" s="144">
        <f>SUM(AC81:AH81)+SUM(AI81:AN81)</f>
        <v/>
      </c>
      <c r="AP81" s="142">
        <f>IF(AB81&lt;&gt;0,(AO81-AB81)/ABS(AB81),0)</f>
        <v/>
      </c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18" t="n">
        <v>0</v>
      </c>
      <c r="C83" s="18" t="n">
        <v>0</v>
      </c>
      <c r="D83" s="18" t="n">
        <v>0</v>
      </c>
      <c r="E83" s="18" t="n">
        <v>0</v>
      </c>
      <c r="F83" s="18" t="n">
        <v>0</v>
      </c>
      <c r="G83" s="18" t="n">
        <v>0</v>
      </c>
      <c r="H83" s="18" t="n">
        <v>0</v>
      </c>
      <c r="I83" s="18" t="n">
        <v>9.094947017729282e-12</v>
      </c>
      <c r="J83" s="18" t="n">
        <v>-5.456968210637569e-12</v>
      </c>
      <c r="K83" s="18" t="n"/>
      <c r="L83" s="18" t="n"/>
      <c r="M83" s="18" t="n"/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34" t="n">
        <v>0</v>
      </c>
      <c r="AJ83" s="134" t="n">
        <v>0</v>
      </c>
      <c r="AK83" s="134" t="n">
        <v>0</v>
      </c>
      <c r="AL83" s="134" t="n">
        <v>0</v>
      </c>
      <c r="AM83" s="134" t="n">
        <v>0</v>
      </c>
      <c r="AN83" s="134" t="n">
        <v>0</v>
      </c>
      <c r="AO83" s="144">
        <f>SUM(AC83:AH83)+SUM(AI83:AN83)</f>
        <v/>
      </c>
      <c r="AP83" s="142">
        <f>IF(AB83&lt;&gt;0,(AO83-AB83)/ABS(AB83),0)</f>
        <v/>
      </c>
    </row>
    <row r="84">
      <c r="A84" s="8" t="n"/>
      <c r="B84" s="18" t="n">
        <v>-19840.15999999999</v>
      </c>
      <c r="C84" s="18" t="n">
        <v>-11919.9</v>
      </c>
      <c r="D84" s="18" t="n">
        <v>-23564.37</v>
      </c>
      <c r="E84" s="18" t="n">
        <v>-21728.25</v>
      </c>
      <c r="F84" s="18" t="n">
        <v>-13489.68999999999</v>
      </c>
      <c r="G84" s="18" t="n">
        <v>-11385.88</v>
      </c>
      <c r="H84" s="18" t="n">
        <v>-46817.38999999999</v>
      </c>
      <c r="I84" s="18" t="n">
        <v>-5746.479999999993</v>
      </c>
      <c r="J84" s="18" t="n">
        <v>-3400.480000000002</v>
      </c>
      <c r="K84" s="18" t="n"/>
      <c r="L84" s="18" t="n"/>
      <c r="M84" s="18" t="n"/>
      <c r="N84" s="8" t="n"/>
      <c r="O84" s="60">
        <f>SUM('HB TB'!C2:C43)</f>
        <v/>
      </c>
      <c r="P84" s="60">
        <f>SUM('HB TB'!D2:D43)</f>
        <v/>
      </c>
      <c r="Q84" s="60">
        <f>SUM('HB TB'!E2:E43)</f>
        <v/>
      </c>
      <c r="R84" s="60">
        <f>SUM('HB TB'!F2:F43)</f>
        <v/>
      </c>
      <c r="S84" s="60">
        <f>SUM('HB TB'!G2:G43)</f>
        <v/>
      </c>
      <c r="T84" s="60">
        <f>SUM('HB TB'!H2:H43)</f>
        <v/>
      </c>
      <c r="U84" s="60">
        <f>SUM('HB TB'!I2:I43)</f>
        <v/>
      </c>
      <c r="V84" s="60">
        <f>SUM('HB TB'!J2:J43)</f>
        <v/>
      </c>
      <c r="W84" s="60">
        <f>SUM('HB TB'!K2:K43)</f>
        <v/>
      </c>
      <c r="X84" s="60">
        <f>SUM('HB TB'!L2:L43)</f>
        <v/>
      </c>
      <c r="Y84" s="60">
        <f>SUM('HB TB'!M2:M43)</f>
        <v/>
      </c>
      <c r="Z84" s="60">
        <f>SUM('HB TB'!N2:N43)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134" t="n">
        <v>0</v>
      </c>
      <c r="AJ84" s="134" t="n">
        <v>0</v>
      </c>
      <c r="AK84" s="134" t="n">
        <v>0</v>
      </c>
      <c r="AL84" s="134" t="n">
        <v>0</v>
      </c>
      <c r="AM84" s="134" t="n">
        <v>0</v>
      </c>
      <c r="AN84" s="134" t="n">
        <v>0</v>
      </c>
      <c r="AO84" s="144">
        <f>SUM(AC84:AH84)+SUM(AI84:AN84)</f>
        <v/>
      </c>
      <c r="AP84" s="142">
        <f>IF(AB84&lt;&gt;0,(AO84-AB84)/ABS(AB84),0)</f>
        <v/>
      </c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</sheetData>
  <mergeCells count="1">
    <mergeCell ref="AI1:AQ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Our Den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0</v>
      </c>
      <c r="C8" s="35" t="n">
        <v>0</v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 t="n">
        <v>0</v>
      </c>
      <c r="J8" s="35" t="n">
        <v>1523.64</v>
      </c>
      <c r="K8" s="35" t="n">
        <v>993.6600000000001</v>
      </c>
      <c r="L8" s="35" t="n">
        <v>851.8</v>
      </c>
      <c r="M8" s="35" t="n">
        <v>1363.66</v>
      </c>
      <c r="N8" s="36">
        <f>SUM(B8:M8)</f>
        <v/>
      </c>
      <c r="O8" s="37">
        <f>-SUMIF('YBHN HS TB'!$R:$R,'HS P&amp;L'!$A8,'YBHN HS TB'!C:C)</f>
        <v/>
      </c>
      <c r="P8" s="37">
        <f>-SUMIF('YBHN HS TB'!$R:$R,'HS P&amp;L'!$A8,'YBHN HS TB'!D:D)</f>
        <v/>
      </c>
      <c r="Q8" s="37">
        <f>-SUMIF('YBHN HS TB'!$R:$R,'HS P&amp;L'!$A8,'YBHN HS TB'!E:E)</f>
        <v/>
      </c>
      <c r="R8" s="37">
        <f>-SUMIF('YBHN HS TB'!$R:$R,'HS P&amp;L'!$A8,'YBHN HS TB'!F:F)</f>
        <v/>
      </c>
      <c r="S8" s="37">
        <f>-SUMIF('YBHN HS TB'!$R:$R,'HS P&amp;L'!$A8,'YBHN HS TB'!G:G)</f>
        <v/>
      </c>
      <c r="T8" s="37">
        <f>-SUMIF('YBHN HS TB'!$R:$R,'HS P&amp;L'!$A8,'YBHN HS TB'!H:H)</f>
        <v/>
      </c>
      <c r="U8" s="37">
        <f>-SUMIF('YBHN HS TB'!$R:$R,'HS P&amp;L'!$A8,'YBHN HS TB'!I:I)</f>
        <v/>
      </c>
      <c r="V8" s="38" t="n">
        <v>0</v>
      </c>
      <c r="W8" s="38" t="n">
        <v>2465</v>
      </c>
      <c r="X8" s="38" t="n">
        <v>3423</v>
      </c>
      <c r="Y8" s="38" t="n">
        <v>4356</v>
      </c>
      <c r="Z8" s="38" t="n">
        <v>2857</v>
      </c>
      <c r="AA8" s="36">
        <f>SUM(O8:U8)</f>
        <v/>
      </c>
      <c r="AB8" s="36">
        <f>SUM(O8:Z8)</f>
        <v/>
      </c>
      <c r="AC8" s="38" t="n">
        <v>29839.75</v>
      </c>
      <c r="AD8" s="38" t="n">
        <v>21836.64</v>
      </c>
      <c r="AE8" s="38" t="n">
        <v>28707.94</v>
      </c>
      <c r="AF8" s="38" t="n">
        <v>22423.44</v>
      </c>
      <c r="AG8" s="38" t="n">
        <v>29115.52</v>
      </c>
      <c r="AH8" s="38" t="n">
        <v>27182.25</v>
      </c>
      <c r="AI8" s="118" t="n">
        <v>27182.25</v>
      </c>
      <c r="AJ8" s="119" t="n">
        <v>27182.25</v>
      </c>
      <c r="AK8" s="119" t="n">
        <v>27182.25</v>
      </c>
      <c r="AL8" s="119" t="n">
        <v>27182.25</v>
      </c>
      <c r="AM8" s="120" t="n">
        <v>27182.25</v>
      </c>
      <c r="AN8" s="118" t="n">
        <v>27182.25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0</v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  <c r="H9" s="35" t="n">
        <v>0</v>
      </c>
      <c r="I9" s="35" t="n">
        <v>0</v>
      </c>
      <c r="J9" s="35" t="n">
        <v>0</v>
      </c>
      <c r="K9" s="35" t="n">
        <v>0</v>
      </c>
      <c r="L9" s="35" t="n">
        <v>6791.83</v>
      </c>
      <c r="M9" s="35" t="n">
        <v>6791.83</v>
      </c>
      <c r="N9" s="36">
        <f>SUM(B9:M9)</f>
        <v/>
      </c>
      <c r="O9" s="37">
        <f>-SUMIF('YBHN HS TB'!$R:$R,'HS P&amp;L'!$A9,'YBHN HS TB'!C:C)</f>
        <v/>
      </c>
      <c r="P9" s="37">
        <f>-SUMIF('YBHN HS TB'!$R:$R,'HS P&amp;L'!$A9,'YBHN HS TB'!D:D)</f>
        <v/>
      </c>
      <c r="Q9" s="37">
        <f>-SUMIF('YBHN HS TB'!$R:$R,'HS P&amp;L'!$A9,'YBHN HS TB'!E:E)</f>
        <v/>
      </c>
      <c r="R9" s="37">
        <f>-SUMIF('YBHN HS TB'!$R:$R,'HS P&amp;L'!$A9,'YBHN HS TB'!F:F)</f>
        <v/>
      </c>
      <c r="S9" s="37">
        <f>-SUMIF('YBHN HS TB'!$R:$R,'HS P&amp;L'!$A9,'YBHN HS TB'!G:G)</f>
        <v/>
      </c>
      <c r="T9" s="37">
        <f>-SUMIF('YBHN HS TB'!$R:$R,'HS P&amp;L'!$A9,'YBHN HS TB'!H:H)</f>
        <v/>
      </c>
      <c r="U9" s="37">
        <f>-SUMIF('YBHN HS TB'!$R:$R,'HS P&amp;L'!$A9,'YBHN HS TB'!I:I)</f>
        <v/>
      </c>
      <c r="V9" s="38" t="n">
        <v>0</v>
      </c>
      <c r="W9" s="38" t="n">
        <v>20848</v>
      </c>
      <c r="X9" s="38" t="n">
        <v>20843</v>
      </c>
      <c r="Y9" s="38" t="n">
        <v>25973</v>
      </c>
      <c r="Z9" s="38" t="n">
        <v>17232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8" t="n">
        <v>0</v>
      </c>
      <c r="AJ9" s="119" t="n">
        <v>0</v>
      </c>
      <c r="AK9" s="119" t="n">
        <v>0</v>
      </c>
      <c r="AL9" s="119" t="n">
        <v>0</v>
      </c>
      <c r="AM9" s="120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-SUMIF('YBHN HS TB'!$R:$R,'HS P&amp;L'!$A10,'YBHN HS TB'!C:C)</f>
        <v/>
      </c>
      <c r="P10" s="37">
        <f>-SUMIF('YBHN HS TB'!$R:$R,'HS P&amp;L'!$A10,'YBHN HS TB'!D:D)</f>
        <v/>
      </c>
      <c r="Q10" s="37">
        <f>-SUMIF('YBHN HS TB'!$R:$R,'HS P&amp;L'!$A10,'YBHN HS TB'!E:E)</f>
        <v/>
      </c>
      <c r="R10" s="37">
        <f>-SUMIF('YBHN HS TB'!$R:$R,'HS P&amp;L'!$A10,'YBHN HS TB'!F:F)</f>
        <v/>
      </c>
      <c r="S10" s="37">
        <f>-SUMIF('YBHN HS TB'!$R:$R,'HS P&amp;L'!$A10,'YBHN HS TB'!G:G)</f>
        <v/>
      </c>
      <c r="T10" s="37">
        <f>-SUMIF('YBHN HS TB'!$R:$R,'HS P&amp;L'!$A10,'YBHN HS TB'!H:H)</f>
        <v/>
      </c>
      <c r="U10" s="37">
        <f>-SUMIF('YBHN HS TB'!$R:$R,'HS P&amp;L'!$A10,'YBHN HS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8" t="n">
        <v>0</v>
      </c>
      <c r="AJ10" s="119" t="n">
        <v>0</v>
      </c>
      <c r="AK10" s="119" t="n">
        <v>0</v>
      </c>
      <c r="AL10" s="119" t="n">
        <v>0</v>
      </c>
      <c r="AM10" s="120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0</v>
      </c>
      <c r="C11" s="42" t="n">
        <v>0</v>
      </c>
      <c r="D11" s="42" t="n">
        <v>0</v>
      </c>
      <c r="E11" s="42" t="n">
        <v>0</v>
      </c>
      <c r="F11" s="42" t="n">
        <v>0</v>
      </c>
      <c r="G11" s="42" t="n">
        <v>0</v>
      </c>
      <c r="H11" s="42" t="n">
        <v>0</v>
      </c>
      <c r="I11" s="42" t="n">
        <v>0</v>
      </c>
      <c r="J11" s="42" t="n">
        <v>1523.64</v>
      </c>
      <c r="K11" s="42" t="n">
        <v>993.6600000000001</v>
      </c>
      <c r="L11" s="42" t="n">
        <v>7643.63</v>
      </c>
      <c r="M11" s="42" t="n">
        <v>8155.49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3">
        <f>SUM(AI8:AI10)</f>
        <v/>
      </c>
      <c r="AJ11" s="124">
        <f>SUM(AJ8:AJ10)</f>
        <v/>
      </c>
      <c r="AK11" s="124">
        <f>SUM(AK8:AK10)</f>
        <v/>
      </c>
      <c r="AL11" s="124">
        <f>SUM(AL8:AL10)</f>
        <v/>
      </c>
      <c r="AM11" s="124">
        <f>SUM(AM8:AM10)</f>
        <v/>
      </c>
      <c r="AN11" s="123">
        <f>SUM(AN8:AN10)</f>
        <v/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7" t="n">
        <v>0</v>
      </c>
      <c r="AJ12" s="128" t="n">
        <v>0</v>
      </c>
      <c r="AK12" s="128" t="n">
        <v>0</v>
      </c>
      <c r="AL12" s="128" t="n">
        <v>0</v>
      </c>
      <c r="AM12" s="129" t="n">
        <v>0</v>
      </c>
      <c r="AN12" s="127" t="n">
        <v>0</v>
      </c>
      <c r="AO12" s="121">
        <f>SUM(AC12:AH12)+SUM(AI12:AN12)</f>
        <v/>
      </c>
      <c r="AP12" s="122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 t="n"/>
      <c r="F13" s="47" t="n"/>
      <c r="G13" s="47" t="n"/>
      <c r="H13" s="47" t="n"/>
      <c r="I13" s="47" t="n"/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 t="n">
        <v>0</v>
      </c>
      <c r="AJ13" s="131" t="n">
        <v>0</v>
      </c>
      <c r="AK13" s="131" t="n">
        <v>0</v>
      </c>
      <c r="AL13" s="131" t="n">
        <v>0</v>
      </c>
      <c r="AM13" s="132" t="n">
        <v>0</v>
      </c>
      <c r="AN13" s="130" t="n">
        <v>0</v>
      </c>
      <c r="AO13" s="133">
        <f>SUM(AC13:AH13)+SUM(AI13:AN13)</f>
        <v/>
      </c>
      <c r="AP13" s="122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0</v>
      </c>
      <c r="C16" s="35" t="n">
        <v>0</v>
      </c>
      <c r="D16" s="35" t="n">
        <v>0</v>
      </c>
      <c r="E16" s="35" t="n">
        <v>0</v>
      </c>
      <c r="F16" s="35" t="n">
        <v>0</v>
      </c>
      <c r="G16" s="35" t="n">
        <v>0</v>
      </c>
      <c r="H16" s="35" t="n">
        <v>0</v>
      </c>
      <c r="I16" s="35" t="n">
        <v>0</v>
      </c>
      <c r="J16" s="35" t="n">
        <v>6448.15</v>
      </c>
      <c r="K16" s="35" t="n">
        <v>6689.36</v>
      </c>
      <c r="L16" s="35" t="n">
        <v>6765.64</v>
      </c>
      <c r="M16" s="35" t="n">
        <v>6815.95</v>
      </c>
      <c r="N16" s="36">
        <f>SUM(B16:M16)</f>
        <v/>
      </c>
      <c r="O16" s="37">
        <f>SUMIF('YBHN HS TB'!$R:$R,'HS P&amp;L'!$A16,'YBHN HS TB'!C:C)</f>
        <v/>
      </c>
      <c r="P16" s="37">
        <f>SUMIF('YBHN HS TB'!$R:$R,'HS P&amp;L'!$A16,'YBHN HS TB'!D:D)</f>
        <v/>
      </c>
      <c r="Q16" s="37">
        <f>SUMIF('YBHN HS TB'!$R:$R,'HS P&amp;L'!$A16,'YBHN HS TB'!E:E)</f>
        <v/>
      </c>
      <c r="R16" s="37">
        <f>SUMIF('YBHN HS TB'!$R:$R,'HS P&amp;L'!$A16,'YBHN HS TB'!F:F)</f>
        <v/>
      </c>
      <c r="S16" s="37">
        <f>SUMIF('YBHN HS TB'!$R:$R,'HS P&amp;L'!$A16,'YBHN HS TB'!G:G)</f>
        <v/>
      </c>
      <c r="T16" s="37">
        <f>SUMIF('YBHN HS TB'!$R:$R,'HS P&amp;L'!$A16,'YBHN HS TB'!H:H)</f>
        <v/>
      </c>
      <c r="U16" s="37">
        <f>SUMIF('YBHN HS TB'!$R:$R,'HS P&amp;L'!$A16,'YBHN HS TB'!I:I)</f>
        <v/>
      </c>
      <c r="V16" s="38" t="n">
        <v>9114</v>
      </c>
      <c r="W16" s="38" t="n">
        <v>9114</v>
      </c>
      <c r="X16" s="38" t="n">
        <v>9114</v>
      </c>
      <c r="Y16" s="38" t="n">
        <v>9114</v>
      </c>
      <c r="Z16" s="38" t="n">
        <v>9114</v>
      </c>
      <c r="AA16" s="36">
        <f>SUM(O16:U16)</f>
        <v/>
      </c>
      <c r="AB16" s="36">
        <f>SUM(O16:Z16)</f>
        <v/>
      </c>
      <c r="AC16" s="38" t="n">
        <v>9114</v>
      </c>
      <c r="AD16" s="38" t="n">
        <v>9114</v>
      </c>
      <c r="AE16" s="38" t="n">
        <v>9114</v>
      </c>
      <c r="AF16" s="38" t="n">
        <v>9114</v>
      </c>
      <c r="AG16" s="38" t="n">
        <v>9114</v>
      </c>
      <c r="AH16" s="38" t="n">
        <v>9114</v>
      </c>
      <c r="AI16" s="118" t="n">
        <v>9114</v>
      </c>
      <c r="AJ16" s="119" t="n">
        <v>9114</v>
      </c>
      <c r="AK16" s="119" t="n">
        <v>9114</v>
      </c>
      <c r="AL16" s="119" t="n">
        <v>9114</v>
      </c>
      <c r="AM16" s="120" t="n">
        <v>9114</v>
      </c>
      <c r="AN16" s="118" t="n">
        <v>9114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0</v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654.47</v>
      </c>
      <c r="K17" s="35" t="n">
        <v>753.2</v>
      </c>
      <c r="L17" s="35" t="n">
        <v>764.64</v>
      </c>
      <c r="M17" s="35" t="n">
        <v>772.1800000000001</v>
      </c>
      <c r="N17" s="36">
        <f>SUM(B17:M17)</f>
        <v/>
      </c>
      <c r="O17" s="37">
        <f>SUMIF('YBHN HS TB'!$R:$R,'HS P&amp;L'!$A17,'YBHN HS TB'!C:C)</f>
        <v/>
      </c>
      <c r="P17" s="37">
        <f>SUMIF('YBHN HS TB'!$R:$R,'HS P&amp;L'!$A17,'YBHN HS TB'!D:D)</f>
        <v/>
      </c>
      <c r="Q17" s="37">
        <f>SUMIF('YBHN HS TB'!$R:$R,'HS P&amp;L'!$A17,'YBHN HS TB'!E:E)</f>
        <v/>
      </c>
      <c r="R17" s="37">
        <f>SUMIF('YBHN HS TB'!$R:$R,'HS P&amp;L'!$A17,'YBHN HS TB'!F:F)</f>
        <v/>
      </c>
      <c r="S17" s="37">
        <f>SUMIF('YBHN HS TB'!$R:$R,'HS P&amp;L'!$A17,'YBHN HS TB'!G:G)</f>
        <v/>
      </c>
      <c r="T17" s="37">
        <f>SUMIF('YBHN HS TB'!$R:$R,'HS P&amp;L'!$A17,'YBHN HS TB'!H:H)</f>
        <v/>
      </c>
      <c r="U17" s="37">
        <f>SUMIF('YBHN HS TB'!$R:$R,'HS P&amp;L'!$A17,'YBHN HS TB'!I:I)</f>
        <v/>
      </c>
      <c r="V17" s="38" t="n">
        <v>871</v>
      </c>
      <c r="W17" s="38" t="n">
        <v>871</v>
      </c>
      <c r="X17" s="38" t="n">
        <v>871</v>
      </c>
      <c r="Y17" s="38" t="n">
        <v>871</v>
      </c>
      <c r="Z17" s="38" t="n">
        <v>871</v>
      </c>
      <c r="AA17" s="36">
        <f>SUM(O17:U17)</f>
        <v/>
      </c>
      <c r="AB17" s="36">
        <f>SUM(O17:Z17)</f>
        <v/>
      </c>
      <c r="AC17" s="38" t="n">
        <v>871</v>
      </c>
      <c r="AD17" s="38" t="n">
        <v>871</v>
      </c>
      <c r="AE17" s="38" t="n">
        <v>871</v>
      </c>
      <c r="AF17" s="38" t="n">
        <v>871</v>
      </c>
      <c r="AG17" s="38" t="n">
        <v>871</v>
      </c>
      <c r="AH17" s="38" t="n">
        <v>871</v>
      </c>
      <c r="AI17" s="118" t="n">
        <v>871</v>
      </c>
      <c r="AJ17" s="119" t="n">
        <v>871</v>
      </c>
      <c r="AK17" s="119" t="n">
        <v>871</v>
      </c>
      <c r="AL17" s="119" t="n">
        <v>871</v>
      </c>
      <c r="AM17" s="120" t="n">
        <v>871</v>
      </c>
      <c r="AN17" s="118" t="n">
        <v>871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0</v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  <c r="H18" s="35" t="n">
        <v>0</v>
      </c>
      <c r="I18" s="35" t="n">
        <v>0</v>
      </c>
      <c r="J18" s="35" t="n">
        <v>0</v>
      </c>
      <c r="K18" s="35" t="n">
        <v>0</v>
      </c>
      <c r="L18" s="35" t="n">
        <v>140.54</v>
      </c>
      <c r="M18" s="35" t="n">
        <v>142.06</v>
      </c>
      <c r="N18" s="36">
        <f>SUM(B18:M18)</f>
        <v/>
      </c>
      <c r="O18" s="37">
        <f>SUMIF('YBHN HS TB'!$R:$R,'HS P&amp;L'!$A18,'YBHN HS TB'!C:C)</f>
        <v/>
      </c>
      <c r="P18" s="37">
        <f>SUMIF('YBHN HS TB'!$R:$R,'HS P&amp;L'!$A18,'YBHN HS TB'!D:D)</f>
        <v/>
      </c>
      <c r="Q18" s="37">
        <f>SUMIF('YBHN HS TB'!$R:$R,'HS P&amp;L'!$A18,'YBHN HS TB'!E:E)</f>
        <v/>
      </c>
      <c r="R18" s="37">
        <f>SUMIF('YBHN HS TB'!$R:$R,'HS P&amp;L'!$A18,'YBHN HS TB'!F:F)</f>
        <v/>
      </c>
      <c r="S18" s="37">
        <f>SUMIF('YBHN HS TB'!$R:$R,'HS P&amp;L'!$A18,'YBHN HS TB'!G:G)</f>
        <v/>
      </c>
      <c r="T18" s="37">
        <f>SUMIF('YBHN HS TB'!$R:$R,'HS P&amp;L'!$A18,'YBHN HS TB'!H:H)</f>
        <v/>
      </c>
      <c r="U18" s="37">
        <f>SUMIF('YBHN HS TB'!$R:$R,'HS P&amp;L'!$A18,'YBHN HS TB'!I:I)</f>
        <v/>
      </c>
      <c r="V18" s="38" t="n">
        <v>143.99</v>
      </c>
      <c r="W18" s="38" t="n">
        <v>143.99</v>
      </c>
      <c r="X18" s="38" t="n">
        <v>143.99</v>
      </c>
      <c r="Y18" s="38" t="n">
        <v>143.99</v>
      </c>
      <c r="Z18" s="38" t="n">
        <v>143.99</v>
      </c>
      <c r="AA18" s="36">
        <f>SUM(O18:U18)</f>
        <v/>
      </c>
      <c r="AB18" s="36">
        <f>SUM(O18:Z18)</f>
        <v/>
      </c>
      <c r="AC18" s="38" t="n">
        <v>143.99</v>
      </c>
      <c r="AD18" s="38" t="n">
        <v>143.99</v>
      </c>
      <c r="AE18" s="38" t="n">
        <v>143.99</v>
      </c>
      <c r="AF18" s="38" t="n">
        <v>143.99</v>
      </c>
      <c r="AG18" s="38" t="n">
        <v>143.99</v>
      </c>
      <c r="AH18" s="38" t="n">
        <v>143.99</v>
      </c>
      <c r="AI18" s="118" t="n">
        <v>143.99</v>
      </c>
      <c r="AJ18" s="119" t="n">
        <v>143.99</v>
      </c>
      <c r="AK18" s="119" t="n">
        <v>143.99</v>
      </c>
      <c r="AL18" s="119" t="n">
        <v>143.99</v>
      </c>
      <c r="AM18" s="120" t="n">
        <v>143.99</v>
      </c>
      <c r="AN18" s="118" t="n">
        <v>143.99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0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0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>
        <f>SUMIF('YBHN HS TB'!$R:$R,'HS P&amp;L'!$A19,'YBHN HS TB'!C:C)</f>
        <v/>
      </c>
      <c r="P19" s="37">
        <f>SUMIF('YBHN HS TB'!$R:$R,'HS P&amp;L'!$A19,'YBHN HS TB'!D:D)</f>
        <v/>
      </c>
      <c r="Q19" s="37">
        <f>SUMIF('YBHN HS TB'!$R:$R,'HS P&amp;L'!$A19,'YBHN HS TB'!E:E)</f>
        <v/>
      </c>
      <c r="R19" s="37">
        <f>SUMIF('YBHN HS TB'!$R:$R,'HS P&amp;L'!$A19,'YBHN HS TB'!F:F)</f>
        <v/>
      </c>
      <c r="S19" s="37">
        <f>SUMIF('YBHN HS TB'!$R:$R,'HS P&amp;L'!$A19,'YBHN HS TB'!G:G)</f>
        <v/>
      </c>
      <c r="T19" s="37">
        <f>SUMIF('YBHN HS TB'!$R:$R,'HS P&amp;L'!$A19,'YBHN HS TB'!H:H)</f>
        <v/>
      </c>
      <c r="U19" s="37">
        <f>SUMIF('YBHN HS TB'!$R:$R,'HS P&amp;L'!$A19,'YBHN HS TB'!I:I)</f>
        <v/>
      </c>
      <c r="V19" s="38" t="n">
        <v>20</v>
      </c>
      <c r="W19" s="38" t="n">
        <v>20</v>
      </c>
      <c r="X19" s="38" t="n">
        <v>20</v>
      </c>
      <c r="Y19" s="38" t="n">
        <v>20</v>
      </c>
      <c r="Z19" s="38" t="n">
        <v>20</v>
      </c>
      <c r="AA19" s="36">
        <f>SUM(O19:U19)</f>
        <v/>
      </c>
      <c r="AB19" s="36">
        <f>SUM(O19:Z19)</f>
        <v/>
      </c>
      <c r="AC19" s="38" t="n">
        <v>20</v>
      </c>
      <c r="AD19" s="38" t="n">
        <v>20</v>
      </c>
      <c r="AE19" s="38" t="n">
        <v>20</v>
      </c>
      <c r="AF19" s="38" t="n">
        <v>20</v>
      </c>
      <c r="AG19" s="38" t="n">
        <v>20</v>
      </c>
      <c r="AH19" s="38" t="n">
        <v>20</v>
      </c>
      <c r="AI19" s="118" t="n">
        <v>20</v>
      </c>
      <c r="AJ19" s="119" t="n">
        <v>20</v>
      </c>
      <c r="AK19" s="119" t="n">
        <v>20</v>
      </c>
      <c r="AL19" s="119" t="n">
        <v>20</v>
      </c>
      <c r="AM19" s="120" t="n">
        <v>20</v>
      </c>
      <c r="AN19" s="118" t="n">
        <v>20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0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0</v>
      </c>
      <c r="H20" s="35" t="n">
        <v>0</v>
      </c>
      <c r="I20" s="35" t="n">
        <v>0</v>
      </c>
      <c r="J20" s="35" t="n">
        <v>0</v>
      </c>
      <c r="K20" s="35" t="n">
        <v>0</v>
      </c>
      <c r="L20" s="35" t="n">
        <v>114</v>
      </c>
      <c r="M20" s="35" t="n">
        <v>0</v>
      </c>
      <c r="N20" s="36">
        <f>SUM(B20:M20)</f>
        <v/>
      </c>
      <c r="O20" s="37">
        <f>SUMIF('YBHN HS TB'!$R:$R,'HS P&amp;L'!$A20,'YBHN HS TB'!C:C)</f>
        <v/>
      </c>
      <c r="P20" s="37">
        <f>SUMIF('YBHN HS TB'!$R:$R,'HS P&amp;L'!$A20,'YBHN HS TB'!D:D)</f>
        <v/>
      </c>
      <c r="Q20" s="37">
        <f>SUMIF('YBHN HS TB'!$R:$R,'HS P&amp;L'!$A20,'YBHN HS TB'!E:E)</f>
        <v/>
      </c>
      <c r="R20" s="37">
        <f>SUMIF('YBHN HS TB'!$R:$R,'HS P&amp;L'!$A20,'YBHN HS TB'!F:F)</f>
        <v/>
      </c>
      <c r="S20" s="37">
        <f>SUMIF('YBHN HS TB'!$R:$R,'HS P&amp;L'!$A20,'YBHN HS TB'!G:G)</f>
        <v/>
      </c>
      <c r="T20" s="37">
        <f>SUMIF('YBHN HS TB'!$R:$R,'HS P&amp;L'!$A20,'YBHN HS TB'!H:H)</f>
        <v/>
      </c>
      <c r="U20" s="37">
        <f>SUMIF('YBHN HS TB'!$R:$R,'HS P&amp;L'!$A20,'YBHN HS TB'!I:I)</f>
        <v/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118" t="n">
        <v>100</v>
      </c>
      <c r="AJ20" s="119" t="n">
        <v>100</v>
      </c>
      <c r="AK20" s="119" t="n">
        <v>100</v>
      </c>
      <c r="AL20" s="119" t="n">
        <v>100</v>
      </c>
      <c r="AM20" s="120" t="n">
        <v>100</v>
      </c>
      <c r="AN20" s="118" t="n">
        <v>100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0</v>
      </c>
      <c r="C21" s="35" t="n">
        <v>0</v>
      </c>
      <c r="D21" s="35" t="n">
        <v>0</v>
      </c>
      <c r="E21" s="35" t="n">
        <v>0</v>
      </c>
      <c r="F21" s="35" t="n">
        <v>0</v>
      </c>
      <c r="G21" s="35" t="n">
        <v>0</v>
      </c>
      <c r="H21" s="35" t="n">
        <v>0</v>
      </c>
      <c r="I21" s="35" t="n">
        <v>0</v>
      </c>
      <c r="J21" s="35" t="n">
        <v>25.03</v>
      </c>
      <c r="K21" s="35" t="n">
        <v>25.27</v>
      </c>
      <c r="L21" s="35" t="n">
        <v>11.27</v>
      </c>
      <c r="M21" s="35" t="n">
        <v>0</v>
      </c>
      <c r="N21" s="36">
        <f>SUM(B21:M21)</f>
        <v/>
      </c>
      <c r="O21" s="37">
        <f>SUMIF('YBHN HS TB'!$R:$R,'HS P&amp;L'!$A21,'YBHN HS TB'!C:C)</f>
        <v/>
      </c>
      <c r="P21" s="37">
        <f>SUMIF('YBHN HS TB'!$R:$R,'HS P&amp;L'!$A21,'YBHN HS TB'!D:D)</f>
        <v/>
      </c>
      <c r="Q21" s="37">
        <f>SUMIF('YBHN HS TB'!$R:$R,'HS P&amp;L'!$A21,'YBHN HS TB'!E:E)</f>
        <v/>
      </c>
      <c r="R21" s="37">
        <f>SUMIF('YBHN HS TB'!$R:$R,'HS P&amp;L'!$A21,'YBHN HS TB'!F:F)</f>
        <v/>
      </c>
      <c r="S21" s="37">
        <f>SUMIF('YBHN HS TB'!$R:$R,'HS P&amp;L'!$A21,'YBHN HS TB'!G:G)</f>
        <v/>
      </c>
      <c r="T21" s="37">
        <f>SUMIF('YBHN HS TB'!$R:$R,'HS P&amp;L'!$A21,'YBHN HS TB'!H:H)</f>
        <v/>
      </c>
      <c r="U21" s="37">
        <f>SUMIF('YBHN HS TB'!$R:$R,'HS P&amp;L'!$A21,'YBHN HS TB'!I:I)</f>
        <v/>
      </c>
      <c r="V21" s="38" t="n">
        <v>40</v>
      </c>
      <c r="W21" s="38" t="n">
        <v>40</v>
      </c>
      <c r="X21" s="38" t="n">
        <v>40</v>
      </c>
      <c r="Y21" s="38" t="n">
        <v>40</v>
      </c>
      <c r="Z21" s="38" t="n">
        <v>40</v>
      </c>
      <c r="AA21" s="36">
        <f>SUM(O21:U21)</f>
        <v/>
      </c>
      <c r="AB21" s="36">
        <f>SUM(O21:Z21)</f>
        <v/>
      </c>
      <c r="AC21" s="38" t="n">
        <v>40</v>
      </c>
      <c r="AD21" s="38" t="n">
        <v>40</v>
      </c>
      <c r="AE21" s="38" t="n">
        <v>40</v>
      </c>
      <c r="AF21" s="38" t="n">
        <v>40</v>
      </c>
      <c r="AG21" s="38" t="n">
        <v>40</v>
      </c>
      <c r="AH21" s="38" t="n">
        <v>40</v>
      </c>
      <c r="AI21" s="118" t="n">
        <v>40</v>
      </c>
      <c r="AJ21" s="119" t="n">
        <v>40</v>
      </c>
      <c r="AK21" s="119" t="n">
        <v>40</v>
      </c>
      <c r="AL21" s="119" t="n">
        <v>40</v>
      </c>
      <c r="AM21" s="120" t="n">
        <v>40</v>
      </c>
      <c r="AN21" s="118" t="n">
        <v>40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SUMIF('YBHN HS TB'!$R:$R,'HS P&amp;L'!$A22,'YBHN HS TB'!C:C)</f>
        <v/>
      </c>
      <c r="P22" s="37">
        <f>SUMIF('YBHN HS TB'!$R:$R,'HS P&amp;L'!$A22,'YBHN HS TB'!D:D)</f>
        <v/>
      </c>
      <c r="Q22" s="37">
        <f>SUMIF('YBHN HS TB'!$R:$R,'HS P&amp;L'!$A22,'YBHN HS TB'!E:E)</f>
        <v/>
      </c>
      <c r="R22" s="37">
        <f>SUMIF('YBHN HS TB'!$R:$R,'HS P&amp;L'!$A22,'YBHN HS TB'!F:F)</f>
        <v/>
      </c>
      <c r="S22" s="37">
        <f>SUMIF('YBHN HS TB'!$R:$R,'HS P&amp;L'!$A22,'YBHN HS TB'!G:G)</f>
        <v/>
      </c>
      <c r="T22" s="37">
        <f>SUMIF('YBHN HS TB'!$R:$R,'HS P&amp;L'!$A22,'YBHN HS TB'!H:H)</f>
        <v/>
      </c>
      <c r="U22" s="37">
        <f>SUMIF('YBHN HS TB'!$R:$R,'HS P&amp;L'!$A22,'YBHN HS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8" t="n">
        <v>0</v>
      </c>
      <c r="AJ22" s="119" t="n">
        <v>0</v>
      </c>
      <c r="AK22" s="119" t="n">
        <v>0</v>
      </c>
      <c r="AL22" s="119" t="n">
        <v>0</v>
      </c>
      <c r="AM22" s="120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>
        <f>SUMIF('YBHN HS TB'!$R:$R,'HS P&amp;L'!$A23,'YBHN HS TB'!C:C)</f>
        <v/>
      </c>
      <c r="P23" s="37">
        <f>SUMIF('YBHN HS TB'!$R:$R,'HS P&amp;L'!$A23,'YBHN HS TB'!D:D)</f>
        <v/>
      </c>
      <c r="Q23" s="37">
        <f>SUMIF('YBHN HS TB'!$R:$R,'HS P&amp;L'!$A23,'YBHN HS TB'!E:E)</f>
        <v/>
      </c>
      <c r="R23" s="37">
        <f>SUMIF('YBHN HS TB'!$R:$R,'HS P&amp;L'!$A23,'YBHN HS TB'!F:F)</f>
        <v/>
      </c>
      <c r="S23" s="37">
        <f>SUMIF('YBHN HS TB'!$R:$R,'HS P&amp;L'!$A23,'YBHN HS TB'!G:G)</f>
        <v/>
      </c>
      <c r="T23" s="37">
        <f>SUMIF('YBHN HS TB'!$R:$R,'HS P&amp;L'!$A23,'YBHN HS TB'!H:H)</f>
        <v/>
      </c>
      <c r="U23" s="37">
        <f>SUMIF('YBHN HS TB'!$R:$R,'HS P&amp;L'!$A23,'YBHN HS TB'!I:I)</f>
        <v/>
      </c>
      <c r="V23" s="38" t="n">
        <v>17</v>
      </c>
      <c r="W23" s="38" t="n">
        <v>17</v>
      </c>
      <c r="X23" s="38" t="n">
        <v>17</v>
      </c>
      <c r="Y23" s="38" t="n">
        <v>17</v>
      </c>
      <c r="Z23" s="38" t="n">
        <v>17</v>
      </c>
      <c r="AA23" s="36">
        <f>SUM(O23:U23)</f>
        <v/>
      </c>
      <c r="AB23" s="36">
        <f>SUM(O23:Z23)</f>
        <v/>
      </c>
      <c r="AC23" s="38" t="n">
        <v>17</v>
      </c>
      <c r="AD23" s="38" t="n">
        <v>17</v>
      </c>
      <c r="AE23" s="38" t="n">
        <v>17</v>
      </c>
      <c r="AF23" s="38" t="n">
        <v>17</v>
      </c>
      <c r="AG23" s="38" t="n">
        <v>17</v>
      </c>
      <c r="AH23" s="38" t="n">
        <v>17</v>
      </c>
      <c r="AI23" s="118" t="n">
        <v>17</v>
      </c>
      <c r="AJ23" s="119" t="n">
        <v>17</v>
      </c>
      <c r="AK23" s="119" t="n">
        <v>17</v>
      </c>
      <c r="AL23" s="119" t="n">
        <v>17</v>
      </c>
      <c r="AM23" s="120" t="n">
        <v>17</v>
      </c>
      <c r="AN23" s="118" t="n">
        <v>17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SUMIF('YBHN HS TB'!$R:$R,'HS P&amp;L'!$A24,'YBHN HS TB'!C:C)</f>
        <v/>
      </c>
      <c r="P24" s="37">
        <f>SUMIF('YBHN HS TB'!$R:$R,'HS P&amp;L'!$A24,'YBHN HS TB'!D:D)</f>
        <v/>
      </c>
      <c r="Q24" s="37">
        <f>SUMIF('YBHN HS TB'!$R:$R,'HS P&amp;L'!$A24,'YBHN HS TB'!E:E)</f>
        <v/>
      </c>
      <c r="R24" s="37">
        <f>SUMIF('YBHN HS TB'!$R:$R,'HS P&amp;L'!$A24,'YBHN HS TB'!F:F)</f>
        <v/>
      </c>
      <c r="S24" s="37">
        <f>SUMIF('YBHN HS TB'!$R:$R,'HS P&amp;L'!$A24,'YBHN HS TB'!G:G)</f>
        <v/>
      </c>
      <c r="T24" s="37">
        <f>SUMIF('YBHN HS TB'!$R:$R,'HS P&amp;L'!$A24,'YBHN HS TB'!H:H)</f>
        <v/>
      </c>
      <c r="U24" s="37">
        <f>SUMIF('YBHN HS TB'!$R:$R,'HS P&amp;L'!$A24,'YBHN HS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8" t="n">
        <v>0</v>
      </c>
      <c r="AJ24" s="119" t="n">
        <v>0</v>
      </c>
      <c r="AK24" s="119" t="n">
        <v>0</v>
      </c>
      <c r="AL24" s="119" t="n">
        <v>0</v>
      </c>
      <c r="AM24" s="120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0</v>
      </c>
      <c r="C25" s="42" t="n">
        <v>0</v>
      </c>
      <c r="D25" s="42" t="n">
        <v>0</v>
      </c>
      <c r="E25" s="42" t="n">
        <v>0</v>
      </c>
      <c r="F25" s="42" t="n">
        <v>0</v>
      </c>
      <c r="G25" s="42" t="n">
        <v>0</v>
      </c>
      <c r="H25" s="42" t="n">
        <v>0</v>
      </c>
      <c r="I25" s="42" t="n">
        <v>0</v>
      </c>
      <c r="J25" s="42" t="n">
        <v>7127.65</v>
      </c>
      <c r="K25" s="42" t="n">
        <v>7467.83</v>
      </c>
      <c r="L25" s="42" t="n">
        <v>7796.090000000001</v>
      </c>
      <c r="M25" s="42" t="n">
        <v>7730.190000000001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3">
        <f>SUM(AI16:AI24)</f>
        <v/>
      </c>
      <c r="AJ25" s="124">
        <f>SUM(AJ16:AJ24)</f>
        <v/>
      </c>
      <c r="AK25" s="124">
        <f>SUM(AK16:AK24)</f>
        <v/>
      </c>
      <c r="AL25" s="124">
        <f>SUM(AL16:AL24)</f>
        <v/>
      </c>
      <c r="AM25" s="124">
        <f>SUM(AM16:AM24)</f>
        <v/>
      </c>
      <c r="AN25" s="123">
        <f>SUM(AN16:AN24)</f>
        <v/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7" t="n">
        <v>0</v>
      </c>
      <c r="AJ26" s="128" t="n">
        <v>0</v>
      </c>
      <c r="AK26" s="128" t="n">
        <v>0</v>
      </c>
      <c r="AL26" s="128" t="n">
        <v>0</v>
      </c>
      <c r="AM26" s="129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  <c r="H27" s="35" t="n">
        <v>0</v>
      </c>
      <c r="I27" s="35" t="n">
        <v>0</v>
      </c>
      <c r="J27" s="35" t="n">
        <v>125.31</v>
      </c>
      <c r="K27" s="35" t="n">
        <v>0</v>
      </c>
      <c r="L27" s="35" t="n">
        <v>0</v>
      </c>
      <c r="M27" s="35" t="n">
        <v>0</v>
      </c>
      <c r="N27" s="36">
        <f>SUM(B27:M27)</f>
        <v/>
      </c>
      <c r="O27" s="37">
        <f>SUMIF('YBHN HS TB'!$R:$R,'HS P&amp;L'!$A27,'YBHN HS TB'!C:C)</f>
        <v/>
      </c>
      <c r="P27" s="37">
        <f>SUMIF('YBHN HS TB'!$R:$R,'HS P&amp;L'!$A27,'YBHN HS TB'!D:D)</f>
        <v/>
      </c>
      <c r="Q27" s="37">
        <f>SUMIF('YBHN HS TB'!$R:$R,'HS P&amp;L'!$A27,'YBHN HS TB'!E:E)</f>
        <v/>
      </c>
      <c r="R27" s="37">
        <f>SUMIF('YBHN HS TB'!$R:$R,'HS P&amp;L'!$A27,'YBHN HS TB'!F:F)</f>
        <v/>
      </c>
      <c r="S27" s="37">
        <f>SUMIF('YBHN HS TB'!$R:$R,'HS P&amp;L'!$A27,'YBHN HS TB'!G:G)</f>
        <v/>
      </c>
      <c r="T27" s="37">
        <f>SUMIF('YBHN HS TB'!$R:$R,'HS P&amp;L'!$A27,'YBHN HS TB'!H:H)</f>
        <v/>
      </c>
      <c r="U27" s="37">
        <f>SUMIF('YBHN HS TB'!$R:$R,'HS P&amp;L'!$A27,'YBHN HS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18" t="n">
        <v>0</v>
      </c>
      <c r="AJ27" s="119" t="n">
        <v>0</v>
      </c>
      <c r="AK27" s="119" t="n">
        <v>0</v>
      </c>
      <c r="AL27" s="119" t="n">
        <v>0</v>
      </c>
      <c r="AM27" s="120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5" t="n">
        <v>0</v>
      </c>
      <c r="I28" s="35" t="n">
        <v>0</v>
      </c>
      <c r="J28" s="35" t="n">
        <v>3627.11</v>
      </c>
      <c r="K28" s="35" t="n">
        <v>38.69</v>
      </c>
      <c r="L28" s="35" t="n">
        <v>19.59</v>
      </c>
      <c r="M28" s="35" t="n">
        <v>0</v>
      </c>
      <c r="N28" s="36">
        <f>SUM(B28:M28)</f>
        <v/>
      </c>
      <c r="O28" s="37">
        <f>SUMIF('YBHN HS TB'!$R:$R,'HS P&amp;L'!$A28,'YBHN HS TB'!C:C)</f>
        <v/>
      </c>
      <c r="P28" s="37">
        <f>SUMIF('YBHN HS TB'!$R:$R,'HS P&amp;L'!$A28,'YBHN HS TB'!D:D)</f>
        <v/>
      </c>
      <c r="Q28" s="37">
        <f>SUMIF('YBHN HS TB'!$R:$R,'HS P&amp;L'!$A28,'YBHN HS TB'!E:E)</f>
        <v/>
      </c>
      <c r="R28" s="37">
        <f>SUMIF('YBHN HS TB'!$R:$R,'HS P&amp;L'!$A28,'YBHN HS TB'!F:F)</f>
        <v/>
      </c>
      <c r="S28" s="37">
        <f>SUMIF('YBHN HS TB'!$R:$R,'HS P&amp;L'!$A28,'YBHN HS TB'!G:G)</f>
        <v/>
      </c>
      <c r="T28" s="37">
        <f>SUMIF('YBHN HS TB'!$R:$R,'HS P&amp;L'!$A28,'YBHN HS TB'!H:H)</f>
        <v/>
      </c>
      <c r="U28" s="37">
        <f>SUMIF('YBHN HS TB'!$R:$R,'HS P&amp;L'!$A28,'YBHN HS TB'!I:I)</f>
        <v/>
      </c>
      <c r="V28" s="38" t="n">
        <v>54</v>
      </c>
      <c r="W28" s="38" t="n">
        <v>55</v>
      </c>
      <c r="X28" s="38" t="n">
        <v>56</v>
      </c>
      <c r="Y28" s="38" t="n">
        <v>57</v>
      </c>
      <c r="Z28" s="38" t="n">
        <v>58</v>
      </c>
      <c r="AA28" s="36">
        <f>SUM(O28:U28)</f>
        <v/>
      </c>
      <c r="AB28" s="36">
        <f>SUM(O28:Z28)</f>
        <v/>
      </c>
      <c r="AC28" s="38" t="n">
        <v>58</v>
      </c>
      <c r="AD28" s="38" t="n">
        <v>58</v>
      </c>
      <c r="AE28" s="38" t="n">
        <v>58</v>
      </c>
      <c r="AF28" s="38" t="n">
        <v>58</v>
      </c>
      <c r="AG28" s="38" t="n">
        <v>58</v>
      </c>
      <c r="AH28" s="38" t="n">
        <v>58</v>
      </c>
      <c r="AI28" s="118" t="n">
        <v>58</v>
      </c>
      <c r="AJ28" s="119" t="n">
        <v>58</v>
      </c>
      <c r="AK28" s="119" t="n">
        <v>58</v>
      </c>
      <c r="AL28" s="119" t="n">
        <v>58</v>
      </c>
      <c r="AM28" s="120" t="n">
        <v>58</v>
      </c>
      <c r="AN28" s="118" t="n">
        <v>58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5" t="n">
        <v>0</v>
      </c>
      <c r="J29" s="35" t="n">
        <v>141.54</v>
      </c>
      <c r="K29" s="35" t="n">
        <v>0</v>
      </c>
      <c r="L29" s="35" t="n">
        <v>118.68</v>
      </c>
      <c r="M29" s="35" t="n">
        <v>0</v>
      </c>
      <c r="N29" s="36">
        <f>SUM(B29:M29)</f>
        <v/>
      </c>
      <c r="O29" s="37">
        <f>SUMIF('YBHN HS TB'!$R:$R,'HS P&amp;L'!$A29,'YBHN HS TB'!C:C)</f>
        <v/>
      </c>
      <c r="P29" s="37">
        <f>SUMIF('YBHN HS TB'!$R:$R,'HS P&amp;L'!$A29,'YBHN HS TB'!D:D)</f>
        <v/>
      </c>
      <c r="Q29" s="37">
        <f>SUMIF('YBHN HS TB'!$R:$R,'HS P&amp;L'!$A29,'YBHN HS TB'!E:E)</f>
        <v/>
      </c>
      <c r="R29" s="37">
        <f>SUMIF('YBHN HS TB'!$R:$R,'HS P&amp;L'!$A29,'YBHN HS TB'!F:F)</f>
        <v/>
      </c>
      <c r="S29" s="37">
        <f>SUMIF('YBHN HS TB'!$R:$R,'HS P&amp;L'!$A29,'YBHN HS TB'!G:G)</f>
        <v/>
      </c>
      <c r="T29" s="37">
        <f>SUMIF('YBHN HS TB'!$R:$R,'HS P&amp;L'!$A29,'YBHN HS TB'!H:H)</f>
        <v/>
      </c>
      <c r="U29" s="37">
        <f>SUMIF('YBHN HS TB'!$R:$R,'HS P&amp;L'!$A29,'YBHN HS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18" t="n">
        <v>0</v>
      </c>
      <c r="AJ29" s="119" t="n">
        <v>0</v>
      </c>
      <c r="AK29" s="119" t="n">
        <v>0</v>
      </c>
      <c r="AL29" s="119" t="n">
        <v>0</v>
      </c>
      <c r="AM29" s="120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SUMIF('YBHN HS TB'!$R:$R,'HS P&amp;L'!$A30,'YBHN HS TB'!C:C)</f>
        <v/>
      </c>
      <c r="P30" s="37">
        <f>SUMIF('YBHN HS TB'!$R:$R,'HS P&amp;L'!$A30,'YBHN HS TB'!D:D)</f>
        <v/>
      </c>
      <c r="Q30" s="37">
        <f>SUMIF('YBHN HS TB'!$R:$R,'HS P&amp;L'!$A30,'YBHN HS TB'!E:E)</f>
        <v/>
      </c>
      <c r="R30" s="37">
        <f>SUMIF('YBHN HS TB'!$R:$R,'HS P&amp;L'!$A30,'YBHN HS TB'!F:F)</f>
        <v/>
      </c>
      <c r="S30" s="37">
        <f>SUMIF('YBHN HS TB'!$R:$R,'HS P&amp;L'!$A30,'YBHN HS TB'!G:G)</f>
        <v/>
      </c>
      <c r="T30" s="37">
        <f>SUMIF('YBHN HS TB'!$R:$R,'HS P&amp;L'!$A30,'YBHN HS TB'!H:H)</f>
        <v/>
      </c>
      <c r="U30" s="37">
        <f>SUMIF('YBHN HS TB'!$R:$R,'HS P&amp;L'!$A30,'YBHN HS TB'!I:I)</f>
        <v/>
      </c>
      <c r="V30" s="38" t="n">
        <v>50</v>
      </c>
      <c r="W30" s="38" t="n">
        <v>50</v>
      </c>
      <c r="X30" s="38" t="n">
        <v>50</v>
      </c>
      <c r="Y30" s="38" t="n">
        <v>50</v>
      </c>
      <c r="Z30" s="38" t="n">
        <v>50</v>
      </c>
      <c r="AA30" s="36">
        <f>SUM(O30:U30)</f>
        <v/>
      </c>
      <c r="AB30" s="36">
        <f>SUM(O30:Z30)</f>
        <v/>
      </c>
      <c r="AC30" s="38" t="n">
        <v>50</v>
      </c>
      <c r="AD30" s="38" t="n">
        <v>50</v>
      </c>
      <c r="AE30" s="38" t="n">
        <v>50</v>
      </c>
      <c r="AF30" s="38" t="n">
        <v>50</v>
      </c>
      <c r="AG30" s="38" t="n">
        <v>50</v>
      </c>
      <c r="AH30" s="38" t="n">
        <v>50</v>
      </c>
      <c r="AI30" s="118" t="n">
        <v>50</v>
      </c>
      <c r="AJ30" s="119" t="n">
        <v>50</v>
      </c>
      <c r="AK30" s="119" t="n">
        <v>50</v>
      </c>
      <c r="AL30" s="119" t="n">
        <v>50</v>
      </c>
      <c r="AM30" s="120" t="n">
        <v>50</v>
      </c>
      <c r="AN30" s="118" t="n">
        <v>50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0</v>
      </c>
      <c r="C31" s="35" t="n">
        <v>0</v>
      </c>
      <c r="D31" s="35" t="n">
        <v>0</v>
      </c>
      <c r="E31" s="35" t="n">
        <v>0</v>
      </c>
      <c r="F31" s="35" t="n">
        <v>0</v>
      </c>
      <c r="G31" s="35" t="n">
        <v>0</v>
      </c>
      <c r="H31" s="35" t="n">
        <v>0</v>
      </c>
      <c r="I31" s="35" t="n">
        <v>224.96</v>
      </c>
      <c r="J31" s="35" t="n">
        <v>196.03</v>
      </c>
      <c r="K31" s="35" t="n">
        <v>85.5</v>
      </c>
      <c r="L31" s="35" t="n">
        <v>39.63</v>
      </c>
      <c r="M31" s="35" t="n">
        <v>0</v>
      </c>
      <c r="N31" s="36">
        <f>SUM(B31:M31)</f>
        <v/>
      </c>
      <c r="O31" s="37">
        <f>SUMIF('YBHN HS TB'!$R:$R,'HS P&amp;L'!$A31,'YBHN HS TB'!C:C)</f>
        <v/>
      </c>
      <c r="P31" s="37">
        <f>SUMIF('YBHN HS TB'!$R:$R,'HS P&amp;L'!$A31,'YBHN HS TB'!D:D)</f>
        <v/>
      </c>
      <c r="Q31" s="37">
        <f>SUMIF('YBHN HS TB'!$R:$R,'HS P&amp;L'!$A31,'YBHN HS TB'!E:E)</f>
        <v/>
      </c>
      <c r="R31" s="37">
        <f>SUMIF('YBHN HS TB'!$R:$R,'HS P&amp;L'!$A31,'YBHN HS TB'!F:F)</f>
        <v/>
      </c>
      <c r="S31" s="37">
        <f>SUMIF('YBHN HS TB'!$R:$R,'HS P&amp;L'!$A31,'YBHN HS TB'!G:G)</f>
        <v/>
      </c>
      <c r="T31" s="37">
        <f>SUMIF('YBHN HS TB'!$R:$R,'HS P&amp;L'!$A31,'YBHN HS TB'!H:H)</f>
        <v/>
      </c>
      <c r="U31" s="37">
        <f>SUMIF('YBHN HS TB'!$R:$R,'HS P&amp;L'!$A31,'YBHN HS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8" t="n">
        <v>50</v>
      </c>
      <c r="AJ31" s="119" t="n">
        <v>50</v>
      </c>
      <c r="AK31" s="119" t="n">
        <v>50</v>
      </c>
      <c r="AL31" s="119" t="n">
        <v>50</v>
      </c>
      <c r="AM31" s="120" t="n">
        <v>50</v>
      </c>
      <c r="AN31" s="118" t="n">
        <v>50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0</v>
      </c>
      <c r="C32" s="35" t="n">
        <v>0</v>
      </c>
      <c r="D32" s="35" t="n">
        <v>0</v>
      </c>
      <c r="E32" s="35" t="n">
        <v>0</v>
      </c>
      <c r="F32" s="35" t="n">
        <v>0</v>
      </c>
      <c r="G32" s="35" t="n">
        <v>0</v>
      </c>
      <c r="H32" s="35" t="n">
        <v>9.300000000000001</v>
      </c>
      <c r="I32" s="35" t="n">
        <v>5.65</v>
      </c>
      <c r="J32" s="35" t="n">
        <v>15.98</v>
      </c>
      <c r="K32" s="35" t="n">
        <v>0</v>
      </c>
      <c r="L32" s="35" t="n">
        <v>0</v>
      </c>
      <c r="M32" s="35" t="n">
        <v>0</v>
      </c>
      <c r="N32" s="36">
        <f>SUM(B32:M32)</f>
        <v/>
      </c>
      <c r="O32" s="37">
        <f>SUMIF('YBHN HS TB'!$R:$R,'HS P&amp;L'!$A32,'YBHN HS TB'!C:C)</f>
        <v/>
      </c>
      <c r="P32" s="37">
        <f>SUMIF('YBHN HS TB'!$R:$R,'HS P&amp;L'!$A32,'YBHN HS TB'!D:D)</f>
        <v/>
      </c>
      <c r="Q32" s="37">
        <f>SUMIF('YBHN HS TB'!$R:$R,'HS P&amp;L'!$A32,'YBHN HS TB'!E:E)</f>
        <v/>
      </c>
      <c r="R32" s="37">
        <f>SUMIF('YBHN HS TB'!$R:$R,'HS P&amp;L'!$A32,'YBHN HS TB'!F:F)</f>
        <v/>
      </c>
      <c r="S32" s="37">
        <f>SUMIF('YBHN HS TB'!$R:$R,'HS P&amp;L'!$A32,'YBHN HS TB'!G:G)</f>
        <v/>
      </c>
      <c r="T32" s="37">
        <f>SUMIF('YBHN HS TB'!$R:$R,'HS P&amp;L'!$A32,'YBHN HS TB'!H:H)</f>
        <v/>
      </c>
      <c r="U32" s="37">
        <f>SUMIF('YBHN HS TB'!$R:$R,'HS P&amp;L'!$A32,'YBHN HS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18" t="n">
        <v>0</v>
      </c>
      <c r="AJ32" s="119" t="n">
        <v>0</v>
      </c>
      <c r="AK32" s="119" t="n">
        <v>0</v>
      </c>
      <c r="AL32" s="119" t="n">
        <v>0</v>
      </c>
      <c r="AM32" s="120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SUMIF('YBHN HS TB'!$R:$R,'HS P&amp;L'!$A33,'YBHN HS TB'!C:C)</f>
        <v/>
      </c>
      <c r="P33" s="37">
        <f>SUMIF('YBHN HS TB'!$R:$R,'HS P&amp;L'!$A33,'YBHN HS TB'!D:D)</f>
        <v/>
      </c>
      <c r="Q33" s="37">
        <f>SUMIF('YBHN HS TB'!$R:$R,'HS P&amp;L'!$A33,'YBHN HS TB'!E:E)</f>
        <v/>
      </c>
      <c r="R33" s="37">
        <f>SUMIF('YBHN HS TB'!$R:$R,'HS P&amp;L'!$A33,'YBHN HS TB'!F:F)</f>
        <v/>
      </c>
      <c r="S33" s="37">
        <f>SUMIF('YBHN HS TB'!$R:$R,'HS P&amp;L'!$A33,'YBHN HS TB'!G:G)</f>
        <v/>
      </c>
      <c r="T33" s="37">
        <f>SUMIF('YBHN HS TB'!$R:$R,'HS P&amp;L'!$A33,'YBHN HS TB'!H:H)</f>
        <v/>
      </c>
      <c r="U33" s="37">
        <f>SUMIF('YBHN HS TB'!$R:$R,'HS P&amp;L'!$A33,'YBHN HS TB'!I:I)</f>
        <v/>
      </c>
      <c r="V33" s="38" t="n">
        <v>4</v>
      </c>
      <c r="W33" s="38" t="n">
        <v>5</v>
      </c>
      <c r="X33" s="38" t="n">
        <v>6</v>
      </c>
      <c r="Y33" s="38" t="n">
        <v>7</v>
      </c>
      <c r="Z33" s="38" t="n">
        <v>8</v>
      </c>
      <c r="AA33" s="36">
        <f>SUM(O33:U33)</f>
        <v/>
      </c>
      <c r="AB33" s="36">
        <f>SUM(O33:Z33)</f>
        <v/>
      </c>
      <c r="AC33" s="38" t="n">
        <v>8</v>
      </c>
      <c r="AD33" s="38" t="n">
        <v>8</v>
      </c>
      <c r="AE33" s="38" t="n">
        <v>8</v>
      </c>
      <c r="AF33" s="38" t="n">
        <v>8</v>
      </c>
      <c r="AG33" s="38" t="n">
        <v>8</v>
      </c>
      <c r="AH33" s="38" t="n">
        <v>8</v>
      </c>
      <c r="AI33" s="118" t="n">
        <v>8</v>
      </c>
      <c r="AJ33" s="119" t="n">
        <v>8</v>
      </c>
      <c r="AK33" s="119" t="n">
        <v>8</v>
      </c>
      <c r="AL33" s="119" t="n">
        <v>8</v>
      </c>
      <c r="AM33" s="120" t="n">
        <v>8</v>
      </c>
      <c r="AN33" s="118" t="n">
        <v>8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0</v>
      </c>
      <c r="C34" s="42" t="n">
        <v>0</v>
      </c>
      <c r="D34" s="42" t="n">
        <v>0</v>
      </c>
      <c r="E34" s="42" t="n">
        <v>0</v>
      </c>
      <c r="F34" s="42" t="n">
        <v>0</v>
      </c>
      <c r="G34" s="42" t="n">
        <v>0</v>
      </c>
      <c r="H34" s="42" t="n">
        <v>9.300000000000001</v>
      </c>
      <c r="I34" s="42" t="n">
        <v>230.61</v>
      </c>
      <c r="J34" s="42" t="n">
        <v>4105.969999999999</v>
      </c>
      <c r="K34" s="42" t="n">
        <v>124.19</v>
      </c>
      <c r="L34" s="42" t="n">
        <v>177.9</v>
      </c>
      <c r="M34" s="42" t="n">
        <v>0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3">
        <f>SUM(AI27:AI33)</f>
        <v/>
      </c>
      <c r="AJ34" s="124">
        <f>SUM(AJ27:AJ33)</f>
        <v/>
      </c>
      <c r="AK34" s="124">
        <f>SUM(AK27:AK33)</f>
        <v/>
      </c>
      <c r="AL34" s="124">
        <f>SUM(AL27:AL33)</f>
        <v/>
      </c>
      <c r="AM34" s="124">
        <f>SUM(AM27:AM33)</f>
        <v/>
      </c>
      <c r="AN34" s="123">
        <f>SUM(AN27:AN33)</f>
        <v/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7" t="n">
        <v>0</v>
      </c>
      <c r="AJ35" s="128" t="n">
        <v>0</v>
      </c>
      <c r="AK35" s="128" t="n">
        <v>0</v>
      </c>
      <c r="AL35" s="128" t="n">
        <v>0</v>
      </c>
      <c r="AM35" s="129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352.17</v>
      </c>
      <c r="C36" s="35" t="n">
        <v>352.17</v>
      </c>
      <c r="D36" s="35" t="n">
        <v>352.17</v>
      </c>
      <c r="E36" s="35" t="n">
        <v>352.17</v>
      </c>
      <c r="F36" s="35" t="n">
        <v>352.16</v>
      </c>
      <c r="G36" s="35" t="n">
        <v>352.17</v>
      </c>
      <c r="H36" s="35" t="n">
        <v>352.17</v>
      </c>
      <c r="I36" s="35" t="n">
        <v>352.17</v>
      </c>
      <c r="J36" s="35" t="n">
        <v>352.16</v>
      </c>
      <c r="K36" s="35" t="n">
        <v>352.17</v>
      </c>
      <c r="L36" s="35" t="n">
        <v>352.17</v>
      </c>
      <c r="M36" s="35" t="n">
        <v>352.17</v>
      </c>
      <c r="N36" s="36">
        <f>SUM(B36:M36)</f>
        <v/>
      </c>
      <c r="O36" s="37">
        <f>SUMIF('YBHN HS TB'!$R:$R,'HS P&amp;L'!$A36,'YBHN HS TB'!C:C)</f>
        <v/>
      </c>
      <c r="P36" s="37">
        <f>SUMIF('YBHN HS TB'!$R:$R,'HS P&amp;L'!$A36,'YBHN HS TB'!D:D)</f>
        <v/>
      </c>
      <c r="Q36" s="37">
        <f>SUMIF('YBHN HS TB'!$R:$R,'HS P&amp;L'!$A36,'YBHN HS TB'!E:E)</f>
        <v/>
      </c>
      <c r="R36" s="37">
        <f>SUMIF('YBHN HS TB'!$R:$R,'HS P&amp;L'!$A36,'YBHN HS TB'!F:F)</f>
        <v/>
      </c>
      <c r="S36" s="37">
        <f>SUMIF('YBHN HS TB'!$R:$R,'HS P&amp;L'!$A36,'YBHN HS TB'!G:G)</f>
        <v/>
      </c>
      <c r="T36" s="37">
        <f>SUMIF('YBHN HS TB'!$R:$R,'HS P&amp;L'!$A36,'YBHN HS TB'!H:H)</f>
        <v/>
      </c>
      <c r="U36" s="37">
        <f>SUMIF('YBHN HS TB'!$R:$R,'HS P&amp;L'!$A36,'YBHN HS TB'!I:I)</f>
        <v/>
      </c>
      <c r="V36" s="38" t="n">
        <v>0</v>
      </c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8" t="n">
        <v>0</v>
      </c>
      <c r="AJ36" s="119" t="n">
        <v>0</v>
      </c>
      <c r="AK36" s="119" t="n">
        <v>0</v>
      </c>
      <c r="AL36" s="119" t="n">
        <v>0</v>
      </c>
      <c r="AM36" s="120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336.83</v>
      </c>
      <c r="C37" s="35" t="n">
        <v>336.83</v>
      </c>
      <c r="D37" s="35" t="n">
        <v>336.83</v>
      </c>
      <c r="E37" s="35" t="n">
        <v>336.83</v>
      </c>
      <c r="F37" s="35" t="n">
        <v>336.82</v>
      </c>
      <c r="G37" s="35" t="n">
        <v>336.83</v>
      </c>
      <c r="H37" s="35" t="n">
        <v>336.83</v>
      </c>
      <c r="I37" s="35" t="n">
        <v>336.83</v>
      </c>
      <c r="J37" s="35" t="n">
        <v>336.83</v>
      </c>
      <c r="K37" s="35" t="n">
        <v>336.83</v>
      </c>
      <c r="L37" s="35" t="n">
        <v>336.83</v>
      </c>
      <c r="M37" s="35" t="n">
        <v>336.83</v>
      </c>
      <c r="N37" s="36">
        <f>SUM(B37:M37)</f>
        <v/>
      </c>
      <c r="O37" s="37">
        <f>SUMIF('YBHN HS TB'!$R:$R,'HS P&amp;L'!$A37,'YBHN HS TB'!C:C)</f>
        <v/>
      </c>
      <c r="P37" s="37">
        <f>SUMIF('YBHN HS TB'!$R:$R,'HS P&amp;L'!$A37,'YBHN HS TB'!D:D)</f>
        <v/>
      </c>
      <c r="Q37" s="37">
        <f>SUMIF('YBHN HS TB'!$R:$R,'HS P&amp;L'!$A37,'YBHN HS TB'!E:E)</f>
        <v/>
      </c>
      <c r="R37" s="37">
        <f>SUMIF('YBHN HS TB'!$R:$R,'HS P&amp;L'!$A37,'YBHN HS TB'!F:F)</f>
        <v/>
      </c>
      <c r="S37" s="37">
        <f>SUMIF('YBHN HS TB'!$R:$R,'HS P&amp;L'!$A37,'YBHN HS TB'!G:G)</f>
        <v/>
      </c>
      <c r="T37" s="37">
        <f>SUMIF('YBHN HS TB'!$R:$R,'HS P&amp;L'!$A37,'YBHN HS TB'!H:H)</f>
        <v/>
      </c>
      <c r="U37" s="37">
        <f>SUMIF('YBHN HS TB'!$R:$R,'HS P&amp;L'!$A37,'YBHN HS TB'!I:I)</f>
        <v/>
      </c>
      <c r="V37" s="38" t="n">
        <v>459</v>
      </c>
      <c r="W37" s="38" t="n">
        <v>459</v>
      </c>
      <c r="X37" s="38" t="n">
        <v>459</v>
      </c>
      <c r="Y37" s="38" t="n">
        <v>459</v>
      </c>
      <c r="Z37" s="38" t="n">
        <v>459</v>
      </c>
      <c r="AA37" s="36">
        <f>SUM(O37:U37)</f>
        <v/>
      </c>
      <c r="AB37" s="36">
        <f>SUM(O37:Z37)</f>
        <v/>
      </c>
      <c r="AC37" s="38" t="n">
        <v>459</v>
      </c>
      <c r="AD37" s="38" t="n">
        <v>459</v>
      </c>
      <c r="AE37" s="38" t="n">
        <v>459</v>
      </c>
      <c r="AF37" s="38" t="n">
        <v>459</v>
      </c>
      <c r="AG37" s="38" t="n">
        <v>459</v>
      </c>
      <c r="AH37" s="38" t="n">
        <v>459</v>
      </c>
      <c r="AI37" s="118" t="n">
        <v>459</v>
      </c>
      <c r="AJ37" s="119" t="n">
        <v>459</v>
      </c>
      <c r="AK37" s="119" t="n">
        <v>459</v>
      </c>
      <c r="AL37" s="119" t="n">
        <v>459</v>
      </c>
      <c r="AM37" s="120" t="n">
        <v>459</v>
      </c>
      <c r="AN37" s="118" t="n">
        <v>459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33.48</v>
      </c>
      <c r="C38" s="35" t="n">
        <v>-23.92999999999999</v>
      </c>
      <c r="D38" s="35" t="n">
        <v>0</v>
      </c>
      <c r="E38" s="35" t="n">
        <v>0</v>
      </c>
      <c r="F38" s="35" t="n">
        <v>-219.14</v>
      </c>
      <c r="G38" s="35" t="n">
        <v>27.29</v>
      </c>
      <c r="H38" s="35" t="n">
        <v>26.41</v>
      </c>
      <c r="I38" s="35" t="n">
        <v>27.29</v>
      </c>
      <c r="J38" s="35" t="n">
        <v>26.05</v>
      </c>
      <c r="K38" s="35" t="n">
        <v>213.56</v>
      </c>
      <c r="L38" s="35" t="n">
        <v>334.75</v>
      </c>
      <c r="M38" s="35" t="n">
        <v>-109.84</v>
      </c>
      <c r="N38" s="36">
        <f>SUM(B38:M38)</f>
        <v/>
      </c>
      <c r="O38" s="37">
        <f>SUMIF('YBHN HS TB'!$R:$R,'HS P&amp;L'!$A38,'YBHN HS TB'!C:C)</f>
        <v/>
      </c>
      <c r="P38" s="37">
        <f>SUMIF('YBHN HS TB'!$R:$R,'HS P&amp;L'!$A38,'YBHN HS TB'!D:D)</f>
        <v/>
      </c>
      <c r="Q38" s="37">
        <f>SUMIF('YBHN HS TB'!$R:$R,'HS P&amp;L'!$A38,'YBHN HS TB'!E:E)</f>
        <v/>
      </c>
      <c r="R38" s="37">
        <f>SUMIF('YBHN HS TB'!$R:$R,'HS P&amp;L'!$A38,'YBHN HS TB'!F:F)</f>
        <v/>
      </c>
      <c r="S38" s="37">
        <f>SUMIF('YBHN HS TB'!$R:$R,'HS P&amp;L'!$A38,'YBHN HS TB'!G:G)</f>
        <v/>
      </c>
      <c r="T38" s="37">
        <f>SUMIF('YBHN HS TB'!$R:$R,'HS P&amp;L'!$A38,'YBHN HS TB'!H:H)</f>
        <v/>
      </c>
      <c r="U38" s="37">
        <f>SUMIF('YBHN HS TB'!$R:$R,'HS P&amp;L'!$A38,'YBHN HS TB'!I:I)</f>
        <v/>
      </c>
      <c r="V38" s="38" t="n">
        <v>260</v>
      </c>
      <c r="W38" s="38" t="n">
        <v>260</v>
      </c>
      <c r="X38" s="38" t="n">
        <v>260</v>
      </c>
      <c r="Y38" s="38" t="n">
        <v>260</v>
      </c>
      <c r="Z38" s="38" t="n">
        <v>260</v>
      </c>
      <c r="AA38" s="36">
        <f>SUM(O38:U38)</f>
        <v/>
      </c>
      <c r="AB38" s="36">
        <f>SUM(O38:Z38)</f>
        <v/>
      </c>
      <c r="AC38" s="38" t="n">
        <v>260</v>
      </c>
      <c r="AD38" s="38" t="n">
        <v>260</v>
      </c>
      <c r="AE38" s="38" t="n">
        <v>260</v>
      </c>
      <c r="AF38" s="38" t="n">
        <v>260</v>
      </c>
      <c r="AG38" s="38" t="n">
        <v>260</v>
      </c>
      <c r="AH38" s="38" t="n">
        <v>260</v>
      </c>
      <c r="AI38" s="118" t="n">
        <v>260</v>
      </c>
      <c r="AJ38" s="119" t="n">
        <v>260</v>
      </c>
      <c r="AK38" s="119" t="n">
        <v>260</v>
      </c>
      <c r="AL38" s="119" t="n">
        <v>260</v>
      </c>
      <c r="AM38" s="120" t="n">
        <v>260</v>
      </c>
      <c r="AN38" s="118" t="n">
        <v>260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0</v>
      </c>
      <c r="C39" s="35" t="n">
        <v>0</v>
      </c>
      <c r="D39" s="35" t="n">
        <v>0</v>
      </c>
      <c r="E39" s="35" t="n">
        <v>0</v>
      </c>
      <c r="F39" s="35" t="n">
        <v>0</v>
      </c>
      <c r="G39" s="35" t="n">
        <v>8439.74</v>
      </c>
      <c r="H39" s="35" t="n">
        <v>3019.400000000001</v>
      </c>
      <c r="I39" s="35" t="n">
        <v>850.47</v>
      </c>
      <c r="J39" s="35" t="n">
        <v>185.01</v>
      </c>
      <c r="K39" s="35" t="n">
        <v>0</v>
      </c>
      <c r="L39" s="35" t="n">
        <v>0</v>
      </c>
      <c r="M39" s="35" t="n">
        <v>108</v>
      </c>
      <c r="N39" s="36">
        <f>SUM(B39:M39)</f>
        <v/>
      </c>
      <c r="O39" s="37">
        <f>SUMIF('YBHN HS TB'!$R:$R,'HS P&amp;L'!$A39,'YBHN HS TB'!C:C)</f>
        <v/>
      </c>
      <c r="P39" s="37">
        <f>SUMIF('YBHN HS TB'!$R:$R,'HS P&amp;L'!$A39,'YBHN HS TB'!D:D)</f>
        <v/>
      </c>
      <c r="Q39" s="37">
        <f>SUMIF('YBHN HS TB'!$R:$R,'HS P&amp;L'!$A39,'YBHN HS TB'!E:E)</f>
        <v/>
      </c>
      <c r="R39" s="37">
        <f>SUMIF('YBHN HS TB'!$R:$R,'HS P&amp;L'!$A39,'YBHN HS TB'!F:F)</f>
        <v/>
      </c>
      <c r="S39" s="37">
        <f>SUMIF('YBHN HS TB'!$R:$R,'HS P&amp;L'!$A39,'YBHN HS TB'!G:G)</f>
        <v/>
      </c>
      <c r="T39" s="37">
        <f>SUMIF('YBHN HS TB'!$R:$R,'HS P&amp;L'!$A39,'YBHN HS TB'!H:H)</f>
        <v/>
      </c>
      <c r="U39" s="37">
        <f>SUMIF('YBHN HS TB'!$R:$R,'HS P&amp;L'!$A39,'YBHN HS TB'!I:I)</f>
        <v/>
      </c>
      <c r="V39" s="38" t="n">
        <v>500</v>
      </c>
      <c r="W39" s="38" t="n">
        <v>500</v>
      </c>
      <c r="X39" s="38" t="n">
        <v>500</v>
      </c>
      <c r="Y39" s="38" t="n">
        <v>500</v>
      </c>
      <c r="Z39" s="38" t="n">
        <v>500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8" t="n">
        <v>0</v>
      </c>
      <c r="AJ39" s="119" t="n">
        <v>0</v>
      </c>
      <c r="AK39" s="119" t="n">
        <v>0</v>
      </c>
      <c r="AL39" s="119" t="n">
        <v>0</v>
      </c>
      <c r="AM39" s="120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0</v>
      </c>
      <c r="C40" s="35" t="n">
        <v>0</v>
      </c>
      <c r="D40" s="35" t="n">
        <v>0</v>
      </c>
      <c r="E40" s="35" t="n">
        <v>0</v>
      </c>
      <c r="F40" s="35" t="n">
        <v>0</v>
      </c>
      <c r="G40" s="35" t="n">
        <v>0</v>
      </c>
      <c r="H40" s="35" t="n">
        <v>0</v>
      </c>
      <c r="I40" s="35" t="n">
        <v>0</v>
      </c>
      <c r="J40" s="35" t="n">
        <v>157.02</v>
      </c>
      <c r="K40" s="35" t="n">
        <v>0</v>
      </c>
      <c r="L40" s="35" t="n">
        <v>0</v>
      </c>
      <c r="M40" s="35" t="n">
        <v>0</v>
      </c>
      <c r="N40" s="36">
        <f>SUM(B40:M40)</f>
        <v/>
      </c>
      <c r="O40" s="37">
        <f>SUMIF('YBHN HS TB'!$R:$R,'HS P&amp;L'!$A40,'YBHN HS TB'!C:C)</f>
        <v/>
      </c>
      <c r="P40" s="37">
        <f>SUMIF('YBHN HS TB'!$R:$R,'HS P&amp;L'!$A40,'YBHN HS TB'!D:D)</f>
        <v/>
      </c>
      <c r="Q40" s="37">
        <f>SUMIF('YBHN HS TB'!$R:$R,'HS P&amp;L'!$A40,'YBHN HS TB'!E:E)</f>
        <v/>
      </c>
      <c r="R40" s="37">
        <f>SUMIF('YBHN HS TB'!$R:$R,'HS P&amp;L'!$A40,'YBHN HS TB'!F:F)</f>
        <v/>
      </c>
      <c r="S40" s="37">
        <f>SUMIF('YBHN HS TB'!$R:$R,'HS P&amp;L'!$A40,'YBHN HS TB'!G:G)</f>
        <v/>
      </c>
      <c r="T40" s="37">
        <f>SUMIF('YBHN HS TB'!$R:$R,'HS P&amp;L'!$A40,'YBHN HS TB'!H:H)</f>
        <v/>
      </c>
      <c r="U40" s="37">
        <f>SUMIF('YBHN HS TB'!$R:$R,'HS P&amp;L'!$A40,'YBHN HS TB'!I:I)</f>
        <v/>
      </c>
      <c r="V40" s="38" t="n">
        <v>160</v>
      </c>
      <c r="W40" s="38" t="n">
        <v>160</v>
      </c>
      <c r="X40" s="38" t="n">
        <v>160</v>
      </c>
      <c r="Y40" s="38" t="n">
        <v>160</v>
      </c>
      <c r="Z40" s="38" t="n">
        <v>160</v>
      </c>
      <c r="AA40" s="36">
        <f>SUM(O40:U40)</f>
        <v/>
      </c>
      <c r="AB40" s="36">
        <f>SUM(O40:Z40)</f>
        <v/>
      </c>
      <c r="AC40" s="38" t="n">
        <v>160</v>
      </c>
      <c r="AD40" s="38" t="n">
        <v>160</v>
      </c>
      <c r="AE40" s="38" t="n">
        <v>160</v>
      </c>
      <c r="AF40" s="38" t="n">
        <v>160</v>
      </c>
      <c r="AG40" s="38" t="n">
        <v>160</v>
      </c>
      <c r="AH40" s="38" t="n">
        <v>160</v>
      </c>
      <c r="AI40" s="118" t="n">
        <v>160</v>
      </c>
      <c r="AJ40" s="119" t="n">
        <v>160</v>
      </c>
      <c r="AK40" s="119" t="n">
        <v>160</v>
      </c>
      <c r="AL40" s="119" t="n">
        <v>160</v>
      </c>
      <c r="AM40" s="120" t="n">
        <v>160</v>
      </c>
      <c r="AN40" s="118" t="n">
        <v>160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0</v>
      </c>
      <c r="C41" s="35" t="n">
        <v>0</v>
      </c>
      <c r="D41" s="35" t="n">
        <v>0</v>
      </c>
      <c r="E41" s="35" t="n">
        <v>0</v>
      </c>
      <c r="F41" s="35" t="n">
        <v>0</v>
      </c>
      <c r="G41" s="35" t="n">
        <v>0</v>
      </c>
      <c r="H41" s="35" t="n">
        <v>0</v>
      </c>
      <c r="I41" s="35" t="n">
        <v>0</v>
      </c>
      <c r="J41" s="35" t="n">
        <v>469.6</v>
      </c>
      <c r="K41" s="35" t="n">
        <v>129.62</v>
      </c>
      <c r="L41" s="35" t="n">
        <v>323.75</v>
      </c>
      <c r="M41" s="35" t="n">
        <v>335.15</v>
      </c>
      <c r="N41" s="36">
        <f>SUM(B41:M41)</f>
        <v/>
      </c>
      <c r="O41" s="37">
        <f>SUMIF('YBHN HS TB'!$R:$R,'HS P&amp;L'!$A41,'YBHN HS TB'!C:C)</f>
        <v/>
      </c>
      <c r="P41" s="37">
        <f>SUMIF('YBHN HS TB'!$R:$R,'HS P&amp;L'!$A41,'YBHN HS TB'!D:D)</f>
        <v/>
      </c>
      <c r="Q41" s="37">
        <f>SUMIF('YBHN HS TB'!$R:$R,'HS P&amp;L'!$A41,'YBHN HS TB'!E:E)</f>
        <v/>
      </c>
      <c r="R41" s="37">
        <f>SUMIF('YBHN HS TB'!$R:$R,'HS P&amp;L'!$A41,'YBHN HS TB'!F:F)</f>
        <v/>
      </c>
      <c r="S41" s="37">
        <f>SUMIF('YBHN HS TB'!$R:$R,'HS P&amp;L'!$A41,'YBHN HS TB'!G:G)</f>
        <v/>
      </c>
      <c r="T41" s="37">
        <f>SUMIF('YBHN HS TB'!$R:$R,'HS P&amp;L'!$A41,'YBHN HS TB'!H:H)</f>
        <v/>
      </c>
      <c r="U41" s="37">
        <f>SUMIF('YBHN HS TB'!$R:$R,'HS P&amp;L'!$A41,'YBHN HS TB'!I:I)</f>
        <v/>
      </c>
      <c r="V41" s="38" t="n">
        <v>200</v>
      </c>
      <c r="W41" s="38" t="n">
        <v>200</v>
      </c>
      <c r="X41" s="38" t="n">
        <v>200</v>
      </c>
      <c r="Y41" s="38" t="n">
        <v>200</v>
      </c>
      <c r="Z41" s="38" t="n">
        <v>200</v>
      </c>
      <c r="AA41" s="36">
        <f>SUM(O41:U41)</f>
        <v/>
      </c>
      <c r="AB41" s="36">
        <f>SUM(O41:Z41)</f>
        <v/>
      </c>
      <c r="AC41" s="38" t="n">
        <v>200</v>
      </c>
      <c r="AD41" s="38" t="n">
        <v>200</v>
      </c>
      <c r="AE41" s="38" t="n">
        <v>200</v>
      </c>
      <c r="AF41" s="38" t="n">
        <v>200</v>
      </c>
      <c r="AG41" s="38" t="n">
        <v>200</v>
      </c>
      <c r="AH41" s="38" t="n">
        <v>200</v>
      </c>
      <c r="AI41" s="118" t="n">
        <v>200</v>
      </c>
      <c r="AJ41" s="119" t="n">
        <v>200</v>
      </c>
      <c r="AK41" s="119" t="n">
        <v>200</v>
      </c>
      <c r="AL41" s="119" t="n">
        <v>200</v>
      </c>
      <c r="AM41" s="120" t="n">
        <v>200</v>
      </c>
      <c r="AN41" s="118" t="n">
        <v>200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0</v>
      </c>
      <c r="C42" s="35" t="n">
        <v>0</v>
      </c>
      <c r="D42" s="35" t="n">
        <v>0</v>
      </c>
      <c r="E42" s="35" t="n">
        <v>0</v>
      </c>
      <c r="F42" s="35" t="n">
        <v>0</v>
      </c>
      <c r="G42" s="35" t="n">
        <v>0</v>
      </c>
      <c r="H42" s="35" t="n">
        <v>0</v>
      </c>
      <c r="I42" s="35" t="n">
        <v>227.2</v>
      </c>
      <c r="J42" s="35" t="n">
        <v>131.95</v>
      </c>
      <c r="K42" s="35" t="n">
        <v>0</v>
      </c>
      <c r="L42" s="35" t="n">
        <v>19.19</v>
      </c>
      <c r="M42" s="35" t="n">
        <v>0</v>
      </c>
      <c r="N42" s="36">
        <f>SUM(B42:M42)</f>
        <v/>
      </c>
      <c r="O42" s="37">
        <f>SUMIF('YBHN HS TB'!$R:$R,'HS P&amp;L'!$A42,'YBHN HS TB'!C:C)</f>
        <v/>
      </c>
      <c r="P42" s="37">
        <f>SUMIF('YBHN HS TB'!$R:$R,'HS P&amp;L'!$A42,'YBHN HS TB'!D:D)</f>
        <v/>
      </c>
      <c r="Q42" s="37">
        <f>SUMIF('YBHN HS TB'!$R:$R,'HS P&amp;L'!$A42,'YBHN HS TB'!E:E)</f>
        <v/>
      </c>
      <c r="R42" s="37">
        <f>SUMIF('YBHN HS TB'!$R:$R,'HS P&amp;L'!$A42,'YBHN HS TB'!F:F)</f>
        <v/>
      </c>
      <c r="S42" s="37">
        <f>SUMIF('YBHN HS TB'!$R:$R,'HS P&amp;L'!$A42,'YBHN HS TB'!G:G)</f>
        <v/>
      </c>
      <c r="T42" s="37">
        <f>SUMIF('YBHN HS TB'!$R:$R,'HS P&amp;L'!$A42,'YBHN HS TB'!H:H)</f>
        <v/>
      </c>
      <c r="U42" s="37">
        <f>SUMIF('YBHN HS TB'!$R:$R,'HS P&amp;L'!$A42,'YBHN HS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8" t="n">
        <v>0</v>
      </c>
      <c r="AJ42" s="119" t="n">
        <v>0</v>
      </c>
      <c r="AK42" s="119" t="n">
        <v>0</v>
      </c>
      <c r="AL42" s="119" t="n">
        <v>0</v>
      </c>
      <c r="AM42" s="120" t="n">
        <v>0</v>
      </c>
      <c r="AN42" s="118" t="n">
        <v>0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10</v>
      </c>
      <c r="L43" s="35" t="n">
        <v>10</v>
      </c>
      <c r="M43" s="35" t="n">
        <v>10</v>
      </c>
      <c r="N43" s="36">
        <f>SUM(B43:M43)</f>
        <v/>
      </c>
      <c r="O43" s="37">
        <f>SUMIF('YBHN HS TB'!$R:$R,'HS P&amp;L'!$A43,'YBHN HS TB'!C:C)</f>
        <v/>
      </c>
      <c r="P43" s="37">
        <f>SUMIF('YBHN HS TB'!$R:$R,'HS P&amp;L'!$A43,'YBHN HS TB'!D:D)</f>
        <v/>
      </c>
      <c r="Q43" s="37">
        <f>SUMIF('YBHN HS TB'!$R:$R,'HS P&amp;L'!$A43,'YBHN HS TB'!E:E)</f>
        <v/>
      </c>
      <c r="R43" s="37">
        <f>SUMIF('YBHN HS TB'!$R:$R,'HS P&amp;L'!$A43,'YBHN HS TB'!F:F)</f>
        <v/>
      </c>
      <c r="S43" s="37">
        <f>SUMIF('YBHN HS TB'!$R:$R,'HS P&amp;L'!$A43,'YBHN HS TB'!G:G)</f>
        <v/>
      </c>
      <c r="T43" s="37">
        <f>SUMIF('YBHN HS TB'!$R:$R,'HS P&amp;L'!$A43,'YBHN HS TB'!H:H)</f>
        <v/>
      </c>
      <c r="U43" s="37">
        <f>SUMIF('YBHN HS TB'!$R:$R,'HS P&amp;L'!$A43,'YBHN HS TB'!I:I)</f>
        <v/>
      </c>
      <c r="V43" s="38" t="n">
        <v>10</v>
      </c>
      <c r="W43" s="38" t="n">
        <v>10</v>
      </c>
      <c r="X43" s="38" t="n">
        <v>10</v>
      </c>
      <c r="Y43" s="38" t="n">
        <v>10</v>
      </c>
      <c r="Z43" s="38" t="n">
        <v>10</v>
      </c>
      <c r="AA43" s="36">
        <f>SUM(O43:U43)</f>
        <v/>
      </c>
      <c r="AB43" s="36">
        <f>SUM(O43:Z43)</f>
        <v/>
      </c>
      <c r="AC43" s="38" t="n">
        <v>10</v>
      </c>
      <c r="AD43" s="38" t="n">
        <v>10</v>
      </c>
      <c r="AE43" s="38" t="n">
        <v>10</v>
      </c>
      <c r="AF43" s="38" t="n">
        <v>10</v>
      </c>
      <c r="AG43" s="38" t="n">
        <v>10</v>
      </c>
      <c r="AH43" s="38" t="n">
        <v>10</v>
      </c>
      <c r="AI43" s="118" t="n">
        <v>10</v>
      </c>
      <c r="AJ43" s="119" t="n">
        <v>10</v>
      </c>
      <c r="AK43" s="119" t="n">
        <v>10</v>
      </c>
      <c r="AL43" s="119" t="n">
        <v>10</v>
      </c>
      <c r="AM43" s="120" t="n">
        <v>10</v>
      </c>
      <c r="AN43" s="118" t="n">
        <v>10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SUMIF('YBHN HS TB'!$R:$R,'HS P&amp;L'!$A44,'YBHN HS TB'!C:C)</f>
        <v/>
      </c>
      <c r="P44" s="37">
        <f>SUMIF('YBHN HS TB'!$R:$R,'HS P&amp;L'!$A44,'YBHN HS TB'!D:D)</f>
        <v/>
      </c>
      <c r="Q44" s="37">
        <f>SUMIF('YBHN HS TB'!$R:$R,'HS P&amp;L'!$A44,'YBHN HS TB'!E:E)</f>
        <v/>
      </c>
      <c r="R44" s="37">
        <f>SUMIF('YBHN HS TB'!$R:$R,'HS P&amp;L'!$A44,'YBHN HS TB'!F:F)</f>
        <v/>
      </c>
      <c r="S44" s="37">
        <f>SUMIF('YBHN HS TB'!$R:$R,'HS P&amp;L'!$A44,'YBHN HS TB'!G:G)</f>
        <v/>
      </c>
      <c r="T44" s="37">
        <f>SUMIF('YBHN HS TB'!$R:$R,'HS P&amp;L'!$A44,'YBHN HS TB'!H:H)</f>
        <v/>
      </c>
      <c r="U44" s="37">
        <f>SUMIF('YBHN HS TB'!$R:$R,'HS P&amp;L'!$A44,'YBHN HS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8" t="n">
        <v>0</v>
      </c>
      <c r="AJ44" s="119" t="n">
        <v>0</v>
      </c>
      <c r="AK44" s="119" t="n">
        <v>0</v>
      </c>
      <c r="AL44" s="119" t="n">
        <v>0</v>
      </c>
      <c r="AM44" s="120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348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SUMIF('YBHN HS TB'!$R:$R,'HS P&amp;L'!$A45,'YBHN HS TB'!C:C)</f>
        <v/>
      </c>
      <c r="P45" s="37">
        <f>SUMIF('YBHN HS TB'!$R:$R,'HS P&amp;L'!$A45,'YBHN HS TB'!D:D)</f>
        <v/>
      </c>
      <c r="Q45" s="37">
        <f>SUMIF('YBHN HS TB'!$R:$R,'HS P&amp;L'!$A45,'YBHN HS TB'!E:E)</f>
        <v/>
      </c>
      <c r="R45" s="37">
        <f>SUMIF('YBHN HS TB'!$R:$R,'HS P&amp;L'!$A45,'YBHN HS TB'!F:F)</f>
        <v/>
      </c>
      <c r="S45" s="37">
        <f>SUMIF('YBHN HS TB'!$R:$R,'HS P&amp;L'!$A45,'YBHN HS TB'!G:G)</f>
        <v/>
      </c>
      <c r="T45" s="37">
        <f>SUMIF('YBHN HS TB'!$R:$R,'HS P&amp;L'!$A45,'YBHN HS TB'!H:H)</f>
        <v/>
      </c>
      <c r="U45" s="37">
        <f>SUMIF('YBHN HS TB'!$R:$R,'HS P&amp;L'!$A45,'YBHN HS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8" t="n">
        <v>100</v>
      </c>
      <c r="AJ45" s="119" t="n">
        <v>100</v>
      </c>
      <c r="AK45" s="119" t="n">
        <v>100</v>
      </c>
      <c r="AL45" s="119" t="n">
        <v>100</v>
      </c>
      <c r="AM45" s="120" t="n">
        <v>100</v>
      </c>
      <c r="AN45" s="118" t="n">
        <v>100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SUMIF('YBHN HS TB'!$R:$R,'HS P&amp;L'!$A46,'YBHN HS TB'!C:C)</f>
        <v/>
      </c>
      <c r="P46" s="37">
        <f>SUMIF('YBHN HS TB'!$R:$R,'HS P&amp;L'!$A46,'YBHN HS TB'!D:D)</f>
        <v/>
      </c>
      <c r="Q46" s="37">
        <f>SUMIF('YBHN HS TB'!$R:$R,'HS P&amp;L'!$A46,'YBHN HS TB'!E:E)</f>
        <v/>
      </c>
      <c r="R46" s="37">
        <f>SUMIF('YBHN HS TB'!$R:$R,'HS P&amp;L'!$A46,'YBHN HS TB'!F:F)</f>
        <v/>
      </c>
      <c r="S46" s="37">
        <f>SUMIF('YBHN HS TB'!$R:$R,'HS P&amp;L'!$A46,'YBHN HS TB'!G:G)</f>
        <v/>
      </c>
      <c r="T46" s="37">
        <f>SUMIF('YBHN HS TB'!$R:$R,'HS P&amp;L'!$A46,'YBHN HS TB'!H:H)</f>
        <v/>
      </c>
      <c r="U46" s="37">
        <f>SUMIF('YBHN HS TB'!$R:$R,'HS P&amp;L'!$A46,'YBHN HS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8" t="n">
        <v>0</v>
      </c>
      <c r="AJ46" s="119" t="n">
        <v>0</v>
      </c>
      <c r="AK46" s="119" t="n">
        <v>0</v>
      </c>
      <c r="AL46" s="119" t="n">
        <v>0</v>
      </c>
      <c r="AM46" s="120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722.48</v>
      </c>
      <c r="C47" s="42" t="n">
        <v>665.0700000000001</v>
      </c>
      <c r="D47" s="42" t="n">
        <v>689</v>
      </c>
      <c r="E47" s="42" t="n">
        <v>689</v>
      </c>
      <c r="F47" s="42" t="n">
        <v>469.84</v>
      </c>
      <c r="G47" s="42" t="n">
        <v>9156.029999999999</v>
      </c>
      <c r="H47" s="42" t="n">
        <v>3734.81</v>
      </c>
      <c r="I47" s="42" t="n">
        <v>2141.96</v>
      </c>
      <c r="J47" s="42" t="n">
        <v>1658.62</v>
      </c>
      <c r="K47" s="42" t="n">
        <v>1042.18</v>
      </c>
      <c r="L47" s="42" t="n">
        <v>1376.69</v>
      </c>
      <c r="M47" s="42" t="n">
        <v>1032.31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3">
        <f>SUM(AI36:AI46)</f>
        <v/>
      </c>
      <c r="AJ47" s="124">
        <f>SUM(AJ36:AJ46)</f>
        <v/>
      </c>
      <c r="AK47" s="124">
        <f>SUM(AK36:AK46)</f>
        <v/>
      </c>
      <c r="AL47" s="124">
        <f>SUM(AL36:AL46)</f>
        <v/>
      </c>
      <c r="AM47" s="137">
        <f>SUM(AM36:AM46)</f>
        <v/>
      </c>
      <c r="AN47" s="123">
        <f>SUM(AN36:AN46)</f>
        <v/>
      </c>
      <c r="AO47" s="125">
        <f>SUM(AC47:AH47)+SUM(AI47:AN47)</f>
        <v/>
      </c>
      <c r="AP47" s="126">
        <f>IF(AB47&lt;&gt;0,(AO47-AB47)/ABS(AB47),0)</f>
        <v/>
      </c>
    </row>
    <row r="48">
      <c r="A48" s="22" t="inlineStr">
        <is>
          <t>Total Direct Costs</t>
        </is>
      </c>
      <c r="B48" s="23" t="n">
        <v>722.48</v>
      </c>
      <c r="C48" s="23" t="n">
        <v>665.0700000000001</v>
      </c>
      <c r="D48" s="23" t="n">
        <v>689</v>
      </c>
      <c r="E48" s="23" t="n">
        <v>689</v>
      </c>
      <c r="F48" s="23" t="n">
        <v>469.84</v>
      </c>
      <c r="G48" s="23" t="n">
        <v>9156.029999999999</v>
      </c>
      <c r="H48" s="23" t="n">
        <v>3744.110000000001</v>
      </c>
      <c r="I48" s="23" t="n">
        <v>2372.57</v>
      </c>
      <c r="J48" s="23" t="n">
        <v>12892.24</v>
      </c>
      <c r="K48" s="23" t="n">
        <v>8634.199999999999</v>
      </c>
      <c r="L48" s="23" t="n">
        <v>9350.68</v>
      </c>
      <c r="M48" s="23" t="n">
        <v>8762.5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3">
        <f>AI25+AI34+AI47</f>
        <v/>
      </c>
      <c r="AJ48" s="147">
        <f>AJ25+AJ34+AJ47</f>
        <v/>
      </c>
      <c r="AK48" s="147">
        <f>AK25+AK34+AK47</f>
        <v/>
      </c>
      <c r="AL48" s="147">
        <f>AL25+AL34+AL47</f>
        <v/>
      </c>
      <c r="AM48" s="147">
        <f>AM25+AM34+AM47</f>
        <v/>
      </c>
      <c r="AN48" s="123">
        <f>AN25+AN34+AN47</f>
        <v/>
      </c>
      <c r="AO48" s="121">
        <f>SUM(AC48:AH48)+SUM(AI48:AN48)</f>
        <v/>
      </c>
      <c r="AP48" s="122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-722.48</v>
      </c>
      <c r="C50" s="55" t="n">
        <v>-665.0700000000001</v>
      </c>
      <c r="D50" s="55" t="n">
        <v>-689</v>
      </c>
      <c r="E50" s="55" t="n">
        <v>-689</v>
      </c>
      <c r="F50" s="55" t="n">
        <v>-469.84</v>
      </c>
      <c r="G50" s="55" t="n">
        <v>-9156.029999999999</v>
      </c>
      <c r="H50" s="55" t="n">
        <v>-3744.110000000001</v>
      </c>
      <c r="I50" s="55" t="n">
        <v>-2372.57</v>
      </c>
      <c r="J50" s="55" t="n">
        <v>-11368.6</v>
      </c>
      <c r="K50" s="55" t="n">
        <v>-7640.539999999999</v>
      </c>
      <c r="L50" s="55" t="n">
        <v>-1707.05</v>
      </c>
      <c r="M50" s="55" t="n">
        <v>-607.0100000000002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0">
        <f>AI11-AI48</f>
        <v/>
      </c>
      <c r="AJ50" s="140">
        <f>AJ11-AJ48</f>
        <v/>
      </c>
      <c r="AK50" s="140">
        <f>AK11-AK48</f>
        <v/>
      </c>
      <c r="AL50" s="140">
        <f>AL11-AL48</f>
        <v/>
      </c>
      <c r="AM50" s="140">
        <f>AM11-AM48</f>
        <v/>
      </c>
      <c r="AN50" s="140">
        <f>AN11-AN48</f>
        <v/>
      </c>
      <c r="AO50" s="141">
        <f>SUM(AC50:AH50)+SUM(AI50:AN50)</f>
        <v/>
      </c>
      <c r="AP50" s="14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SUMIF('YBHN HS TB'!$R:$R,'HS P&amp;L'!$A53,'YBHN HS TB'!C:C)</f>
        <v/>
      </c>
      <c r="P53" s="37">
        <f>SUMIF('YBHN HS TB'!$R:$R,'HS P&amp;L'!$A53,'YBHN HS TB'!D:D)</f>
        <v/>
      </c>
      <c r="Q53" s="37">
        <f>SUMIF('YBHN HS TB'!$R:$R,'HS P&amp;L'!$A53,'YBHN HS TB'!E:E)</f>
        <v/>
      </c>
      <c r="R53" s="37">
        <f>SUMIF('YBHN HS TB'!$R:$R,'HS P&amp;L'!$A53,'YBHN HS TB'!F:F)</f>
        <v/>
      </c>
      <c r="S53" s="37">
        <f>SUMIF('YBHN HS TB'!$R:$R,'HS P&amp;L'!$A53,'YBHN HS TB'!G:G)</f>
        <v/>
      </c>
      <c r="T53" s="37">
        <f>SUMIF('YBHN HS TB'!$R:$R,'HS P&amp;L'!$A53,'YBHN HS TB'!H:H)</f>
        <v/>
      </c>
      <c r="U53" s="37">
        <f>SUMIF('YBHN HS TB'!$R:$R,'HS P&amp;L'!$A53,'YBHN HS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8" t="n">
        <v>0</v>
      </c>
      <c r="AJ53" s="119" t="n">
        <v>0</v>
      </c>
      <c r="AK53" s="119" t="n">
        <v>0</v>
      </c>
      <c r="AL53" s="119" t="n">
        <v>0</v>
      </c>
      <c r="AM53" s="120" t="n">
        <v>0</v>
      </c>
      <c r="AN53" s="118" t="n">
        <v>0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SUMIF('YBHN HS TB'!$R:$R,'HS P&amp;L'!$A54,'YBHN HS TB'!C:C)</f>
        <v/>
      </c>
      <c r="P54" s="37">
        <f>SUMIF('YBHN HS TB'!$R:$R,'HS P&amp;L'!$A54,'YBHN HS TB'!D:D)</f>
        <v/>
      </c>
      <c r="Q54" s="37">
        <f>SUMIF('YBHN HS TB'!$R:$R,'HS P&amp;L'!$A54,'YBHN HS TB'!E:E)</f>
        <v/>
      </c>
      <c r="R54" s="37">
        <f>SUMIF('YBHN HS TB'!$R:$R,'HS P&amp;L'!$A54,'YBHN HS TB'!F:F)</f>
        <v/>
      </c>
      <c r="S54" s="37">
        <f>SUMIF('YBHN HS TB'!$R:$R,'HS P&amp;L'!$A54,'YBHN HS TB'!G:G)</f>
        <v/>
      </c>
      <c r="T54" s="37">
        <f>SUMIF('YBHN HS TB'!$R:$R,'HS P&amp;L'!$A54,'YBHN HS TB'!H:H)</f>
        <v/>
      </c>
      <c r="U54" s="37">
        <f>SUMIF('YBHN HS TB'!$R:$R,'HS P&amp;L'!$A54,'YBHN HS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8" t="n">
        <v>0</v>
      </c>
      <c r="AJ54" s="119" t="n">
        <v>0</v>
      </c>
      <c r="AK54" s="119" t="n">
        <v>0</v>
      </c>
      <c r="AL54" s="119" t="n">
        <v>0</v>
      </c>
      <c r="AM54" s="120" t="n">
        <v>0</v>
      </c>
      <c r="AN54" s="118" t="n">
        <v>0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SUMIF('YBHN HS TB'!$R:$R,'HS P&amp;L'!$A55,'YBHN HS TB'!C:C)</f>
        <v/>
      </c>
      <c r="P55" s="37">
        <f>SUMIF('YBHN HS TB'!$R:$R,'HS P&amp;L'!$A55,'YBHN HS TB'!D:D)</f>
        <v/>
      </c>
      <c r="Q55" s="37">
        <f>SUMIF('YBHN HS TB'!$R:$R,'HS P&amp;L'!$A55,'YBHN HS TB'!E:E)</f>
        <v/>
      </c>
      <c r="R55" s="37">
        <f>SUMIF('YBHN HS TB'!$R:$R,'HS P&amp;L'!$A55,'YBHN HS TB'!F:F)</f>
        <v/>
      </c>
      <c r="S55" s="37">
        <f>SUMIF('YBHN HS TB'!$R:$R,'HS P&amp;L'!$A55,'YBHN HS TB'!G:G)</f>
        <v/>
      </c>
      <c r="T55" s="37">
        <f>SUMIF('YBHN HS TB'!$R:$R,'HS P&amp;L'!$A55,'YBHN HS TB'!H:H)</f>
        <v/>
      </c>
      <c r="U55" s="37">
        <f>SUMIF('YBHN HS TB'!$R:$R,'HS P&amp;L'!$A55,'YBHN HS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8" t="n">
        <v>0</v>
      </c>
      <c r="AJ55" s="119" t="n">
        <v>0</v>
      </c>
      <c r="AK55" s="119" t="n">
        <v>0</v>
      </c>
      <c r="AL55" s="119" t="n">
        <v>0</v>
      </c>
      <c r="AM55" s="120" t="n">
        <v>0</v>
      </c>
      <c r="AN55" s="118" t="n">
        <v>0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SUMIF('YBHN HS TB'!$R:$R,'HS P&amp;L'!$A56,'YBHN HS TB'!C:C)</f>
        <v/>
      </c>
      <c r="P56" s="37">
        <f>SUMIF('YBHN HS TB'!$R:$R,'HS P&amp;L'!$A56,'YBHN HS TB'!D:D)</f>
        <v/>
      </c>
      <c r="Q56" s="37">
        <f>SUMIF('YBHN HS TB'!$R:$R,'HS P&amp;L'!$A56,'YBHN HS TB'!E:E)</f>
        <v/>
      </c>
      <c r="R56" s="37">
        <f>SUMIF('YBHN HS TB'!$R:$R,'HS P&amp;L'!$A56,'YBHN HS TB'!F:F)</f>
        <v/>
      </c>
      <c r="S56" s="37">
        <f>SUMIF('YBHN HS TB'!$R:$R,'HS P&amp;L'!$A56,'YBHN HS TB'!G:G)</f>
        <v/>
      </c>
      <c r="T56" s="37">
        <f>SUMIF('YBHN HS TB'!$R:$R,'HS P&amp;L'!$A56,'YBHN HS TB'!H:H)</f>
        <v/>
      </c>
      <c r="U56" s="37">
        <f>SUMIF('YBHN HS TB'!$R:$R,'HS P&amp;L'!$A56,'YBHN HS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8" t="n">
        <v>0</v>
      </c>
      <c r="AJ56" s="119" t="n">
        <v>0</v>
      </c>
      <c r="AK56" s="119" t="n">
        <v>0</v>
      </c>
      <c r="AL56" s="119" t="n">
        <v>0</v>
      </c>
      <c r="AM56" s="120" t="n">
        <v>0</v>
      </c>
      <c r="AN56" s="118" t="n">
        <v>0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149.14</v>
      </c>
      <c r="N57" s="36">
        <f>SUM(B57:M57)</f>
        <v/>
      </c>
      <c r="O57" s="37">
        <f>SUMIF('YBHN HS TB'!$R:$R,'HS P&amp;L'!$A57,'YBHN HS TB'!C:C)</f>
        <v/>
      </c>
      <c r="P57" s="37">
        <f>SUMIF('YBHN HS TB'!$R:$R,'HS P&amp;L'!$A57,'YBHN HS TB'!D:D)</f>
        <v/>
      </c>
      <c r="Q57" s="37">
        <f>SUMIF('YBHN HS TB'!$R:$R,'HS P&amp;L'!$A57,'YBHN HS TB'!E:E)</f>
        <v/>
      </c>
      <c r="R57" s="37">
        <f>SUMIF('YBHN HS TB'!$R:$R,'HS P&amp;L'!$A57,'YBHN HS TB'!F:F)</f>
        <v/>
      </c>
      <c r="S57" s="37">
        <f>SUMIF('YBHN HS TB'!$R:$R,'HS P&amp;L'!$A57,'YBHN HS TB'!G:G)</f>
        <v/>
      </c>
      <c r="T57" s="37">
        <f>SUMIF('YBHN HS TB'!$R:$R,'HS P&amp;L'!$A57,'YBHN HS TB'!H:H)</f>
        <v/>
      </c>
      <c r="U57" s="37">
        <f>SUMIF('YBHN HS TB'!$R:$R,'HS P&amp;L'!$A57,'YBHN HS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18" t="n">
        <v>0</v>
      </c>
      <c r="AJ57" s="119" t="n">
        <v>0</v>
      </c>
      <c r="AK57" s="119" t="n">
        <v>0</v>
      </c>
      <c r="AL57" s="119" t="n">
        <v>0</v>
      </c>
      <c r="AM57" s="120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SUMIF('YBHN HS TB'!$R:$R,'HS P&amp;L'!$A58,'YBHN HS TB'!C:C)</f>
        <v/>
      </c>
      <c r="P58" s="37">
        <f>SUMIF('YBHN HS TB'!$R:$R,'HS P&amp;L'!$A58,'YBHN HS TB'!D:D)</f>
        <v/>
      </c>
      <c r="Q58" s="37">
        <f>SUMIF('YBHN HS TB'!$R:$R,'HS P&amp;L'!$A58,'YBHN HS TB'!E:E)</f>
        <v/>
      </c>
      <c r="R58" s="37">
        <f>SUMIF('YBHN HS TB'!$R:$R,'HS P&amp;L'!$A58,'YBHN HS TB'!F:F)</f>
        <v/>
      </c>
      <c r="S58" s="37">
        <f>SUMIF('YBHN HS TB'!$R:$R,'HS P&amp;L'!$A58,'YBHN HS TB'!G:G)</f>
        <v/>
      </c>
      <c r="T58" s="37">
        <f>SUMIF('YBHN HS TB'!$R:$R,'HS P&amp;L'!$A58,'YBHN HS TB'!H:H)</f>
        <v/>
      </c>
      <c r="U58" s="37">
        <f>SUMIF('YBHN HS TB'!$R:$R,'HS P&amp;L'!$A58,'YBHN HS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8" t="n">
        <v>0</v>
      </c>
      <c r="AJ58" s="119" t="n">
        <v>0</v>
      </c>
      <c r="AK58" s="119" t="n">
        <v>0</v>
      </c>
      <c r="AL58" s="119" t="n">
        <v>0</v>
      </c>
      <c r="AM58" s="120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0</v>
      </c>
      <c r="C59" s="35" t="n">
        <v>0</v>
      </c>
      <c r="D59" s="35" t="n">
        <v>0</v>
      </c>
      <c r="E59" s="35" t="n">
        <v>0</v>
      </c>
      <c r="F59" s="35" t="n">
        <v>0</v>
      </c>
      <c r="G59" s="35" t="n">
        <v>214.8</v>
      </c>
      <c r="H59" s="35" t="n">
        <v>214.8</v>
      </c>
      <c r="I59" s="35" t="n">
        <v>214.8</v>
      </c>
      <c r="J59" s="35" t="n">
        <v>214.8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SUMIF('YBHN HS TB'!$R:$R,'HS P&amp;L'!$A59,'YBHN HS TB'!C:C)</f>
        <v/>
      </c>
      <c r="P59" s="37">
        <f>SUMIF('YBHN HS TB'!$R:$R,'HS P&amp;L'!$A59,'YBHN HS TB'!D:D)</f>
        <v/>
      </c>
      <c r="Q59" s="37">
        <f>SUMIF('YBHN HS TB'!$R:$R,'HS P&amp;L'!$A59,'YBHN HS TB'!E:E)</f>
        <v/>
      </c>
      <c r="R59" s="37">
        <f>SUMIF('YBHN HS TB'!$R:$R,'HS P&amp;L'!$A59,'YBHN HS TB'!F:F)</f>
        <v/>
      </c>
      <c r="S59" s="37">
        <f>SUMIF('YBHN HS TB'!$R:$R,'HS P&amp;L'!$A59,'YBHN HS TB'!G:G)</f>
        <v/>
      </c>
      <c r="T59" s="37">
        <f>SUMIF('YBHN HS TB'!$R:$R,'HS P&amp;L'!$A59,'YBHN HS TB'!H:H)</f>
        <v/>
      </c>
      <c r="U59" s="37">
        <f>SUMIF('YBHN HS TB'!$R:$R,'HS P&amp;L'!$A59,'YBHN HS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18" t="n">
        <v>0</v>
      </c>
      <c r="AJ59" s="119" t="n">
        <v>0</v>
      </c>
      <c r="AK59" s="119" t="n">
        <v>0</v>
      </c>
      <c r="AL59" s="119" t="n">
        <v>0</v>
      </c>
      <c r="AM59" s="120" t="n">
        <v>0</v>
      </c>
      <c r="AN59" s="118" t="n">
        <v>0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0</v>
      </c>
      <c r="C60" s="35" t="n">
        <v>0</v>
      </c>
      <c r="D60" s="35" t="n">
        <v>135.22</v>
      </c>
      <c r="E60" s="35" t="n">
        <v>0</v>
      </c>
      <c r="F60" s="35" t="n">
        <v>0</v>
      </c>
      <c r="G60" s="35" t="n">
        <v>45</v>
      </c>
      <c r="H60" s="35" t="n">
        <v>0</v>
      </c>
      <c r="I60" s="35" t="n">
        <v>0</v>
      </c>
      <c r="J60" s="35" t="n">
        <v>8.799999999999999</v>
      </c>
      <c r="K60" s="35" t="n">
        <v>68.8</v>
      </c>
      <c r="L60" s="35" t="n">
        <v>1.2</v>
      </c>
      <c r="M60" s="35" t="n">
        <v>1.2</v>
      </c>
      <c r="N60" s="36">
        <f>SUM(B60:M60)</f>
        <v/>
      </c>
      <c r="O60" s="37">
        <f>SUMIF('YBHN HS TB'!$R:$R,'HS P&amp;L'!$A60,'YBHN HS TB'!C:C)</f>
        <v/>
      </c>
      <c r="P60" s="37">
        <f>SUMIF('YBHN HS TB'!$R:$R,'HS P&amp;L'!$A60,'YBHN HS TB'!D:D)</f>
        <v/>
      </c>
      <c r="Q60" s="37">
        <f>SUMIF('YBHN HS TB'!$R:$R,'HS P&amp;L'!$A60,'YBHN HS TB'!E:E)</f>
        <v/>
      </c>
      <c r="R60" s="37">
        <f>SUMIF('YBHN HS TB'!$R:$R,'HS P&amp;L'!$A60,'YBHN HS TB'!F:F)</f>
        <v/>
      </c>
      <c r="S60" s="37">
        <f>SUMIF('YBHN HS TB'!$R:$R,'HS P&amp;L'!$A60,'YBHN HS TB'!G:G)</f>
        <v/>
      </c>
      <c r="T60" s="37">
        <f>SUMIF('YBHN HS TB'!$R:$R,'HS P&amp;L'!$A60,'YBHN HS TB'!H:H)</f>
        <v/>
      </c>
      <c r="U60" s="37">
        <f>SUMIF('YBHN HS TB'!$R:$R,'HS P&amp;L'!$A60,'YBHN HS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8" t="n">
        <v>0</v>
      </c>
      <c r="AJ60" s="119" t="n">
        <v>0</v>
      </c>
      <c r="AK60" s="119" t="n">
        <v>0</v>
      </c>
      <c r="AL60" s="119" t="n">
        <v>0</v>
      </c>
      <c r="AM60" s="120" t="n">
        <v>0</v>
      </c>
      <c r="AN60" s="118" t="n">
        <v>0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0</v>
      </c>
      <c r="I61" s="35" t="n">
        <v>0</v>
      </c>
      <c r="J61" s="35" t="n">
        <v>0</v>
      </c>
      <c r="K61" s="35" t="n">
        <v>0</v>
      </c>
      <c r="L61" s="35" t="n">
        <v>59.25</v>
      </c>
      <c r="M61" s="35" t="n">
        <v>29.98</v>
      </c>
      <c r="N61" s="36">
        <f>SUM(B61:M61)</f>
        <v/>
      </c>
      <c r="O61" s="37">
        <f>SUMIF('YBHN HS TB'!$R:$R,'HS P&amp;L'!$A61,'YBHN HS TB'!C:C)</f>
        <v/>
      </c>
      <c r="P61" s="37">
        <f>SUMIF('YBHN HS TB'!$R:$R,'HS P&amp;L'!$A61,'YBHN HS TB'!D:D)</f>
        <v/>
      </c>
      <c r="Q61" s="37">
        <f>SUMIF('YBHN HS TB'!$R:$R,'HS P&amp;L'!$A61,'YBHN HS TB'!E:E)</f>
        <v/>
      </c>
      <c r="R61" s="37">
        <f>SUMIF('YBHN HS TB'!$R:$R,'HS P&amp;L'!$A61,'YBHN HS TB'!F:F)</f>
        <v/>
      </c>
      <c r="S61" s="37">
        <f>SUMIF('YBHN HS TB'!$R:$R,'HS P&amp;L'!$A61,'YBHN HS TB'!G:G)</f>
        <v/>
      </c>
      <c r="T61" s="37">
        <f>SUMIF('YBHN HS TB'!$R:$R,'HS P&amp;L'!$A61,'YBHN HS TB'!H:H)</f>
        <v/>
      </c>
      <c r="U61" s="37">
        <f>SUMIF('YBHN HS TB'!$R:$R,'HS P&amp;L'!$A61,'YBHN HS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8" t="n">
        <v>0</v>
      </c>
      <c r="AJ61" s="119" t="n">
        <v>0</v>
      </c>
      <c r="AK61" s="119" t="n">
        <v>0</v>
      </c>
      <c r="AL61" s="119" t="n">
        <v>0</v>
      </c>
      <c r="AM61" s="120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>
        <f>SUMIF('YBHN HS TB'!$R:$R,'HS P&amp;L'!$A62,'YBHN HS TB'!C:C)</f>
        <v/>
      </c>
      <c r="P62" s="37">
        <f>SUMIF('YBHN HS TB'!$R:$R,'HS P&amp;L'!$A62,'YBHN HS TB'!D:D)</f>
        <v/>
      </c>
      <c r="Q62" s="37">
        <f>SUMIF('YBHN HS TB'!$R:$R,'HS P&amp;L'!$A62,'YBHN HS TB'!E:E)</f>
        <v/>
      </c>
      <c r="R62" s="37">
        <f>SUMIF('YBHN HS TB'!$R:$R,'HS P&amp;L'!$A62,'YBHN HS TB'!F:F)</f>
        <v/>
      </c>
      <c r="S62" s="37">
        <f>SUMIF('YBHN HS TB'!$R:$R,'HS P&amp;L'!$A62,'YBHN HS TB'!G:G)</f>
        <v/>
      </c>
      <c r="T62" s="37">
        <f>SUMIF('YBHN HS TB'!$R:$R,'HS P&amp;L'!$A62,'YBHN HS TB'!H:H)</f>
        <v/>
      </c>
      <c r="U62" s="37">
        <f>SUMIF('YBHN HS TB'!$R:$R,'HS P&amp;L'!$A62,'YBHN HS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8" t="n">
        <v>0</v>
      </c>
      <c r="AJ62" s="119" t="n">
        <v>0</v>
      </c>
      <c r="AK62" s="119" t="n">
        <v>0</v>
      </c>
      <c r="AL62" s="119" t="n">
        <v>0</v>
      </c>
      <c r="AM62" s="120" t="n">
        <v>0</v>
      </c>
      <c r="AN62" s="118" t="n">
        <v>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SUMIF('YBHN HS TB'!$R:$R,'HS P&amp;L'!$A63,'YBHN HS TB'!C:C)</f>
        <v/>
      </c>
      <c r="P63" s="37">
        <f>SUMIF('YBHN HS TB'!$R:$R,'HS P&amp;L'!$A63,'YBHN HS TB'!D:D)</f>
        <v/>
      </c>
      <c r="Q63" s="37">
        <f>SUMIF('YBHN HS TB'!$R:$R,'HS P&amp;L'!$A63,'YBHN HS TB'!E:E)</f>
        <v/>
      </c>
      <c r="R63" s="37">
        <f>SUMIF('YBHN HS TB'!$R:$R,'HS P&amp;L'!$A63,'YBHN HS TB'!F:F)</f>
        <v/>
      </c>
      <c r="S63" s="37">
        <f>SUMIF('YBHN HS TB'!$R:$R,'HS P&amp;L'!$A63,'YBHN HS TB'!G:G)</f>
        <v/>
      </c>
      <c r="T63" s="37">
        <f>SUMIF('YBHN HS TB'!$R:$R,'HS P&amp;L'!$A63,'YBHN HS TB'!H:H)</f>
        <v/>
      </c>
      <c r="U63" s="37">
        <f>SUMIF('YBHN HS TB'!$R:$R,'HS P&amp;L'!$A63,'YBHN HS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8" t="n">
        <v>0</v>
      </c>
      <c r="AJ63" s="119" t="n">
        <v>0</v>
      </c>
      <c r="AK63" s="119" t="n">
        <v>0</v>
      </c>
      <c r="AL63" s="119" t="n">
        <v>0</v>
      </c>
      <c r="AM63" s="120" t="n">
        <v>0</v>
      </c>
      <c r="AN63" s="118" t="n">
        <v>0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SUMIF('YBHN HS TB'!$R:$R,'HS P&amp;L'!$A64,'YBHN HS TB'!C:C)</f>
        <v/>
      </c>
      <c r="P64" s="37">
        <f>SUMIF('YBHN HS TB'!$R:$R,'HS P&amp;L'!$A64,'YBHN HS TB'!D:D)</f>
        <v/>
      </c>
      <c r="Q64" s="37">
        <f>SUMIF('YBHN HS TB'!$R:$R,'HS P&amp;L'!$A64,'YBHN HS TB'!E:E)</f>
        <v/>
      </c>
      <c r="R64" s="37">
        <f>SUMIF('YBHN HS TB'!$R:$R,'HS P&amp;L'!$A64,'YBHN HS TB'!F:F)</f>
        <v/>
      </c>
      <c r="S64" s="37">
        <f>SUMIF('YBHN HS TB'!$R:$R,'HS P&amp;L'!$A64,'YBHN HS TB'!G:G)</f>
        <v/>
      </c>
      <c r="T64" s="37">
        <f>SUMIF('YBHN HS TB'!$R:$R,'HS P&amp;L'!$A64,'YBHN HS TB'!H:H)</f>
        <v/>
      </c>
      <c r="U64" s="37">
        <f>SUMIF('YBHN HS TB'!$R:$R,'HS P&amp;L'!$A64,'YBHN HS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8" t="n">
        <v>0</v>
      </c>
      <c r="AJ64" s="119" t="n">
        <v>0</v>
      </c>
      <c r="AK64" s="119" t="n">
        <v>0</v>
      </c>
      <c r="AL64" s="119" t="n">
        <v>0</v>
      </c>
      <c r="AM64" s="120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SUMIF('YBHN HS TB'!$R:$R,'HS P&amp;L'!$A65,'YBHN HS TB'!C:C)</f>
        <v/>
      </c>
      <c r="P65" s="37">
        <f>SUMIF('YBHN HS TB'!$R:$R,'HS P&amp;L'!$A65,'YBHN HS TB'!D:D)</f>
        <v/>
      </c>
      <c r="Q65" s="37">
        <f>SUMIF('YBHN HS TB'!$R:$R,'HS P&amp;L'!$A65,'YBHN HS TB'!E:E)</f>
        <v/>
      </c>
      <c r="R65" s="37">
        <f>SUMIF('YBHN HS TB'!$R:$R,'HS P&amp;L'!$A65,'YBHN HS TB'!F:F)</f>
        <v/>
      </c>
      <c r="S65" s="37">
        <f>SUMIF('YBHN HS TB'!$R:$R,'HS P&amp;L'!$A65,'YBHN HS TB'!G:G)</f>
        <v/>
      </c>
      <c r="T65" s="37">
        <f>SUMIF('YBHN HS TB'!$R:$R,'HS P&amp;L'!$A65,'YBHN HS TB'!H:H)</f>
        <v/>
      </c>
      <c r="U65" s="37">
        <f>SUMIF('YBHN HS TB'!$R:$R,'HS P&amp;L'!$A65,'YBHN HS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8" t="n">
        <v>0</v>
      </c>
      <c r="AJ65" s="119" t="n">
        <v>0</v>
      </c>
      <c r="AK65" s="119" t="n">
        <v>0</v>
      </c>
      <c r="AL65" s="119" t="n">
        <v>0</v>
      </c>
      <c r="AM65" s="120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SUMIF('YBHN HS TB'!$R:$R,'HS P&amp;L'!$A66,'YBHN HS TB'!C:C)</f>
        <v/>
      </c>
      <c r="P66" s="37">
        <f>SUMIF('YBHN HS TB'!$R:$R,'HS P&amp;L'!$A66,'YBHN HS TB'!D:D)</f>
        <v/>
      </c>
      <c r="Q66" s="37">
        <f>SUMIF('YBHN HS TB'!$R:$R,'HS P&amp;L'!$A66,'YBHN HS TB'!E:E)</f>
        <v/>
      </c>
      <c r="R66" s="37">
        <f>SUMIF('YBHN HS TB'!$R:$R,'HS P&amp;L'!$A66,'YBHN HS TB'!F:F)</f>
        <v/>
      </c>
      <c r="S66" s="37">
        <f>SUMIF('YBHN HS TB'!$R:$R,'HS P&amp;L'!$A66,'YBHN HS TB'!G:G)</f>
        <v/>
      </c>
      <c r="T66" s="37">
        <f>SUMIF('YBHN HS TB'!$R:$R,'HS P&amp;L'!$A66,'YBHN HS TB'!H:H)</f>
        <v/>
      </c>
      <c r="U66" s="37">
        <f>SUMIF('YBHN HS TB'!$R:$R,'HS P&amp;L'!$A66,'YBHN HS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8" t="n">
        <v>0</v>
      </c>
      <c r="AJ66" s="119" t="n">
        <v>0</v>
      </c>
      <c r="AK66" s="119" t="n">
        <v>0</v>
      </c>
      <c r="AL66" s="119" t="n">
        <v>0</v>
      </c>
      <c r="AM66" s="120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SUMIF('YBHN HS TB'!$R:$R,'HS P&amp;L'!$A67,'YBHN HS TB'!C:C)</f>
        <v/>
      </c>
      <c r="P67" s="37">
        <f>SUMIF('YBHN HS TB'!$R:$R,'HS P&amp;L'!$A67,'YBHN HS TB'!D:D)</f>
        <v/>
      </c>
      <c r="Q67" s="37">
        <f>SUMIF('YBHN HS TB'!$R:$R,'HS P&amp;L'!$A67,'YBHN HS TB'!E:E)</f>
        <v/>
      </c>
      <c r="R67" s="37">
        <f>SUMIF('YBHN HS TB'!$R:$R,'HS P&amp;L'!$A67,'YBHN HS TB'!F:F)</f>
        <v/>
      </c>
      <c r="S67" s="37">
        <f>SUMIF('YBHN HS TB'!$R:$R,'HS P&amp;L'!$A67,'YBHN HS TB'!G:G)</f>
        <v/>
      </c>
      <c r="T67" s="37">
        <f>SUMIF('YBHN HS TB'!$R:$R,'HS P&amp;L'!$A67,'YBHN HS TB'!H:H)</f>
        <v/>
      </c>
      <c r="U67" s="37">
        <f>SUMIF('YBHN HS TB'!$R:$R,'HS P&amp;L'!$A67,'YBHN HS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8" t="n">
        <v>0</v>
      </c>
      <c r="AJ67" s="119" t="n">
        <v>0</v>
      </c>
      <c r="AK67" s="119" t="n">
        <v>0</v>
      </c>
      <c r="AL67" s="119" t="n">
        <v>0</v>
      </c>
      <c r="AM67" s="120" t="n">
        <v>0</v>
      </c>
      <c r="AN67" s="118" t="n">
        <v>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SUMIF('YBHN HS TB'!$R:$R,'HS P&amp;L'!$A68,'YBHN HS TB'!C:C)</f>
        <v/>
      </c>
      <c r="P68" s="37">
        <f>SUMIF('YBHN HS TB'!$R:$R,'HS P&amp;L'!$A68,'YBHN HS TB'!D:D)</f>
        <v/>
      </c>
      <c r="Q68" s="37">
        <f>SUMIF('YBHN HS TB'!$R:$R,'HS P&amp;L'!$A68,'YBHN HS TB'!E:E)</f>
        <v/>
      </c>
      <c r="R68" s="37">
        <f>SUMIF('YBHN HS TB'!$R:$R,'HS P&amp;L'!$A68,'YBHN HS TB'!F:F)</f>
        <v/>
      </c>
      <c r="S68" s="37">
        <f>SUMIF('YBHN HS TB'!$R:$R,'HS P&amp;L'!$A68,'YBHN HS TB'!G:G)</f>
        <v/>
      </c>
      <c r="T68" s="37">
        <f>SUMIF('YBHN HS TB'!$R:$R,'HS P&amp;L'!$A68,'YBHN HS TB'!H:H)</f>
        <v/>
      </c>
      <c r="U68" s="37">
        <f>SUMIF('YBHN HS TB'!$R:$R,'HS P&amp;L'!$A68,'YBHN HS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8" t="n">
        <v>0</v>
      </c>
      <c r="AJ68" s="119" t="n">
        <v>0</v>
      </c>
      <c r="AK68" s="119" t="n">
        <v>0</v>
      </c>
      <c r="AL68" s="119" t="n">
        <v>0</v>
      </c>
      <c r="AM68" s="120" t="n">
        <v>0</v>
      </c>
      <c r="AN68" s="118" t="n">
        <v>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0</v>
      </c>
      <c r="C69" s="42" t="n">
        <v>0</v>
      </c>
      <c r="D69" s="42" t="n">
        <v>135.22</v>
      </c>
      <c r="E69" s="42" t="n">
        <v>0</v>
      </c>
      <c r="F69" s="42" t="n">
        <v>0</v>
      </c>
      <c r="G69" s="42" t="n">
        <v>259.8</v>
      </c>
      <c r="H69" s="42" t="n">
        <v>214.8</v>
      </c>
      <c r="I69" s="42" t="n">
        <v>214.8</v>
      </c>
      <c r="J69" s="42" t="n">
        <v>223.6</v>
      </c>
      <c r="K69" s="42" t="n">
        <v>283.6</v>
      </c>
      <c r="L69" s="42" t="n">
        <v>275.25</v>
      </c>
      <c r="M69" s="42" t="n">
        <v>395.12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3">
        <f>SUM(AI53:AI68)</f>
        <v/>
      </c>
      <c r="AJ69" s="124">
        <f>SUM(AJ53:AJ68)</f>
        <v/>
      </c>
      <c r="AK69" s="124">
        <f>SUM(AK53:AK68)</f>
        <v/>
      </c>
      <c r="AL69" s="124">
        <f>SUM(AL53:AL68)</f>
        <v/>
      </c>
      <c r="AM69" s="124">
        <f>SUM(AM53:AM68)</f>
        <v/>
      </c>
      <c r="AN69" s="123">
        <f>SUM(AN53:AN68)</f>
        <v/>
      </c>
      <c r="AO69" s="125">
        <f>SUM(AC69:AH69)+SUM(AI69:AN69)</f>
        <v/>
      </c>
      <c r="AP69" s="126">
        <f>IF(AB69&lt;&gt;0,(AO69-AB69)/ABS(AB69),0)</f>
        <v/>
      </c>
    </row>
    <row r="70">
      <c r="A70" s="54" t="inlineStr">
        <is>
          <t>EBITDA</t>
        </is>
      </c>
      <c r="B70" s="55" t="n">
        <v>-722.48</v>
      </c>
      <c r="C70" s="55" t="n">
        <v>-665.0700000000001</v>
      </c>
      <c r="D70" s="55" t="n">
        <v>-824.22</v>
      </c>
      <c r="E70" s="55" t="n">
        <v>-689</v>
      </c>
      <c r="F70" s="55" t="n">
        <v>-469.84</v>
      </c>
      <c r="G70" s="55" t="n">
        <v>-9415.829999999998</v>
      </c>
      <c r="H70" s="55" t="n">
        <v>-3958.910000000001</v>
      </c>
      <c r="I70" s="55" t="n">
        <v>-2587.37</v>
      </c>
      <c r="J70" s="55" t="n">
        <v>-11592.2</v>
      </c>
      <c r="K70" s="55" t="n">
        <v>-7924.139999999999</v>
      </c>
      <c r="L70" s="55" t="n">
        <v>-1982.3</v>
      </c>
      <c r="M70" s="55" t="n">
        <v>-1002.13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0">
        <f>AI50-AI69</f>
        <v/>
      </c>
      <c r="AJ70" s="140">
        <f>AJ50-AJ69</f>
        <v/>
      </c>
      <c r="AK70" s="140">
        <f>AK50-AK69</f>
        <v/>
      </c>
      <c r="AL70" s="140">
        <f>AL50-AL69</f>
        <v/>
      </c>
      <c r="AM70" s="140">
        <f>AM50-AM69</f>
        <v/>
      </c>
      <c r="AN70" s="140">
        <f>AN50-AN69</f>
        <v/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60">
        <f>SUM(O72:T72)</f>
        <v/>
      </c>
      <c r="AB72" s="56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60" t="inlineStr">
        <is>
          <t>Memo</t>
        </is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60">
        <f>SUM(O73:T73)</f>
        <v/>
      </c>
      <c r="AB73" s="56" t="n"/>
      <c r="AC73" s="8" t="n"/>
      <c r="AD73" s="8" t="n"/>
      <c r="AE73" s="8" t="n"/>
      <c r="AF73" s="8" t="n"/>
      <c r="AG73" s="8" t="n"/>
      <c r="AH73" s="8" t="n"/>
      <c r="AI73" s="148" t="n">
        <v>0</v>
      </c>
      <c r="AJ73" s="148" t="n">
        <v>0</v>
      </c>
      <c r="AK73" s="148" t="n">
        <v>0</v>
      </c>
      <c r="AL73" s="148" t="n">
        <v>0</v>
      </c>
      <c r="AM73" s="148" t="n">
        <v>0</v>
      </c>
      <c r="AN73" s="148" t="n">
        <v>0</v>
      </c>
      <c r="AO73" s="145">
        <f>SUM(AC73:AH73)+SUM(AI73:AN73)</f>
        <v/>
      </c>
      <c r="AP73" s="142">
        <f>IF(AB73&lt;&gt;0,(AO73-AB73)/ABS(AB73),0)</f>
        <v/>
      </c>
    </row>
    <row r="74">
      <c r="A74" s="60" t="inlineStr">
        <is>
          <t>Direct - Sales</t>
        </is>
      </c>
      <c r="B74" s="60" t="n">
        <v>0</v>
      </c>
      <c r="C74" s="60" t="n">
        <v>0</v>
      </c>
      <c r="D74" s="60" t="n">
        <v>0</v>
      </c>
      <c r="E74" s="60" t="n">
        <v>0</v>
      </c>
      <c r="F74" s="60" t="n">
        <v>0</v>
      </c>
      <c r="G74" s="60" t="n">
        <v>0</v>
      </c>
      <c r="H74" s="60" t="n">
        <v>0</v>
      </c>
      <c r="I74" s="60" t="n">
        <v>0</v>
      </c>
      <c r="J74" s="60" t="n">
        <v>1523.64</v>
      </c>
      <c r="K74" s="60" t="n">
        <v>993.6600000000001</v>
      </c>
      <c r="L74" s="60" t="n">
        <v>7643.63</v>
      </c>
      <c r="M74" s="8" t="n"/>
      <c r="N74" s="8" t="n"/>
      <c r="O74" s="60">
        <f>-SUMIF('YBHN HS TB'!$T:$T,'HS P&amp;L'!$A74,'YBHN HS TB'!C:C)</f>
        <v/>
      </c>
      <c r="P74" s="60">
        <f>-SUMIF('YBHN HS TB'!$T:$T,'HS P&amp;L'!$A74,'YBHN HS TB'!D:D)</f>
        <v/>
      </c>
      <c r="Q74" s="60">
        <f>-SUMIF('YBHN HS TB'!$T:$T,'HS P&amp;L'!$A74,'YBHN HS TB'!E:E)</f>
        <v/>
      </c>
      <c r="R74" s="60">
        <f>-SUMIF('YBHN HS TB'!$T:$T,'HS P&amp;L'!$A74,'YBHN HS TB'!F:F)</f>
        <v/>
      </c>
      <c r="S74" s="60">
        <f>-SUMIF('YBHN HS TB'!$T:$T,'HS P&amp;L'!$A74,'YBHN HS TB'!G:G)</f>
        <v/>
      </c>
      <c r="T74" s="60">
        <f>-SUMIF('YBHN HS TB'!$T:$T,'HS P&amp;L'!$A74,'YBHN HS TB'!H:H)</f>
        <v/>
      </c>
      <c r="U74" s="60">
        <f>-SUMIF('YBHN HS TB'!$T:$T,'HS P&amp;L'!$A74,'YBHN HS TB'!I:I)</f>
        <v/>
      </c>
      <c r="V74" s="60">
        <f>-SUMIF('YBHN HS TB'!$T:$T,'HS P&amp;L'!$A74,'YBHN HS TB'!J:J)</f>
        <v/>
      </c>
      <c r="W74" s="60">
        <f>-SUMIF('YBHN HS TB'!$T:$T,'HS P&amp;L'!$A74,'YBHN HS TB'!K:K)</f>
        <v/>
      </c>
      <c r="X74" s="60">
        <f>-SUMIF('YBHN HS TB'!$T:$T,'HS P&amp;L'!$A74,'YBHN HS TB'!L:L)</f>
        <v/>
      </c>
      <c r="Y74" s="60">
        <f>-SUMIF('YBHN HS TB'!$T:$T,'HS P&amp;L'!$A74,'YBHN HS TB'!M:M)</f>
        <v/>
      </c>
      <c r="Z74" s="60">
        <f>-SUMIF('YBHN HS TB'!$T:$T,'HS P&amp;L'!$A74,'YBHN HS TB'!N:N)</f>
        <v/>
      </c>
      <c r="AA74" s="60">
        <f>SUM(O74:T74)</f>
        <v/>
      </c>
      <c r="AB74" s="8" t="n"/>
      <c r="AC74" s="8" t="n"/>
      <c r="AD74" s="8" t="n"/>
      <c r="AE74" s="8" t="n"/>
      <c r="AF74" s="8" t="n"/>
      <c r="AG74" s="8" t="n"/>
      <c r="AH74" s="8" t="n"/>
      <c r="AI74" s="134" t="n">
        <v>0</v>
      </c>
      <c r="AJ74" s="134" t="n">
        <v>0</v>
      </c>
      <c r="AK74" s="134" t="n">
        <v>0</v>
      </c>
      <c r="AL74" s="134" t="n">
        <v>0</v>
      </c>
      <c r="AM74" s="134" t="n">
        <v>0</v>
      </c>
      <c r="AN74" s="134" t="n">
        <v>0</v>
      </c>
      <c r="AO74" s="145">
        <f>SUM(AC74:AH74)+SUM(AI74:AN74)</f>
        <v/>
      </c>
      <c r="AP74" s="142">
        <f>IF(AB74&lt;&gt;0,(AO74-AB74)/ABS(AB74),0)</f>
        <v/>
      </c>
    </row>
    <row r="75">
      <c r="A75" s="34" t="inlineStr">
        <is>
          <t>Direct - Staff Cost</t>
        </is>
      </c>
      <c r="B75" s="18" t="n">
        <v>0</v>
      </c>
      <c r="C75" s="18" t="n">
        <v>0</v>
      </c>
      <c r="D75" s="18" t="n">
        <v>0</v>
      </c>
      <c r="E75" s="18" t="n">
        <v>0</v>
      </c>
      <c r="F75" s="18" t="n">
        <v>0</v>
      </c>
      <c r="G75" s="18" t="n">
        <v>0</v>
      </c>
      <c r="H75" s="18" t="n">
        <v>0</v>
      </c>
      <c r="I75" s="18" t="n">
        <v>0</v>
      </c>
      <c r="J75" s="18" t="n">
        <v>-7127.65</v>
      </c>
      <c r="K75" s="18" t="n">
        <v>-7467.83</v>
      </c>
      <c r="L75" s="18" t="n">
        <v>-7796.090000000001</v>
      </c>
      <c r="M75" s="18" t="n"/>
      <c r="N75" s="8" t="n"/>
      <c r="O75" s="60">
        <f>-SUMIF('YBHN HS TB'!$T:$T,'HS P&amp;L'!$A75,'YBHN HS TB'!C:C)</f>
        <v/>
      </c>
      <c r="P75" s="60">
        <f>-SUMIF('YBHN HS TB'!$T:$T,'HS P&amp;L'!$A75,'YBHN HS TB'!D:D)</f>
        <v/>
      </c>
      <c r="Q75" s="60">
        <f>-SUMIF('YBHN HS TB'!$T:$T,'HS P&amp;L'!$A75,'YBHN HS TB'!E:E)</f>
        <v/>
      </c>
      <c r="R75" s="60">
        <f>-SUMIF('YBHN HS TB'!$T:$T,'HS P&amp;L'!$A75,'YBHN HS TB'!F:F)</f>
        <v/>
      </c>
      <c r="S75" s="60">
        <f>-SUMIF('YBHN HS TB'!$T:$T,'HS P&amp;L'!$A75,'YBHN HS TB'!G:G)</f>
        <v/>
      </c>
      <c r="T75" s="60">
        <f>-SUMIF('YBHN HS TB'!$T:$T,'HS P&amp;L'!$A75,'YBHN HS TB'!H:H)</f>
        <v/>
      </c>
      <c r="U75" s="60">
        <f>-SUMIF('YBHN HS TB'!$T:$T,'HS P&amp;L'!$A75,'YBHN HS TB'!I:I)</f>
        <v/>
      </c>
      <c r="V75" s="60">
        <f>-SUMIF('YBHN HS TB'!$T:$T,'HS P&amp;L'!$A75,'YBHN HS TB'!J:J)</f>
        <v/>
      </c>
      <c r="W75" s="60">
        <f>-SUMIF('YBHN HS TB'!$T:$T,'HS P&amp;L'!$A75,'YBHN HS TB'!K:K)</f>
        <v/>
      </c>
      <c r="X75" s="60">
        <f>-SUMIF('YBHN HS TB'!$T:$T,'HS P&amp;L'!$A75,'YBHN HS TB'!L:L)</f>
        <v/>
      </c>
      <c r="Y75" s="60">
        <f>-SUMIF('YBHN HS TB'!$T:$T,'HS P&amp;L'!$A75,'YBHN HS TB'!M:M)</f>
        <v/>
      </c>
      <c r="Z75" s="60">
        <f>-SUMIF('YBHN HS TB'!$T:$T,'HS P&amp;L'!$A75,'YBHN HS TB'!N:N)</f>
        <v/>
      </c>
      <c r="AA75" s="60">
        <f>SUM(O75:T75)</f>
        <v/>
      </c>
      <c r="AB75" s="8" t="n"/>
      <c r="AC75" s="8" t="n"/>
      <c r="AD75" s="8" t="n"/>
      <c r="AE75" s="8" t="n"/>
      <c r="AF75" s="8" t="n"/>
      <c r="AG75" s="8" t="n"/>
      <c r="AH75" s="8" t="n"/>
      <c r="AI75" s="134" t="n">
        <v>0</v>
      </c>
      <c r="AJ75" s="134" t="n">
        <v>0</v>
      </c>
      <c r="AK75" s="134" t="n">
        <v>0</v>
      </c>
      <c r="AL75" s="134" t="n">
        <v>0</v>
      </c>
      <c r="AM75" s="134" t="n">
        <v>0</v>
      </c>
      <c r="AN75" s="134" t="n">
        <v>0</v>
      </c>
      <c r="AO75" s="144">
        <f>SUM(AC75:AH75)+SUM(AI75:AN75)</f>
        <v/>
      </c>
      <c r="AP75" s="142">
        <f>IF(AB75&lt;&gt;0,(AO75-AB75)/ABS(AB75),0)</f>
        <v/>
      </c>
    </row>
    <row r="76">
      <c r="A76" s="60" t="inlineStr">
        <is>
          <t>Direct - Childcare Cost</t>
        </is>
      </c>
      <c r="B76" s="18" t="n">
        <v>0</v>
      </c>
      <c r="C76" s="18" t="n">
        <v>0</v>
      </c>
      <c r="D76" s="18" t="n">
        <v>0</v>
      </c>
      <c r="E76" s="18" t="n">
        <v>0</v>
      </c>
      <c r="F76" s="18" t="n">
        <v>0</v>
      </c>
      <c r="G76" s="18" t="n">
        <v>0</v>
      </c>
      <c r="H76" s="18" t="n">
        <v>-9.300000000000001</v>
      </c>
      <c r="I76" s="18" t="n">
        <v>-230.61</v>
      </c>
      <c r="J76" s="18" t="n">
        <v>-4105.969999999999</v>
      </c>
      <c r="K76" s="18" t="n">
        <v>-124.19</v>
      </c>
      <c r="L76" s="18" t="n">
        <v>-177.9</v>
      </c>
      <c r="M76" s="18" t="n">
        <v>0</v>
      </c>
      <c r="N76" s="8" t="n"/>
      <c r="O76" s="60">
        <f>-SUMIF('YBHN HS TB'!$T:$T,'HS P&amp;L'!$A76,'YBHN HS TB'!C:C)</f>
        <v/>
      </c>
      <c r="P76" s="60">
        <f>-SUMIF('YBHN HS TB'!$T:$T,'HS P&amp;L'!$A76,'YBHN HS TB'!D:D)</f>
        <v/>
      </c>
      <c r="Q76" s="60">
        <f>-SUMIF('YBHN HS TB'!$T:$T,'HS P&amp;L'!$A76,'YBHN HS TB'!E:E)</f>
        <v/>
      </c>
      <c r="R76" s="60">
        <f>-SUMIF('YBHN HS TB'!$T:$T,'HS P&amp;L'!$A76,'YBHN HS TB'!F:F)</f>
        <v/>
      </c>
      <c r="S76" s="60">
        <f>-SUMIF('YBHN HS TB'!$T:$T,'HS P&amp;L'!$A76,'YBHN HS TB'!G:G)</f>
        <v/>
      </c>
      <c r="T76" s="60">
        <f>-SUMIF('YBHN HS TB'!$T:$T,'HS P&amp;L'!$A76,'YBHN HS TB'!H:H)</f>
        <v/>
      </c>
      <c r="U76" s="60">
        <f>-SUMIF('YBHN HS TB'!$T:$T,'HS P&amp;L'!$A76,'YBHN HS TB'!I:I)</f>
        <v/>
      </c>
      <c r="V76" s="60">
        <f>-SUMIF('YBHN HS TB'!$T:$T,'HS P&amp;L'!$A76,'YBHN HS TB'!J:J)</f>
        <v/>
      </c>
      <c r="W76" s="60">
        <f>-SUMIF('YBHN HS TB'!$T:$T,'HS P&amp;L'!$A76,'YBHN HS TB'!K:K)</f>
        <v/>
      </c>
      <c r="X76" s="60">
        <f>-SUMIF('YBHN HS TB'!$T:$T,'HS P&amp;L'!$A76,'YBHN HS TB'!L:L)</f>
        <v/>
      </c>
      <c r="Y76" s="60">
        <f>-SUMIF('YBHN HS TB'!$T:$T,'HS P&amp;L'!$A76,'YBHN HS TB'!M:M)</f>
        <v/>
      </c>
      <c r="Z76" s="60">
        <f>-SUMIF('YBHN HS TB'!$T:$T,'HS P&amp;L'!$A76,'YBHN HS TB'!N:N)</f>
        <v/>
      </c>
      <c r="AA76" s="60">
        <f>SUM(O76:T76)</f>
        <v/>
      </c>
      <c r="AB76" s="8" t="n"/>
      <c r="AC76" s="8" t="n"/>
      <c r="AD76" s="8" t="n"/>
      <c r="AE76" s="8" t="n"/>
      <c r="AF76" s="8" t="n"/>
      <c r="AG76" s="8" t="n"/>
      <c r="AH76" s="8" t="n"/>
      <c r="AI76" s="134" t="n">
        <v>0</v>
      </c>
      <c r="AJ76" s="134" t="n">
        <v>0</v>
      </c>
      <c r="AK76" s="134" t="n">
        <v>0</v>
      </c>
      <c r="AL76" s="134" t="n">
        <v>0</v>
      </c>
      <c r="AM76" s="134" t="n">
        <v>0</v>
      </c>
      <c r="AN76" s="134" t="n">
        <v>0</v>
      </c>
      <c r="AO76" s="144">
        <f>SUM(AC76:AH76)+SUM(AI76:AN76)</f>
        <v/>
      </c>
      <c r="AP76" s="142">
        <f>IF(AB76&lt;&gt;0,(AO76-AB76)/ABS(AB76),0)</f>
        <v/>
      </c>
    </row>
    <row r="77">
      <c r="A77" s="60" t="inlineStr">
        <is>
          <t>Direct - Premises &amp; Admin</t>
        </is>
      </c>
      <c r="B77" s="18" t="n">
        <v>-722.48</v>
      </c>
      <c r="C77" s="18" t="n">
        <v>-665.0700000000001</v>
      </c>
      <c r="D77" s="18" t="n">
        <v>-689</v>
      </c>
      <c r="E77" s="18" t="n">
        <v>-689</v>
      </c>
      <c r="F77" s="18" t="n">
        <v>-469.84</v>
      </c>
      <c r="G77" s="18" t="n">
        <v>-9156.029999999999</v>
      </c>
      <c r="H77" s="18" t="n">
        <v>-3734.81</v>
      </c>
      <c r="I77" s="18" t="n">
        <v>-2141.96</v>
      </c>
      <c r="J77" s="18" t="n">
        <v>-1658.62</v>
      </c>
      <c r="K77" s="18" t="n">
        <v>-1042.18</v>
      </c>
      <c r="L77" s="18" t="n">
        <v>-1376.69</v>
      </c>
      <c r="M77" s="18" t="n">
        <v>-1032.31</v>
      </c>
      <c r="N77" s="8" t="n"/>
      <c r="O77" s="60">
        <f>-SUMIF('YBHN HS TB'!$T:$T,'HS P&amp;L'!$A77,'YBHN HS TB'!C:C)</f>
        <v/>
      </c>
      <c r="P77" s="60">
        <f>-SUMIF('YBHN HS TB'!$T:$T,'HS P&amp;L'!$A77,'YBHN HS TB'!D:D)</f>
        <v/>
      </c>
      <c r="Q77" s="60">
        <f>-SUMIF('YBHN HS TB'!$T:$T,'HS P&amp;L'!$A77,'YBHN HS TB'!E:E)</f>
        <v/>
      </c>
      <c r="R77" s="60">
        <f>-SUMIF('YBHN HS TB'!$T:$T,'HS P&amp;L'!$A77,'YBHN HS TB'!F:F)</f>
        <v/>
      </c>
      <c r="S77" s="60">
        <f>-SUMIF('YBHN HS TB'!$T:$T,'HS P&amp;L'!$A77,'YBHN HS TB'!G:G)</f>
        <v/>
      </c>
      <c r="T77" s="60">
        <f>-SUMIF('YBHN HS TB'!$T:$T,'HS P&amp;L'!$A77,'YBHN HS TB'!H:H)</f>
        <v/>
      </c>
      <c r="U77" s="60">
        <f>-SUMIF('YBHN HS TB'!$T:$T,'HS P&amp;L'!$A77,'YBHN HS TB'!I:I)</f>
        <v/>
      </c>
      <c r="V77" s="60">
        <f>-SUMIF('YBHN HS TB'!$T:$T,'HS P&amp;L'!$A77,'YBHN HS TB'!J:J)</f>
        <v/>
      </c>
      <c r="W77" s="60">
        <f>-SUMIF('YBHN HS TB'!$T:$T,'HS P&amp;L'!$A77,'YBHN HS TB'!K:K)</f>
        <v/>
      </c>
      <c r="X77" s="60">
        <f>-SUMIF('YBHN HS TB'!$T:$T,'HS P&amp;L'!$A77,'YBHN HS TB'!L:L)</f>
        <v/>
      </c>
      <c r="Y77" s="60">
        <f>-SUMIF('YBHN HS TB'!$T:$T,'HS P&amp;L'!$A77,'YBHN HS TB'!M:M)</f>
        <v/>
      </c>
      <c r="Z77" s="60">
        <f>-SUMIF('YBHN HS TB'!$T:$T,'HS P&amp;L'!$A77,'YBHN HS TB'!N:N)</f>
        <v/>
      </c>
      <c r="AA77" s="60">
        <f>SUM(O77:T77)</f>
        <v/>
      </c>
      <c r="AB77" s="8" t="n"/>
      <c r="AC77" s="8" t="n"/>
      <c r="AD77" s="8" t="n"/>
      <c r="AE77" s="8" t="n"/>
      <c r="AF77" s="8" t="n"/>
      <c r="AG77" s="8" t="n"/>
      <c r="AH77" s="8" t="n"/>
      <c r="AI77" s="134" t="n">
        <v>0</v>
      </c>
      <c r="AJ77" s="134" t="n">
        <v>0</v>
      </c>
      <c r="AK77" s="134" t="n">
        <v>0</v>
      </c>
      <c r="AL77" s="134" t="n">
        <v>0</v>
      </c>
      <c r="AM77" s="134" t="n">
        <v>0</v>
      </c>
      <c r="AN77" s="134" t="n">
        <v>0</v>
      </c>
      <c r="AO77" s="144">
        <f>SUM(AC77:AH77)+SUM(AI77:AN77)</f>
        <v/>
      </c>
      <c r="AP77" s="142">
        <f>IF(AB77&lt;&gt;0,(AO77-AB77)/ABS(AB77),0)</f>
        <v/>
      </c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8" t="n"/>
      <c r="O78" s="60">
        <f>-SUMIF('YBHN HS TB'!$T:$T,'HS P&amp;L'!$A78,'YBHN HS TB'!C:C)</f>
        <v/>
      </c>
      <c r="P78" s="60">
        <f>-SUMIF('YBHN HS TB'!$T:$T,'HS P&amp;L'!$A78,'YBHN HS TB'!D:D)</f>
        <v/>
      </c>
      <c r="Q78" s="60">
        <f>-SUMIF('YBHN HS TB'!$T:$T,'HS P&amp;L'!$A78,'YBHN HS TB'!E:E)</f>
        <v/>
      </c>
      <c r="R78" s="60">
        <f>-SUMIF('YBHN HS TB'!$T:$T,'HS P&amp;L'!$A78,'YBHN HS TB'!F:F)</f>
        <v/>
      </c>
      <c r="S78" s="60">
        <f>-SUMIF('YBHN HS TB'!$T:$T,'HS P&amp;L'!$A78,'YBHN HS TB'!G:G)</f>
        <v/>
      </c>
      <c r="T78" s="60">
        <f>-SUMIF('YBHN HS TB'!$T:$T,'HS P&amp;L'!$A78,'YBHN HS TB'!H:H)</f>
        <v/>
      </c>
      <c r="U78" s="60">
        <f>-SUMIF('YBHN HS TB'!$T:$T,'HS P&amp;L'!$A78,'YBHN HS TB'!I:I)</f>
        <v/>
      </c>
      <c r="V78" s="60">
        <f>-SUMIF('YBHN HS TB'!$T:$T,'HS P&amp;L'!$A78,'YBHN HS TB'!J:J)</f>
        <v/>
      </c>
      <c r="W78" s="60">
        <f>-SUMIF('YBHN HS TB'!$T:$T,'HS P&amp;L'!$A78,'YBHN HS TB'!K:K)</f>
        <v/>
      </c>
      <c r="X78" s="60">
        <f>-SUMIF('YBHN HS TB'!$T:$T,'HS P&amp;L'!$A78,'YBHN HS TB'!L:L)</f>
        <v/>
      </c>
      <c r="Y78" s="60">
        <f>-SUMIF('YBHN HS TB'!$T:$T,'HS P&amp;L'!$A78,'YBHN HS TB'!M:M)</f>
        <v/>
      </c>
      <c r="Z78" s="60">
        <f>-SUMIF('YBHN HS TB'!$T:$T,'HS P&amp;L'!$A78,'YBHN HS TB'!N:N)</f>
        <v/>
      </c>
      <c r="AA78" s="60">
        <f>SUM(O78:T78)</f>
        <v/>
      </c>
      <c r="AB78" s="8" t="n"/>
      <c r="AC78" s="8" t="n"/>
      <c r="AD78" s="8" t="n"/>
      <c r="AE78" s="8" t="n"/>
      <c r="AF78" s="8" t="n"/>
      <c r="AG78" s="8" t="n"/>
      <c r="AH78" s="8" t="n"/>
      <c r="AI78" s="134" t="n">
        <v>0</v>
      </c>
      <c r="AJ78" s="134" t="n">
        <v>0</v>
      </c>
      <c r="AK78" s="134" t="n">
        <v>0</v>
      </c>
      <c r="AL78" s="134" t="n">
        <v>0</v>
      </c>
      <c r="AM78" s="134" t="n">
        <v>0</v>
      </c>
      <c r="AN78" s="134" t="n">
        <v>0</v>
      </c>
      <c r="AO78" s="144">
        <f>SUM(AC78:AH78)+SUM(AI78:AN78)</f>
        <v/>
      </c>
      <c r="AP78" s="142">
        <f>IF(AB78&lt;&gt;0,(AO78-AB78)/ABS(AB78),0)</f>
        <v/>
      </c>
    </row>
    <row r="79">
      <c r="A79" s="60" t="inlineStr">
        <is>
          <t>In-Direct - Overheads</t>
        </is>
      </c>
      <c r="B79" s="18" t="n">
        <v>0</v>
      </c>
      <c r="C79" s="18" t="n">
        <v>0</v>
      </c>
      <c r="D79" s="18" t="n">
        <v>-135.22</v>
      </c>
      <c r="E79" s="18" t="n">
        <v>0</v>
      </c>
      <c r="F79" s="18" t="n">
        <v>0</v>
      </c>
      <c r="G79" s="18" t="n">
        <v>-259.8</v>
      </c>
      <c r="H79" s="18" t="n">
        <v>-214.8</v>
      </c>
      <c r="I79" s="18" t="n">
        <v>-214.8</v>
      </c>
      <c r="J79" s="18" t="n">
        <v>-223.6</v>
      </c>
      <c r="K79" s="18" t="n">
        <v>-283.6</v>
      </c>
      <c r="L79" s="18" t="n">
        <v>-275.25</v>
      </c>
      <c r="M79" s="18" t="n">
        <v>-395.12</v>
      </c>
      <c r="N79" s="8" t="n"/>
      <c r="O79" s="60">
        <f>-SUMIF('YBHN HS TB'!$T:$T,'HS P&amp;L'!$A79,'YBHN HS TB'!C:C)</f>
        <v/>
      </c>
      <c r="P79" s="60">
        <f>-SUMIF('YBHN HS TB'!$T:$T,'HS P&amp;L'!$A79,'YBHN HS TB'!D:D)</f>
        <v/>
      </c>
      <c r="Q79" s="60">
        <f>-SUMIF('YBHN HS TB'!$T:$T,'HS P&amp;L'!$A79,'YBHN HS TB'!E:E)</f>
        <v/>
      </c>
      <c r="R79" s="60">
        <f>-SUMIF('YBHN HS TB'!$T:$T,'HS P&amp;L'!$A79,'YBHN HS TB'!F:F)</f>
        <v/>
      </c>
      <c r="S79" s="60">
        <f>-SUMIF('YBHN HS TB'!$T:$T,'HS P&amp;L'!$A79,'YBHN HS TB'!G:G)</f>
        <v/>
      </c>
      <c r="T79" s="60">
        <f>-SUMIF('YBHN HS TB'!$T:$T,'HS P&amp;L'!$A79,'YBHN HS TB'!H:H)</f>
        <v/>
      </c>
      <c r="U79" s="60">
        <f>-SUMIF('YBHN HS TB'!$T:$T,'HS P&amp;L'!$A79,'YBHN HS TB'!I:I)</f>
        <v/>
      </c>
      <c r="V79" s="60">
        <f>-SUMIF('YBHN HS TB'!$T:$T,'HS P&amp;L'!$A79,'YBHN HS TB'!J:J)</f>
        <v/>
      </c>
      <c r="W79" s="60">
        <f>-SUMIF('YBHN HS TB'!$T:$T,'HS P&amp;L'!$A79,'YBHN HS TB'!K:K)</f>
        <v/>
      </c>
      <c r="X79" s="60">
        <f>-SUMIF('YBHN HS TB'!$T:$T,'HS P&amp;L'!$A79,'YBHN HS TB'!L:L)</f>
        <v/>
      </c>
      <c r="Y79" s="60">
        <f>-SUMIF('YBHN HS TB'!$T:$T,'HS P&amp;L'!$A79,'YBHN HS TB'!M:M)</f>
        <v/>
      </c>
      <c r="Z79" s="60">
        <f>-SUMIF('YBHN HS TB'!$T:$T,'HS P&amp;L'!$A79,'YBHN HS TB'!N:N)</f>
        <v/>
      </c>
      <c r="AA79" s="60">
        <f>SUM(O79:T79)</f>
        <v/>
      </c>
      <c r="AB79" s="8" t="n"/>
      <c r="AC79" s="8" t="n"/>
      <c r="AD79" s="8" t="n"/>
      <c r="AE79" s="8" t="n"/>
      <c r="AF79" s="8" t="n"/>
      <c r="AG79" s="8" t="n"/>
      <c r="AH79" s="8" t="n"/>
      <c r="AI79" s="134" t="n">
        <v>0</v>
      </c>
      <c r="AJ79" s="134" t="n">
        <v>0</v>
      </c>
      <c r="AK79" s="134" t="n">
        <v>0</v>
      </c>
      <c r="AL79" s="134" t="n">
        <v>0</v>
      </c>
      <c r="AM79" s="134" t="n">
        <v>0</v>
      </c>
      <c r="AN79" s="134" t="n">
        <v>0</v>
      </c>
      <c r="AO79" s="144">
        <f>SUM(AC79:AH79)+SUM(AI79:AN79)</f>
        <v/>
      </c>
      <c r="AP79" s="142">
        <f>IF(AB79&lt;&gt;0,(AO79-AB79)/ABS(AB79),0)</f>
        <v/>
      </c>
    </row>
    <row r="80" ht="15.75" customHeight="1">
      <c r="A80" s="8" t="n"/>
      <c r="B80" s="67" t="n">
        <v>-722.48</v>
      </c>
      <c r="C80" s="67" t="n">
        <v>-665.0700000000001</v>
      </c>
      <c r="D80" s="67" t="n">
        <v>-824.22</v>
      </c>
      <c r="E80" s="67" t="n">
        <v>-689</v>
      </c>
      <c r="F80" s="67" t="n">
        <v>-469.84</v>
      </c>
      <c r="G80" s="67" t="n">
        <v>-9415.829999999998</v>
      </c>
      <c r="H80" s="67" t="n">
        <v>-3958.910000000001</v>
      </c>
      <c r="I80" s="67" t="n">
        <v>-2587.37</v>
      </c>
      <c r="J80" s="67" t="n">
        <v>-11592.2</v>
      </c>
      <c r="K80" s="67" t="n">
        <v>-7924.139999999999</v>
      </c>
      <c r="L80" s="67" t="n">
        <v>-1982.300000000001</v>
      </c>
      <c r="M80" s="67" t="n">
        <v>-1427.43</v>
      </c>
      <c r="N80" s="64" t="n"/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4">
        <f>SUM(V74:V79)</f>
        <v/>
      </c>
      <c r="W80" s="64">
        <f>SUM(W74:W79)</f>
        <v/>
      </c>
      <c r="X80" s="64">
        <f>SUM(X74:X79)</f>
        <v/>
      </c>
      <c r="Y80" s="64">
        <f>SUM(Y74:Y79)</f>
        <v/>
      </c>
      <c r="Z80" s="64">
        <f>SUM(Z74:Z79)</f>
        <v/>
      </c>
      <c r="AA80" s="64">
        <f>SUM(O80:T80)</f>
        <v/>
      </c>
      <c r="AB80" s="8" t="n"/>
      <c r="AC80" s="64" t="n"/>
      <c r="AD80" s="64" t="n"/>
      <c r="AE80" s="64" t="n"/>
      <c r="AF80" s="64" t="n"/>
      <c r="AG80" s="64" t="n"/>
      <c r="AH80" s="64" t="n"/>
      <c r="AI80" s="134" t="n">
        <v>0</v>
      </c>
      <c r="AJ80" s="149" t="n">
        <v>0</v>
      </c>
      <c r="AK80" s="149" t="n">
        <v>0</v>
      </c>
      <c r="AL80" s="149" t="n">
        <v>0</v>
      </c>
      <c r="AM80" s="149" t="n">
        <v>0</v>
      </c>
      <c r="AN80" s="149" t="n">
        <v>0</v>
      </c>
      <c r="AO80" s="150">
        <f>SUM(AC80:AH80)+SUM(AI80:AN80)</f>
        <v/>
      </c>
      <c r="AP80" s="151">
        <f>IF(AB80&lt;&gt;0,(AO80-AB80)/ABS(AB80),0)</f>
        <v/>
      </c>
    </row>
    <row r="81" ht="15.75" customHeight="1">
      <c r="A81" s="8" t="n"/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0</v>
      </c>
      <c r="G81" s="18" t="n">
        <v>0</v>
      </c>
      <c r="H81" s="18" t="n">
        <v>0</v>
      </c>
      <c r="I81" s="18" t="n">
        <v>0</v>
      </c>
      <c r="J81" s="18" t="n">
        <v>0</v>
      </c>
      <c r="K81" s="18" t="n">
        <v>0</v>
      </c>
      <c r="L81" s="18" t="n">
        <v>0</v>
      </c>
      <c r="M81" s="18" t="n">
        <v>425.2999999999996</v>
      </c>
      <c r="N81" s="8" t="n"/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34" t="n">
        <v>0</v>
      </c>
      <c r="AJ81" s="134" t="n">
        <v>0</v>
      </c>
      <c r="AK81" s="134" t="n">
        <v>0</v>
      </c>
      <c r="AL81" s="134" t="n">
        <v>0</v>
      </c>
      <c r="AM81" s="134" t="n">
        <v>0</v>
      </c>
      <c r="AN81" s="134" t="n">
        <v>0</v>
      </c>
      <c r="AO81" s="144">
        <f>SUM(AC81:AH81)+SUM(AI81:AN81)</f>
        <v/>
      </c>
      <c r="AP81" s="142">
        <f>IF(AB81&lt;&gt;0,(AO81-AB81)/ABS(AB81),0)</f>
        <v/>
      </c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18" t="n">
        <v>0</v>
      </c>
      <c r="C83" s="18" t="n">
        <v>0</v>
      </c>
      <c r="D83" s="18" t="n">
        <v>-135.22</v>
      </c>
      <c r="E83" s="18" t="n">
        <v>0</v>
      </c>
      <c r="F83" s="18" t="n">
        <v>0</v>
      </c>
      <c r="G83" s="18" t="n">
        <v>-259.7999999999993</v>
      </c>
      <c r="H83" s="18" t="n">
        <v>-214.8000000000006</v>
      </c>
      <c r="I83" s="18" t="n">
        <v>-562.8000000000004</v>
      </c>
      <c r="J83" s="18" t="n">
        <v>-223.5999999999985</v>
      </c>
      <c r="K83" s="18" t="n">
        <v>-293.5999999999995</v>
      </c>
      <c r="L83" s="18" t="n">
        <v>-285.2500000000009</v>
      </c>
      <c r="M83" s="18" t="n">
        <v>-681.2799999999997</v>
      </c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34" t="n">
        <v>0</v>
      </c>
      <c r="AJ83" s="134" t="n">
        <v>0</v>
      </c>
      <c r="AK83" s="134" t="n">
        <v>0</v>
      </c>
      <c r="AL83" s="134" t="n">
        <v>0</v>
      </c>
      <c r="AM83" s="134" t="n">
        <v>0</v>
      </c>
      <c r="AN83" s="134" t="n">
        <v>0</v>
      </c>
      <c r="AO83" s="144">
        <f>SUM(AC83:AH83)+SUM(AI83:AN83)</f>
        <v/>
      </c>
      <c r="AP83" s="142">
        <f>IF(AB83&lt;&gt;0,(AO83-AB83)/ABS(AB83),0)</f>
        <v/>
      </c>
    </row>
    <row r="84">
      <c r="A84" s="8" t="n"/>
      <c r="B84" s="18" t="n">
        <v>722.48</v>
      </c>
      <c r="C84" s="18" t="n">
        <v>665.0700000000001</v>
      </c>
      <c r="D84" s="18" t="n">
        <v>689</v>
      </c>
      <c r="E84" s="18" t="n">
        <v>689</v>
      </c>
      <c r="F84" s="18" t="n">
        <v>469.84</v>
      </c>
      <c r="G84" s="18" t="n">
        <v>9156.029999999999</v>
      </c>
      <c r="H84" s="18" t="n">
        <v>3744.11</v>
      </c>
      <c r="I84" s="18" t="n">
        <v>2024.57</v>
      </c>
      <c r="J84" s="18" t="n">
        <v>11368.6</v>
      </c>
      <c r="K84" s="18" t="n">
        <v>7630.54</v>
      </c>
      <c r="L84" s="18" t="n">
        <v>1697.05</v>
      </c>
      <c r="M84" s="18" t="n">
        <v>746.1500000000001</v>
      </c>
      <c r="N84" s="8" t="n"/>
      <c r="O84" s="60">
        <f>SUM('YBHN HS TB'!C2:C23)</f>
        <v/>
      </c>
      <c r="P84" s="60">
        <f>SUM('YBHN HS TB'!D2:D23)</f>
        <v/>
      </c>
      <c r="Q84" s="60">
        <f>SUM('YBHN HS TB'!E2:E23)</f>
        <v/>
      </c>
      <c r="R84" s="60">
        <f>SUM('YBHN HS TB'!F2:F23)</f>
        <v/>
      </c>
      <c r="S84" s="60">
        <f>SUM('YBHN HS TB'!G2:G23)</f>
        <v/>
      </c>
      <c r="T84" s="60">
        <f>SUM('YBHN HS TB'!H2:H23)</f>
        <v/>
      </c>
      <c r="U84" s="60">
        <f>SUM('YBHN HS TB'!I2:I23)</f>
        <v/>
      </c>
      <c r="V84" s="60">
        <f>SUM('YBHN HS TB'!J2:J23)</f>
        <v/>
      </c>
      <c r="W84" s="60">
        <f>SUM('YBHN HS TB'!K2:K23)</f>
        <v/>
      </c>
      <c r="X84" s="60">
        <f>SUM('YBHN HS TB'!L2:L23)</f>
        <v/>
      </c>
      <c r="Y84" s="60">
        <f>SUM('YBHN HS TB'!M2:M23)</f>
        <v/>
      </c>
      <c r="Z84" s="60">
        <f>SUM('YBHN HS TB'!N2:N23)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134" t="n">
        <v>0</v>
      </c>
      <c r="AJ84" s="134" t="n">
        <v>0</v>
      </c>
      <c r="AK84" s="134" t="n">
        <v>0</v>
      </c>
      <c r="AL84" s="134" t="n">
        <v>0</v>
      </c>
      <c r="AM84" s="134" t="n">
        <v>0</v>
      </c>
      <c r="AN84" s="134" t="n">
        <v>0</v>
      </c>
      <c r="AO84" s="144">
        <f>SUM(AC84:AH84)+SUM(AI84:AN84)</f>
        <v/>
      </c>
      <c r="AP84" s="142">
        <f>IF(AB84&lt;&gt;0,(AO84-AB84)/ABS(AB84),0)</f>
        <v/>
      </c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</sheetData>
  <mergeCells count="1">
    <mergeCell ref="AI1:AQ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Happitots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45921.31</v>
      </c>
      <c r="C8" s="35" t="n">
        <v>38098.84</v>
      </c>
      <c r="D8" s="35" t="n">
        <v>46565.41</v>
      </c>
      <c r="E8" s="35" t="n">
        <v>57238.21</v>
      </c>
      <c r="F8" s="35" t="n">
        <v>49192.7</v>
      </c>
      <c r="G8" s="35" t="n">
        <v>46788.82</v>
      </c>
      <c r="H8" s="35" t="n">
        <v>62639.28</v>
      </c>
      <c r="I8" s="35" t="n">
        <v>56769.19</v>
      </c>
      <c r="J8" s="35" t="n">
        <v>40329.92</v>
      </c>
      <c r="K8" s="35" t="n">
        <v>40153.78</v>
      </c>
      <c r="L8" s="35" t="n">
        <v>34561.24</v>
      </c>
      <c r="M8" s="35" t="n">
        <v>45835.67</v>
      </c>
      <c r="N8" s="36">
        <f>SUM(B8:M8)</f>
        <v/>
      </c>
      <c r="O8" s="37">
        <f>-SUMIF('XHDN TB'!$R:$R,'HDN P&amp;L'!$A8,'XHDN TB'!C:C)</f>
        <v/>
      </c>
      <c r="P8" s="37">
        <f>-SUMIF('XHDN TB'!$R:$R,'HDN P&amp;L'!$A8,'XHDN TB'!D:D)</f>
        <v/>
      </c>
      <c r="Q8" s="37">
        <f>-SUMIF('XHDN TB'!$R:$R,'HDN P&amp;L'!$A8,'XHDN TB'!E:E)</f>
        <v/>
      </c>
      <c r="R8" s="37">
        <f>-SUMIF('XHDN TB'!$R:$R,'HDN P&amp;L'!$A8,'XHDN TB'!F:F)</f>
        <v/>
      </c>
      <c r="S8" s="37">
        <f>-SUMIF('XHDN TB'!$R:$R,'HDN P&amp;L'!$A8,'XHDN TB'!G:G)</f>
        <v/>
      </c>
      <c r="T8" s="37">
        <f>-SUMIF('XHDN TB'!$R:$R,'HDN P&amp;L'!$A8,'XHDN TB'!H:H)</f>
        <v/>
      </c>
      <c r="U8" s="37">
        <f>-SUMIF('HDN TB'!$R:$R,'HDN P&amp;L'!$A8,'HDN TB'!I:I)</f>
        <v/>
      </c>
      <c r="V8" s="38" t="n">
        <v>49094.17</v>
      </c>
      <c r="W8" s="38" t="n">
        <v>34298.95</v>
      </c>
      <c r="X8" s="38" t="n">
        <v>33860.51</v>
      </c>
      <c r="Y8" s="38" t="n">
        <v>34027.45</v>
      </c>
      <c r="Z8" s="38" t="n">
        <v>46313.78</v>
      </c>
      <c r="AA8" s="36">
        <f>SUM(O8:U8)</f>
        <v/>
      </c>
      <c r="AB8" s="36">
        <f>SUM(O8:Z8)</f>
        <v/>
      </c>
      <c r="AC8" s="38" t="n">
        <v>63267.18</v>
      </c>
      <c r="AD8" s="38" t="n">
        <v>60274.57</v>
      </c>
      <c r="AE8" s="38" t="n">
        <v>75362.87</v>
      </c>
      <c r="AF8" s="38" t="n">
        <v>69288.22</v>
      </c>
      <c r="AG8" s="38" t="n">
        <v>72843.58</v>
      </c>
      <c r="AH8" s="38" t="n">
        <v>75234.78999999999</v>
      </c>
      <c r="AI8" s="118" t="n">
        <v>75234.78999999999</v>
      </c>
      <c r="AJ8" s="119" t="n">
        <v>75234.78999999999</v>
      </c>
      <c r="AK8" s="119" t="n">
        <v>75234.78999999999</v>
      </c>
      <c r="AL8" s="119" t="n">
        <v>75234.78999999999</v>
      </c>
      <c r="AM8" s="120" t="n">
        <v>75234.78999999999</v>
      </c>
      <c r="AN8" s="118" t="n">
        <v>75234.78999999999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14880.4</v>
      </c>
      <c r="C9" s="35" t="n">
        <v>14880.4</v>
      </c>
      <c r="D9" s="35" t="n">
        <v>22868.72</v>
      </c>
      <c r="E9" s="35" t="n">
        <v>11910.48</v>
      </c>
      <c r="F9" s="35" t="n">
        <v>11910.4</v>
      </c>
      <c r="G9" s="35" t="n">
        <v>11910.48</v>
      </c>
      <c r="H9" s="35" t="n">
        <v>28251.59</v>
      </c>
      <c r="I9" s="35" t="n">
        <v>0</v>
      </c>
      <c r="J9" s="35" t="n">
        <v>12726.08</v>
      </c>
      <c r="K9" s="35" t="n">
        <v>12726.08</v>
      </c>
      <c r="L9" s="35" t="n">
        <v>28161.67</v>
      </c>
      <c r="M9" s="35" t="n">
        <v>28507.8</v>
      </c>
      <c r="N9" s="36">
        <f>SUM(B9:M9)</f>
        <v/>
      </c>
      <c r="O9" s="37">
        <f>-SUMIF('XHDN TB'!$R:$R,'HDN P&amp;L'!$A9,'XHDN TB'!C:C)</f>
        <v/>
      </c>
      <c r="P9" s="37">
        <f>-SUMIF('XHDN TB'!$R:$R,'HDN P&amp;L'!$A9,'XHDN TB'!D:D)</f>
        <v/>
      </c>
      <c r="Q9" s="37">
        <f>-SUMIF('XHDN TB'!$R:$R,'HDN P&amp;L'!$A9,'XHDN TB'!E:E)</f>
        <v/>
      </c>
      <c r="R9" s="37">
        <f>-SUMIF('XHDN TB'!$R:$R,'HDN P&amp;L'!$A9,'XHDN TB'!F:F)</f>
        <v/>
      </c>
      <c r="S9" s="37">
        <f>-SUMIF('XHDN TB'!$R:$R,'HDN P&amp;L'!$A9,'XHDN TB'!G:G)</f>
        <v/>
      </c>
      <c r="T9" s="37">
        <f>-SUMIF('XHDN TB'!$R:$R,'HDN P&amp;L'!$A9,'XHDN TB'!H:H)</f>
        <v/>
      </c>
      <c r="U9" s="37">
        <f>-SUMIF('HDN TB'!$R:$R,'HDN P&amp;L'!$A9,'HDN TB'!I:I)</f>
        <v/>
      </c>
      <c r="V9" s="38" t="n">
        <v>0</v>
      </c>
      <c r="W9" s="38" t="n">
        <v>19443.72</v>
      </c>
      <c r="X9" s="38" t="n">
        <v>24019.56</v>
      </c>
      <c r="Y9" s="38" t="n">
        <v>23214.36</v>
      </c>
      <c r="Z9" s="38" t="n">
        <v>9933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8" t="n">
        <v>0</v>
      </c>
      <c r="AJ9" s="119" t="n">
        <v>0</v>
      </c>
      <c r="AK9" s="119" t="n">
        <v>0</v>
      </c>
      <c r="AL9" s="119" t="n">
        <v>0</v>
      </c>
      <c r="AM9" s="120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200</v>
      </c>
      <c r="C10" s="35" t="n">
        <v>200</v>
      </c>
      <c r="D10" s="35" t="n">
        <v>300</v>
      </c>
      <c r="E10" s="35" t="n">
        <v>300</v>
      </c>
      <c r="F10" s="35" t="n">
        <v>300</v>
      </c>
      <c r="G10" s="35" t="n">
        <v>360</v>
      </c>
      <c r="H10" s="35" t="n">
        <v>300</v>
      </c>
      <c r="I10" s="35" t="n">
        <v>3279.07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-SUMIF('XHDN TB'!$R:$R,'HDN P&amp;L'!$A10,'XHDN TB'!C:C)</f>
        <v/>
      </c>
      <c r="P10" s="37">
        <f>-SUMIF('XHDN TB'!$R:$R,'HDN P&amp;L'!$A10,'XHDN TB'!D:D)</f>
        <v/>
      </c>
      <c r="Q10" s="37">
        <f>-SUMIF('XHDN TB'!$R:$R,'HDN P&amp;L'!$A10,'XHDN TB'!E:E)</f>
        <v/>
      </c>
      <c r="R10" s="37">
        <f>-SUMIF('XHDN TB'!$R:$R,'HDN P&amp;L'!$A10,'XHDN TB'!F:F)</f>
        <v/>
      </c>
      <c r="S10" s="37">
        <f>-SUMIF('XHDN TB'!$R:$R,'HDN P&amp;L'!$A10,'XHDN TB'!G:G)</f>
        <v/>
      </c>
      <c r="T10" s="37">
        <f>-SUMIF('XHDN TB'!$R:$R,'HDN P&amp;L'!$A10,'XHDN TB'!H:H)</f>
        <v/>
      </c>
      <c r="U10" s="37">
        <f>-SUMIF('HDN TB'!$R:$R,'HDN P&amp;L'!$A10,'HDN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8" t="n">
        <v>0</v>
      </c>
      <c r="AJ10" s="119" t="n">
        <v>0</v>
      </c>
      <c r="AK10" s="119" t="n">
        <v>0</v>
      </c>
      <c r="AL10" s="119" t="n">
        <v>0</v>
      </c>
      <c r="AM10" s="120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61001.71</v>
      </c>
      <c r="C11" s="42" t="n">
        <v>53179.24</v>
      </c>
      <c r="D11" s="42" t="n">
        <v>69734.13</v>
      </c>
      <c r="E11" s="42" t="n">
        <v>69448.69</v>
      </c>
      <c r="F11" s="42" t="n">
        <v>61403.1</v>
      </c>
      <c r="G11" s="42" t="n">
        <v>59059.3</v>
      </c>
      <c r="H11" s="42" t="n">
        <v>91190.87</v>
      </c>
      <c r="I11" s="42" t="n">
        <v>60048.26</v>
      </c>
      <c r="J11" s="42" t="n">
        <v>53056</v>
      </c>
      <c r="K11" s="42" t="n">
        <v>52879.86</v>
      </c>
      <c r="L11" s="42" t="n">
        <v>62722.91</v>
      </c>
      <c r="M11" s="42" t="n">
        <v>74343.47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3">
        <f>SUM(AI8:AI10)</f>
        <v/>
      </c>
      <c r="AJ11" s="124">
        <f>SUM(AJ8:AJ10)</f>
        <v/>
      </c>
      <c r="AK11" s="124">
        <f>SUM(AK8:AK10)</f>
        <v/>
      </c>
      <c r="AL11" s="124">
        <f>SUM(AL8:AL10)</f>
        <v/>
      </c>
      <c r="AM11" s="124">
        <f>SUM(AM8:AM10)</f>
        <v/>
      </c>
      <c r="AN11" s="123">
        <f>SUM(AN8:AN10)</f>
        <v/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7" t="n">
        <v>0</v>
      </c>
      <c r="AJ12" s="128" t="n">
        <v>0</v>
      </c>
      <c r="AK12" s="128" t="n">
        <v>0</v>
      </c>
      <c r="AL12" s="128" t="n">
        <v>0</v>
      </c>
      <c r="AM12" s="129" t="n">
        <v>0</v>
      </c>
      <c r="AN12" s="127" t="n">
        <v>0</v>
      </c>
      <c r="AO12" s="121">
        <f>SUM(AC12:AH12)+SUM(AI12:AN12)</f>
        <v/>
      </c>
      <c r="AP12" s="122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 t="n">
        <v>0</v>
      </c>
      <c r="AJ13" s="131" t="n">
        <v>0</v>
      </c>
      <c r="AK13" s="131" t="n">
        <v>0</v>
      </c>
      <c r="AL13" s="131" t="n">
        <v>0</v>
      </c>
      <c r="AM13" s="132" t="n">
        <v>0</v>
      </c>
      <c r="AN13" s="130" t="n">
        <v>0</v>
      </c>
      <c r="AO13" s="133">
        <f>SUM(AC13:AH13)+SUM(AI13:AN13)</f>
        <v/>
      </c>
      <c r="AP13" s="122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27199.35</v>
      </c>
      <c r="C16" s="35" t="n">
        <v>26969.3</v>
      </c>
      <c r="D16" s="35" t="n">
        <v>28313.5</v>
      </c>
      <c r="E16" s="35" t="n">
        <v>31211.69</v>
      </c>
      <c r="F16" s="35" t="n">
        <v>29845.91</v>
      </c>
      <c r="G16" s="35" t="n">
        <v>29990.87</v>
      </c>
      <c r="H16" s="35" t="n">
        <v>35763.1</v>
      </c>
      <c r="I16" s="35" t="n">
        <v>33092</v>
      </c>
      <c r="J16" s="35" t="n">
        <v>32840.54</v>
      </c>
      <c r="K16" s="35" t="n">
        <v>36158.05</v>
      </c>
      <c r="L16" s="35" t="n">
        <v>35650.18</v>
      </c>
      <c r="M16" s="35" t="n">
        <v>36557.18</v>
      </c>
      <c r="N16" s="36">
        <f>SUM(B16:M16)</f>
        <v/>
      </c>
      <c r="O16" s="37">
        <f>SUMIF('XHDN TB'!$R:$R,'HDN P&amp;L'!$A16,'XHDN TB'!C:C)</f>
        <v/>
      </c>
      <c r="P16" s="37">
        <f>SUMIF('XHDN TB'!$R:$R,'HDN P&amp;L'!$A16,'XHDN TB'!D:D)</f>
        <v/>
      </c>
      <c r="Q16" s="37">
        <f>SUMIF('XHDN TB'!$R:$R,'HDN P&amp;L'!$A16,'XHDN TB'!E:E)</f>
        <v/>
      </c>
      <c r="R16" s="37">
        <f>SUMIF('XHDN TB'!$R:$R,'HDN P&amp;L'!$A16,'XHDN TB'!F:F)</f>
        <v/>
      </c>
      <c r="S16" s="37">
        <f>SUMIF('XHDN TB'!$R:$R,'HDN P&amp;L'!$A16,'XHDN TB'!G:G)</f>
        <v/>
      </c>
      <c r="T16" s="37">
        <f>SUMIF('XHDN TB'!$R:$R,'HDN P&amp;L'!$A16,'XHDN TB'!H:H)</f>
        <v/>
      </c>
      <c r="U16" s="37">
        <f>SUMIF('HDN TB'!$R:$R,'HDN P&amp;L'!$A16,'HDN TB'!I:I)</f>
        <v/>
      </c>
      <c r="V16" s="38" t="n">
        <v>33483.36</v>
      </c>
      <c r="W16" s="38" t="n">
        <v>33483.36</v>
      </c>
      <c r="X16" s="38" t="n">
        <v>33483.36</v>
      </c>
      <c r="Y16" s="38" t="n">
        <v>33483.36</v>
      </c>
      <c r="Z16" s="38" t="n">
        <v>33483.36</v>
      </c>
      <c r="AA16" s="36">
        <f>SUM(O16:U16)</f>
        <v/>
      </c>
      <c r="AB16" s="36">
        <f>SUM(O16:Z16)</f>
        <v/>
      </c>
      <c r="AC16" s="38" t="n">
        <v>33483.36</v>
      </c>
      <c r="AD16" s="38" t="n">
        <v>33483.36</v>
      </c>
      <c r="AE16" s="38" t="n">
        <v>33483.36</v>
      </c>
      <c r="AF16" s="38" t="n">
        <v>33483.36</v>
      </c>
      <c r="AG16" s="38" t="n">
        <v>33483.36</v>
      </c>
      <c r="AH16" s="38" t="n">
        <v>33483.36</v>
      </c>
      <c r="AI16" s="118" t="n">
        <v>33483.36</v>
      </c>
      <c r="AJ16" s="119" t="n">
        <v>33483.36</v>
      </c>
      <c r="AK16" s="119" t="n">
        <v>33483.36</v>
      </c>
      <c r="AL16" s="119" t="n">
        <v>33483.36</v>
      </c>
      <c r="AM16" s="120" t="n">
        <v>33483.36</v>
      </c>
      <c r="AN16" s="118" t="n">
        <v>33483.36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2322.12</v>
      </c>
      <c r="C17" s="35" t="n">
        <v>2227.41</v>
      </c>
      <c r="D17" s="35" t="n">
        <v>2346.82</v>
      </c>
      <c r="E17" s="35" t="n">
        <v>3631.01</v>
      </c>
      <c r="F17" s="35" t="n">
        <v>3444.09</v>
      </c>
      <c r="G17" s="35" t="n">
        <v>3284.69</v>
      </c>
      <c r="H17" s="35" t="n">
        <v>4309.29</v>
      </c>
      <c r="I17" s="35" t="n">
        <v>3776.98</v>
      </c>
      <c r="J17" s="35" t="n">
        <v>3745.07</v>
      </c>
      <c r="K17" s="35" t="n">
        <v>4183.86</v>
      </c>
      <c r="L17" s="35" t="n">
        <v>4085.43</v>
      </c>
      <c r="M17" s="35" t="n">
        <v>4232.64</v>
      </c>
      <c r="N17" s="36">
        <f>SUM(B17:M17)</f>
        <v/>
      </c>
      <c r="O17" s="37">
        <f>SUMIF('XHDN TB'!$R:$R,'HDN P&amp;L'!$A17,'XHDN TB'!C:C)</f>
        <v/>
      </c>
      <c r="P17" s="37">
        <f>SUMIF('XHDN TB'!$R:$R,'HDN P&amp;L'!$A17,'XHDN TB'!D:D)</f>
        <v/>
      </c>
      <c r="Q17" s="37">
        <f>SUMIF('XHDN TB'!$R:$R,'HDN P&amp;L'!$A17,'XHDN TB'!E:E)</f>
        <v/>
      </c>
      <c r="R17" s="37">
        <f>SUMIF('XHDN TB'!$R:$R,'HDN P&amp;L'!$A17,'XHDN TB'!F:F)</f>
        <v/>
      </c>
      <c r="S17" s="37">
        <f>SUMIF('XHDN TB'!$R:$R,'HDN P&amp;L'!$A17,'XHDN TB'!G:G)</f>
        <v/>
      </c>
      <c r="T17" s="37">
        <f>SUMIF('XHDN TB'!$R:$R,'HDN P&amp;L'!$A17,'XHDN TB'!H:H)</f>
        <v/>
      </c>
      <c r="U17" s="37">
        <f>SUMIF('HDN TB'!$R:$R,'HDN P&amp;L'!$A17,'HDN TB'!I:I)</f>
        <v/>
      </c>
      <c r="V17" s="38" t="n">
        <v>3939.99</v>
      </c>
      <c r="W17" s="38" t="n">
        <v>3939.99</v>
      </c>
      <c r="X17" s="38" t="n">
        <v>3939.99</v>
      </c>
      <c r="Y17" s="38" t="n">
        <v>3939.99</v>
      </c>
      <c r="Z17" s="38" t="n">
        <v>3939.99</v>
      </c>
      <c r="AA17" s="36">
        <f>SUM(O17:U17)</f>
        <v/>
      </c>
      <c r="AB17" s="36">
        <f>SUM(O17:Z17)</f>
        <v/>
      </c>
      <c r="AC17" s="38" t="n">
        <v>3939.99</v>
      </c>
      <c r="AD17" s="38" t="n">
        <v>3939.99</v>
      </c>
      <c r="AE17" s="38" t="n">
        <v>3939.99</v>
      </c>
      <c r="AF17" s="38" t="n">
        <v>3939.99</v>
      </c>
      <c r="AG17" s="38" t="n">
        <v>3939.99</v>
      </c>
      <c r="AH17" s="38" t="n">
        <v>3939.99</v>
      </c>
      <c r="AI17" s="118" t="n">
        <v>3939.99</v>
      </c>
      <c r="AJ17" s="119" t="n">
        <v>3939.99</v>
      </c>
      <c r="AK17" s="119" t="n">
        <v>3939.99</v>
      </c>
      <c r="AL17" s="119" t="n">
        <v>3939.99</v>
      </c>
      <c r="AM17" s="120" t="n">
        <v>3939.99</v>
      </c>
      <c r="AN17" s="118" t="n">
        <v>3939.99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590.4400000000001</v>
      </c>
      <c r="C18" s="35" t="n">
        <v>569.1900000000001</v>
      </c>
      <c r="D18" s="35" t="n">
        <v>575.7</v>
      </c>
      <c r="E18" s="35" t="n">
        <v>603.08</v>
      </c>
      <c r="F18" s="35" t="n">
        <v>604.72</v>
      </c>
      <c r="G18" s="35" t="n">
        <v>616.71</v>
      </c>
      <c r="H18" s="35" t="n">
        <v>779.6900000000001</v>
      </c>
      <c r="I18" s="35" t="n">
        <v>683.8</v>
      </c>
      <c r="J18" s="35" t="n">
        <v>705.6799999999999</v>
      </c>
      <c r="K18" s="35" t="n">
        <v>790.33</v>
      </c>
      <c r="L18" s="35" t="n">
        <v>770.66</v>
      </c>
      <c r="M18" s="35" t="n">
        <v>799.9299999999999</v>
      </c>
      <c r="N18" s="36">
        <f>SUM(B18:M18)</f>
        <v/>
      </c>
      <c r="O18" s="37">
        <f>SUMIF('XHDN TB'!$R:$R,'HDN P&amp;L'!$A18,'XHDN TB'!C:C)</f>
        <v/>
      </c>
      <c r="P18" s="37">
        <f>SUMIF('XHDN TB'!$R:$R,'HDN P&amp;L'!$A18,'XHDN TB'!D:D)</f>
        <v/>
      </c>
      <c r="Q18" s="37">
        <f>SUMIF('XHDN TB'!$R:$R,'HDN P&amp;L'!$A18,'XHDN TB'!E:E)</f>
        <v/>
      </c>
      <c r="R18" s="37">
        <f>SUMIF('XHDN TB'!$R:$R,'HDN P&amp;L'!$A18,'XHDN TB'!F:F)</f>
        <v/>
      </c>
      <c r="S18" s="37">
        <f>SUMIF('XHDN TB'!$R:$R,'HDN P&amp;L'!$A18,'XHDN TB'!G:G)</f>
        <v/>
      </c>
      <c r="T18" s="37">
        <f>SUMIF('XHDN TB'!$R:$R,'HDN P&amp;L'!$A18,'XHDN TB'!H:H)</f>
        <v/>
      </c>
      <c r="U18" s="37">
        <f>SUMIF('HDN TB'!$R:$R,'HDN P&amp;L'!$A18,'HDN TB'!I:I)</f>
        <v/>
      </c>
      <c r="V18" s="38" t="n">
        <v>747.79</v>
      </c>
      <c r="W18" s="38" t="n">
        <v>747.79</v>
      </c>
      <c r="X18" s="38" t="n">
        <v>747.79</v>
      </c>
      <c r="Y18" s="38" t="n">
        <v>747.79</v>
      </c>
      <c r="Z18" s="38" t="n">
        <v>747.79</v>
      </c>
      <c r="AA18" s="36">
        <f>SUM(O18:U18)</f>
        <v/>
      </c>
      <c r="AB18" s="36">
        <f>SUM(O18:Z18)</f>
        <v/>
      </c>
      <c r="AC18" s="38" t="n">
        <v>747.79</v>
      </c>
      <c r="AD18" s="38" t="n">
        <v>747.79</v>
      </c>
      <c r="AE18" s="38" t="n">
        <v>747.79</v>
      </c>
      <c r="AF18" s="38" t="n">
        <v>747.79</v>
      </c>
      <c r="AG18" s="38" t="n">
        <v>747.79</v>
      </c>
      <c r="AH18" s="38" t="n">
        <v>747.79</v>
      </c>
      <c r="AI18" s="118" t="n">
        <v>747.79</v>
      </c>
      <c r="AJ18" s="119" t="n">
        <v>747.79</v>
      </c>
      <c r="AK18" s="119" t="n">
        <v>747.79</v>
      </c>
      <c r="AL18" s="119" t="n">
        <v>747.79</v>
      </c>
      <c r="AM18" s="120" t="n">
        <v>747.79</v>
      </c>
      <c r="AN18" s="118" t="n">
        <v>747.79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286.7</v>
      </c>
      <c r="D19" s="35" t="n">
        <v>5.99</v>
      </c>
      <c r="E19" s="35" t="n">
        <v>251.62</v>
      </c>
      <c r="F19" s="35" t="n">
        <v>91.02</v>
      </c>
      <c r="G19" s="35" t="n">
        <v>0</v>
      </c>
      <c r="H19" s="35" t="n">
        <v>0</v>
      </c>
      <c r="I19" s="35" t="n">
        <v>0</v>
      </c>
      <c r="J19" s="35" t="n">
        <v>0</v>
      </c>
      <c r="K19" s="35" t="n">
        <v>163.98</v>
      </c>
      <c r="L19" s="35" t="n">
        <v>0</v>
      </c>
      <c r="M19" s="35" t="n">
        <v>0</v>
      </c>
      <c r="N19" s="36">
        <f>SUM(B19:M19)</f>
        <v/>
      </c>
      <c r="O19" s="37">
        <f>SUMIF('XHDN TB'!$R:$R,'HDN P&amp;L'!$A19,'XHDN TB'!C:C)</f>
        <v/>
      </c>
      <c r="P19" s="37">
        <f>SUMIF('XHDN TB'!$R:$R,'HDN P&amp;L'!$A19,'XHDN TB'!D:D)</f>
        <v/>
      </c>
      <c r="Q19" s="37">
        <f>SUMIF('XHDN TB'!$R:$R,'HDN P&amp;L'!$A19,'XHDN TB'!E:E)</f>
        <v/>
      </c>
      <c r="R19" s="37">
        <f>SUMIF('XHDN TB'!$R:$R,'HDN P&amp;L'!$A19,'XHDN TB'!F:F)</f>
        <v/>
      </c>
      <c r="S19" s="37">
        <f>SUMIF('XHDN TB'!$R:$R,'HDN P&amp;L'!$A19,'XHDN TB'!G:G)</f>
        <v/>
      </c>
      <c r="T19" s="37">
        <f>SUMIF('XHDN TB'!$R:$R,'HDN P&amp;L'!$A19,'XHDN TB'!H:H)</f>
        <v/>
      </c>
      <c r="U19" s="37">
        <f>SUMIF('HDN TB'!$R:$R,'HDN P&amp;L'!$A19,'HDN TB'!I:I)</f>
        <v/>
      </c>
      <c r="V19" s="38" t="n">
        <v>83</v>
      </c>
      <c r="W19" s="38" t="n">
        <v>83</v>
      </c>
      <c r="X19" s="38" t="n">
        <v>83</v>
      </c>
      <c r="Y19" s="38" t="n">
        <v>83</v>
      </c>
      <c r="Z19" s="38" t="n">
        <v>83</v>
      </c>
      <c r="AA19" s="36">
        <f>SUM(O19:U19)</f>
        <v/>
      </c>
      <c r="AB19" s="36">
        <f>SUM(O19:Z19)</f>
        <v/>
      </c>
      <c r="AC19" s="38" t="n">
        <v>83</v>
      </c>
      <c r="AD19" s="38" t="n">
        <v>83</v>
      </c>
      <c r="AE19" s="38" t="n">
        <v>83</v>
      </c>
      <c r="AF19" s="38" t="n">
        <v>83</v>
      </c>
      <c r="AG19" s="38" t="n">
        <v>83</v>
      </c>
      <c r="AH19" s="38" t="n">
        <v>83</v>
      </c>
      <c r="AI19" s="118" t="n">
        <v>83</v>
      </c>
      <c r="AJ19" s="119" t="n">
        <v>83</v>
      </c>
      <c r="AK19" s="119" t="n">
        <v>83</v>
      </c>
      <c r="AL19" s="119" t="n">
        <v>83</v>
      </c>
      <c r="AM19" s="120" t="n">
        <v>83</v>
      </c>
      <c r="AN19" s="118" t="n">
        <v>83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48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54</v>
      </c>
      <c r="H20" s="35" t="n">
        <v>24</v>
      </c>
      <c r="I20" s="35" t="n">
        <v>0</v>
      </c>
      <c r="J20" s="35" t="n">
        <v>102</v>
      </c>
      <c r="K20" s="35" t="n">
        <v>0</v>
      </c>
      <c r="L20" s="35" t="n">
        <v>37.2</v>
      </c>
      <c r="M20" s="35" t="n">
        <v>0</v>
      </c>
      <c r="N20" s="36">
        <f>SUM(B20:M20)</f>
        <v/>
      </c>
      <c r="O20" s="37">
        <f>SUMIF('XHDN TB'!$R:$R,'HDN P&amp;L'!$A20,'XHDN TB'!C:C)</f>
        <v/>
      </c>
      <c r="P20" s="37">
        <f>SUMIF('XHDN TB'!$R:$R,'HDN P&amp;L'!$A20,'XHDN TB'!D:D)</f>
        <v/>
      </c>
      <c r="Q20" s="37">
        <f>SUMIF('XHDN TB'!$R:$R,'HDN P&amp;L'!$A20,'XHDN TB'!E:E)</f>
        <v/>
      </c>
      <c r="R20" s="37">
        <f>SUMIF('XHDN TB'!$R:$R,'HDN P&amp;L'!$A20,'XHDN TB'!F:F)</f>
        <v/>
      </c>
      <c r="S20" s="37">
        <f>SUMIF('XHDN TB'!$R:$R,'HDN P&amp;L'!$A20,'XHDN TB'!G:G)</f>
        <v/>
      </c>
      <c r="T20" s="37">
        <f>SUMIF('XHDN TB'!$R:$R,'HDN P&amp;L'!$A20,'XHDN TB'!H:H)</f>
        <v/>
      </c>
      <c r="U20" s="37">
        <f>SUMIF('HDN TB'!$R:$R,'HDN P&amp;L'!$A20,'HDN TB'!I:I)</f>
        <v/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118" t="n">
        <v>100</v>
      </c>
      <c r="AJ20" s="119" t="n">
        <v>100</v>
      </c>
      <c r="AK20" s="119" t="n">
        <v>100</v>
      </c>
      <c r="AL20" s="119" t="n">
        <v>100</v>
      </c>
      <c r="AM20" s="120" t="n">
        <v>100</v>
      </c>
      <c r="AN20" s="118" t="n">
        <v>100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220.6000000000001</v>
      </c>
      <c r="C21" s="35" t="n">
        <v>225.71</v>
      </c>
      <c r="D21" s="35" t="n">
        <v>115.95</v>
      </c>
      <c r="E21" s="35" t="n">
        <v>324.7900000000001</v>
      </c>
      <c r="F21" s="35" t="n">
        <v>102.62</v>
      </c>
      <c r="G21" s="35" t="n">
        <v>41.39</v>
      </c>
      <c r="H21" s="35" t="n">
        <v>456.77</v>
      </c>
      <c r="I21" s="35" t="n">
        <v>117.13</v>
      </c>
      <c r="J21" s="35" t="n">
        <v>158.17</v>
      </c>
      <c r="K21" s="35" t="n">
        <v>329.93</v>
      </c>
      <c r="L21" s="35" t="n">
        <v>60.13</v>
      </c>
      <c r="M21" s="35" t="n">
        <v>69.8</v>
      </c>
      <c r="N21" s="36">
        <f>SUM(B21:M21)</f>
        <v/>
      </c>
      <c r="O21" s="37">
        <f>SUMIF('XHDN TB'!$R:$R,'HDN P&amp;L'!$A21,'XHDN TB'!C:C)</f>
        <v/>
      </c>
      <c r="P21" s="37">
        <f>SUMIF('XHDN TB'!$R:$R,'HDN P&amp;L'!$A21,'XHDN TB'!D:D)</f>
        <v/>
      </c>
      <c r="Q21" s="37">
        <f>SUMIF('XHDN TB'!$R:$R,'HDN P&amp;L'!$A21,'XHDN TB'!E:E)</f>
        <v/>
      </c>
      <c r="R21" s="37">
        <f>SUMIF('XHDN TB'!$R:$R,'HDN P&amp;L'!$A21,'XHDN TB'!F:F)</f>
        <v/>
      </c>
      <c r="S21" s="37">
        <f>SUMIF('XHDN TB'!$R:$R,'HDN P&amp;L'!$A21,'XHDN TB'!G:G)</f>
        <v/>
      </c>
      <c r="T21" s="37">
        <f>SUMIF('XHDN TB'!$R:$R,'HDN P&amp;L'!$A21,'XHDN TB'!H:H)</f>
        <v/>
      </c>
      <c r="U21" s="37">
        <f>SUMIF('HDN TB'!$R:$R,'HDN P&amp;L'!$A21,'HDN TB'!I:I)</f>
        <v/>
      </c>
      <c r="V21" s="38" t="n">
        <v>170</v>
      </c>
      <c r="W21" s="38" t="n">
        <v>170</v>
      </c>
      <c r="X21" s="38" t="n">
        <v>170</v>
      </c>
      <c r="Y21" s="38" t="n">
        <v>170</v>
      </c>
      <c r="Z21" s="38" t="n">
        <v>170</v>
      </c>
      <c r="AA21" s="36">
        <f>SUM(O21:U21)</f>
        <v/>
      </c>
      <c r="AB21" s="36">
        <f>SUM(O21:Z21)</f>
        <v/>
      </c>
      <c r="AC21" s="38" t="n">
        <v>170</v>
      </c>
      <c r="AD21" s="38" t="n">
        <v>170</v>
      </c>
      <c r="AE21" s="38" t="n">
        <v>170</v>
      </c>
      <c r="AF21" s="38" t="n">
        <v>170</v>
      </c>
      <c r="AG21" s="38" t="n">
        <v>170</v>
      </c>
      <c r="AH21" s="38" t="n">
        <v>170</v>
      </c>
      <c r="AI21" s="118" t="n">
        <v>170</v>
      </c>
      <c r="AJ21" s="119" t="n">
        <v>170</v>
      </c>
      <c r="AK21" s="119" t="n">
        <v>170</v>
      </c>
      <c r="AL21" s="119" t="n">
        <v>170</v>
      </c>
      <c r="AM21" s="120" t="n">
        <v>170</v>
      </c>
      <c r="AN21" s="118" t="n">
        <v>170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SUMIF('XHDN TB'!$R:$R,'HDN P&amp;L'!$A22,'XHDN TB'!C:C)</f>
        <v/>
      </c>
      <c r="P22" s="37">
        <f>SUMIF('XHDN TB'!$R:$R,'HDN P&amp;L'!$A22,'XHDN TB'!D:D)</f>
        <v/>
      </c>
      <c r="Q22" s="37">
        <f>SUMIF('XHDN TB'!$R:$R,'HDN P&amp;L'!$A22,'XHDN TB'!E:E)</f>
        <v/>
      </c>
      <c r="R22" s="37">
        <f>SUMIF('XHDN TB'!$R:$R,'HDN P&amp;L'!$A22,'XHDN TB'!F:F)</f>
        <v/>
      </c>
      <c r="S22" s="37">
        <f>SUMIF('XHDN TB'!$R:$R,'HDN P&amp;L'!$A22,'XHDN TB'!G:G)</f>
        <v/>
      </c>
      <c r="T22" s="37">
        <f>SUMIF('XHDN TB'!$R:$R,'HDN P&amp;L'!$A22,'XHDN TB'!H:H)</f>
        <v/>
      </c>
      <c r="U22" s="37">
        <f>SUMIF('HDN TB'!$R:$R,'HDN P&amp;L'!$A22,'HDN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8" t="n">
        <v>0</v>
      </c>
      <c r="AJ22" s="119" t="n">
        <v>0</v>
      </c>
      <c r="AK22" s="119" t="n">
        <v>0</v>
      </c>
      <c r="AL22" s="119" t="n">
        <v>0</v>
      </c>
      <c r="AM22" s="120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48.47</v>
      </c>
      <c r="I23" s="35" t="n">
        <v>27.5</v>
      </c>
      <c r="J23" s="35" t="n">
        <v>73.47</v>
      </c>
      <c r="K23" s="35" t="n">
        <v>0</v>
      </c>
      <c r="L23" s="35" t="n">
        <v>35.97</v>
      </c>
      <c r="M23" s="35" t="n">
        <v>7.99</v>
      </c>
      <c r="N23" s="36">
        <f>SUM(B23:M23)</f>
        <v/>
      </c>
      <c r="O23" s="37">
        <f>SUMIF('XHDN TB'!$R:$R,'HDN P&amp;L'!$A23,'XHDN TB'!C:C)</f>
        <v/>
      </c>
      <c r="P23" s="37">
        <f>SUMIF('XHDN TB'!$R:$R,'HDN P&amp;L'!$A23,'XHDN TB'!D:D)</f>
        <v/>
      </c>
      <c r="Q23" s="37">
        <f>SUMIF('XHDN TB'!$R:$R,'HDN P&amp;L'!$A23,'XHDN TB'!E:E)</f>
        <v/>
      </c>
      <c r="R23" s="37">
        <f>SUMIF('XHDN TB'!$R:$R,'HDN P&amp;L'!$A23,'XHDN TB'!F:F)</f>
        <v/>
      </c>
      <c r="S23" s="37">
        <f>SUMIF('XHDN TB'!$R:$R,'HDN P&amp;L'!$A23,'XHDN TB'!G:G)</f>
        <v/>
      </c>
      <c r="T23" s="37">
        <f>SUMIF('XHDN TB'!$R:$R,'HDN P&amp;L'!$A23,'XHDN TB'!H:H)</f>
        <v/>
      </c>
      <c r="U23" s="37">
        <f>SUMIF('HDN TB'!$R:$R,'HDN P&amp;L'!$A23,'HDN TB'!I:I)</f>
        <v/>
      </c>
      <c r="V23" s="38" t="n">
        <v>71</v>
      </c>
      <c r="W23" s="38" t="n">
        <v>71</v>
      </c>
      <c r="X23" s="38" t="n">
        <v>71</v>
      </c>
      <c r="Y23" s="38" t="n">
        <v>71</v>
      </c>
      <c r="Z23" s="38" t="n">
        <v>71</v>
      </c>
      <c r="AA23" s="36">
        <f>SUM(O23:U23)</f>
        <v/>
      </c>
      <c r="AB23" s="36">
        <f>SUM(O23:Z23)</f>
        <v/>
      </c>
      <c r="AC23" s="38" t="n">
        <v>71</v>
      </c>
      <c r="AD23" s="38" t="n">
        <v>71</v>
      </c>
      <c r="AE23" s="38" t="n">
        <v>71</v>
      </c>
      <c r="AF23" s="38" t="n">
        <v>71</v>
      </c>
      <c r="AG23" s="38" t="n">
        <v>71</v>
      </c>
      <c r="AH23" s="38" t="n">
        <v>71</v>
      </c>
      <c r="AI23" s="118" t="n">
        <v>71</v>
      </c>
      <c r="AJ23" s="119" t="n">
        <v>71</v>
      </c>
      <c r="AK23" s="119" t="n">
        <v>71</v>
      </c>
      <c r="AL23" s="119" t="n">
        <v>71</v>
      </c>
      <c r="AM23" s="120" t="n">
        <v>71</v>
      </c>
      <c r="AN23" s="118" t="n">
        <v>71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217.33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SUMIF('XHDN TB'!$R:$R,'HDN P&amp;L'!$A24,'XHDN TB'!C:C)</f>
        <v/>
      </c>
      <c r="P24" s="37">
        <f>SUMIF('XHDN TB'!$R:$R,'HDN P&amp;L'!$A24,'XHDN TB'!D:D)</f>
        <v/>
      </c>
      <c r="Q24" s="37">
        <f>SUMIF('XHDN TB'!$R:$R,'HDN P&amp;L'!$A24,'XHDN TB'!E:E)</f>
        <v/>
      </c>
      <c r="R24" s="37">
        <f>SUMIF('XHDN TB'!$R:$R,'HDN P&amp;L'!$A24,'XHDN TB'!F:F)</f>
        <v/>
      </c>
      <c r="S24" s="37">
        <f>SUMIF('XHDN TB'!$R:$R,'HDN P&amp;L'!$A24,'XHDN TB'!G:G)</f>
        <v/>
      </c>
      <c r="T24" s="37">
        <f>SUMIF('XHDN TB'!$R:$R,'HDN P&amp;L'!$A24,'XHDN TB'!H:H)</f>
        <v/>
      </c>
      <c r="U24" s="37">
        <f>SUMIF('HDN TB'!$R:$R,'HDN P&amp;L'!$A24,'HDN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8" t="n">
        <v>0</v>
      </c>
      <c r="AJ24" s="119" t="n">
        <v>0</v>
      </c>
      <c r="AK24" s="119" t="n">
        <v>0</v>
      </c>
      <c r="AL24" s="119" t="n">
        <v>0</v>
      </c>
      <c r="AM24" s="120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30380.50999999999</v>
      </c>
      <c r="C25" s="42" t="n">
        <v>30495.64</v>
      </c>
      <c r="D25" s="42" t="n">
        <v>31357.96</v>
      </c>
      <c r="E25" s="42" t="n">
        <v>36022.19</v>
      </c>
      <c r="F25" s="42" t="n">
        <v>34088.36</v>
      </c>
      <c r="G25" s="42" t="n">
        <v>33987.66</v>
      </c>
      <c r="H25" s="42" t="n">
        <v>41381.32</v>
      </c>
      <c r="I25" s="42" t="n">
        <v>37697.41</v>
      </c>
      <c r="J25" s="42" t="n">
        <v>37624.93</v>
      </c>
      <c r="K25" s="42" t="n">
        <v>41626.15000000001</v>
      </c>
      <c r="L25" s="42" t="n">
        <v>40639.57</v>
      </c>
      <c r="M25" s="42" t="n">
        <v>41667.54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3">
        <f>SUM(AI16:AI24)</f>
        <v/>
      </c>
      <c r="AJ25" s="124">
        <f>SUM(AJ16:AJ24)</f>
        <v/>
      </c>
      <c r="AK25" s="124">
        <f>SUM(AK16:AK24)</f>
        <v/>
      </c>
      <c r="AL25" s="124">
        <f>SUM(AL16:AL24)</f>
        <v/>
      </c>
      <c r="AM25" s="124">
        <f>SUM(AM16:AM24)</f>
        <v/>
      </c>
      <c r="AN25" s="123">
        <f>SUM(AN16:AN24)</f>
        <v/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7" t="n">
        <v>0</v>
      </c>
      <c r="AJ26" s="128" t="n">
        <v>0</v>
      </c>
      <c r="AK26" s="128" t="n">
        <v>0</v>
      </c>
      <c r="AL26" s="128" t="n">
        <v>0</v>
      </c>
      <c r="AM26" s="129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981.28</v>
      </c>
      <c r="C27" s="35" t="n">
        <v>1316.38</v>
      </c>
      <c r="D27" s="35" t="n">
        <v>1227.96</v>
      </c>
      <c r="E27" s="35" t="n">
        <v>1090.82</v>
      </c>
      <c r="F27" s="35" t="n">
        <v>1841.11</v>
      </c>
      <c r="G27" s="35" t="n">
        <v>1207.3</v>
      </c>
      <c r="H27" s="35" t="n">
        <v>1487.43</v>
      </c>
      <c r="I27" s="35" t="n">
        <v>1375.04</v>
      </c>
      <c r="J27" s="35" t="n">
        <v>921.6600000000001</v>
      </c>
      <c r="K27" s="35" t="n">
        <v>1727.81</v>
      </c>
      <c r="L27" s="35" t="n">
        <v>1328.64</v>
      </c>
      <c r="M27" s="35" t="n">
        <v>1221.21</v>
      </c>
      <c r="N27" s="36">
        <f>SUM(B27:M27)</f>
        <v/>
      </c>
      <c r="O27" s="37">
        <f>SUMIF('XHDN TB'!$R:$R,'HDN P&amp;L'!$A27,'XHDN TB'!C:C)</f>
        <v/>
      </c>
      <c r="P27" s="37">
        <f>SUMIF('XHDN TB'!$R:$R,'HDN P&amp;L'!$A27,'XHDN TB'!D:D)</f>
        <v/>
      </c>
      <c r="Q27" s="37">
        <f>SUMIF('XHDN TB'!$R:$R,'HDN P&amp;L'!$A27,'XHDN TB'!E:E)</f>
        <v/>
      </c>
      <c r="R27" s="37">
        <f>SUMIF('XHDN TB'!$R:$R,'HDN P&amp;L'!$A27,'XHDN TB'!F:F)</f>
        <v/>
      </c>
      <c r="S27" s="37">
        <f>SUMIF('XHDN TB'!$R:$R,'HDN P&amp;L'!$A27,'XHDN TB'!G:G)</f>
        <v/>
      </c>
      <c r="T27" s="37">
        <f>SUMIF('XHDN TB'!$R:$R,'HDN P&amp;L'!$A27,'XHDN TB'!H:H)</f>
        <v/>
      </c>
      <c r="U27" s="37">
        <f>SUMIF('HDN TB'!$R:$R,'HDN P&amp;L'!$A27,'HDN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18" t="n">
        <v>0</v>
      </c>
      <c r="AJ27" s="119" t="n">
        <v>0</v>
      </c>
      <c r="AK27" s="119" t="n">
        <v>0</v>
      </c>
      <c r="AL27" s="119" t="n">
        <v>0</v>
      </c>
      <c r="AM27" s="120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239.5</v>
      </c>
      <c r="C28" s="35" t="n">
        <v>130.44</v>
      </c>
      <c r="D28" s="35" t="n">
        <v>274.74</v>
      </c>
      <c r="E28" s="35" t="n">
        <v>380.74</v>
      </c>
      <c r="F28" s="35" t="n">
        <v>1073</v>
      </c>
      <c r="G28" s="35" t="n">
        <v>48.17</v>
      </c>
      <c r="H28" s="35" t="n">
        <v>581.1899999999999</v>
      </c>
      <c r="I28" s="35" t="n">
        <v>236.38</v>
      </c>
      <c r="J28" s="35" t="n">
        <v>393.6</v>
      </c>
      <c r="K28" s="35" t="n">
        <v>22.42</v>
      </c>
      <c r="L28" s="35" t="n">
        <v>14.95</v>
      </c>
      <c r="M28" s="35" t="n">
        <v>53.27</v>
      </c>
      <c r="N28" s="36">
        <f>SUM(B28:M28)</f>
        <v/>
      </c>
      <c r="O28" s="37">
        <f>SUMIF('XHDN TB'!$R:$R,'HDN P&amp;L'!$A28,'XHDN TB'!C:C)</f>
        <v/>
      </c>
      <c r="P28" s="37">
        <f>SUMIF('XHDN TB'!$R:$R,'HDN P&amp;L'!$A28,'XHDN TB'!D:D)</f>
        <v/>
      </c>
      <c r="Q28" s="37">
        <f>SUMIF('XHDN TB'!$R:$R,'HDN P&amp;L'!$A28,'XHDN TB'!E:E)</f>
        <v/>
      </c>
      <c r="R28" s="37">
        <f>SUMIF('XHDN TB'!$R:$R,'HDN P&amp;L'!$A28,'XHDN TB'!F:F)</f>
        <v/>
      </c>
      <c r="S28" s="37">
        <f>SUMIF('XHDN TB'!$R:$R,'HDN P&amp;L'!$A28,'XHDN TB'!G:G)</f>
        <v/>
      </c>
      <c r="T28" s="37">
        <f>SUMIF('XHDN TB'!$R:$R,'HDN P&amp;L'!$A28,'XHDN TB'!H:H)</f>
        <v/>
      </c>
      <c r="U28" s="37">
        <f>SUMIF('HDN TB'!$R:$R,'HDN P&amp;L'!$A28,'HDN TB'!I:I)</f>
        <v/>
      </c>
      <c r="V28" s="38" t="n">
        <v>100</v>
      </c>
      <c r="W28" s="38" t="n">
        <v>100</v>
      </c>
      <c r="X28" s="38" t="n">
        <v>100</v>
      </c>
      <c r="Y28" s="38" t="n">
        <v>100</v>
      </c>
      <c r="Z28" s="38" t="n">
        <v>100</v>
      </c>
      <c r="AA28" s="36">
        <f>SUM(O28:U28)</f>
        <v/>
      </c>
      <c r="AB28" s="36">
        <f>SUM(O28:Z28)</f>
        <v/>
      </c>
      <c r="AC28" s="38" t="n">
        <v>100</v>
      </c>
      <c r="AD28" s="38" t="n">
        <v>100</v>
      </c>
      <c r="AE28" s="38" t="n">
        <v>100</v>
      </c>
      <c r="AF28" s="38" t="n">
        <v>100</v>
      </c>
      <c r="AG28" s="38" t="n">
        <v>100</v>
      </c>
      <c r="AH28" s="38" t="n">
        <v>100</v>
      </c>
      <c r="AI28" s="118" t="n">
        <v>100</v>
      </c>
      <c r="AJ28" s="119" t="n">
        <v>100</v>
      </c>
      <c r="AK28" s="119" t="n">
        <v>100</v>
      </c>
      <c r="AL28" s="119" t="n">
        <v>100</v>
      </c>
      <c r="AM28" s="120" t="n">
        <v>100</v>
      </c>
      <c r="AN28" s="118" t="n">
        <v>100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13.32</v>
      </c>
      <c r="C29" s="35" t="n">
        <v>60.2</v>
      </c>
      <c r="D29" s="35" t="n">
        <v>60</v>
      </c>
      <c r="E29" s="35" t="n">
        <v>100.89</v>
      </c>
      <c r="F29" s="35" t="n">
        <v>161.81</v>
      </c>
      <c r="G29" s="35" t="n">
        <v>123.86</v>
      </c>
      <c r="H29" s="35" t="n">
        <v>29.36</v>
      </c>
      <c r="I29" s="35" t="n">
        <v>26.93</v>
      </c>
      <c r="J29" s="35" t="n">
        <v>0</v>
      </c>
      <c r="K29" s="35" t="n">
        <v>50.84</v>
      </c>
      <c r="L29" s="35" t="n">
        <v>163.6</v>
      </c>
      <c r="M29" s="35" t="n">
        <v>100.1</v>
      </c>
      <c r="N29" s="36">
        <f>SUM(B29:M29)</f>
        <v/>
      </c>
      <c r="O29" s="37">
        <f>SUMIF('XHDN TB'!$R:$R,'HDN P&amp;L'!$A29,'XHDN TB'!C:C)</f>
        <v/>
      </c>
      <c r="P29" s="37">
        <f>SUMIF('XHDN TB'!$R:$R,'HDN P&amp;L'!$A29,'XHDN TB'!D:D)</f>
        <v/>
      </c>
      <c r="Q29" s="37">
        <f>SUMIF('XHDN TB'!$R:$R,'HDN P&amp;L'!$A29,'XHDN TB'!E:E)</f>
        <v/>
      </c>
      <c r="R29" s="37">
        <f>SUMIF('XHDN TB'!$R:$R,'HDN P&amp;L'!$A29,'XHDN TB'!F:F)</f>
        <v/>
      </c>
      <c r="S29" s="37">
        <f>SUMIF('XHDN TB'!$R:$R,'HDN P&amp;L'!$A29,'XHDN TB'!G:G)</f>
        <v/>
      </c>
      <c r="T29" s="37">
        <f>SUMIF('XHDN TB'!$R:$R,'HDN P&amp;L'!$A29,'XHDN TB'!H:H)</f>
        <v/>
      </c>
      <c r="U29" s="37">
        <f>SUMIF('HDN TB'!$R:$R,'HDN P&amp;L'!$A29,'HDN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18" t="n">
        <v>0</v>
      </c>
      <c r="AJ29" s="119" t="n">
        <v>0</v>
      </c>
      <c r="AK29" s="119" t="n">
        <v>0</v>
      </c>
      <c r="AL29" s="119" t="n">
        <v>0</v>
      </c>
      <c r="AM29" s="120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SUMIF('XHDN TB'!$R:$R,'HDN P&amp;L'!$A30,'XHDN TB'!C:C)</f>
        <v/>
      </c>
      <c r="P30" s="37">
        <f>SUMIF('XHDN TB'!$R:$R,'HDN P&amp;L'!$A30,'XHDN TB'!D:D)</f>
        <v/>
      </c>
      <c r="Q30" s="37">
        <f>SUMIF('XHDN TB'!$R:$R,'HDN P&amp;L'!$A30,'XHDN TB'!E:E)</f>
        <v/>
      </c>
      <c r="R30" s="37">
        <f>SUMIF('XHDN TB'!$R:$R,'HDN P&amp;L'!$A30,'XHDN TB'!F:F)</f>
        <v/>
      </c>
      <c r="S30" s="37">
        <f>SUMIF('XHDN TB'!$R:$R,'HDN P&amp;L'!$A30,'XHDN TB'!G:G)</f>
        <v/>
      </c>
      <c r="T30" s="37">
        <f>SUMIF('XHDN TB'!$R:$R,'HDN P&amp;L'!$A30,'XHDN TB'!H:H)</f>
        <v/>
      </c>
      <c r="U30" s="37">
        <f>SUMIF('HDN TB'!$R:$R,'HDN P&amp;L'!$A30,'HDN TB'!I:I)</f>
        <v/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118" t="n">
        <v>100</v>
      </c>
      <c r="AJ30" s="119" t="n">
        <v>100</v>
      </c>
      <c r="AK30" s="119" t="n">
        <v>100</v>
      </c>
      <c r="AL30" s="119" t="n">
        <v>100</v>
      </c>
      <c r="AM30" s="120" t="n">
        <v>100</v>
      </c>
      <c r="AN30" s="118" t="n">
        <v>100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134.61</v>
      </c>
      <c r="C31" s="35" t="n">
        <v>25.96</v>
      </c>
      <c r="D31" s="35" t="n">
        <v>134.14</v>
      </c>
      <c r="E31" s="35" t="n">
        <v>13.99</v>
      </c>
      <c r="F31" s="35" t="n">
        <v>0</v>
      </c>
      <c r="G31" s="35" t="n">
        <v>166.09</v>
      </c>
      <c r="H31" s="35" t="n">
        <v>0</v>
      </c>
      <c r="I31" s="35" t="n">
        <v>0</v>
      </c>
      <c r="J31" s="35" t="n">
        <v>0</v>
      </c>
      <c r="K31" s="35" t="n">
        <v>524.03</v>
      </c>
      <c r="L31" s="35" t="n">
        <v>0</v>
      </c>
      <c r="M31" s="35" t="n">
        <v>12.98</v>
      </c>
      <c r="N31" s="36">
        <f>SUM(B31:M31)</f>
        <v/>
      </c>
      <c r="O31" s="37">
        <f>SUMIF('XHDN TB'!$R:$R,'HDN P&amp;L'!$A31,'XHDN TB'!C:C)</f>
        <v/>
      </c>
      <c r="P31" s="37">
        <f>SUMIF('XHDN TB'!$R:$R,'HDN P&amp;L'!$A31,'XHDN TB'!D:D)</f>
        <v/>
      </c>
      <c r="Q31" s="37">
        <f>SUMIF('XHDN TB'!$R:$R,'HDN P&amp;L'!$A31,'XHDN TB'!E:E)</f>
        <v/>
      </c>
      <c r="R31" s="37">
        <f>SUMIF('XHDN TB'!$R:$R,'HDN P&amp;L'!$A31,'XHDN TB'!F:F)</f>
        <v/>
      </c>
      <c r="S31" s="37">
        <f>SUMIF('XHDN TB'!$R:$R,'HDN P&amp;L'!$A31,'XHDN TB'!G:G)</f>
        <v/>
      </c>
      <c r="T31" s="37">
        <f>SUMIF('XHDN TB'!$R:$R,'HDN P&amp;L'!$A31,'XHDN TB'!H:H)</f>
        <v/>
      </c>
      <c r="U31" s="37">
        <f>SUMIF('HDN TB'!$R:$R,'HDN P&amp;L'!$A31,'HDN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8" t="n">
        <v>50</v>
      </c>
      <c r="AJ31" s="119" t="n">
        <v>50</v>
      </c>
      <c r="AK31" s="119" t="n">
        <v>50</v>
      </c>
      <c r="AL31" s="119" t="n">
        <v>50</v>
      </c>
      <c r="AM31" s="120" t="n">
        <v>50</v>
      </c>
      <c r="AN31" s="118" t="n">
        <v>50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101.07</v>
      </c>
      <c r="C32" s="35" t="n">
        <v>172.11</v>
      </c>
      <c r="D32" s="35" t="n">
        <v>274.74</v>
      </c>
      <c r="E32" s="35" t="n">
        <v>0</v>
      </c>
      <c r="F32" s="35" t="n">
        <v>0</v>
      </c>
      <c r="G32" s="35" t="n">
        <v>59.28</v>
      </c>
      <c r="H32" s="35" t="n">
        <v>101.58</v>
      </c>
      <c r="I32" s="35" t="n">
        <v>247.33</v>
      </c>
      <c r="J32" s="35" t="n">
        <v>0</v>
      </c>
      <c r="K32" s="35" t="n">
        <v>188.53</v>
      </c>
      <c r="L32" s="35" t="n">
        <v>0</v>
      </c>
      <c r="M32" s="35" t="n">
        <v>136.09</v>
      </c>
      <c r="N32" s="36">
        <f>SUM(B32:M32)</f>
        <v/>
      </c>
      <c r="O32" s="37">
        <f>SUMIF('XHDN TB'!$R:$R,'HDN P&amp;L'!$A32,'XHDN TB'!C:C)</f>
        <v/>
      </c>
      <c r="P32" s="37">
        <f>SUMIF('XHDN TB'!$R:$R,'HDN P&amp;L'!$A32,'XHDN TB'!D:D)</f>
        <v/>
      </c>
      <c r="Q32" s="37">
        <f>SUMIF('XHDN TB'!$R:$R,'HDN P&amp;L'!$A32,'XHDN TB'!E:E)</f>
        <v/>
      </c>
      <c r="R32" s="37">
        <f>SUMIF('XHDN TB'!$R:$R,'HDN P&amp;L'!$A32,'XHDN TB'!F:F)</f>
        <v/>
      </c>
      <c r="S32" s="37">
        <f>SUMIF('XHDN TB'!$R:$R,'HDN P&amp;L'!$A32,'XHDN TB'!G:G)</f>
        <v/>
      </c>
      <c r="T32" s="37">
        <f>SUMIF('XHDN TB'!$R:$R,'HDN P&amp;L'!$A32,'XHDN TB'!H:H)</f>
        <v/>
      </c>
      <c r="U32" s="37">
        <f>SUMIF('HDN TB'!$R:$R,'HDN P&amp;L'!$A32,'HDN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18" t="n">
        <v>0</v>
      </c>
      <c r="AJ32" s="119" t="n">
        <v>0</v>
      </c>
      <c r="AK32" s="119" t="n">
        <v>0</v>
      </c>
      <c r="AL32" s="119" t="n">
        <v>0</v>
      </c>
      <c r="AM32" s="120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SUMIF('XHDN TB'!$R:$R,'HDN P&amp;L'!$A33,'XHDN TB'!C:C)</f>
        <v/>
      </c>
      <c r="P33" s="37">
        <f>SUMIF('XHDN TB'!$R:$R,'HDN P&amp;L'!$A33,'XHDN TB'!D:D)</f>
        <v/>
      </c>
      <c r="Q33" s="37">
        <f>SUMIF('XHDN TB'!$R:$R,'HDN P&amp;L'!$A33,'XHDN TB'!E:E)</f>
        <v/>
      </c>
      <c r="R33" s="37">
        <f>SUMIF('XHDN TB'!$R:$R,'HDN P&amp;L'!$A33,'XHDN TB'!F:F)</f>
        <v/>
      </c>
      <c r="S33" s="37">
        <f>SUMIF('XHDN TB'!$R:$R,'HDN P&amp;L'!$A33,'XHDN TB'!G:G)</f>
        <v/>
      </c>
      <c r="T33" s="37">
        <f>SUMIF('XHDN TB'!$R:$R,'HDN P&amp;L'!$A33,'XHDN TB'!H:H)</f>
        <v/>
      </c>
      <c r="U33" s="37">
        <f>SUMIF('HDN TB'!$R:$R,'HDN P&amp;L'!$A33,'HDN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8" t="n">
        <v>0</v>
      </c>
      <c r="AJ33" s="119" t="n">
        <v>0</v>
      </c>
      <c r="AK33" s="119" t="n">
        <v>0</v>
      </c>
      <c r="AL33" s="119" t="n">
        <v>0</v>
      </c>
      <c r="AM33" s="120" t="n">
        <v>0</v>
      </c>
      <c r="AN33" s="118" t="n">
        <v>0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1469.78</v>
      </c>
      <c r="C34" s="42" t="n">
        <v>1705.09</v>
      </c>
      <c r="D34" s="42" t="n">
        <v>1971.58</v>
      </c>
      <c r="E34" s="42" t="n">
        <v>1586.44</v>
      </c>
      <c r="F34" s="42" t="n">
        <v>3075.92</v>
      </c>
      <c r="G34" s="42" t="n">
        <v>1604.7</v>
      </c>
      <c r="H34" s="42" t="n">
        <v>2199.56</v>
      </c>
      <c r="I34" s="42" t="n">
        <v>1885.68</v>
      </c>
      <c r="J34" s="42" t="n">
        <v>1315.26</v>
      </c>
      <c r="K34" s="42" t="n">
        <v>2513.63</v>
      </c>
      <c r="L34" s="42" t="n">
        <v>1507.19</v>
      </c>
      <c r="M34" s="42" t="n">
        <v>1523.65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3">
        <f>SUM(AI27:AI33)</f>
        <v/>
      </c>
      <c r="AJ34" s="124">
        <f>SUM(AJ27:AJ33)</f>
        <v/>
      </c>
      <c r="AK34" s="124">
        <f>SUM(AK27:AK33)</f>
        <v/>
      </c>
      <c r="AL34" s="124">
        <f>SUM(AL27:AL33)</f>
        <v/>
      </c>
      <c r="AM34" s="124">
        <f>SUM(AM27:AM33)</f>
        <v/>
      </c>
      <c r="AN34" s="123">
        <f>SUM(AN27:AN33)</f>
        <v/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7" t="n">
        <v>0</v>
      </c>
      <c r="AJ35" s="128" t="n">
        <v>0</v>
      </c>
      <c r="AK35" s="128" t="n">
        <v>0</v>
      </c>
      <c r="AL35" s="128" t="n">
        <v>0</v>
      </c>
      <c r="AM35" s="129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SUMIF('XHDN TB'!$R:$R,'HDN P&amp;L'!$A36,'XHDN TB'!C:C)</f>
        <v/>
      </c>
      <c r="P36" s="37">
        <f>SUMIF('XHDN TB'!$R:$R,'HDN P&amp;L'!$A36,'XHDN TB'!D:D)</f>
        <v/>
      </c>
      <c r="Q36" s="37">
        <f>SUMIF('XHDN TB'!$R:$R,'HDN P&amp;L'!$A36,'XHDN TB'!E:E)</f>
        <v/>
      </c>
      <c r="R36" s="37">
        <f>SUMIF('XHDN TB'!$R:$R,'HDN P&amp;L'!$A36,'XHDN TB'!F:F)</f>
        <v/>
      </c>
      <c r="S36" s="37">
        <f>SUMIF('XHDN TB'!$R:$R,'HDN P&amp;L'!$A36,'XHDN TB'!G:G)</f>
        <v/>
      </c>
      <c r="T36" s="37">
        <f>SUMIF('XHDN TB'!$R:$R,'HDN P&amp;L'!$A36,'XHDN TB'!H:H)</f>
        <v/>
      </c>
      <c r="U36" s="37">
        <f>SUMIF('HDN TB'!$R:$R,'HDN P&amp;L'!$A36,'HDN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8" t="n">
        <v>0</v>
      </c>
      <c r="AJ36" s="119" t="n">
        <v>0</v>
      </c>
      <c r="AK36" s="119" t="n">
        <v>0</v>
      </c>
      <c r="AL36" s="119" t="n">
        <v>0</v>
      </c>
      <c r="AM36" s="120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1850.46</v>
      </c>
      <c r="C37" s="35" t="n">
        <v>1850.46</v>
      </c>
      <c r="D37" s="35" t="n">
        <v>1850.46</v>
      </c>
      <c r="E37" s="35" t="n">
        <v>1850.42</v>
      </c>
      <c r="F37" s="35" t="n">
        <v>1850.42</v>
      </c>
      <c r="G37" s="35" t="n">
        <v>1850.42</v>
      </c>
      <c r="H37" s="35" t="n">
        <v>1850.42</v>
      </c>
      <c r="I37" s="35" t="n">
        <v>1850.42</v>
      </c>
      <c r="J37" s="35" t="n">
        <v>1850.42</v>
      </c>
      <c r="K37" s="35" t="n">
        <v>1850.42</v>
      </c>
      <c r="L37" s="35" t="n">
        <v>1850.42</v>
      </c>
      <c r="M37" s="35" t="n">
        <v>1850.42</v>
      </c>
      <c r="N37" s="36">
        <f>SUM(B37:M37)</f>
        <v/>
      </c>
      <c r="O37" s="37">
        <f>SUMIF('XHDN TB'!$R:$R,'HDN P&amp;L'!$A37,'XHDN TB'!C:C)</f>
        <v/>
      </c>
      <c r="P37" s="37">
        <f>SUMIF('XHDN TB'!$R:$R,'HDN P&amp;L'!$A37,'XHDN TB'!D:D)</f>
        <v/>
      </c>
      <c r="Q37" s="37">
        <f>SUMIF('XHDN TB'!$R:$R,'HDN P&amp;L'!$A37,'XHDN TB'!E:E)</f>
        <v/>
      </c>
      <c r="R37" s="37">
        <f>SUMIF('XHDN TB'!$R:$R,'HDN P&amp;L'!$A37,'XHDN TB'!F:F)</f>
        <v/>
      </c>
      <c r="S37" s="37">
        <f>SUMIF('XHDN TB'!$R:$R,'HDN P&amp;L'!$A37,'XHDN TB'!G:G)</f>
        <v/>
      </c>
      <c r="T37" s="37">
        <f>SUMIF('XHDN TB'!$R:$R,'HDN P&amp;L'!$A37,'XHDN TB'!H:H)</f>
        <v/>
      </c>
      <c r="U37" s="37">
        <f>SUMIF('HDN TB'!$R:$R,'HDN P&amp;L'!$A37,'HDN TB'!I:I)</f>
        <v/>
      </c>
      <c r="V37" s="38" t="n">
        <v>2128.03</v>
      </c>
      <c r="W37" s="38" t="n">
        <v>2128.03</v>
      </c>
      <c r="X37" s="38" t="n">
        <v>2128.03</v>
      </c>
      <c r="Y37" s="38" t="n">
        <v>2128.03</v>
      </c>
      <c r="Z37" s="38" t="n">
        <v>2128.03</v>
      </c>
      <c r="AA37" s="36">
        <f>SUM(O37:U37)</f>
        <v/>
      </c>
      <c r="AB37" s="36">
        <f>SUM(O37:Z37)</f>
        <v/>
      </c>
      <c r="AC37" s="38" t="n">
        <v>2128.03</v>
      </c>
      <c r="AD37" s="38" t="n">
        <v>2128.03</v>
      </c>
      <c r="AE37" s="38" t="n">
        <v>2128.03</v>
      </c>
      <c r="AF37" s="38" t="n">
        <v>2128.03</v>
      </c>
      <c r="AG37" s="38" t="n">
        <v>2128.03</v>
      </c>
      <c r="AH37" s="38" t="n">
        <v>2128.03</v>
      </c>
      <c r="AI37" s="118" t="n">
        <v>2128.03</v>
      </c>
      <c r="AJ37" s="119" t="n">
        <v>2128.03</v>
      </c>
      <c r="AK37" s="119" t="n">
        <v>2128.03</v>
      </c>
      <c r="AL37" s="119" t="n">
        <v>2128.03</v>
      </c>
      <c r="AM37" s="120" t="n">
        <v>2128.03</v>
      </c>
      <c r="AN37" s="118" t="n">
        <v>2128.03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2368.8</v>
      </c>
      <c r="C38" s="35" t="n">
        <v>1729.63</v>
      </c>
      <c r="D38" s="35" t="n">
        <v>1859.19</v>
      </c>
      <c r="E38" s="35" t="n">
        <v>2094.4</v>
      </c>
      <c r="F38" s="35" t="n">
        <v>2433.41</v>
      </c>
      <c r="G38" s="35" t="n">
        <v>1489.28</v>
      </c>
      <c r="H38" s="35" t="n">
        <v>704.8299999999999</v>
      </c>
      <c r="I38" s="35" t="n">
        <v>-1889.83</v>
      </c>
      <c r="J38" s="35" t="n">
        <v>2474.2</v>
      </c>
      <c r="K38" s="35" t="n">
        <v>1184.78</v>
      </c>
      <c r="L38" s="35" t="n">
        <v>1550.31</v>
      </c>
      <c r="M38" s="35" t="n">
        <v>1669.51</v>
      </c>
      <c r="N38" s="36">
        <f>SUM(B38:M38)</f>
        <v/>
      </c>
      <c r="O38" s="37">
        <f>SUMIF('XHDN TB'!$R:$R,'HDN P&amp;L'!$A38,'XHDN TB'!C:C)</f>
        <v/>
      </c>
      <c r="P38" s="37">
        <f>SUMIF('XHDN TB'!$R:$R,'HDN P&amp;L'!$A38,'XHDN TB'!D:D)</f>
        <v/>
      </c>
      <c r="Q38" s="37">
        <f>SUMIF('XHDN TB'!$R:$R,'HDN P&amp;L'!$A38,'XHDN TB'!E:E)</f>
        <v/>
      </c>
      <c r="R38" s="37">
        <f>SUMIF('XHDN TB'!$R:$R,'HDN P&amp;L'!$A38,'XHDN TB'!F:F)</f>
        <v/>
      </c>
      <c r="S38" s="37">
        <f>SUMIF('XHDN TB'!$R:$R,'HDN P&amp;L'!$A38,'XHDN TB'!G:G)</f>
        <v/>
      </c>
      <c r="T38" s="37">
        <f>SUMIF('XHDN TB'!$R:$R,'HDN P&amp;L'!$A38,'XHDN TB'!H:H)</f>
        <v/>
      </c>
      <c r="U38" s="37">
        <f>SUMIF('HDN TB'!$R:$R,'HDN P&amp;L'!$A38,'HDN TB'!I:I)</f>
        <v/>
      </c>
      <c r="V38" s="38" t="n">
        <v>1625</v>
      </c>
      <c r="W38" s="38" t="n">
        <v>1625</v>
      </c>
      <c r="X38" s="38" t="n">
        <v>1625</v>
      </c>
      <c r="Y38" s="38" t="n">
        <v>1625</v>
      </c>
      <c r="Z38" s="38" t="n">
        <v>1625</v>
      </c>
      <c r="AA38" s="36">
        <f>SUM(O38:U38)</f>
        <v/>
      </c>
      <c r="AB38" s="36">
        <f>SUM(O38:Z38)</f>
        <v/>
      </c>
      <c r="AC38" s="38" t="n">
        <v>1625</v>
      </c>
      <c r="AD38" s="38" t="n">
        <v>1625</v>
      </c>
      <c r="AE38" s="38" t="n">
        <v>1625</v>
      </c>
      <c r="AF38" s="38" t="n">
        <v>1625</v>
      </c>
      <c r="AG38" s="38" t="n">
        <v>1625</v>
      </c>
      <c r="AH38" s="38" t="n">
        <v>1625</v>
      </c>
      <c r="AI38" s="118" t="n">
        <v>1625</v>
      </c>
      <c r="AJ38" s="119" t="n">
        <v>1625</v>
      </c>
      <c r="AK38" s="119" t="n">
        <v>1625</v>
      </c>
      <c r="AL38" s="119" t="n">
        <v>1625</v>
      </c>
      <c r="AM38" s="120" t="n">
        <v>1625</v>
      </c>
      <c r="AN38" s="118" t="n">
        <v>1625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3031.86</v>
      </c>
      <c r="C39" s="35" t="n">
        <v>98.95</v>
      </c>
      <c r="D39" s="35" t="n">
        <v>578.95</v>
      </c>
      <c r="E39" s="35" t="n">
        <v>430.94</v>
      </c>
      <c r="F39" s="35" t="n">
        <v>435.0199999999997</v>
      </c>
      <c r="G39" s="35" t="n">
        <v>251.22</v>
      </c>
      <c r="H39" s="35" t="n">
        <v>107.95</v>
      </c>
      <c r="I39" s="35" t="n">
        <v>1347.21</v>
      </c>
      <c r="J39" s="35" t="n">
        <v>1756.7</v>
      </c>
      <c r="K39" s="35" t="n">
        <v>943.7199999999999</v>
      </c>
      <c r="L39" s="35" t="n">
        <v>994.7800000000002</v>
      </c>
      <c r="M39" s="35" t="n">
        <v>268.1</v>
      </c>
      <c r="N39" s="36">
        <f>SUM(B39:M39)</f>
        <v/>
      </c>
      <c r="O39" s="37">
        <f>SUMIF('XHDN TB'!$R:$R,'HDN P&amp;L'!$A39,'XHDN TB'!C:C)</f>
        <v/>
      </c>
      <c r="P39" s="37">
        <f>SUMIF('XHDN TB'!$R:$R,'HDN P&amp;L'!$A39,'XHDN TB'!D:D)</f>
        <v/>
      </c>
      <c r="Q39" s="37">
        <f>SUMIF('XHDN TB'!$R:$R,'HDN P&amp;L'!$A39,'XHDN TB'!E:E)</f>
        <v/>
      </c>
      <c r="R39" s="37">
        <f>SUMIF('XHDN TB'!$R:$R,'HDN P&amp;L'!$A39,'XHDN TB'!F:F)</f>
        <v/>
      </c>
      <c r="S39" s="37">
        <f>SUMIF('XHDN TB'!$R:$R,'HDN P&amp;L'!$A39,'XHDN TB'!G:G)</f>
        <v/>
      </c>
      <c r="T39" s="37">
        <f>SUMIF('XHDN TB'!$R:$R,'HDN P&amp;L'!$A39,'XHDN TB'!H:H)</f>
        <v/>
      </c>
      <c r="U39" s="37">
        <f>SUMIF('HDN TB'!$R:$R,'HDN P&amp;L'!$A39,'HDN TB'!I:I)</f>
        <v/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8" t="n">
        <v>0</v>
      </c>
      <c r="AJ39" s="119" t="n">
        <v>0</v>
      </c>
      <c r="AK39" s="119" t="n">
        <v>0</v>
      </c>
      <c r="AL39" s="119" t="n">
        <v>0</v>
      </c>
      <c r="AM39" s="120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309.94</v>
      </c>
      <c r="C40" s="35" t="n">
        <v>0</v>
      </c>
      <c r="D40" s="35" t="n">
        <v>277.05</v>
      </c>
      <c r="E40" s="35" t="n">
        <v>362.46</v>
      </c>
      <c r="F40" s="35" t="n">
        <v>318.28</v>
      </c>
      <c r="G40" s="35" t="n">
        <v>106.85</v>
      </c>
      <c r="H40" s="35" t="n">
        <v>241.78</v>
      </c>
      <c r="I40" s="35" t="n">
        <v>110.35</v>
      </c>
      <c r="J40" s="35" t="n">
        <v>265.47</v>
      </c>
      <c r="K40" s="35" t="n">
        <v>161.46</v>
      </c>
      <c r="L40" s="35" t="n">
        <v>302.11</v>
      </c>
      <c r="M40" s="35" t="n">
        <v>146.87</v>
      </c>
      <c r="N40" s="36">
        <f>SUM(B40:M40)</f>
        <v/>
      </c>
      <c r="O40" s="37">
        <f>SUMIF('XHDN TB'!$R:$R,'HDN P&amp;L'!$A40,'XHDN TB'!C:C)</f>
        <v/>
      </c>
      <c r="P40" s="37">
        <f>SUMIF('XHDN TB'!$R:$R,'HDN P&amp;L'!$A40,'XHDN TB'!D:D)</f>
        <v/>
      </c>
      <c r="Q40" s="37">
        <f>SUMIF('XHDN TB'!$R:$R,'HDN P&amp;L'!$A40,'XHDN TB'!E:E)</f>
        <v/>
      </c>
      <c r="R40" s="37">
        <f>SUMIF('XHDN TB'!$R:$R,'HDN P&amp;L'!$A40,'XHDN TB'!F:F)</f>
        <v/>
      </c>
      <c r="S40" s="37">
        <f>SUMIF('XHDN TB'!$R:$R,'HDN P&amp;L'!$A40,'XHDN TB'!G:G)</f>
        <v/>
      </c>
      <c r="T40" s="37">
        <f>SUMIF('XHDN TB'!$R:$R,'HDN P&amp;L'!$A40,'XHDN TB'!H:H)</f>
        <v/>
      </c>
      <c r="U40" s="37">
        <f>SUMIF('HDN TB'!$R:$R,'HDN P&amp;L'!$A40,'HDN TB'!I:I)</f>
        <v/>
      </c>
      <c r="V40" s="38" t="n">
        <v>221</v>
      </c>
      <c r="W40" s="38" t="n">
        <v>221</v>
      </c>
      <c r="X40" s="38" t="n">
        <v>221</v>
      </c>
      <c r="Y40" s="38" t="n">
        <v>221</v>
      </c>
      <c r="Z40" s="38" t="n">
        <v>221</v>
      </c>
      <c r="AA40" s="36">
        <f>SUM(O40:U40)</f>
        <v/>
      </c>
      <c r="AB40" s="36">
        <f>SUM(O40:Z40)</f>
        <v/>
      </c>
      <c r="AC40" s="38" t="n">
        <v>221</v>
      </c>
      <c r="AD40" s="38" t="n">
        <v>221</v>
      </c>
      <c r="AE40" s="38" t="n">
        <v>221</v>
      </c>
      <c r="AF40" s="38" t="n">
        <v>221</v>
      </c>
      <c r="AG40" s="38" t="n">
        <v>221</v>
      </c>
      <c r="AH40" s="38" t="n">
        <v>221</v>
      </c>
      <c r="AI40" s="118" t="n">
        <v>221</v>
      </c>
      <c r="AJ40" s="119" t="n">
        <v>221</v>
      </c>
      <c r="AK40" s="119" t="n">
        <v>221</v>
      </c>
      <c r="AL40" s="119" t="n">
        <v>221</v>
      </c>
      <c r="AM40" s="120" t="n">
        <v>221</v>
      </c>
      <c r="AN40" s="118" t="n">
        <v>221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379.15</v>
      </c>
      <c r="C41" s="35" t="n">
        <v>413.35</v>
      </c>
      <c r="D41" s="35" t="n">
        <v>531.62</v>
      </c>
      <c r="E41" s="35" t="n">
        <v>296.9299999999999</v>
      </c>
      <c r="F41" s="35" t="n">
        <v>430.74</v>
      </c>
      <c r="G41" s="35" t="n">
        <v>394.55</v>
      </c>
      <c r="H41" s="35" t="n">
        <v>313.24</v>
      </c>
      <c r="I41" s="35" t="n">
        <v>298.24</v>
      </c>
      <c r="J41" s="35" t="n">
        <v>444.35</v>
      </c>
      <c r="K41" s="35" t="n">
        <v>307.21</v>
      </c>
      <c r="L41" s="35" t="n">
        <v>426.55</v>
      </c>
      <c r="M41" s="35" t="n">
        <v>379.16</v>
      </c>
      <c r="N41" s="36">
        <f>SUM(B41:M41)</f>
        <v/>
      </c>
      <c r="O41" s="37">
        <f>SUMIF('XHDN TB'!$R:$R,'HDN P&amp;L'!$A41,'XHDN TB'!C:C)</f>
        <v/>
      </c>
      <c r="P41" s="37">
        <f>SUMIF('XHDN TB'!$R:$R,'HDN P&amp;L'!$A41,'XHDN TB'!D:D)</f>
        <v/>
      </c>
      <c r="Q41" s="37">
        <f>SUMIF('XHDN TB'!$R:$R,'HDN P&amp;L'!$A41,'XHDN TB'!E:E)</f>
        <v/>
      </c>
      <c r="R41" s="37">
        <f>SUMIF('XHDN TB'!$R:$R,'HDN P&amp;L'!$A41,'XHDN TB'!F:F)</f>
        <v/>
      </c>
      <c r="S41" s="37">
        <f>SUMIF('XHDN TB'!$R:$R,'HDN P&amp;L'!$A41,'XHDN TB'!G:G)</f>
        <v/>
      </c>
      <c r="T41" s="37">
        <f>SUMIF('XHDN TB'!$R:$R,'HDN P&amp;L'!$A41,'XHDN TB'!H:H)</f>
        <v/>
      </c>
      <c r="U41" s="37">
        <f>SUMIF('HDN TB'!$R:$R,'HDN P&amp;L'!$A41,'HDN TB'!I:I)</f>
        <v/>
      </c>
      <c r="V41" s="38" t="n">
        <v>389</v>
      </c>
      <c r="W41" s="38" t="n">
        <v>389</v>
      </c>
      <c r="X41" s="38" t="n">
        <v>389</v>
      </c>
      <c r="Y41" s="38" t="n">
        <v>389</v>
      </c>
      <c r="Z41" s="38" t="n">
        <v>389</v>
      </c>
      <c r="AA41" s="36">
        <f>SUM(O41:U41)</f>
        <v/>
      </c>
      <c r="AB41" s="36">
        <f>SUM(O41:Z41)</f>
        <v/>
      </c>
      <c r="AC41" s="38" t="n">
        <v>389</v>
      </c>
      <c r="AD41" s="38" t="n">
        <v>389</v>
      </c>
      <c r="AE41" s="38" t="n">
        <v>389</v>
      </c>
      <c r="AF41" s="38" t="n">
        <v>389</v>
      </c>
      <c r="AG41" s="38" t="n">
        <v>389</v>
      </c>
      <c r="AH41" s="38" t="n">
        <v>389</v>
      </c>
      <c r="AI41" s="118" t="n">
        <v>389</v>
      </c>
      <c r="AJ41" s="119" t="n">
        <v>389</v>
      </c>
      <c r="AK41" s="119" t="n">
        <v>389</v>
      </c>
      <c r="AL41" s="119" t="n">
        <v>389</v>
      </c>
      <c r="AM41" s="120" t="n">
        <v>389</v>
      </c>
      <c r="AN41" s="118" t="n">
        <v>389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134.31</v>
      </c>
      <c r="C42" s="35" t="n">
        <v>193.15</v>
      </c>
      <c r="D42" s="35" t="n">
        <v>108.59</v>
      </c>
      <c r="E42" s="35" t="n">
        <v>158.57</v>
      </c>
      <c r="F42" s="35" t="n">
        <v>40.91</v>
      </c>
      <c r="G42" s="35" t="n">
        <v>188.02</v>
      </c>
      <c r="H42" s="35" t="n">
        <v>36.03</v>
      </c>
      <c r="I42" s="35" t="n">
        <v>140.04</v>
      </c>
      <c r="J42" s="35" t="n">
        <v>159.8</v>
      </c>
      <c r="K42" s="35" t="n">
        <v>546.86</v>
      </c>
      <c r="L42" s="35" t="n">
        <v>154.65</v>
      </c>
      <c r="M42" s="35" t="n">
        <v>163.62</v>
      </c>
      <c r="N42" s="36">
        <f>SUM(B42:M42)</f>
        <v/>
      </c>
      <c r="O42" s="37">
        <f>SUMIF('XHDN TB'!$R:$R,'HDN P&amp;L'!$A42,'XHDN TB'!C:C)</f>
        <v/>
      </c>
      <c r="P42" s="37">
        <f>SUMIF('XHDN TB'!$R:$R,'HDN P&amp;L'!$A42,'XHDN TB'!D:D)</f>
        <v/>
      </c>
      <c r="Q42" s="37">
        <f>SUMIF('XHDN TB'!$R:$R,'HDN P&amp;L'!$A42,'XHDN TB'!E:E)</f>
        <v/>
      </c>
      <c r="R42" s="37">
        <f>SUMIF('XHDN TB'!$R:$R,'HDN P&amp;L'!$A42,'XHDN TB'!F:F)</f>
        <v/>
      </c>
      <c r="S42" s="37">
        <f>SUMIF('XHDN TB'!$R:$R,'HDN P&amp;L'!$A42,'XHDN TB'!G:G)</f>
        <v/>
      </c>
      <c r="T42" s="37">
        <f>SUMIF('XHDN TB'!$R:$R,'HDN P&amp;L'!$A42,'XHDN TB'!H:H)</f>
        <v/>
      </c>
      <c r="U42" s="37">
        <f>SUMIF('HDN TB'!$R:$R,'HDN P&amp;L'!$A42,'HDN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8" t="n">
        <v>0</v>
      </c>
      <c r="AJ42" s="119" t="n">
        <v>0</v>
      </c>
      <c r="AK42" s="119" t="n">
        <v>0</v>
      </c>
      <c r="AL42" s="119" t="n">
        <v>0</v>
      </c>
      <c r="AM42" s="120" t="n">
        <v>0</v>
      </c>
      <c r="AN42" s="118" t="n">
        <v>0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SUMIF('XHDN TB'!$R:$R,'HDN P&amp;L'!$A43,'XHDN TB'!C:C)</f>
        <v/>
      </c>
      <c r="P43" s="37">
        <f>SUMIF('XHDN TB'!$R:$R,'HDN P&amp;L'!$A43,'XHDN TB'!D:D)</f>
        <v/>
      </c>
      <c r="Q43" s="37">
        <f>SUMIF('XHDN TB'!$R:$R,'HDN P&amp;L'!$A43,'XHDN TB'!E:E)</f>
        <v/>
      </c>
      <c r="R43" s="37">
        <f>SUMIF('XHDN TB'!$R:$R,'HDN P&amp;L'!$A43,'XHDN TB'!F:F)</f>
        <v/>
      </c>
      <c r="S43" s="37">
        <f>SUMIF('XHDN TB'!$R:$R,'HDN P&amp;L'!$A43,'XHDN TB'!G:G)</f>
        <v/>
      </c>
      <c r="T43" s="37">
        <f>SUMIF('XHDN TB'!$R:$R,'HDN P&amp;L'!$A43,'XHDN TB'!H:H)</f>
        <v/>
      </c>
      <c r="U43" s="37">
        <f>SUMIF('HDN TB'!$R:$R,'HDN P&amp;L'!$A43,'HDN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8" t="n">
        <v>0</v>
      </c>
      <c r="AJ43" s="119" t="n">
        <v>0</v>
      </c>
      <c r="AK43" s="119" t="n">
        <v>0</v>
      </c>
      <c r="AL43" s="119" t="n">
        <v>0</v>
      </c>
      <c r="AM43" s="120" t="n">
        <v>0</v>
      </c>
      <c r="AN43" s="118" t="n">
        <v>0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SUMIF('XHDN TB'!$R:$R,'HDN P&amp;L'!$A44,'XHDN TB'!C:C)</f>
        <v/>
      </c>
      <c r="P44" s="37">
        <f>SUMIF('XHDN TB'!$R:$R,'HDN P&amp;L'!$A44,'XHDN TB'!D:D)</f>
        <v/>
      </c>
      <c r="Q44" s="37">
        <f>SUMIF('XHDN TB'!$R:$R,'HDN P&amp;L'!$A44,'XHDN TB'!E:E)</f>
        <v/>
      </c>
      <c r="R44" s="37">
        <f>SUMIF('XHDN TB'!$R:$R,'HDN P&amp;L'!$A44,'XHDN TB'!F:F)</f>
        <v/>
      </c>
      <c r="S44" s="37">
        <f>SUMIF('XHDN TB'!$R:$R,'HDN P&amp;L'!$A44,'XHDN TB'!G:G)</f>
        <v/>
      </c>
      <c r="T44" s="37">
        <f>SUMIF('XHDN TB'!$R:$R,'HDN P&amp;L'!$A44,'XHDN TB'!H:H)</f>
        <v/>
      </c>
      <c r="U44" s="37">
        <f>SUMIF('HDN TB'!$R:$R,'HDN P&amp;L'!$A44,'HDN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8" t="n">
        <v>0</v>
      </c>
      <c r="AJ44" s="119" t="n">
        <v>0</v>
      </c>
      <c r="AK44" s="119" t="n">
        <v>0</v>
      </c>
      <c r="AL44" s="119" t="n">
        <v>0</v>
      </c>
      <c r="AM44" s="120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29.98</v>
      </c>
      <c r="M45" s="35" t="n">
        <v>0</v>
      </c>
      <c r="N45" s="36">
        <f>SUM(B45:M45)</f>
        <v/>
      </c>
      <c r="O45" s="37">
        <f>SUMIF('XHDN TB'!$R:$R,'HDN P&amp;L'!$A45,'XHDN TB'!C:C)</f>
        <v/>
      </c>
      <c r="P45" s="37">
        <f>SUMIF('XHDN TB'!$R:$R,'HDN P&amp;L'!$A45,'XHDN TB'!D:D)</f>
        <v/>
      </c>
      <c r="Q45" s="37">
        <f>SUMIF('XHDN TB'!$R:$R,'HDN P&amp;L'!$A45,'XHDN TB'!E:E)</f>
        <v/>
      </c>
      <c r="R45" s="37">
        <f>SUMIF('XHDN TB'!$R:$R,'HDN P&amp;L'!$A45,'XHDN TB'!F:F)</f>
        <v/>
      </c>
      <c r="S45" s="37">
        <f>SUMIF('XHDN TB'!$R:$R,'HDN P&amp;L'!$A45,'XHDN TB'!G:G)</f>
        <v/>
      </c>
      <c r="T45" s="37">
        <f>SUMIF('XHDN TB'!$R:$R,'HDN P&amp;L'!$A45,'XHDN TB'!H:H)</f>
        <v/>
      </c>
      <c r="U45" s="37">
        <f>SUMIF('HDN TB'!$R:$R,'HDN P&amp;L'!$A45,'HDN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8" t="n">
        <v>100</v>
      </c>
      <c r="AJ45" s="119" t="n">
        <v>100</v>
      </c>
      <c r="AK45" s="119" t="n">
        <v>100</v>
      </c>
      <c r="AL45" s="119" t="n">
        <v>100</v>
      </c>
      <c r="AM45" s="120" t="n">
        <v>100</v>
      </c>
      <c r="AN45" s="118" t="n">
        <v>100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SUMIF('XHDN TB'!$R:$R,'HDN P&amp;L'!$A46,'XHDN TB'!C:C)</f>
        <v/>
      </c>
      <c r="P46" s="37">
        <f>SUMIF('XHDN TB'!$R:$R,'HDN P&amp;L'!$A46,'XHDN TB'!D:D)</f>
        <v/>
      </c>
      <c r="Q46" s="37">
        <f>SUMIF('XHDN TB'!$R:$R,'HDN P&amp;L'!$A46,'XHDN TB'!E:E)</f>
        <v/>
      </c>
      <c r="R46" s="37">
        <f>SUMIF('XHDN TB'!$R:$R,'HDN P&amp;L'!$A46,'XHDN TB'!F:F)</f>
        <v/>
      </c>
      <c r="S46" s="37">
        <f>SUMIF('XHDN TB'!$R:$R,'HDN P&amp;L'!$A46,'XHDN TB'!G:G)</f>
        <v/>
      </c>
      <c r="T46" s="37">
        <f>SUMIF('XHDN TB'!$R:$R,'HDN P&amp;L'!$A46,'XHDN TB'!H:H)</f>
        <v/>
      </c>
      <c r="U46" s="37">
        <f>SUMIF('HDN TB'!$R:$R,'HDN P&amp;L'!$A46,'HDN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8" t="n">
        <v>0</v>
      </c>
      <c r="AJ46" s="119" t="n">
        <v>0</v>
      </c>
      <c r="AK46" s="119" t="n">
        <v>0</v>
      </c>
      <c r="AL46" s="119" t="n">
        <v>0</v>
      </c>
      <c r="AM46" s="120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8074.52</v>
      </c>
      <c r="C47" s="42" t="n">
        <v>4285.54</v>
      </c>
      <c r="D47" s="42" t="n">
        <v>5205.860000000001</v>
      </c>
      <c r="E47" s="42" t="n">
        <v>5193.72</v>
      </c>
      <c r="F47" s="42" t="n">
        <v>5508.779999999999</v>
      </c>
      <c r="G47" s="42" t="n">
        <v>4280.34</v>
      </c>
      <c r="H47" s="42" t="n">
        <v>3254.25</v>
      </c>
      <c r="I47" s="42" t="n">
        <v>1856.43</v>
      </c>
      <c r="J47" s="42" t="n">
        <v>6950.940000000001</v>
      </c>
      <c r="K47" s="42" t="n">
        <v>4994.45</v>
      </c>
      <c r="L47" s="42" t="n">
        <v>5308.799999999999</v>
      </c>
      <c r="M47" s="42" t="n">
        <v>4477.679999999999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3">
        <f>SUM(AI36:AI46)</f>
        <v/>
      </c>
      <c r="AJ47" s="124">
        <f>SUM(AJ36:AJ46)</f>
        <v/>
      </c>
      <c r="AK47" s="124">
        <f>SUM(AK36:AK46)</f>
        <v/>
      </c>
      <c r="AL47" s="124">
        <f>SUM(AL36:AL46)</f>
        <v/>
      </c>
      <c r="AM47" s="137">
        <f>SUM(AM36:AM46)</f>
        <v/>
      </c>
      <c r="AN47" s="123">
        <f>SUM(AN36:AN46)</f>
        <v/>
      </c>
      <c r="AO47" s="125">
        <f>SUM(AC47:AH47)+SUM(AI47:AN47)</f>
        <v/>
      </c>
      <c r="AP47" s="126">
        <f>IF(AB47&lt;&gt;0,(AO47-AB47)/ABS(AB47),0)</f>
        <v/>
      </c>
    </row>
    <row r="48">
      <c r="A48" s="22" t="inlineStr">
        <is>
          <t>Total Direct Costs</t>
        </is>
      </c>
      <c r="B48" s="23" t="n">
        <v>39924.80999999999</v>
      </c>
      <c r="C48" s="23" t="n">
        <v>36486.27</v>
      </c>
      <c r="D48" s="23" t="n">
        <v>38535.4</v>
      </c>
      <c r="E48" s="23" t="n">
        <v>42802.35000000001</v>
      </c>
      <c r="F48" s="23" t="n">
        <v>42673.06</v>
      </c>
      <c r="G48" s="23" t="n">
        <v>39872.7</v>
      </c>
      <c r="H48" s="23" t="n">
        <v>46835.13</v>
      </c>
      <c r="I48" s="23" t="n">
        <v>41439.52</v>
      </c>
      <c r="J48" s="23" t="n">
        <v>45891.13</v>
      </c>
      <c r="K48" s="23" t="n">
        <v>49134.23</v>
      </c>
      <c r="L48" s="23" t="n">
        <v>47455.56</v>
      </c>
      <c r="M48" s="23" t="n">
        <v>47668.87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3">
        <f>AI25+AI34+AI47</f>
        <v/>
      </c>
      <c r="AJ48" s="147">
        <f>AJ25+AJ34+AJ47</f>
        <v/>
      </c>
      <c r="AK48" s="147">
        <f>AK25+AK34+AK47</f>
        <v/>
      </c>
      <c r="AL48" s="147">
        <f>AL25+AL34+AL47</f>
        <v/>
      </c>
      <c r="AM48" s="147">
        <f>AM25+AM34+AM47</f>
        <v/>
      </c>
      <c r="AN48" s="123">
        <f>AN25+AN34+AN47</f>
        <v/>
      </c>
      <c r="AO48" s="121">
        <f>SUM(AC48:AH48)+SUM(AI48:AN48)</f>
        <v/>
      </c>
      <c r="AP48" s="122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21076.90000000001</v>
      </c>
      <c r="C50" s="55" t="n">
        <v>16692.97</v>
      </c>
      <c r="D50" s="55" t="n">
        <v>31198.73</v>
      </c>
      <c r="E50" s="55" t="n">
        <v>26646.34</v>
      </c>
      <c r="F50" s="55" t="n">
        <v>18730.04</v>
      </c>
      <c r="G50" s="55" t="n">
        <v>19186.60000000001</v>
      </c>
      <c r="H50" s="55" t="n">
        <v>44355.74</v>
      </c>
      <c r="I50" s="55" t="n">
        <v>18608.74</v>
      </c>
      <c r="J50" s="55" t="n">
        <v>7164.869999999995</v>
      </c>
      <c r="K50" s="55" t="n">
        <v>3745.629999999997</v>
      </c>
      <c r="L50" s="55" t="n">
        <v>15267.35</v>
      </c>
      <c r="M50" s="55" t="n">
        <v>26674.6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6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0">
        <f>AI11-AI48</f>
        <v/>
      </c>
      <c r="AJ50" s="140">
        <f>AJ11-AJ48</f>
        <v/>
      </c>
      <c r="AK50" s="140">
        <f>AK11-AK48</f>
        <v/>
      </c>
      <c r="AL50" s="140">
        <f>AL11-AL48</f>
        <v/>
      </c>
      <c r="AM50" s="140">
        <f>AM11-AM48</f>
        <v/>
      </c>
      <c r="AN50" s="140">
        <f>AN11-AN48</f>
        <v/>
      </c>
      <c r="AO50" s="141">
        <f>SUM(AC50:AH50)+SUM(AI50:AN50)</f>
        <v/>
      </c>
      <c r="AP50" s="14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SUMIF('XHDN TB'!$R:$R,'HDN P&amp;L'!$A53,'XHDN TB'!C:C)</f>
        <v/>
      </c>
      <c r="P53" s="37">
        <f>SUMIF('XHDN TB'!$R:$R,'HDN P&amp;L'!$A53,'XHDN TB'!D:D)</f>
        <v/>
      </c>
      <c r="Q53" s="37">
        <f>SUMIF('XHDN TB'!$R:$R,'HDN P&amp;L'!$A53,'XHDN TB'!E:E)</f>
        <v/>
      </c>
      <c r="R53" s="37">
        <f>SUMIF('XHDN TB'!$R:$R,'HDN P&amp;L'!$A53,'XHDN TB'!F:F)</f>
        <v/>
      </c>
      <c r="S53" s="37">
        <f>SUMIF('XHDN TB'!$R:$R,'HDN P&amp;L'!$A53,'XHDN TB'!G:G)</f>
        <v/>
      </c>
      <c r="T53" s="37">
        <f>SUMIF('XHDN TB'!$R:$R,'HDN P&amp;L'!$A53,'XHDN TB'!H:H)</f>
        <v/>
      </c>
      <c r="U53" s="37">
        <f>SUMIF('HDN TB'!$R:$R,'HDN P&amp;L'!$A53,'HDN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8" t="n">
        <v>0</v>
      </c>
      <c r="AJ53" s="119" t="n">
        <v>0</v>
      </c>
      <c r="AK53" s="119" t="n">
        <v>0</v>
      </c>
      <c r="AL53" s="119" t="n">
        <v>0</v>
      </c>
      <c r="AM53" s="120" t="n">
        <v>0</v>
      </c>
      <c r="AN53" s="118" t="n">
        <v>0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SUMIF('XHDN TB'!$R:$R,'HDN P&amp;L'!$A54,'XHDN TB'!C:C)</f>
        <v/>
      </c>
      <c r="P54" s="37">
        <f>SUMIF('XHDN TB'!$R:$R,'HDN P&amp;L'!$A54,'XHDN TB'!D:D)</f>
        <v/>
      </c>
      <c r="Q54" s="37">
        <f>SUMIF('XHDN TB'!$R:$R,'HDN P&amp;L'!$A54,'XHDN TB'!E:E)</f>
        <v/>
      </c>
      <c r="R54" s="37">
        <f>SUMIF('XHDN TB'!$R:$R,'HDN P&amp;L'!$A54,'XHDN TB'!F:F)</f>
        <v/>
      </c>
      <c r="S54" s="37">
        <f>SUMIF('XHDN TB'!$R:$R,'HDN P&amp;L'!$A54,'XHDN TB'!G:G)</f>
        <v/>
      </c>
      <c r="T54" s="37">
        <f>SUMIF('XHDN TB'!$R:$R,'HDN P&amp;L'!$A54,'XHDN TB'!H:H)</f>
        <v/>
      </c>
      <c r="U54" s="37">
        <f>SUMIF('HDN TB'!$R:$R,'HDN P&amp;L'!$A54,'HDN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8" t="n">
        <v>0</v>
      </c>
      <c r="AJ54" s="119" t="n">
        <v>0</v>
      </c>
      <c r="AK54" s="119" t="n">
        <v>0</v>
      </c>
      <c r="AL54" s="119" t="n">
        <v>0</v>
      </c>
      <c r="AM54" s="120" t="n">
        <v>0</v>
      </c>
      <c r="AN54" s="118" t="n">
        <v>0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SUMIF('XHDN TB'!$R:$R,'HDN P&amp;L'!$A55,'XHDN TB'!C:C)</f>
        <v/>
      </c>
      <c r="P55" s="37">
        <f>SUMIF('XHDN TB'!$R:$R,'HDN P&amp;L'!$A55,'XHDN TB'!D:D)</f>
        <v/>
      </c>
      <c r="Q55" s="37">
        <f>SUMIF('XHDN TB'!$R:$R,'HDN P&amp;L'!$A55,'XHDN TB'!E:E)</f>
        <v/>
      </c>
      <c r="R55" s="37">
        <f>SUMIF('XHDN TB'!$R:$R,'HDN P&amp;L'!$A55,'XHDN TB'!F:F)</f>
        <v/>
      </c>
      <c r="S55" s="37">
        <f>SUMIF('XHDN TB'!$R:$R,'HDN P&amp;L'!$A55,'XHDN TB'!G:G)</f>
        <v/>
      </c>
      <c r="T55" s="37">
        <f>SUMIF('XHDN TB'!$R:$R,'HDN P&amp;L'!$A55,'XHDN TB'!H:H)</f>
        <v/>
      </c>
      <c r="U55" s="37">
        <f>SUMIF('HDN TB'!$R:$R,'HDN P&amp;L'!$A55,'HDN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8" t="n">
        <v>0</v>
      </c>
      <c r="AJ55" s="119" t="n">
        <v>0</v>
      </c>
      <c r="AK55" s="119" t="n">
        <v>0</v>
      </c>
      <c r="AL55" s="119" t="n">
        <v>0</v>
      </c>
      <c r="AM55" s="120" t="n">
        <v>0</v>
      </c>
      <c r="AN55" s="118" t="n">
        <v>0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SUMIF('XHDN TB'!$R:$R,'HDN P&amp;L'!$A56,'XHDN TB'!C:C)</f>
        <v/>
      </c>
      <c r="P56" s="37">
        <f>SUMIF('XHDN TB'!$R:$R,'HDN P&amp;L'!$A56,'XHDN TB'!D:D)</f>
        <v/>
      </c>
      <c r="Q56" s="37">
        <f>SUMIF('XHDN TB'!$R:$R,'HDN P&amp;L'!$A56,'XHDN TB'!E:E)</f>
        <v/>
      </c>
      <c r="R56" s="37">
        <f>SUMIF('XHDN TB'!$R:$R,'HDN P&amp;L'!$A56,'XHDN TB'!F:F)</f>
        <v/>
      </c>
      <c r="S56" s="37">
        <f>SUMIF('XHDN TB'!$R:$R,'HDN P&amp;L'!$A56,'XHDN TB'!G:G)</f>
        <v/>
      </c>
      <c r="T56" s="37">
        <f>SUMIF('XHDN TB'!$R:$R,'HDN P&amp;L'!$A56,'XHDN TB'!H:H)</f>
        <v/>
      </c>
      <c r="U56" s="37">
        <f>SUMIF('HDN TB'!$R:$R,'HDN P&amp;L'!$A56,'HDN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8" t="n">
        <v>0</v>
      </c>
      <c r="AJ56" s="119" t="n">
        <v>0</v>
      </c>
      <c r="AK56" s="119" t="n">
        <v>0</v>
      </c>
      <c r="AL56" s="119" t="n">
        <v>0</v>
      </c>
      <c r="AM56" s="120" t="n">
        <v>0</v>
      </c>
      <c r="AN56" s="118" t="n">
        <v>0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109.5</v>
      </c>
      <c r="J57" s="35" t="n">
        <v>0</v>
      </c>
      <c r="K57" s="35" t="n">
        <v>0</v>
      </c>
      <c r="L57" s="35" t="n">
        <v>158.74</v>
      </c>
      <c r="M57" s="35" t="n">
        <v>212.52</v>
      </c>
      <c r="N57" s="36">
        <f>SUM(B57:M57)</f>
        <v/>
      </c>
      <c r="O57" s="37">
        <f>SUMIF('XHDN TB'!$R:$R,'HDN P&amp;L'!$A57,'XHDN TB'!C:C)</f>
        <v/>
      </c>
      <c r="P57" s="37">
        <f>SUMIF('XHDN TB'!$R:$R,'HDN P&amp;L'!$A57,'XHDN TB'!D:D)</f>
        <v/>
      </c>
      <c r="Q57" s="37">
        <f>SUMIF('XHDN TB'!$R:$R,'HDN P&amp;L'!$A57,'XHDN TB'!E:E)</f>
        <v/>
      </c>
      <c r="R57" s="37">
        <f>SUMIF('XHDN TB'!$R:$R,'HDN P&amp;L'!$A57,'XHDN TB'!F:F)</f>
        <v/>
      </c>
      <c r="S57" s="37">
        <f>SUMIF('XHDN TB'!$R:$R,'HDN P&amp;L'!$A57,'XHDN TB'!G:G)</f>
        <v/>
      </c>
      <c r="T57" s="37">
        <f>SUMIF('XHDN TB'!$R:$R,'HDN P&amp;L'!$A57,'XHDN TB'!H:H)</f>
        <v/>
      </c>
      <c r="U57" s="37">
        <f>SUMIF('HDN TB'!$R:$R,'HDN P&amp;L'!$A57,'HDN TB'!I:I)</f>
        <v/>
      </c>
      <c r="V57" s="38" t="n"/>
      <c r="W57" s="38" t="n"/>
      <c r="X57" s="38" t="n"/>
      <c r="Y57" s="38" t="n"/>
      <c r="Z57" s="38">
        <f>17*30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18" t="n">
        <v>0</v>
      </c>
      <c r="AJ57" s="119" t="n">
        <v>0</v>
      </c>
      <c r="AK57" s="119" t="n">
        <v>0</v>
      </c>
      <c r="AL57" s="119" t="n">
        <v>0</v>
      </c>
      <c r="AM57" s="120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SUMIF('XHDN TB'!$R:$R,'HDN P&amp;L'!$A58,'XHDN TB'!C:C)</f>
        <v/>
      </c>
      <c r="P58" s="37">
        <f>SUMIF('XHDN TB'!$R:$R,'HDN P&amp;L'!$A58,'XHDN TB'!D:D)</f>
        <v/>
      </c>
      <c r="Q58" s="37">
        <f>SUMIF('XHDN TB'!$R:$R,'HDN P&amp;L'!$A58,'XHDN TB'!E:E)</f>
        <v/>
      </c>
      <c r="R58" s="37">
        <f>SUMIF('XHDN TB'!$R:$R,'HDN P&amp;L'!$A58,'XHDN TB'!F:F)</f>
        <v/>
      </c>
      <c r="S58" s="37">
        <f>SUMIF('XHDN TB'!$R:$R,'HDN P&amp;L'!$A58,'XHDN TB'!G:G)</f>
        <v/>
      </c>
      <c r="T58" s="37">
        <f>SUMIF('XHDN TB'!$R:$R,'HDN P&amp;L'!$A58,'XHDN TB'!H:H)</f>
        <v/>
      </c>
      <c r="U58" s="37">
        <f>SUMIF('HDN TB'!$R:$R,'HDN P&amp;L'!$A58,'HDN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8" t="n">
        <v>0</v>
      </c>
      <c r="AJ58" s="119" t="n">
        <v>0</v>
      </c>
      <c r="AK58" s="119" t="n">
        <v>0</v>
      </c>
      <c r="AL58" s="119" t="n">
        <v>0</v>
      </c>
      <c r="AM58" s="120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201.37</v>
      </c>
      <c r="D59" s="35" t="n">
        <v>201.37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201.37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SUMIF('XHDN TB'!$R:$R,'HDN P&amp;L'!$A59,'XHDN TB'!C:C)</f>
        <v/>
      </c>
      <c r="P59" s="37">
        <f>SUMIF('XHDN TB'!$R:$R,'HDN P&amp;L'!$A59,'XHDN TB'!D:D)</f>
        <v/>
      </c>
      <c r="Q59" s="37">
        <f>SUMIF('XHDN TB'!$R:$R,'HDN P&amp;L'!$A59,'XHDN TB'!E:E)</f>
        <v/>
      </c>
      <c r="R59" s="37">
        <f>SUMIF('XHDN TB'!$R:$R,'HDN P&amp;L'!$A59,'XHDN TB'!F:F)</f>
        <v/>
      </c>
      <c r="S59" s="37">
        <f>SUMIF('XHDN TB'!$R:$R,'HDN P&amp;L'!$A59,'XHDN TB'!G:G)</f>
        <v/>
      </c>
      <c r="T59" s="37">
        <f>SUMIF('XHDN TB'!$R:$R,'HDN P&amp;L'!$A59,'XHDN TB'!H:H)</f>
        <v/>
      </c>
      <c r="U59" s="37">
        <f>SUMIF('HDN TB'!$R:$R,'HDN P&amp;L'!$A59,'HDN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18" t="n">
        <v>0</v>
      </c>
      <c r="AJ59" s="119" t="n">
        <v>0</v>
      </c>
      <c r="AK59" s="119" t="n">
        <v>0</v>
      </c>
      <c r="AL59" s="119" t="n">
        <v>0</v>
      </c>
      <c r="AM59" s="120" t="n">
        <v>0</v>
      </c>
      <c r="AN59" s="118" t="n">
        <v>0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231.99</v>
      </c>
      <c r="C60" s="35" t="n">
        <v>75.59</v>
      </c>
      <c r="D60" s="35" t="n">
        <v>147.2</v>
      </c>
      <c r="E60" s="35" t="n">
        <v>13.19</v>
      </c>
      <c r="F60" s="35" t="n">
        <v>12.59</v>
      </c>
      <c r="G60" s="35" t="n">
        <v>45</v>
      </c>
      <c r="H60" s="35" t="n">
        <v>13.19</v>
      </c>
      <c r="I60" s="35" t="n">
        <v>13.79</v>
      </c>
      <c r="J60" s="35" t="n">
        <v>14.39</v>
      </c>
      <c r="K60" s="35" t="n">
        <v>198.39</v>
      </c>
      <c r="L60" s="35" t="n">
        <v>14.39</v>
      </c>
      <c r="M60" s="35" t="n">
        <v>58.79</v>
      </c>
      <c r="N60" s="36">
        <f>SUM(B60:M60)</f>
        <v/>
      </c>
      <c r="O60" s="37">
        <f>SUMIF('XHDN TB'!$R:$R,'HDN P&amp;L'!$A60,'XHDN TB'!C:C)</f>
        <v/>
      </c>
      <c r="P60" s="37">
        <f>SUMIF('XHDN TB'!$R:$R,'HDN P&amp;L'!$A60,'XHDN TB'!D:D)</f>
        <v/>
      </c>
      <c r="Q60" s="37">
        <f>SUMIF('XHDN TB'!$R:$R,'HDN P&amp;L'!$A60,'XHDN TB'!E:E)</f>
        <v/>
      </c>
      <c r="R60" s="37">
        <f>SUMIF('XHDN TB'!$R:$R,'HDN P&amp;L'!$A60,'XHDN TB'!F:F)</f>
        <v/>
      </c>
      <c r="S60" s="37">
        <f>SUMIF('XHDN TB'!$R:$R,'HDN P&amp;L'!$A60,'XHDN TB'!G:G)</f>
        <v/>
      </c>
      <c r="T60" s="37">
        <f>SUMIF('XHDN TB'!$R:$R,'HDN P&amp;L'!$A60,'XHDN TB'!H:H)</f>
        <v/>
      </c>
      <c r="U60" s="37">
        <f>SUMIF('HDN TB'!$R:$R,'HDN P&amp;L'!$A60,'HDN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8" t="n">
        <v>0</v>
      </c>
      <c r="AJ60" s="119" t="n">
        <v>0</v>
      </c>
      <c r="AK60" s="119" t="n">
        <v>0</v>
      </c>
      <c r="AL60" s="119" t="n">
        <v>0</v>
      </c>
      <c r="AM60" s="120" t="n">
        <v>0</v>
      </c>
      <c r="AN60" s="118" t="n">
        <v>0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17.95</v>
      </c>
      <c r="D61" s="35" t="n">
        <v>0</v>
      </c>
      <c r="E61" s="35" t="n">
        <v>26.97</v>
      </c>
      <c r="F61" s="35" t="n">
        <v>5.89</v>
      </c>
      <c r="G61" s="35" t="n">
        <v>125.77</v>
      </c>
      <c r="H61" s="35" t="n">
        <v>53.8</v>
      </c>
      <c r="I61" s="35" t="n">
        <v>0</v>
      </c>
      <c r="J61" s="35" t="n">
        <v>0</v>
      </c>
      <c r="K61" s="35" t="n">
        <v>0</v>
      </c>
      <c r="L61" s="35" t="n">
        <v>63.35000000000001</v>
      </c>
      <c r="M61" s="35" t="n">
        <v>6.01</v>
      </c>
      <c r="N61" s="36">
        <f>SUM(B61:M61)</f>
        <v/>
      </c>
      <c r="O61" s="37">
        <f>SUMIF('XHDN TB'!$R:$R,'HDN P&amp;L'!$A61,'XHDN TB'!C:C)</f>
        <v/>
      </c>
      <c r="P61" s="37">
        <f>SUMIF('XHDN TB'!$R:$R,'HDN P&amp;L'!$A61,'XHDN TB'!D:D)</f>
        <v/>
      </c>
      <c r="Q61" s="37">
        <f>SUMIF('XHDN TB'!$R:$R,'HDN P&amp;L'!$A61,'XHDN TB'!E:E)</f>
        <v/>
      </c>
      <c r="R61" s="37">
        <f>SUMIF('XHDN TB'!$R:$R,'HDN P&amp;L'!$A61,'XHDN TB'!F:F)</f>
        <v/>
      </c>
      <c r="S61" s="37">
        <f>SUMIF('XHDN TB'!$R:$R,'HDN P&amp;L'!$A61,'XHDN TB'!G:G)</f>
        <v/>
      </c>
      <c r="T61" s="37">
        <f>SUMIF('XHDN TB'!$R:$R,'HDN P&amp;L'!$A61,'XHDN TB'!H:H)</f>
        <v/>
      </c>
      <c r="U61" s="37">
        <f>SUMIF('HDN TB'!$R:$R,'HDN P&amp;L'!$A61,'HDN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8" t="n">
        <v>0</v>
      </c>
      <c r="AJ61" s="119" t="n">
        <v>0</v>
      </c>
      <c r="AK61" s="119" t="n">
        <v>0</v>
      </c>
      <c r="AL61" s="119" t="n">
        <v>0</v>
      </c>
      <c r="AM61" s="120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68</v>
      </c>
      <c r="D62" s="35" t="n">
        <v>74</v>
      </c>
      <c r="E62" s="35" t="n">
        <v>110.5</v>
      </c>
      <c r="F62" s="35" t="n">
        <v>0</v>
      </c>
      <c r="G62" s="35" t="n">
        <v>0</v>
      </c>
      <c r="H62" s="35" t="n">
        <v>32</v>
      </c>
      <c r="I62" s="35" t="n">
        <v>20.99</v>
      </c>
      <c r="J62" s="35" t="n">
        <v>112</v>
      </c>
      <c r="K62" s="35" t="n">
        <v>184</v>
      </c>
      <c r="L62" s="35" t="n">
        <v>108</v>
      </c>
      <c r="M62" s="35" t="n">
        <v>44</v>
      </c>
      <c r="N62" s="36">
        <f>SUM(B62:M62)</f>
        <v/>
      </c>
      <c r="O62" s="37">
        <f>SUMIF('XHDN TB'!$R:$R,'HDN P&amp;L'!$A62,'XHDN TB'!C:C)</f>
        <v/>
      </c>
      <c r="P62" s="37">
        <f>SUMIF('XHDN TB'!$R:$R,'HDN P&amp;L'!$A62,'XHDN TB'!D:D)</f>
        <v/>
      </c>
      <c r="Q62" s="37">
        <f>SUMIF('XHDN TB'!$R:$R,'HDN P&amp;L'!$A62,'XHDN TB'!E:E)</f>
        <v/>
      </c>
      <c r="R62" s="37">
        <f>SUMIF('XHDN TB'!$R:$R,'HDN P&amp;L'!$A62,'XHDN TB'!F:F)</f>
        <v/>
      </c>
      <c r="S62" s="37">
        <f>SUMIF('XHDN TB'!$R:$R,'HDN P&amp;L'!$A62,'XHDN TB'!G:G)</f>
        <v/>
      </c>
      <c r="T62" s="37">
        <f>SUMIF('XHDN TB'!$R:$R,'HDN P&amp;L'!$A62,'XHDN TB'!H:H)</f>
        <v/>
      </c>
      <c r="U62" s="37">
        <f>SUMIF('HDN TB'!$R:$R,'HDN P&amp;L'!$A62,'HDN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8" t="n">
        <v>0</v>
      </c>
      <c r="AJ62" s="119" t="n">
        <v>0</v>
      </c>
      <c r="AK62" s="119" t="n">
        <v>0</v>
      </c>
      <c r="AL62" s="119" t="n">
        <v>0</v>
      </c>
      <c r="AM62" s="120" t="n">
        <v>0</v>
      </c>
      <c r="AN62" s="118" t="n">
        <v>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SUMIF('XHDN TB'!$R:$R,'HDN P&amp;L'!$A63,'XHDN TB'!C:C)</f>
        <v/>
      </c>
      <c r="P63" s="37">
        <f>SUMIF('XHDN TB'!$R:$R,'HDN P&amp;L'!$A63,'XHDN TB'!D:D)</f>
        <v/>
      </c>
      <c r="Q63" s="37">
        <f>SUMIF('XHDN TB'!$R:$R,'HDN P&amp;L'!$A63,'XHDN TB'!E:E)</f>
        <v/>
      </c>
      <c r="R63" s="37">
        <f>SUMIF('XHDN TB'!$R:$R,'HDN P&amp;L'!$A63,'XHDN TB'!F:F)</f>
        <v/>
      </c>
      <c r="S63" s="37">
        <f>SUMIF('XHDN TB'!$R:$R,'HDN P&amp;L'!$A63,'XHDN TB'!G:G)</f>
        <v/>
      </c>
      <c r="T63" s="37">
        <f>SUMIF('XHDN TB'!$R:$R,'HDN P&amp;L'!$A63,'XHDN TB'!H:H)</f>
        <v/>
      </c>
      <c r="U63" s="37">
        <f>SUMIF('HDN TB'!$R:$R,'HDN P&amp;L'!$A63,'HDN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8" t="n">
        <v>0</v>
      </c>
      <c r="AJ63" s="119" t="n">
        <v>0</v>
      </c>
      <c r="AK63" s="119" t="n">
        <v>0</v>
      </c>
      <c r="AL63" s="119" t="n">
        <v>0</v>
      </c>
      <c r="AM63" s="120" t="n">
        <v>0</v>
      </c>
      <c r="AN63" s="118" t="n">
        <v>0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SUMIF('XHDN TB'!$R:$R,'HDN P&amp;L'!$A64,'XHDN TB'!C:C)</f>
        <v/>
      </c>
      <c r="P64" s="37">
        <f>SUMIF('XHDN TB'!$R:$R,'HDN P&amp;L'!$A64,'XHDN TB'!D:D)</f>
        <v/>
      </c>
      <c r="Q64" s="37">
        <f>SUMIF('XHDN TB'!$R:$R,'HDN P&amp;L'!$A64,'XHDN TB'!E:E)</f>
        <v/>
      </c>
      <c r="R64" s="37">
        <f>SUMIF('XHDN TB'!$R:$R,'HDN P&amp;L'!$A64,'XHDN TB'!F:F)</f>
        <v/>
      </c>
      <c r="S64" s="37">
        <f>SUMIF('XHDN TB'!$R:$R,'HDN P&amp;L'!$A64,'XHDN TB'!G:G)</f>
        <v/>
      </c>
      <c r="T64" s="37">
        <f>SUMIF('XHDN TB'!$R:$R,'HDN P&amp;L'!$A64,'XHDN TB'!H:H)</f>
        <v/>
      </c>
      <c r="U64" s="37">
        <f>SUMIF('HDN TB'!$R:$R,'HDN P&amp;L'!$A64,'HDN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8" t="n">
        <v>0</v>
      </c>
      <c r="AJ64" s="119" t="n">
        <v>0</v>
      </c>
      <c r="AK64" s="119" t="n">
        <v>0</v>
      </c>
      <c r="AL64" s="119" t="n">
        <v>0</v>
      </c>
      <c r="AM64" s="120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SUMIF('XHDN TB'!$R:$R,'HDN P&amp;L'!$A65,'XHDN TB'!C:C)</f>
        <v/>
      </c>
      <c r="P65" s="37">
        <f>SUMIF('XHDN TB'!$R:$R,'HDN P&amp;L'!$A65,'XHDN TB'!D:D)</f>
        <v/>
      </c>
      <c r="Q65" s="37">
        <f>SUMIF('XHDN TB'!$R:$R,'HDN P&amp;L'!$A65,'XHDN TB'!E:E)</f>
        <v/>
      </c>
      <c r="R65" s="37">
        <f>SUMIF('XHDN TB'!$R:$R,'HDN P&amp;L'!$A65,'XHDN TB'!F:F)</f>
        <v/>
      </c>
      <c r="S65" s="37">
        <f>SUMIF('XHDN TB'!$R:$R,'HDN P&amp;L'!$A65,'XHDN TB'!G:G)</f>
        <v/>
      </c>
      <c r="T65" s="37">
        <f>SUMIF('XHDN TB'!$R:$R,'HDN P&amp;L'!$A65,'XHDN TB'!H:H)</f>
        <v/>
      </c>
      <c r="U65" s="37">
        <f>SUMIF('HDN TB'!$R:$R,'HDN P&amp;L'!$A65,'HDN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8" t="n">
        <v>0</v>
      </c>
      <c r="AJ65" s="119" t="n">
        <v>0</v>
      </c>
      <c r="AK65" s="119" t="n">
        <v>0</v>
      </c>
      <c r="AL65" s="119" t="n">
        <v>0</v>
      </c>
      <c r="AM65" s="120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SUMIF('XHDN TB'!$R:$R,'HDN P&amp;L'!$A66,'XHDN TB'!C:C)</f>
        <v/>
      </c>
      <c r="P66" s="37">
        <f>SUMIF('XHDN TB'!$R:$R,'HDN P&amp;L'!$A66,'XHDN TB'!D:D)</f>
        <v/>
      </c>
      <c r="Q66" s="37">
        <f>SUMIF('XHDN TB'!$R:$R,'HDN P&amp;L'!$A66,'XHDN TB'!E:E)</f>
        <v/>
      </c>
      <c r="R66" s="37">
        <f>SUMIF('XHDN TB'!$R:$R,'HDN P&amp;L'!$A66,'XHDN TB'!F:F)</f>
        <v/>
      </c>
      <c r="S66" s="37">
        <f>SUMIF('XHDN TB'!$R:$R,'HDN P&amp;L'!$A66,'XHDN TB'!G:G)</f>
        <v/>
      </c>
      <c r="T66" s="37">
        <f>SUMIF('XHDN TB'!$R:$R,'HDN P&amp;L'!$A66,'XHDN TB'!H:H)</f>
        <v/>
      </c>
      <c r="U66" s="37">
        <f>SUMIF('HDN TB'!$R:$R,'HDN P&amp;L'!$A66,'HDN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8" t="n">
        <v>0</v>
      </c>
      <c r="AJ66" s="119" t="n">
        <v>0</v>
      </c>
      <c r="AK66" s="119" t="n">
        <v>0</v>
      </c>
      <c r="AL66" s="119" t="n">
        <v>0</v>
      </c>
      <c r="AM66" s="120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SUMIF('XHDN TB'!$R:$R,'HDN P&amp;L'!$A67,'XHDN TB'!C:C)</f>
        <v/>
      </c>
      <c r="P67" s="37">
        <f>SUMIF('XHDN TB'!$R:$R,'HDN P&amp;L'!$A67,'XHDN TB'!D:D)</f>
        <v/>
      </c>
      <c r="Q67" s="37">
        <f>SUMIF('XHDN TB'!$R:$R,'HDN P&amp;L'!$A67,'XHDN TB'!E:E)</f>
        <v/>
      </c>
      <c r="R67" s="37">
        <f>SUMIF('XHDN TB'!$R:$R,'HDN P&amp;L'!$A67,'XHDN TB'!F:F)</f>
        <v/>
      </c>
      <c r="S67" s="37">
        <f>SUMIF('XHDN TB'!$R:$R,'HDN P&amp;L'!$A67,'XHDN TB'!G:G)</f>
        <v/>
      </c>
      <c r="T67" s="37">
        <f>SUMIF('XHDN TB'!$R:$R,'HDN P&amp;L'!$A67,'XHDN TB'!H:H)</f>
        <v/>
      </c>
      <c r="U67" s="37">
        <f>SUMIF('HDN TB'!$R:$R,'HDN P&amp;L'!$A67,'HDN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8" t="n">
        <v>0</v>
      </c>
      <c r="AJ67" s="119" t="n">
        <v>0</v>
      </c>
      <c r="AK67" s="119" t="n">
        <v>0</v>
      </c>
      <c r="AL67" s="119" t="n">
        <v>0</v>
      </c>
      <c r="AM67" s="120" t="n">
        <v>0</v>
      </c>
      <c r="AN67" s="118" t="n">
        <v>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SUMIF('XHDN TB'!$R:$R,'HDN P&amp;L'!$A68,'XHDN TB'!C:C)</f>
        <v/>
      </c>
      <c r="P68" s="37">
        <f>SUMIF('XHDN TB'!$R:$R,'HDN P&amp;L'!$A68,'XHDN TB'!D:D)</f>
        <v/>
      </c>
      <c r="Q68" s="37">
        <f>SUMIF('XHDN TB'!$R:$R,'HDN P&amp;L'!$A68,'XHDN TB'!E:E)</f>
        <v/>
      </c>
      <c r="R68" s="37">
        <f>SUMIF('XHDN TB'!$R:$R,'HDN P&amp;L'!$A68,'XHDN TB'!F:F)</f>
        <v/>
      </c>
      <c r="S68" s="37">
        <f>SUMIF('XHDN TB'!$R:$R,'HDN P&amp;L'!$A68,'XHDN TB'!G:G)</f>
        <v/>
      </c>
      <c r="T68" s="37">
        <f>SUMIF('XHDN TB'!$R:$R,'HDN P&amp;L'!$A68,'XHDN TB'!H:H)</f>
        <v/>
      </c>
      <c r="U68" s="37">
        <f>SUMIF('HDN TB'!$R:$R,'HDN P&amp;L'!$A68,'HDN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8" t="n">
        <v>0</v>
      </c>
      <c r="AJ68" s="119" t="n">
        <v>0</v>
      </c>
      <c r="AK68" s="119" t="n">
        <v>0</v>
      </c>
      <c r="AL68" s="119" t="n">
        <v>0</v>
      </c>
      <c r="AM68" s="120" t="n">
        <v>0</v>
      </c>
      <c r="AN68" s="118" t="n">
        <v>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433.37</v>
      </c>
      <c r="C69" s="42" t="n">
        <v>362.91</v>
      </c>
      <c r="D69" s="42" t="n">
        <v>422.57</v>
      </c>
      <c r="E69" s="42" t="n">
        <v>352.04</v>
      </c>
      <c r="F69" s="42" t="n">
        <v>219.86</v>
      </c>
      <c r="G69" s="42" t="n">
        <v>372.15</v>
      </c>
      <c r="H69" s="42" t="n">
        <v>300.37</v>
      </c>
      <c r="I69" s="42" t="n">
        <v>345.66</v>
      </c>
      <c r="J69" s="42" t="n">
        <v>327.76</v>
      </c>
      <c r="K69" s="42" t="n">
        <v>597.1900000000001</v>
      </c>
      <c r="L69" s="42" t="n">
        <v>559.28</v>
      </c>
      <c r="M69" s="42" t="n">
        <v>536.1200000000001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3">
        <f>SUM(AI53:AI68)</f>
        <v/>
      </c>
      <c r="AJ69" s="124">
        <f>SUM(AJ53:AJ68)</f>
        <v/>
      </c>
      <c r="AK69" s="124">
        <f>SUM(AK53:AK68)</f>
        <v/>
      </c>
      <c r="AL69" s="124">
        <f>SUM(AL53:AL68)</f>
        <v/>
      </c>
      <c r="AM69" s="124">
        <f>SUM(AM53:AM68)</f>
        <v/>
      </c>
      <c r="AN69" s="123">
        <f>SUM(AN53:AN68)</f>
        <v/>
      </c>
      <c r="AO69" s="125">
        <f>SUM(AC69:AH69)+SUM(AI69:AN69)</f>
        <v/>
      </c>
      <c r="AP69" s="126">
        <f>IF(AB69&lt;&gt;0,(AO69-AB69)/ABS(AB69),0)</f>
        <v/>
      </c>
    </row>
    <row r="70">
      <c r="A70" s="54" t="inlineStr">
        <is>
          <t>EBITDA</t>
        </is>
      </c>
      <c r="B70" s="55" t="n">
        <v>20643.53000000001</v>
      </c>
      <c r="C70" s="55" t="n">
        <v>16330.06</v>
      </c>
      <c r="D70" s="55" t="n">
        <v>30776.16</v>
      </c>
      <c r="E70" s="55" t="n">
        <v>26294.3</v>
      </c>
      <c r="F70" s="55" t="n">
        <v>18510.18</v>
      </c>
      <c r="G70" s="55" t="n">
        <v>18814.45</v>
      </c>
      <c r="H70" s="55" t="n">
        <v>44055.37</v>
      </c>
      <c r="I70" s="55" t="n">
        <v>18263.08</v>
      </c>
      <c r="J70" s="55" t="n">
        <v>6837.109999999995</v>
      </c>
      <c r="K70" s="55" t="n">
        <v>3148.439999999997</v>
      </c>
      <c r="L70" s="55" t="n">
        <v>14708.07</v>
      </c>
      <c r="M70" s="55" t="n">
        <v>26138.48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6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0">
        <f>AI50-AI69</f>
        <v/>
      </c>
      <c r="AJ70" s="140">
        <f>AJ50-AJ69</f>
        <v/>
      </c>
      <c r="AK70" s="140">
        <f>AK50-AK69</f>
        <v/>
      </c>
      <c r="AL70" s="140">
        <f>AL50-AL69</f>
        <v/>
      </c>
      <c r="AM70" s="140">
        <f>AM50-AM69</f>
        <v/>
      </c>
      <c r="AN70" s="140">
        <f>AN50-AN69</f>
        <v/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4">
        <f>SUM(AC72:AH72)+SUM(AI72:AN72)</f>
        <v/>
      </c>
      <c r="AP72" s="142">
        <f>IF(AB72&lt;&gt;0,(AO72-AB72)/ABS(AB72),0)</f>
        <v/>
      </c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118" t="n">
        <v>0</v>
      </c>
      <c r="AJ73" s="118" t="n">
        <v>0</v>
      </c>
      <c r="AK73" s="118" t="n">
        <v>0</v>
      </c>
      <c r="AL73" s="118" t="n">
        <v>0</v>
      </c>
      <c r="AM73" s="118" t="n">
        <v>0</v>
      </c>
      <c r="AN73" s="118" t="n">
        <v>0</v>
      </c>
      <c r="AO73" s="144">
        <f>SUM(AC73:AH73)+SUM(AI73:AN73)</f>
        <v/>
      </c>
      <c r="AP73" s="142">
        <f>IF(AB73&lt;&gt;0,(AO73-AB73)/ABS(AB73),0)</f>
        <v/>
      </c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118" t="n">
        <v>0</v>
      </c>
      <c r="AJ74" s="118" t="n">
        <v>0</v>
      </c>
      <c r="AK74" s="118" t="n">
        <v>0</v>
      </c>
      <c r="AL74" s="118" t="n">
        <v>0</v>
      </c>
      <c r="AM74" s="118" t="n">
        <v>0</v>
      </c>
      <c r="AN74" s="118" t="n">
        <v>0</v>
      </c>
      <c r="AO74" s="144">
        <f>SUM(AC74:AH74)+SUM(AI74:AN74)</f>
        <v/>
      </c>
      <c r="AP74" s="142">
        <f>IF(AB74&lt;&gt;0,(AO74-AB74)/ABS(AB74),0)</f>
        <v/>
      </c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118" t="n">
        <v>0</v>
      </c>
      <c r="AJ75" s="118" t="n">
        <v>0</v>
      </c>
      <c r="AK75" s="118" t="n">
        <v>0</v>
      </c>
      <c r="AL75" s="118" t="n">
        <v>0</v>
      </c>
      <c r="AM75" s="118" t="n">
        <v>0</v>
      </c>
      <c r="AN75" s="118" t="n">
        <v>0</v>
      </c>
      <c r="AO75" s="144">
        <f>SUM(AC75:AH75)+SUM(AI75:AN75)</f>
        <v/>
      </c>
      <c r="AP75" s="142">
        <f>IF(AB75&lt;&gt;0,(AO75-AB75)/ABS(AB75),0)</f>
        <v/>
      </c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118" t="n">
        <v>0</v>
      </c>
      <c r="AJ76" s="118" t="n">
        <v>0</v>
      </c>
      <c r="AK76" s="118" t="n">
        <v>0</v>
      </c>
      <c r="AL76" s="118" t="n">
        <v>0</v>
      </c>
      <c r="AM76" s="118" t="n">
        <v>0</v>
      </c>
      <c r="AN76" s="118" t="n">
        <v>0</v>
      </c>
      <c r="AO76" s="144">
        <f>SUM(AC76:AH76)+SUM(AI76:AN76)</f>
        <v/>
      </c>
      <c r="AP76" s="142">
        <f>IF(AB76&lt;&gt;0,(AO76-AB76)/ABS(AB76),0)</f>
        <v/>
      </c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118" t="n">
        <v>0</v>
      </c>
      <c r="AJ77" s="118" t="n">
        <v>0</v>
      </c>
      <c r="AK77" s="118" t="n">
        <v>0</v>
      </c>
      <c r="AL77" s="118" t="n">
        <v>0</v>
      </c>
      <c r="AM77" s="118" t="n">
        <v>0</v>
      </c>
      <c r="AN77" s="118" t="n">
        <v>0</v>
      </c>
      <c r="AO77" s="144">
        <f>SUM(AC77:AH77)+SUM(AI77:AN77)</f>
        <v/>
      </c>
      <c r="AP77" s="142">
        <f>IF(AB77&lt;&gt;0,(AO77-AB77)/ABS(AB77),0)</f>
        <v/>
      </c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20643.53000000001</v>
      </c>
      <c r="C79" s="57" t="n">
        <v>16330.06</v>
      </c>
      <c r="D79" s="57" t="n">
        <v>30776.16</v>
      </c>
      <c r="E79" s="57" t="n">
        <v>26294.3</v>
      </c>
      <c r="F79" s="57" t="n">
        <v>18510.18</v>
      </c>
      <c r="G79" s="57" t="n">
        <v>18814.45</v>
      </c>
      <c r="H79" s="57" t="n">
        <v>44055.37</v>
      </c>
      <c r="I79" s="57" t="n">
        <v>18263.08</v>
      </c>
      <c r="J79" s="57" t="n">
        <v>6837.109999999995</v>
      </c>
      <c r="K79" s="57" t="n">
        <v>3148.439999999997</v>
      </c>
      <c r="L79" s="57" t="n">
        <v>14708.07</v>
      </c>
      <c r="M79" s="57" t="n">
        <v>26138.48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6" t="n"/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127" t="n">
        <v>0</v>
      </c>
      <c r="AJ79" s="127" t="n">
        <v>0</v>
      </c>
      <c r="AK79" s="127" t="n">
        <v>0</v>
      </c>
      <c r="AL79" s="127" t="n">
        <v>0</v>
      </c>
      <c r="AM79" s="127" t="n">
        <v>0</v>
      </c>
      <c r="AN79" s="127" t="n">
        <v>0</v>
      </c>
      <c r="AO79" s="144">
        <f>SUM(AC79:AH79)+SUM(AI79:AN79)</f>
        <v/>
      </c>
      <c r="AP79" s="142">
        <f>IF(AB79&lt;&gt;0,(AO79-AB79)/ABS(AB79),0)</f>
        <v/>
      </c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61001.71</v>
      </c>
      <c r="C87" s="60" t="n">
        <v>53179.24</v>
      </c>
      <c r="D87" s="60" t="n">
        <v>69734.13</v>
      </c>
      <c r="E87" s="60" t="n">
        <v>69448.69</v>
      </c>
      <c r="F87" s="60" t="n">
        <v>61403.1</v>
      </c>
      <c r="G87" s="60" t="n">
        <v>59059.3</v>
      </c>
      <c r="H87" s="60" t="n">
        <v>91190.87</v>
      </c>
      <c r="I87" s="60" t="n">
        <v>60048.26</v>
      </c>
      <c r="J87" s="60" t="n">
        <v>53056</v>
      </c>
      <c r="K87" s="60" t="n">
        <v>52879.86</v>
      </c>
      <c r="L87" s="60" t="n">
        <v>62722.91</v>
      </c>
      <c r="M87" s="8" t="n"/>
      <c r="N87" s="8" t="n"/>
      <c r="O87" s="60">
        <f>-SUMIF('XHDN TB'!$T:$T,'HDN P&amp;L'!$A87,'XHDN TB'!C:C)</f>
        <v/>
      </c>
      <c r="P87" s="60">
        <f>-SUMIF('XHDN TB'!$T:$T,'HDN P&amp;L'!$A87,'XHDN TB'!D:D)</f>
        <v/>
      </c>
      <c r="Q87" s="60">
        <f>-SUMIF('XHDN TB'!$T:$T,'HDN P&amp;L'!$A87,'XHDN TB'!E:E)</f>
        <v/>
      </c>
      <c r="R87" s="60">
        <f>-SUMIF('XHDN TB'!$T:$T,'HDN P&amp;L'!$A87,'XHDN TB'!F:F)</f>
        <v/>
      </c>
      <c r="S87" s="60">
        <f>-SUMIF('XHDN TB'!$T:$T,'HDN P&amp;L'!$A87,'XHDN TB'!G:G)</f>
        <v/>
      </c>
      <c r="T87" s="60">
        <f>-SUMIF('XHDN TB'!$T:$T,'HDN P&amp;L'!$A87,'XHDN TB'!H:H)</f>
        <v/>
      </c>
      <c r="U87" s="60">
        <f>-SUMIF('XHDN TB'!$T:$T,'HDN P&amp;L'!$A87,'XHDN TB'!I:I)</f>
        <v/>
      </c>
      <c r="V87" s="60">
        <f>-SUMIF('XHDN TB'!$T:$T,'HDN P&amp;L'!$A87,'XHDN TB'!J:J)</f>
        <v/>
      </c>
      <c r="W87" s="60">
        <f>-SUMIF('XHDN TB'!$T:$T,'HDN P&amp;L'!$A87,'XHDN TB'!K:K)</f>
        <v/>
      </c>
      <c r="X87" s="60">
        <f>-SUMIF('XHDN TB'!$T:$T,'HDN P&amp;L'!$A87,'XHDN TB'!L:L)</f>
        <v/>
      </c>
      <c r="Y87" s="60">
        <f>-SUMIF('XHDN TB'!$T:$T,'HDN P&amp;L'!$A87,'XHDN TB'!M:M)</f>
        <v/>
      </c>
      <c r="Z87" s="60">
        <f>-SUMIF('XHDN TB'!$T:$T,'HDN P&amp;L'!$A87,'XHDN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134" t="n">
        <v>0</v>
      </c>
      <c r="AJ87" s="134" t="n">
        <v>0</v>
      </c>
      <c r="AK87" s="134" t="n">
        <v>0</v>
      </c>
      <c r="AL87" s="134" t="n">
        <v>0</v>
      </c>
      <c r="AM87" s="134" t="n">
        <v>0</v>
      </c>
      <c r="AN87" s="134" t="n">
        <v>0</v>
      </c>
      <c r="AO87" s="145">
        <f>SUM(AC87:AH87)+SUM(AI87:AN87)</f>
        <v/>
      </c>
      <c r="AP87" s="142">
        <f>IF(AB87&lt;&gt;0,(AO87-AB87)/ABS(AB87),0)</f>
        <v/>
      </c>
    </row>
    <row r="88">
      <c r="A88" s="34" t="inlineStr">
        <is>
          <t>Direct - Staff Cost</t>
        </is>
      </c>
      <c r="B88" s="18" t="n">
        <v>-30380.50999999999</v>
      </c>
      <c r="C88" s="18" t="n">
        <v>-30495.64</v>
      </c>
      <c r="D88" s="18" t="n">
        <v>-31357.96</v>
      </c>
      <c r="E88" s="18" t="n">
        <v>-36022.19</v>
      </c>
      <c r="F88" s="18" t="n">
        <v>-34088.36</v>
      </c>
      <c r="G88" s="18" t="n">
        <v>-33987.66</v>
      </c>
      <c r="H88" s="18" t="n">
        <v>-41381.32</v>
      </c>
      <c r="I88" s="18" t="n">
        <v>-37697.41</v>
      </c>
      <c r="J88" s="18" t="n">
        <v>-37624.93</v>
      </c>
      <c r="K88" s="18" t="n">
        <v>-41626.15000000001</v>
      </c>
      <c r="L88" s="18" t="n">
        <v>-40639.57</v>
      </c>
      <c r="M88" s="18" t="n"/>
      <c r="N88" s="8" t="n"/>
      <c r="O88" s="60">
        <f>-SUMIF('XHDN TB'!$T:$T,'HDN P&amp;L'!$A88,'XHDN TB'!C:C)</f>
        <v/>
      </c>
      <c r="P88" s="60">
        <f>-SUMIF('XHDN TB'!$T:$T,'HDN P&amp;L'!$A88,'XHDN TB'!D:D)</f>
        <v/>
      </c>
      <c r="Q88" s="60">
        <f>-SUMIF('XHDN TB'!$T:$T,'HDN P&amp;L'!$A88,'XHDN TB'!E:E)</f>
        <v/>
      </c>
      <c r="R88" s="60">
        <f>-SUMIF('XHDN TB'!$T:$T,'HDN P&amp;L'!$A88,'XHDN TB'!F:F)</f>
        <v/>
      </c>
      <c r="S88" s="60">
        <f>-SUMIF('XHDN TB'!$T:$T,'HDN P&amp;L'!$A88,'XHDN TB'!G:G)</f>
        <v/>
      </c>
      <c r="T88" s="60">
        <f>-SUMIF('XHDN TB'!$T:$T,'HDN P&amp;L'!$A88,'XHDN TB'!H:H)</f>
        <v/>
      </c>
      <c r="U88" s="60">
        <f>-SUMIF('XHDN TB'!$T:$T,'HDN P&amp;L'!$A88,'XHDN TB'!I:I)</f>
        <v/>
      </c>
      <c r="V88" s="60">
        <f>-SUMIF('XHDN TB'!$T:$T,'HDN P&amp;L'!$A88,'XHDN TB'!J:J)</f>
        <v/>
      </c>
      <c r="W88" s="60">
        <f>-SUMIF('XHDN TB'!$T:$T,'HDN P&amp;L'!$A88,'XHDN TB'!K:K)</f>
        <v/>
      </c>
      <c r="X88" s="60">
        <f>-SUMIF('XHDN TB'!$T:$T,'HDN P&amp;L'!$A88,'XHDN TB'!L:L)</f>
        <v/>
      </c>
      <c r="Y88" s="60">
        <f>-SUMIF('XHDN TB'!$T:$T,'HDN P&amp;L'!$A88,'XHDN TB'!M:M)</f>
        <v/>
      </c>
      <c r="Z88" s="60">
        <f>-SUMIF('XHDN TB'!$T:$T,'HDN P&amp;L'!$A88,'XHDN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134" t="n">
        <v>0</v>
      </c>
      <c r="AJ88" s="134" t="n">
        <v>0</v>
      </c>
      <c r="AK88" s="134" t="n">
        <v>0</v>
      </c>
      <c r="AL88" s="134" t="n">
        <v>0</v>
      </c>
      <c r="AM88" s="134" t="n">
        <v>0</v>
      </c>
      <c r="AN88" s="134" t="n">
        <v>0</v>
      </c>
      <c r="AO88" s="144">
        <f>SUM(AC88:AH88)+SUM(AI88:AN88)</f>
        <v/>
      </c>
      <c r="AP88" s="142">
        <f>IF(AB88&lt;&gt;0,(AO88-AB88)/ABS(AB88),0)</f>
        <v/>
      </c>
    </row>
    <row r="89">
      <c r="A89" s="60" t="inlineStr">
        <is>
          <t>Direct - Childcare Cost</t>
        </is>
      </c>
      <c r="B89" s="18" t="n">
        <v>-1469.78</v>
      </c>
      <c r="C89" s="18" t="n">
        <v>-1705.09</v>
      </c>
      <c r="D89" s="18" t="n">
        <v>-1971.58</v>
      </c>
      <c r="E89" s="18" t="n">
        <v>-1586.44</v>
      </c>
      <c r="F89" s="18" t="n">
        <v>-3075.92</v>
      </c>
      <c r="G89" s="18" t="n">
        <v>-1604.7</v>
      </c>
      <c r="H89" s="18" t="n">
        <v>-2199.56</v>
      </c>
      <c r="I89" s="18" t="n">
        <v>-1885.68</v>
      </c>
      <c r="J89" s="18" t="n">
        <v>-1315.26</v>
      </c>
      <c r="K89" s="18" t="n">
        <v>-2513.63</v>
      </c>
      <c r="L89" s="18" t="n">
        <v>-1507.19</v>
      </c>
      <c r="M89" s="18" t="n">
        <v>-1523.65</v>
      </c>
      <c r="N89" s="8" t="n"/>
      <c r="O89" s="60">
        <f>-SUMIF('XHDN TB'!$T:$T,'HDN P&amp;L'!$A89,'XHDN TB'!C:C)</f>
        <v/>
      </c>
      <c r="P89" s="60">
        <f>-SUMIF('XHDN TB'!$T:$T,'HDN P&amp;L'!$A89,'XHDN TB'!D:D)</f>
        <v/>
      </c>
      <c r="Q89" s="60">
        <f>-SUMIF('XHDN TB'!$T:$T,'HDN P&amp;L'!$A89,'XHDN TB'!E:E)</f>
        <v/>
      </c>
      <c r="R89" s="60">
        <f>-SUMIF('XHDN TB'!$T:$T,'HDN P&amp;L'!$A89,'XHDN TB'!F:F)</f>
        <v/>
      </c>
      <c r="S89" s="60">
        <f>-SUMIF('XHDN TB'!$T:$T,'HDN P&amp;L'!$A89,'XHDN TB'!G:G)</f>
        <v/>
      </c>
      <c r="T89" s="60">
        <f>-SUMIF('XHDN TB'!$T:$T,'HDN P&amp;L'!$A89,'XHDN TB'!H:H)</f>
        <v/>
      </c>
      <c r="U89" s="60">
        <f>-SUMIF('XHDN TB'!$T:$T,'HDN P&amp;L'!$A89,'XHDN TB'!I:I)</f>
        <v/>
      </c>
      <c r="V89" s="60">
        <f>-SUMIF('XHDN TB'!$T:$T,'HDN P&amp;L'!$A89,'XHDN TB'!J:J)</f>
        <v/>
      </c>
      <c r="W89" s="60">
        <f>-SUMIF('XHDN TB'!$T:$T,'HDN P&amp;L'!$A89,'XHDN TB'!K:K)</f>
        <v/>
      </c>
      <c r="X89" s="60">
        <f>-SUMIF('XHDN TB'!$T:$T,'HDN P&amp;L'!$A89,'XHDN TB'!L:L)</f>
        <v/>
      </c>
      <c r="Y89" s="60">
        <f>-SUMIF('XHDN TB'!$T:$T,'HDN P&amp;L'!$A89,'XHDN TB'!M:M)</f>
        <v/>
      </c>
      <c r="Z89" s="60">
        <f>-SUMIF('XHDN TB'!$T:$T,'HDN P&amp;L'!$A89,'XHDN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34" t="n">
        <v>0</v>
      </c>
      <c r="AJ89" s="134" t="n">
        <v>0</v>
      </c>
      <c r="AK89" s="134" t="n">
        <v>0</v>
      </c>
      <c r="AL89" s="134" t="n">
        <v>0</v>
      </c>
      <c r="AM89" s="134" t="n">
        <v>0</v>
      </c>
      <c r="AN89" s="134" t="n">
        <v>0</v>
      </c>
      <c r="AO89" s="144">
        <f>SUM(AC89:AH89)+SUM(AI89:AN89)</f>
        <v/>
      </c>
      <c r="AP89" s="142">
        <f>IF(AB89&lt;&gt;0,(AO89-AB89)/ABS(AB89),0)</f>
        <v/>
      </c>
    </row>
    <row r="90">
      <c r="A90" s="60" t="inlineStr">
        <is>
          <t>Direct - Premises &amp; Admin</t>
        </is>
      </c>
      <c r="B90" s="18" t="n">
        <v>-8074.519999999999</v>
      </c>
      <c r="C90" s="18" t="n">
        <v>-4285.54</v>
      </c>
      <c r="D90" s="18" t="n">
        <v>-5205.86</v>
      </c>
      <c r="E90" s="18" t="n">
        <v>-5193.719999999999</v>
      </c>
      <c r="F90" s="18" t="n">
        <v>-5508.78</v>
      </c>
      <c r="G90" s="18" t="n">
        <v>-4280.339999999999</v>
      </c>
      <c r="H90" s="18" t="n">
        <v>-3254.25</v>
      </c>
      <c r="I90" s="18" t="n">
        <v>-1856.43</v>
      </c>
      <c r="J90" s="18" t="n">
        <v>-6950.940000000001</v>
      </c>
      <c r="K90" s="18" t="n">
        <v>-4994.450000000001</v>
      </c>
      <c r="L90" s="18" t="n">
        <v>-5308.799999999999</v>
      </c>
      <c r="M90" s="18" t="n">
        <v>-4477.679999999999</v>
      </c>
      <c r="N90" s="8" t="n"/>
      <c r="O90" s="60">
        <f>-SUMIF('XHDN TB'!$T:$T,'HDN P&amp;L'!$A90,'XHDN TB'!C:C)</f>
        <v/>
      </c>
      <c r="P90" s="60">
        <f>-SUMIF('XHDN TB'!$T:$T,'HDN P&amp;L'!$A90,'XHDN TB'!D:D)</f>
        <v/>
      </c>
      <c r="Q90" s="60">
        <f>-SUMIF('XHDN TB'!$T:$T,'HDN P&amp;L'!$A90,'XHDN TB'!E:E)</f>
        <v/>
      </c>
      <c r="R90" s="60">
        <f>-SUMIF('XHDN TB'!$T:$T,'HDN P&amp;L'!$A90,'XHDN TB'!F:F)</f>
        <v/>
      </c>
      <c r="S90" s="60">
        <f>-SUMIF('XHDN TB'!$T:$T,'HDN P&amp;L'!$A90,'XHDN TB'!G:G)</f>
        <v/>
      </c>
      <c r="T90" s="60">
        <f>-SUMIF('XHDN TB'!$T:$T,'HDN P&amp;L'!$A90,'XHDN TB'!H:H)</f>
        <v/>
      </c>
      <c r="U90" s="60">
        <f>-SUMIF('XHDN TB'!$T:$T,'HDN P&amp;L'!$A90,'XHDN TB'!I:I)</f>
        <v/>
      </c>
      <c r="V90" s="60">
        <f>-SUMIF('XHDN TB'!$T:$T,'HDN P&amp;L'!$A90,'XHDN TB'!J:J)</f>
        <v/>
      </c>
      <c r="W90" s="60">
        <f>-SUMIF('XHDN TB'!$T:$T,'HDN P&amp;L'!$A90,'XHDN TB'!K:K)</f>
        <v/>
      </c>
      <c r="X90" s="60">
        <f>-SUMIF('XHDN TB'!$T:$T,'HDN P&amp;L'!$A90,'XHDN TB'!L:L)</f>
        <v/>
      </c>
      <c r="Y90" s="60">
        <f>-SUMIF('XHDN TB'!$T:$T,'HDN P&amp;L'!$A90,'XHDN TB'!M:M)</f>
        <v/>
      </c>
      <c r="Z90" s="60">
        <f>-SUMIF('XHDN TB'!$T:$T,'HDN P&amp;L'!$A90,'XHDN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134" t="n">
        <v>0</v>
      </c>
      <c r="AJ90" s="134" t="n">
        <v>0</v>
      </c>
      <c r="AK90" s="134" t="n">
        <v>0</v>
      </c>
      <c r="AL90" s="134" t="n">
        <v>0</v>
      </c>
      <c r="AM90" s="134" t="n">
        <v>0</v>
      </c>
      <c r="AN90" s="134" t="n">
        <v>0</v>
      </c>
      <c r="AO90" s="144">
        <f>SUM(AC90:AH90)+SUM(AI90:AN90)</f>
        <v/>
      </c>
      <c r="AP90" s="142">
        <f>IF(AB90&lt;&gt;0,(AO90-AB90)/ABS(AB90),0)</f>
        <v/>
      </c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-SUMIF('XHDN TB'!$T:$T,'HDN P&amp;L'!$A91,'XHDN TB'!C:C)</f>
        <v/>
      </c>
      <c r="P91" s="60">
        <f>-SUMIF('XHDN TB'!$T:$T,'HDN P&amp;L'!$A91,'XHDN TB'!D:D)</f>
        <v/>
      </c>
      <c r="Q91" s="60">
        <f>-SUMIF('XHDN TB'!$T:$T,'HDN P&amp;L'!$A91,'XHDN TB'!E:E)</f>
        <v/>
      </c>
      <c r="R91" s="60">
        <f>-SUMIF('XHDN TB'!$T:$T,'HDN P&amp;L'!$A91,'XHDN TB'!F:F)</f>
        <v/>
      </c>
      <c r="S91" s="60">
        <f>-SUMIF('XHDN TB'!$T:$T,'HDN P&amp;L'!$A91,'XHDN TB'!G:G)</f>
        <v/>
      </c>
      <c r="T91" s="60">
        <f>-SUMIF('XHDN TB'!$T:$T,'HDN P&amp;L'!$A91,'XHDN TB'!H:H)</f>
        <v/>
      </c>
      <c r="U91" s="60">
        <f>-SUMIF('XHDN TB'!$T:$T,'HDN P&amp;L'!$A91,'XHDN TB'!I:I)</f>
        <v/>
      </c>
      <c r="V91" s="60">
        <f>-SUMIF('XHDN TB'!$T:$T,'HDN P&amp;L'!$A91,'XHDN TB'!J:J)</f>
        <v/>
      </c>
      <c r="W91" s="60">
        <f>-SUMIF('XHDN TB'!$T:$T,'HDN P&amp;L'!$A91,'XHDN TB'!K:K)</f>
        <v/>
      </c>
      <c r="X91" s="60">
        <f>-SUMIF('XHDN TB'!$T:$T,'HDN P&amp;L'!$A91,'XHDN TB'!L:L)</f>
        <v/>
      </c>
      <c r="Y91" s="60">
        <f>-SUMIF('XHDN TB'!$T:$T,'HDN P&amp;L'!$A91,'XHDN TB'!M:M)</f>
        <v/>
      </c>
      <c r="Z91" s="60">
        <f>-SUMIF('XHDN TB'!$T:$T,'HDN P&amp;L'!$A91,'XHDN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134" t="n">
        <v>0</v>
      </c>
      <c r="AJ91" s="134" t="n">
        <v>0</v>
      </c>
      <c r="AK91" s="134" t="n">
        <v>0</v>
      </c>
      <c r="AL91" s="134" t="n">
        <v>0</v>
      </c>
      <c r="AM91" s="134" t="n">
        <v>0</v>
      </c>
      <c r="AN91" s="134" t="n">
        <v>0</v>
      </c>
      <c r="AO91" s="144">
        <f>SUM(AC91:AH91)+SUM(AI91:AN91)</f>
        <v/>
      </c>
      <c r="AP91" s="142">
        <f>IF(AB91&lt;&gt;0,(AO91-AB91)/ABS(AB91),0)</f>
        <v/>
      </c>
    </row>
    <row r="92">
      <c r="A92" s="60" t="inlineStr">
        <is>
          <t>In-Direct - Overheads</t>
        </is>
      </c>
      <c r="B92" s="18" t="n">
        <v>-433.37</v>
      </c>
      <c r="C92" s="18" t="n">
        <v>-362.91</v>
      </c>
      <c r="D92" s="18" t="n">
        <v>-422.57</v>
      </c>
      <c r="E92" s="18" t="n">
        <v>-352.04</v>
      </c>
      <c r="F92" s="18" t="n">
        <v>-219.86</v>
      </c>
      <c r="G92" s="18" t="n">
        <v>-372.15</v>
      </c>
      <c r="H92" s="18" t="n">
        <v>-300.37</v>
      </c>
      <c r="I92" s="18" t="n">
        <v>-345.66</v>
      </c>
      <c r="J92" s="18" t="n">
        <v>-327.76</v>
      </c>
      <c r="K92" s="18" t="n">
        <v>-597.1900000000001</v>
      </c>
      <c r="L92" s="18" t="n">
        <v>-559.28</v>
      </c>
      <c r="M92" s="18" t="n">
        <v>-536.1200000000001</v>
      </c>
      <c r="N92" s="8" t="n"/>
      <c r="O92" s="60">
        <f>-SUMIF('XHDN TB'!$T:$T,'HDN P&amp;L'!$A92,'XHDN TB'!C:C)</f>
        <v/>
      </c>
      <c r="P92" s="60">
        <f>-SUMIF('XHDN TB'!$T:$T,'HDN P&amp;L'!$A92,'XHDN TB'!D:D)</f>
        <v/>
      </c>
      <c r="Q92" s="60">
        <f>-SUMIF('XHDN TB'!$T:$T,'HDN P&amp;L'!$A92,'XHDN TB'!E:E)</f>
        <v/>
      </c>
      <c r="R92" s="60">
        <f>-SUMIF('XHDN TB'!$T:$T,'HDN P&amp;L'!$A92,'XHDN TB'!F:F)</f>
        <v/>
      </c>
      <c r="S92" s="60">
        <f>-SUMIF('XHDN TB'!$T:$T,'HDN P&amp;L'!$A92,'XHDN TB'!G:G)</f>
        <v/>
      </c>
      <c r="T92" s="60">
        <f>-SUMIF('XHDN TB'!$T:$T,'HDN P&amp;L'!$A92,'XHDN TB'!H:H)</f>
        <v/>
      </c>
      <c r="U92" s="60">
        <f>-SUMIF('XHDN TB'!$T:$T,'HDN P&amp;L'!$A92,'XHDN TB'!I:I)</f>
        <v/>
      </c>
      <c r="V92" s="60">
        <f>-SUMIF('XHDN TB'!$T:$T,'HDN P&amp;L'!$A92,'XHDN TB'!J:J)</f>
        <v/>
      </c>
      <c r="W92" s="60">
        <f>-SUMIF('XHDN TB'!$T:$T,'HDN P&amp;L'!$A92,'XHDN TB'!K:K)</f>
        <v/>
      </c>
      <c r="X92" s="60">
        <f>-SUMIF('XHDN TB'!$T:$T,'HDN P&amp;L'!$A92,'XHDN TB'!L:L)</f>
        <v/>
      </c>
      <c r="Y92" s="60">
        <f>-SUMIF('XHDN TB'!$T:$T,'HDN P&amp;L'!$A92,'XHDN TB'!M:M)</f>
        <v/>
      </c>
      <c r="Z92" s="60">
        <f>-SUMIF('XHDN TB'!$T:$T,'HDN P&amp;L'!$A92,'XHDN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134" t="n">
        <v>0</v>
      </c>
      <c r="AJ92" s="134" t="n">
        <v>0</v>
      </c>
      <c r="AK92" s="134" t="n">
        <v>0</v>
      </c>
      <c r="AL92" s="134" t="n">
        <v>0</v>
      </c>
      <c r="AM92" s="134" t="n">
        <v>0</v>
      </c>
      <c r="AN92" s="134" t="n">
        <v>0</v>
      </c>
      <c r="AO92" s="144">
        <f>SUM(AC92:AH92)+SUM(AI92:AN92)</f>
        <v/>
      </c>
      <c r="AP92" s="142">
        <f>IF(AB92&lt;&gt;0,(AO92-AB92)/ABS(AB92),0)</f>
        <v/>
      </c>
    </row>
    <row r="93" ht="15.75" customHeight="1">
      <c r="A93" s="8" t="n"/>
      <c r="B93" s="67" t="n">
        <v>20643.53000000001</v>
      </c>
      <c r="C93" s="67" t="n">
        <v>16330.06</v>
      </c>
      <c r="D93" s="67" t="n">
        <v>30776.16</v>
      </c>
      <c r="E93" s="67" t="n">
        <v>26294.3</v>
      </c>
      <c r="F93" s="67" t="n">
        <v>18510.18</v>
      </c>
      <c r="G93" s="67" t="n">
        <v>18814.45</v>
      </c>
      <c r="H93" s="67" t="n">
        <v>44055.37</v>
      </c>
      <c r="I93" s="67" t="n">
        <v>18263.08</v>
      </c>
      <c r="J93" s="67" t="n">
        <v>6837.109999999999</v>
      </c>
      <c r="K93" s="67" t="n">
        <v>3148.43999999999</v>
      </c>
      <c r="L93" s="67" t="n">
        <v>14708.07</v>
      </c>
      <c r="M93" s="67" t="n">
        <v>-6537.449999999999</v>
      </c>
      <c r="N93" s="8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8" t="n"/>
      <c r="AB93" s="8" t="n"/>
      <c r="AC93" s="64" t="n"/>
      <c r="AD93" s="64" t="n"/>
      <c r="AE93" s="64" t="n"/>
      <c r="AF93" s="64" t="n"/>
      <c r="AG93" s="64" t="n"/>
      <c r="AH93" s="64" t="n"/>
      <c r="AI93" s="134" t="n">
        <v>0</v>
      </c>
      <c r="AJ93" s="134" t="n">
        <v>0</v>
      </c>
      <c r="AK93" s="134" t="n">
        <v>0</v>
      </c>
      <c r="AL93" s="134" t="n">
        <v>0</v>
      </c>
      <c r="AM93" s="134" t="n">
        <v>0</v>
      </c>
      <c r="AN93" s="134" t="n">
        <v>0</v>
      </c>
      <c r="AO93" s="144">
        <f>SUM(AC93:AH93)+SUM(AI93:AN93)</f>
        <v/>
      </c>
      <c r="AP93" s="142">
        <f>IF(AB93&lt;&gt;0,(AO93-AB93)/ABS(AB93),0)</f>
        <v/>
      </c>
    </row>
    <row r="94" ht="15.75" customHeight="1">
      <c r="A94" s="8" t="n"/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0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7.275957614183426e-12</v>
      </c>
      <c r="L94" s="18" t="n">
        <v>0</v>
      </c>
      <c r="M94" s="18" t="n">
        <v>32675.93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134" t="n">
        <v>0</v>
      </c>
      <c r="AJ94" s="134" t="n">
        <v>0</v>
      </c>
      <c r="AK94" s="134" t="n">
        <v>0</v>
      </c>
      <c r="AL94" s="134" t="n">
        <v>0</v>
      </c>
      <c r="AM94" s="134" t="n">
        <v>0</v>
      </c>
      <c r="AN94" s="134" t="n">
        <v>0</v>
      </c>
      <c r="AO94" s="144">
        <f>SUM(AC94:AH94)+SUM(AI94:AN94)</f>
        <v/>
      </c>
      <c r="AP94" s="142">
        <f>IF(AB94&lt;&gt;0,(AO94-AB94)/ABS(AB94),0)</f>
        <v/>
      </c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0</v>
      </c>
      <c r="C96" s="18" t="n">
        <v>0</v>
      </c>
      <c r="D96" s="18" t="n">
        <v>-2.91038304567337e-11</v>
      </c>
      <c r="E96" s="18" t="n">
        <v>0</v>
      </c>
      <c r="F96" s="18" t="n">
        <v>0</v>
      </c>
      <c r="G96" s="18" t="n">
        <v>0</v>
      </c>
      <c r="H96" s="18" t="n">
        <v>0</v>
      </c>
      <c r="I96" s="18" t="n">
        <v>0</v>
      </c>
      <c r="J96" s="18" t="n">
        <v>0</v>
      </c>
      <c r="K96" s="18" t="n">
        <v>-5.456968210637569e-12</v>
      </c>
      <c r="L96" s="18" t="n">
        <v>0</v>
      </c>
      <c r="M96" s="18" t="n">
        <v>-32675.93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134" t="n">
        <v>0</v>
      </c>
      <c r="AJ96" s="134" t="n">
        <v>0</v>
      </c>
      <c r="AK96" s="134" t="n">
        <v>0</v>
      </c>
      <c r="AL96" s="134" t="n">
        <v>0</v>
      </c>
      <c r="AM96" s="134" t="n">
        <v>0</v>
      </c>
      <c r="AN96" s="134" t="n">
        <v>0</v>
      </c>
      <c r="AO96" s="144">
        <f>SUM(AC96:AH96)+SUM(AI96:AN96)</f>
        <v/>
      </c>
      <c r="AP96" s="142">
        <f>IF(AB96&lt;&gt;0,(AO96-AB96)/ABS(AB96),0)</f>
        <v/>
      </c>
    </row>
    <row r="97">
      <c r="A97" s="8" t="n"/>
      <c r="B97" s="18" t="n">
        <v>-20643.53</v>
      </c>
      <c r="C97" s="18" t="n">
        <v>-16330.06000000001</v>
      </c>
      <c r="D97" s="18" t="n">
        <v>-30776.16000000003</v>
      </c>
      <c r="E97" s="18" t="n">
        <v>-26294.29999999999</v>
      </c>
      <c r="F97" s="18" t="n">
        <v>-18510.17999999999</v>
      </c>
      <c r="G97" s="18" t="n">
        <v>-18814.45</v>
      </c>
      <c r="H97" s="18" t="n">
        <v>-44055.37</v>
      </c>
      <c r="I97" s="18" t="n">
        <v>-18263.07999999999</v>
      </c>
      <c r="J97" s="18" t="n">
        <v>-6837.109999999999</v>
      </c>
      <c r="K97" s="18" t="n">
        <v>-3148.439999999996</v>
      </c>
      <c r="L97" s="18" t="n">
        <v>-14708.06999999999</v>
      </c>
      <c r="M97" s="18" t="n">
        <v>-26138.48</v>
      </c>
      <c r="N97" s="8" t="n"/>
      <c r="O97" s="60">
        <f>SUM('XHDN TB'!C2:C43)</f>
        <v/>
      </c>
      <c r="P97" s="60">
        <f>SUM('XHDN TB'!D2:D43)</f>
        <v/>
      </c>
      <c r="Q97" s="60">
        <f>SUM('XHDN TB'!E2:E43)</f>
        <v/>
      </c>
      <c r="R97" s="60">
        <f>SUM('XHDN TB'!F2:F43)</f>
        <v/>
      </c>
      <c r="S97" s="60">
        <f>SUM('XHDN TB'!G2:G43)</f>
        <v/>
      </c>
      <c r="T97" s="60">
        <f>SUM('XHDN TB'!H2:H43)</f>
        <v/>
      </c>
      <c r="U97" s="60">
        <f>SUM('XHDN TB'!I2:I43)</f>
        <v/>
      </c>
      <c r="V97" s="60">
        <f>SUM('XHDN TB'!J2:J43)</f>
        <v/>
      </c>
      <c r="W97" s="60">
        <f>SUM('XHDN TB'!K2:K43)</f>
        <v/>
      </c>
      <c r="X97" s="60">
        <f>SUM('XHDN TB'!L2:L43)</f>
        <v/>
      </c>
      <c r="Y97" s="60">
        <f>SUM('XHDN TB'!M2:M43)</f>
        <v/>
      </c>
      <c r="Z97" s="60">
        <f>SUM('XHDN TB'!N2:N43)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134" t="n">
        <v>0</v>
      </c>
      <c r="AJ97" s="134" t="n">
        <v>0</v>
      </c>
      <c r="AK97" s="134" t="n">
        <v>0</v>
      </c>
      <c r="AL97" s="134" t="n">
        <v>0</v>
      </c>
      <c r="AM97" s="134" t="n">
        <v>0</v>
      </c>
      <c r="AN97" s="134" t="n">
        <v>0</v>
      </c>
      <c r="AO97" s="144">
        <f>SUM(AC97:AH97)+SUM(AI97:AN97)</f>
        <v/>
      </c>
      <c r="AP97" s="142">
        <f>IF(AB97&lt;&gt;0,(AO97-AB97)/ABS(AB97),0)</f>
        <v/>
      </c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Kingsclere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22870.34</v>
      </c>
      <c r="C8" s="35" t="n">
        <v>20355.4</v>
      </c>
      <c r="D8" s="35" t="n">
        <v>23704.42</v>
      </c>
      <c r="E8" s="35" t="n">
        <v>26731.27</v>
      </c>
      <c r="F8" s="35" t="n">
        <v>24249.3</v>
      </c>
      <c r="G8" s="35" t="n">
        <v>26195.06</v>
      </c>
      <c r="H8" s="35" t="n">
        <v>34918.49</v>
      </c>
      <c r="I8" s="35" t="n">
        <v>29544.89</v>
      </c>
      <c r="J8" s="35" t="n">
        <v>19810.11</v>
      </c>
      <c r="K8" s="35" t="n">
        <v>19723.77</v>
      </c>
      <c r="L8" s="35" t="n">
        <v>17281.63</v>
      </c>
      <c r="M8" s="35" t="n">
        <v>23883.61</v>
      </c>
      <c r="N8" s="36">
        <f>SUM(B8:M8)</f>
        <v/>
      </c>
      <c r="O8" s="37">
        <f>-SUMIF('KIN TB'!$R:$R,'KIN P&amp;L'!$A8,'KIN TB'!C:C)</f>
        <v/>
      </c>
      <c r="P8" s="37">
        <f>-SUMIF('KIN TB'!$R:$R,'KIN P&amp;L'!$A8,'KIN TB'!D:D)</f>
        <v/>
      </c>
      <c r="Q8" s="37">
        <f>-SUMIF('KIN TB'!$R:$R,'KIN P&amp;L'!$A8,'KIN TB'!E:E)</f>
        <v/>
      </c>
      <c r="R8" s="37">
        <f>-SUMIF('KIN TB'!$R:$R,'KIN P&amp;L'!$A8,'KIN TB'!F:F)</f>
        <v/>
      </c>
      <c r="S8" s="37">
        <f>-SUMIF('KIN TB'!$R:$R,'KIN P&amp;L'!$A8,'KIN TB'!G:G)</f>
        <v/>
      </c>
      <c r="T8" s="37">
        <f>-SUMIF('KIN TB'!$R:$R,'KIN P&amp;L'!$A8,'KIN TB'!H:H)</f>
        <v/>
      </c>
      <c r="U8" s="37">
        <f>-SUMIF('KIN TB'!$R:$R,'KIN P&amp;L'!$A8,'KIN TB'!I:I)</f>
        <v/>
      </c>
      <c r="V8" s="38" t="n">
        <v>30985</v>
      </c>
      <c r="W8" s="38" t="n">
        <v>25687</v>
      </c>
      <c r="X8" s="38" t="n">
        <v>23914</v>
      </c>
      <c r="Y8" s="38" t="n">
        <v>24573</v>
      </c>
      <c r="Z8" s="38" t="n">
        <v>32094</v>
      </c>
      <c r="AA8" s="36">
        <f>SUM(O8:U8)</f>
        <v/>
      </c>
      <c r="AB8" s="36">
        <f>SUM(O8:Z8)</f>
        <v/>
      </c>
      <c r="AC8" s="38" t="n">
        <v>39926.56</v>
      </c>
      <c r="AD8" s="38" t="n">
        <v>37674.64</v>
      </c>
      <c r="AE8" s="38" t="n">
        <v>44411.48</v>
      </c>
      <c r="AF8" s="38" t="n">
        <v>42605.35</v>
      </c>
      <c r="AG8" s="38" t="n">
        <v>42601.69</v>
      </c>
      <c r="AH8" s="38" t="n">
        <v>43952.64</v>
      </c>
      <c r="AI8" s="118" t="n">
        <v>43952.64</v>
      </c>
      <c r="AJ8" s="119" t="n">
        <v>43952.64</v>
      </c>
      <c r="AK8" s="119" t="n">
        <v>43952.64</v>
      </c>
      <c r="AL8" s="119" t="n">
        <v>43952.64</v>
      </c>
      <c r="AM8" s="120" t="n">
        <v>43952.64</v>
      </c>
      <c r="AN8" s="118" t="n">
        <v>43952.64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6489.72</v>
      </c>
      <c r="C9" s="35" t="n">
        <v>6489.72</v>
      </c>
      <c r="D9" s="35" t="n">
        <v>6776.320000000001</v>
      </c>
      <c r="E9" s="35" t="n">
        <v>7503.04</v>
      </c>
      <c r="F9" s="35" t="n">
        <v>7503.04</v>
      </c>
      <c r="G9" s="35" t="n">
        <v>7503.04</v>
      </c>
      <c r="H9" s="35" t="n">
        <v>15996.92</v>
      </c>
      <c r="I9" s="35" t="n">
        <v>0</v>
      </c>
      <c r="J9" s="35" t="n">
        <v>6466.01</v>
      </c>
      <c r="K9" s="35" t="n">
        <v>6466.01</v>
      </c>
      <c r="L9" s="35" t="n">
        <v>17054.35</v>
      </c>
      <c r="M9" s="35" t="n">
        <v>17215.99</v>
      </c>
      <c r="N9" s="36">
        <f>SUM(B9:M9)</f>
        <v/>
      </c>
      <c r="O9" s="37">
        <f>-SUMIF('KIN TB'!$R:$R,'KIN P&amp;L'!$A9,'KIN TB'!C:C)</f>
        <v/>
      </c>
      <c r="P9" s="37">
        <f>-SUMIF('KIN TB'!$R:$R,'KIN P&amp;L'!$A9,'KIN TB'!D:D)</f>
        <v/>
      </c>
      <c r="Q9" s="37">
        <f>-SUMIF('KIN TB'!$R:$R,'KIN P&amp;L'!$A9,'KIN TB'!E:E)</f>
        <v/>
      </c>
      <c r="R9" s="37">
        <f>-SUMIF('KIN TB'!$R:$R,'KIN P&amp;L'!$A9,'KIN TB'!F:F)</f>
        <v/>
      </c>
      <c r="S9" s="37">
        <f>-SUMIF('KIN TB'!$R:$R,'KIN P&amp;L'!$A9,'KIN TB'!G:G)</f>
        <v/>
      </c>
      <c r="T9" s="37">
        <f>-SUMIF('KIN TB'!$R:$R,'KIN P&amp;L'!$A9,'KIN TB'!H:H)</f>
        <v/>
      </c>
      <c r="U9" s="37">
        <f>-SUMIF('KIN TB'!$R:$R,'KIN P&amp;L'!$A9,'KIN TB'!I:I)</f>
        <v/>
      </c>
      <c r="V9" s="38" t="n"/>
      <c r="W9" s="38" t="n">
        <v>12715</v>
      </c>
      <c r="X9" s="38" t="n">
        <v>15723</v>
      </c>
      <c r="Y9" s="38" t="n">
        <v>15334</v>
      </c>
      <c r="Z9" s="38" t="n">
        <v>6695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8" t="n">
        <v>0</v>
      </c>
      <c r="AJ9" s="119" t="n">
        <v>0</v>
      </c>
      <c r="AK9" s="119" t="n">
        <v>0</v>
      </c>
      <c r="AL9" s="119" t="n">
        <v>0</v>
      </c>
      <c r="AM9" s="120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1724.64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-SUMIF('KIN TB'!$R:$R,'KIN P&amp;L'!$A10,'KIN TB'!C:C)</f>
        <v/>
      </c>
      <c r="P10" s="37">
        <f>-SUMIF('KIN TB'!$R:$R,'KIN P&amp;L'!$A10,'KIN TB'!D:D)</f>
        <v/>
      </c>
      <c r="Q10" s="37">
        <f>-SUMIF('KIN TB'!$R:$R,'KIN P&amp;L'!$A10,'KIN TB'!E:E)</f>
        <v/>
      </c>
      <c r="R10" s="37">
        <f>-SUMIF('KIN TB'!$R:$R,'KIN P&amp;L'!$A10,'KIN TB'!F:F)</f>
        <v/>
      </c>
      <c r="S10" s="37">
        <f>-SUMIF('KIN TB'!$R:$R,'KIN P&amp;L'!$A10,'KIN TB'!G:G)</f>
        <v/>
      </c>
      <c r="T10" s="37">
        <f>-SUMIF('KIN TB'!$R:$R,'KIN P&amp;L'!$A10,'KIN TB'!H:H)</f>
        <v/>
      </c>
      <c r="U10" s="37">
        <f>-SUMIF('KIN TB'!$R:$R,'KIN P&amp;L'!$A10,'KIN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8" t="n">
        <v>0</v>
      </c>
      <c r="AJ10" s="119" t="n">
        <v>0</v>
      </c>
      <c r="AK10" s="119" t="n">
        <v>0</v>
      </c>
      <c r="AL10" s="119" t="n">
        <v>0</v>
      </c>
      <c r="AM10" s="120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29360.06</v>
      </c>
      <c r="C11" s="42" t="n">
        <v>26845.12</v>
      </c>
      <c r="D11" s="42" t="n">
        <v>30480.74</v>
      </c>
      <c r="E11" s="42" t="n">
        <v>34234.31</v>
      </c>
      <c r="F11" s="42" t="n">
        <v>31752.34</v>
      </c>
      <c r="G11" s="42" t="n">
        <v>33698.1</v>
      </c>
      <c r="H11" s="42" t="n">
        <v>50915.41</v>
      </c>
      <c r="I11" s="42" t="n">
        <v>31269.53</v>
      </c>
      <c r="J11" s="42" t="n">
        <v>26276.12</v>
      </c>
      <c r="K11" s="42" t="n">
        <v>26189.78</v>
      </c>
      <c r="L11" s="42" t="n">
        <v>34335.98</v>
      </c>
      <c r="M11" s="42" t="n">
        <v>41099.6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3">
        <f>SUM(AI8:AI10)</f>
        <v/>
      </c>
      <c r="AJ11" s="124">
        <f>SUM(AJ8:AJ10)</f>
        <v/>
      </c>
      <c r="AK11" s="124">
        <f>SUM(AK8:AK10)</f>
        <v/>
      </c>
      <c r="AL11" s="124">
        <f>SUM(AL8:AL10)</f>
        <v/>
      </c>
      <c r="AM11" s="124">
        <f>SUM(AM8:AM10)</f>
        <v/>
      </c>
      <c r="AN11" s="123">
        <f>SUM(AN8:AN10)</f>
        <v/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7" t="n">
        <v>0</v>
      </c>
      <c r="AJ12" s="128" t="n">
        <v>0</v>
      </c>
      <c r="AK12" s="128" t="n">
        <v>0</v>
      </c>
      <c r="AL12" s="128" t="n">
        <v>0</v>
      </c>
      <c r="AM12" s="129" t="n">
        <v>0</v>
      </c>
      <c r="AN12" s="127" t="n">
        <v>0</v>
      </c>
      <c r="AO12" s="121">
        <f>SUM(AC12:AH12)+SUM(AI12:AN12)</f>
        <v/>
      </c>
      <c r="AP12" s="122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 t="n">
        <v>0</v>
      </c>
      <c r="AJ13" s="131" t="n">
        <v>0</v>
      </c>
      <c r="AK13" s="131" t="n">
        <v>0</v>
      </c>
      <c r="AL13" s="131" t="n">
        <v>0</v>
      </c>
      <c r="AM13" s="132" t="n">
        <v>0</v>
      </c>
      <c r="AN13" s="130" t="n">
        <v>0</v>
      </c>
      <c r="AO13" s="133">
        <f>SUM(AC13:AH13)+SUM(AI13:AN13)</f>
        <v/>
      </c>
      <c r="AP13" s="122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13592.8</v>
      </c>
      <c r="C16" s="35" t="n">
        <v>16596.28</v>
      </c>
      <c r="D16" s="35" t="n">
        <v>16290.85</v>
      </c>
      <c r="E16" s="35" t="n">
        <v>16097.89</v>
      </c>
      <c r="F16" s="35" t="n">
        <v>16253.33</v>
      </c>
      <c r="G16" s="35" t="n">
        <v>16542.65</v>
      </c>
      <c r="H16" s="35" t="n">
        <v>16564.15</v>
      </c>
      <c r="I16" s="35" t="n">
        <v>15091.52</v>
      </c>
      <c r="J16" s="35" t="n">
        <v>15920.49</v>
      </c>
      <c r="K16" s="35" t="n">
        <v>15616.67</v>
      </c>
      <c r="L16" s="35" t="n">
        <v>15962.02</v>
      </c>
      <c r="M16" s="35" t="n">
        <v>14849.14</v>
      </c>
      <c r="N16" s="36">
        <f>SUM(B16:M16)</f>
        <v/>
      </c>
      <c r="O16" s="37">
        <f>SUMIF('KIN TB'!$R:$R,'KIN P&amp;L'!$A16,'KIN TB'!C:C)</f>
        <v/>
      </c>
      <c r="P16" s="37">
        <f>SUMIF('KIN TB'!$R:$R,'KIN P&amp;L'!$A16,'KIN TB'!D:D)</f>
        <v/>
      </c>
      <c r="Q16" s="37">
        <f>SUMIF('KIN TB'!$R:$R,'KIN P&amp;L'!$A16,'KIN TB'!E:E)</f>
        <v/>
      </c>
      <c r="R16" s="37">
        <f>SUMIF('KIN TB'!$R:$R,'KIN P&amp;L'!$A16,'KIN TB'!F:F)</f>
        <v/>
      </c>
      <c r="S16" s="37">
        <f>SUMIF('KIN TB'!$R:$R,'KIN P&amp;L'!$A16,'KIN TB'!G:G)</f>
        <v/>
      </c>
      <c r="T16" s="37">
        <f>SUMIF('KIN TB'!$R:$R,'KIN P&amp;L'!$A16,'KIN TB'!H:H)</f>
        <v/>
      </c>
      <c r="U16" s="37">
        <f>SUMIF('KIN TB'!$R:$R,'KIN P&amp;L'!$A16,'KIN TB'!I:I)</f>
        <v/>
      </c>
      <c r="V16" s="38" t="n">
        <v>16231.3</v>
      </c>
      <c r="W16" s="38" t="n">
        <v>16231.3</v>
      </c>
      <c r="X16" s="38" t="n">
        <v>16231.3</v>
      </c>
      <c r="Y16" s="38" t="n">
        <v>16231.3</v>
      </c>
      <c r="Z16" s="38" t="n">
        <v>16231.3</v>
      </c>
      <c r="AA16" s="36">
        <f>SUM(O16:U16)</f>
        <v/>
      </c>
      <c r="AB16" s="36">
        <f>SUM(O16:Z16)</f>
        <v/>
      </c>
      <c r="AC16" s="38" t="n">
        <v>16231.3</v>
      </c>
      <c r="AD16" s="38" t="n">
        <v>16231.3</v>
      </c>
      <c r="AE16" s="38" t="n">
        <v>16231.3</v>
      </c>
      <c r="AF16" s="38" t="n">
        <v>16231.3</v>
      </c>
      <c r="AG16" s="38" t="n">
        <v>16231.3</v>
      </c>
      <c r="AH16" s="38" t="n">
        <v>16231.3</v>
      </c>
      <c r="AI16" s="118" t="n">
        <v>16231.3</v>
      </c>
      <c r="AJ16" s="119" t="n">
        <v>16231.3</v>
      </c>
      <c r="AK16" s="119" t="n">
        <v>16231.3</v>
      </c>
      <c r="AL16" s="119" t="n">
        <v>16231.3</v>
      </c>
      <c r="AM16" s="120" t="n">
        <v>16231.3</v>
      </c>
      <c r="AN16" s="118" t="n">
        <v>16231.3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996.45</v>
      </c>
      <c r="C17" s="35" t="n">
        <v>1024.17</v>
      </c>
      <c r="D17" s="35" t="n">
        <v>1057.44</v>
      </c>
      <c r="E17" s="35" t="n">
        <v>1332.69</v>
      </c>
      <c r="F17" s="35" t="n">
        <v>1575.02</v>
      </c>
      <c r="G17" s="35" t="n">
        <v>1629.49</v>
      </c>
      <c r="H17" s="35" t="n">
        <v>1641.72</v>
      </c>
      <c r="I17" s="35" t="n">
        <v>1473.5</v>
      </c>
      <c r="J17" s="35" t="n">
        <v>1458.61</v>
      </c>
      <c r="K17" s="35" t="n">
        <v>1759.2</v>
      </c>
      <c r="L17" s="35" t="n">
        <v>1810.4</v>
      </c>
      <c r="M17" s="35" t="n">
        <v>1642.86</v>
      </c>
      <c r="N17" s="36">
        <f>SUM(B17:M17)</f>
        <v/>
      </c>
      <c r="O17" s="37">
        <f>SUMIF('KIN TB'!$R:$R,'KIN P&amp;L'!$A17,'KIN TB'!C:C)</f>
        <v/>
      </c>
      <c r="P17" s="37">
        <f>SUMIF('KIN TB'!$R:$R,'KIN P&amp;L'!$A17,'KIN TB'!D:D)</f>
        <v/>
      </c>
      <c r="Q17" s="37">
        <f>SUMIF('KIN TB'!$R:$R,'KIN P&amp;L'!$A17,'KIN TB'!E:E)</f>
        <v/>
      </c>
      <c r="R17" s="37">
        <f>SUMIF('KIN TB'!$R:$R,'KIN P&amp;L'!$A17,'KIN TB'!F:F)</f>
        <v/>
      </c>
      <c r="S17" s="37">
        <f>SUMIF('KIN TB'!$R:$R,'KIN P&amp;L'!$A17,'KIN TB'!G:G)</f>
        <v/>
      </c>
      <c r="T17" s="37">
        <f>SUMIF('KIN TB'!$R:$R,'KIN P&amp;L'!$A17,'KIN TB'!H:H)</f>
        <v/>
      </c>
      <c r="U17" s="37">
        <f>SUMIF('KIN TB'!$R:$R,'KIN P&amp;L'!$A17,'KIN TB'!I:I)</f>
        <v/>
      </c>
      <c r="V17" s="38" t="n">
        <v>1608.31</v>
      </c>
      <c r="W17" s="38" t="n">
        <v>1608.31</v>
      </c>
      <c r="X17" s="38" t="n">
        <v>1608.31</v>
      </c>
      <c r="Y17" s="38" t="n">
        <v>1608.31</v>
      </c>
      <c r="Z17" s="38" t="n">
        <v>1608.31</v>
      </c>
      <c r="AA17" s="36">
        <f>SUM(O17:U17)</f>
        <v/>
      </c>
      <c r="AB17" s="36">
        <f>SUM(O17:Z17)</f>
        <v/>
      </c>
      <c r="AC17" s="38" t="n">
        <v>1608.31</v>
      </c>
      <c r="AD17" s="38" t="n">
        <v>1608.31</v>
      </c>
      <c r="AE17" s="38" t="n">
        <v>1608.31</v>
      </c>
      <c r="AF17" s="38" t="n">
        <v>1608.31</v>
      </c>
      <c r="AG17" s="38" t="n">
        <v>1608.31</v>
      </c>
      <c r="AH17" s="38" t="n">
        <v>1608.31</v>
      </c>
      <c r="AI17" s="118" t="n">
        <v>1608.31</v>
      </c>
      <c r="AJ17" s="119" t="n">
        <v>1608.31</v>
      </c>
      <c r="AK17" s="119" t="n">
        <v>1608.31</v>
      </c>
      <c r="AL17" s="119" t="n">
        <v>1608.31</v>
      </c>
      <c r="AM17" s="120" t="n">
        <v>1608.31</v>
      </c>
      <c r="AN17" s="118" t="n">
        <v>1608.31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245.17</v>
      </c>
      <c r="C18" s="35" t="n">
        <v>251.2</v>
      </c>
      <c r="D18" s="35" t="n">
        <v>244.04</v>
      </c>
      <c r="E18" s="35" t="n">
        <v>193.55</v>
      </c>
      <c r="F18" s="35" t="n">
        <v>236.58</v>
      </c>
      <c r="G18" s="35" t="n">
        <v>310.42</v>
      </c>
      <c r="H18" s="35" t="n">
        <v>312.87</v>
      </c>
      <c r="I18" s="35" t="n">
        <v>279.23</v>
      </c>
      <c r="J18" s="35" t="n">
        <v>273.16</v>
      </c>
      <c r="K18" s="35" t="n">
        <v>280.62</v>
      </c>
      <c r="L18" s="35" t="n">
        <v>291.55</v>
      </c>
      <c r="M18" s="35" t="n">
        <v>252.72</v>
      </c>
      <c r="N18" s="36">
        <f>SUM(B18:M18)</f>
        <v/>
      </c>
      <c r="O18" s="37">
        <f>SUMIF('KIN TB'!$R:$R,'KIN P&amp;L'!$A18,'KIN TB'!C:C)</f>
        <v/>
      </c>
      <c r="P18" s="37">
        <f>SUMIF('KIN TB'!$R:$R,'KIN P&amp;L'!$A18,'KIN TB'!D:D)</f>
        <v/>
      </c>
      <c r="Q18" s="37">
        <f>SUMIF('KIN TB'!$R:$R,'KIN P&amp;L'!$A18,'KIN TB'!E:E)</f>
        <v/>
      </c>
      <c r="R18" s="37">
        <f>SUMIF('KIN TB'!$R:$R,'KIN P&amp;L'!$A18,'KIN TB'!F:F)</f>
        <v/>
      </c>
      <c r="S18" s="37">
        <f>SUMIF('KIN TB'!$R:$R,'KIN P&amp;L'!$A18,'KIN TB'!G:G)</f>
        <v/>
      </c>
      <c r="T18" s="37">
        <f>SUMIF('KIN TB'!$R:$R,'KIN P&amp;L'!$A18,'KIN TB'!H:H)</f>
        <v/>
      </c>
      <c r="U18" s="37">
        <f>SUMIF('KIN TB'!$R:$R,'KIN P&amp;L'!$A18,'KIN TB'!I:I)</f>
        <v/>
      </c>
      <c r="V18" s="38" t="n">
        <v>303.09</v>
      </c>
      <c r="W18" s="38" t="n">
        <v>303.09</v>
      </c>
      <c r="X18" s="38" t="n">
        <v>303.09</v>
      </c>
      <c r="Y18" s="38" t="n">
        <v>303.09</v>
      </c>
      <c r="Z18" s="38" t="n">
        <v>303.09</v>
      </c>
      <c r="AA18" s="36">
        <f>SUM(O18:U18)</f>
        <v/>
      </c>
      <c r="AB18" s="36">
        <f>SUM(O18:Z18)</f>
        <v/>
      </c>
      <c r="AC18" s="38" t="n">
        <v>303.09</v>
      </c>
      <c r="AD18" s="38" t="n">
        <v>303.09</v>
      </c>
      <c r="AE18" s="38" t="n">
        <v>303.09</v>
      </c>
      <c r="AF18" s="38" t="n">
        <v>303.09</v>
      </c>
      <c r="AG18" s="38" t="n">
        <v>303.09</v>
      </c>
      <c r="AH18" s="38" t="n">
        <v>303.09</v>
      </c>
      <c r="AI18" s="118" t="n">
        <v>303.09</v>
      </c>
      <c r="AJ18" s="119" t="n">
        <v>303.09</v>
      </c>
      <c r="AK18" s="119" t="n">
        <v>303.09</v>
      </c>
      <c r="AL18" s="119" t="n">
        <v>303.09</v>
      </c>
      <c r="AM18" s="120" t="n">
        <v>303.09</v>
      </c>
      <c r="AN18" s="118" t="n">
        <v>303.09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50.22</v>
      </c>
      <c r="C19" s="35" t="n">
        <v>0</v>
      </c>
      <c r="D19" s="35" t="n">
        <v>0</v>
      </c>
      <c r="E19" s="35" t="n">
        <v>0</v>
      </c>
      <c r="F19" s="35" t="n">
        <v>57.3</v>
      </c>
      <c r="G19" s="35" t="n">
        <v>0</v>
      </c>
      <c r="H19" s="35" t="n">
        <v>160.14</v>
      </c>
      <c r="I19" s="35" t="n">
        <v>0</v>
      </c>
      <c r="J19" s="35" t="n">
        <v>185.22</v>
      </c>
      <c r="K19" s="35" t="n">
        <v>70.14</v>
      </c>
      <c r="L19" s="35" t="n">
        <v>28.68</v>
      </c>
      <c r="M19" s="35" t="n">
        <v>7.99</v>
      </c>
      <c r="N19" s="36">
        <f>SUM(B19:M19)</f>
        <v/>
      </c>
      <c r="O19" s="37">
        <f>SUMIF('KIN TB'!$R:$R,'KIN P&amp;L'!$A19,'KIN TB'!C:C)</f>
        <v/>
      </c>
      <c r="P19" s="37">
        <f>SUMIF('KIN TB'!$R:$R,'KIN P&amp;L'!$A19,'KIN TB'!D:D)</f>
        <v/>
      </c>
      <c r="Q19" s="37">
        <f>SUMIF('KIN TB'!$R:$R,'KIN P&amp;L'!$A19,'KIN TB'!E:E)</f>
        <v/>
      </c>
      <c r="R19" s="37">
        <f>SUMIF('KIN TB'!$R:$R,'KIN P&amp;L'!$A19,'KIN TB'!F:F)</f>
        <v/>
      </c>
      <c r="S19" s="37">
        <f>SUMIF('KIN TB'!$R:$R,'KIN P&amp;L'!$A19,'KIN TB'!G:G)</f>
        <v/>
      </c>
      <c r="T19" s="37">
        <f>SUMIF('KIN TB'!$R:$R,'KIN P&amp;L'!$A19,'KIN TB'!H:H)</f>
        <v/>
      </c>
      <c r="U19" s="37">
        <f>SUMIF('KIN TB'!$R:$R,'KIN P&amp;L'!$A19,'KIN TB'!I:I)</f>
        <v/>
      </c>
      <c r="V19" s="38" t="n">
        <v>50</v>
      </c>
      <c r="W19" s="38" t="n">
        <v>50</v>
      </c>
      <c r="X19" s="38" t="n">
        <v>50</v>
      </c>
      <c r="Y19" s="38" t="n">
        <v>50</v>
      </c>
      <c r="Z19" s="38" t="n">
        <v>50</v>
      </c>
      <c r="AA19" s="36">
        <f>SUM(O19:U19)</f>
        <v/>
      </c>
      <c r="AB19" s="36">
        <f>SUM(O19:Z19)</f>
        <v/>
      </c>
      <c r="AC19" s="38" t="n">
        <v>50</v>
      </c>
      <c r="AD19" s="38" t="n">
        <v>50</v>
      </c>
      <c r="AE19" s="38" t="n">
        <v>50</v>
      </c>
      <c r="AF19" s="38" t="n">
        <v>50</v>
      </c>
      <c r="AG19" s="38" t="n">
        <v>50</v>
      </c>
      <c r="AH19" s="38" t="n">
        <v>50</v>
      </c>
      <c r="AI19" s="118" t="n">
        <v>50</v>
      </c>
      <c r="AJ19" s="119" t="n">
        <v>50</v>
      </c>
      <c r="AK19" s="119" t="n">
        <v>50</v>
      </c>
      <c r="AL19" s="119" t="n">
        <v>50</v>
      </c>
      <c r="AM19" s="120" t="n">
        <v>50</v>
      </c>
      <c r="AN19" s="118" t="n">
        <v>50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56</v>
      </c>
      <c r="C20" s="35" t="n">
        <v>0</v>
      </c>
      <c r="D20" s="35" t="n">
        <v>0</v>
      </c>
      <c r="E20" s="35" t="n">
        <v>46.2</v>
      </c>
      <c r="F20" s="35" t="n">
        <v>18</v>
      </c>
      <c r="G20" s="35" t="n">
        <v>20</v>
      </c>
      <c r="H20" s="35" t="n">
        <v>0</v>
      </c>
      <c r="I20" s="35" t="n">
        <v>70.5</v>
      </c>
      <c r="J20" s="35" t="n">
        <v>0</v>
      </c>
      <c r="K20" s="35" t="n">
        <v>0</v>
      </c>
      <c r="L20" s="35" t="n">
        <v>542.9</v>
      </c>
      <c r="M20" s="35" t="n">
        <v>0</v>
      </c>
      <c r="N20" s="36">
        <f>SUM(B20:M20)</f>
        <v/>
      </c>
      <c r="O20" s="37">
        <f>SUMIF('KIN TB'!$R:$R,'KIN P&amp;L'!$A20,'KIN TB'!C:C)</f>
        <v/>
      </c>
      <c r="P20" s="37">
        <f>SUMIF('KIN TB'!$R:$R,'KIN P&amp;L'!$A20,'KIN TB'!D:D)</f>
        <v/>
      </c>
      <c r="Q20" s="37">
        <f>SUMIF('KIN TB'!$R:$R,'KIN P&amp;L'!$A20,'KIN TB'!E:E)</f>
        <v/>
      </c>
      <c r="R20" s="37">
        <f>SUMIF('KIN TB'!$R:$R,'KIN P&amp;L'!$A20,'KIN TB'!F:F)</f>
        <v/>
      </c>
      <c r="S20" s="37">
        <f>SUMIF('KIN TB'!$R:$R,'KIN P&amp;L'!$A20,'KIN TB'!G:G)</f>
        <v/>
      </c>
      <c r="T20" s="37">
        <f>SUMIF('KIN TB'!$R:$R,'KIN P&amp;L'!$A20,'KIN TB'!H:H)</f>
        <v/>
      </c>
      <c r="U20" s="37">
        <f>SUMIF('KIN TB'!$R:$R,'KIN P&amp;L'!$A20,'KIN TB'!I:I)</f>
        <v/>
      </c>
      <c r="V20" s="38" t="n">
        <v>50</v>
      </c>
      <c r="W20" s="38" t="n">
        <v>50</v>
      </c>
      <c r="X20" s="38" t="n">
        <v>50</v>
      </c>
      <c r="Y20" s="38" t="n">
        <v>50</v>
      </c>
      <c r="Z20" s="38" t="n">
        <v>50</v>
      </c>
      <c r="AA20" s="36">
        <f>SUM(O20:U20)</f>
        <v/>
      </c>
      <c r="AB20" s="36">
        <f>SUM(O20:Z20)</f>
        <v/>
      </c>
      <c r="AC20" s="38" t="n">
        <v>50</v>
      </c>
      <c r="AD20" s="38" t="n">
        <v>50</v>
      </c>
      <c r="AE20" s="38" t="n">
        <v>50</v>
      </c>
      <c r="AF20" s="38" t="n">
        <v>50</v>
      </c>
      <c r="AG20" s="38" t="n">
        <v>50</v>
      </c>
      <c r="AH20" s="38" t="n">
        <v>50</v>
      </c>
      <c r="AI20" s="118" t="n">
        <v>50</v>
      </c>
      <c r="AJ20" s="119" t="n">
        <v>50</v>
      </c>
      <c r="AK20" s="119" t="n">
        <v>50</v>
      </c>
      <c r="AL20" s="119" t="n">
        <v>50</v>
      </c>
      <c r="AM20" s="120" t="n">
        <v>50</v>
      </c>
      <c r="AN20" s="118" t="n">
        <v>50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84.36</v>
      </c>
      <c r="C21" s="35" t="n">
        <v>530.3099999999999</v>
      </c>
      <c r="D21" s="35" t="n">
        <v>35.12</v>
      </c>
      <c r="E21" s="35" t="n">
        <v>69.5</v>
      </c>
      <c r="F21" s="35" t="n">
        <v>103.74</v>
      </c>
      <c r="G21" s="35" t="n">
        <v>23.19</v>
      </c>
      <c r="H21" s="35" t="n">
        <v>104.06</v>
      </c>
      <c r="I21" s="35" t="n">
        <v>211.05</v>
      </c>
      <c r="J21" s="35" t="n">
        <v>87.06</v>
      </c>
      <c r="K21" s="35" t="n">
        <v>323.12</v>
      </c>
      <c r="L21" s="35" t="n">
        <v>235.68</v>
      </c>
      <c r="M21" s="35" t="n">
        <v>142.07</v>
      </c>
      <c r="N21" s="36">
        <f>SUM(B21:M21)</f>
        <v/>
      </c>
      <c r="O21" s="37">
        <f>SUMIF('KIN TB'!$R:$R,'KIN P&amp;L'!$A21,'KIN TB'!C:C)</f>
        <v/>
      </c>
      <c r="P21" s="37">
        <f>SUMIF('KIN TB'!$R:$R,'KIN P&amp;L'!$A21,'KIN TB'!D:D)</f>
        <v/>
      </c>
      <c r="Q21" s="37">
        <f>SUMIF('KIN TB'!$R:$R,'KIN P&amp;L'!$A21,'KIN TB'!E:E)</f>
        <v/>
      </c>
      <c r="R21" s="37">
        <f>SUMIF('KIN TB'!$R:$R,'KIN P&amp;L'!$A21,'KIN TB'!F:F)</f>
        <v/>
      </c>
      <c r="S21" s="37">
        <f>SUMIF('KIN TB'!$R:$R,'KIN P&amp;L'!$A21,'KIN TB'!G:G)</f>
        <v/>
      </c>
      <c r="T21" s="37">
        <f>SUMIF('KIN TB'!$R:$R,'KIN P&amp;L'!$A21,'KIN TB'!H:H)</f>
        <v/>
      </c>
      <c r="U21" s="37">
        <f>SUMIF('KIN TB'!$R:$R,'KIN P&amp;L'!$A21,'KIN TB'!I:I)</f>
        <v/>
      </c>
      <c r="V21" s="38" t="n">
        <v>80</v>
      </c>
      <c r="W21" s="38" t="n">
        <v>80</v>
      </c>
      <c r="X21" s="38" t="n">
        <v>80</v>
      </c>
      <c r="Y21" s="38" t="n">
        <v>80</v>
      </c>
      <c r="Z21" s="38" t="n">
        <v>80</v>
      </c>
      <c r="AA21" s="36">
        <f>SUM(O21:U21)</f>
        <v/>
      </c>
      <c r="AB21" s="36">
        <f>SUM(O21:Z21)</f>
        <v/>
      </c>
      <c r="AC21" s="38" t="n">
        <v>80</v>
      </c>
      <c r="AD21" s="38" t="n">
        <v>80</v>
      </c>
      <c r="AE21" s="38" t="n">
        <v>80</v>
      </c>
      <c r="AF21" s="38" t="n">
        <v>80</v>
      </c>
      <c r="AG21" s="38" t="n">
        <v>80</v>
      </c>
      <c r="AH21" s="38" t="n">
        <v>80</v>
      </c>
      <c r="AI21" s="118" t="n">
        <v>80</v>
      </c>
      <c r="AJ21" s="119" t="n">
        <v>80</v>
      </c>
      <c r="AK21" s="119" t="n">
        <v>80</v>
      </c>
      <c r="AL21" s="119" t="n">
        <v>80</v>
      </c>
      <c r="AM21" s="120" t="n">
        <v>80</v>
      </c>
      <c r="AN21" s="118" t="n">
        <v>80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SUMIF('KIN TB'!$R:$R,'KIN P&amp;L'!$A22,'KIN TB'!C:C)</f>
        <v/>
      </c>
      <c r="P22" s="37">
        <f>SUMIF('KIN TB'!$R:$R,'KIN P&amp;L'!$A22,'KIN TB'!D:D)</f>
        <v/>
      </c>
      <c r="Q22" s="37">
        <f>SUMIF('KIN TB'!$R:$R,'KIN P&amp;L'!$A22,'KIN TB'!E:E)</f>
        <v/>
      </c>
      <c r="R22" s="37">
        <f>SUMIF('KIN TB'!$R:$R,'KIN P&amp;L'!$A22,'KIN TB'!F:F)</f>
        <v/>
      </c>
      <c r="S22" s="37">
        <f>SUMIF('KIN TB'!$R:$R,'KIN P&amp;L'!$A22,'KIN TB'!G:G)</f>
        <v/>
      </c>
      <c r="T22" s="37">
        <f>SUMIF('KIN TB'!$R:$R,'KIN P&amp;L'!$A22,'KIN TB'!H:H)</f>
        <v/>
      </c>
      <c r="U22" s="37">
        <f>SUMIF('KIN TB'!$R:$R,'KIN P&amp;L'!$A22,'KIN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8" t="n">
        <v>0</v>
      </c>
      <c r="AJ22" s="119" t="n">
        <v>0</v>
      </c>
      <c r="AK22" s="119" t="n">
        <v>0</v>
      </c>
      <c r="AL22" s="119" t="n">
        <v>0</v>
      </c>
      <c r="AM22" s="120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13.9</v>
      </c>
      <c r="I23" s="35" t="n">
        <v>55.46</v>
      </c>
      <c r="J23" s="35" t="n">
        <v>0</v>
      </c>
      <c r="K23" s="35" t="n">
        <v>0</v>
      </c>
      <c r="L23" s="35" t="n">
        <v>72.23999999999999</v>
      </c>
      <c r="M23" s="35" t="n">
        <v>0</v>
      </c>
      <c r="N23" s="36">
        <f>SUM(B23:M23)</f>
        <v/>
      </c>
      <c r="O23" s="37">
        <f>SUMIF('KIN TB'!$R:$R,'KIN P&amp;L'!$A23,'KIN TB'!C:C)</f>
        <v/>
      </c>
      <c r="P23" s="37">
        <f>SUMIF('KIN TB'!$R:$R,'KIN P&amp;L'!$A23,'KIN TB'!D:D)</f>
        <v/>
      </c>
      <c r="Q23" s="37">
        <f>SUMIF('KIN TB'!$R:$R,'KIN P&amp;L'!$A23,'KIN TB'!E:E)</f>
        <v/>
      </c>
      <c r="R23" s="37">
        <f>SUMIF('KIN TB'!$R:$R,'KIN P&amp;L'!$A23,'KIN TB'!F:F)</f>
        <v/>
      </c>
      <c r="S23" s="37">
        <f>SUMIF('KIN TB'!$R:$R,'KIN P&amp;L'!$A23,'KIN TB'!G:G)</f>
        <v/>
      </c>
      <c r="T23" s="37">
        <f>SUMIF('KIN TB'!$R:$R,'KIN P&amp;L'!$A23,'KIN TB'!H:H)</f>
        <v/>
      </c>
      <c r="U23" s="37">
        <f>SUMIF('KIN TB'!$R:$R,'KIN P&amp;L'!$A23,'KIN TB'!I:I)</f>
        <v/>
      </c>
      <c r="V23" s="38" t="n">
        <v>33</v>
      </c>
      <c r="W23" s="38" t="n">
        <v>33</v>
      </c>
      <c r="X23" s="38" t="n">
        <v>33</v>
      </c>
      <c r="Y23" s="38" t="n">
        <v>33</v>
      </c>
      <c r="Z23" s="38" t="n">
        <v>33</v>
      </c>
      <c r="AA23" s="36">
        <f>SUM(O23:U23)</f>
        <v/>
      </c>
      <c r="AB23" s="36">
        <f>SUM(O23:Z23)</f>
        <v/>
      </c>
      <c r="AC23" s="38" t="n">
        <v>33</v>
      </c>
      <c r="AD23" s="38" t="n">
        <v>33</v>
      </c>
      <c r="AE23" s="38" t="n">
        <v>33</v>
      </c>
      <c r="AF23" s="38" t="n">
        <v>33</v>
      </c>
      <c r="AG23" s="38" t="n">
        <v>33</v>
      </c>
      <c r="AH23" s="38" t="n">
        <v>33</v>
      </c>
      <c r="AI23" s="118" t="n">
        <v>33</v>
      </c>
      <c r="AJ23" s="119" t="n">
        <v>33</v>
      </c>
      <c r="AK23" s="119" t="n">
        <v>33</v>
      </c>
      <c r="AL23" s="119" t="n">
        <v>33</v>
      </c>
      <c r="AM23" s="120" t="n">
        <v>33</v>
      </c>
      <c r="AN23" s="118" t="n">
        <v>33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1410.72</v>
      </c>
      <c r="K24" s="35" t="n">
        <v>483.23</v>
      </c>
      <c r="L24" s="35" t="n">
        <v>0</v>
      </c>
      <c r="M24" s="35" t="n">
        <v>0</v>
      </c>
      <c r="N24" s="36">
        <f>SUM(B24:M24)</f>
        <v/>
      </c>
      <c r="O24" s="37">
        <f>SUMIF('KIN TB'!$R:$R,'KIN P&amp;L'!$A24,'KIN TB'!C:C)</f>
        <v/>
      </c>
      <c r="P24" s="37">
        <f>SUMIF('KIN TB'!$R:$R,'KIN P&amp;L'!$A24,'KIN TB'!D:D)</f>
        <v/>
      </c>
      <c r="Q24" s="37">
        <f>SUMIF('KIN TB'!$R:$R,'KIN P&amp;L'!$A24,'KIN TB'!E:E)</f>
        <v/>
      </c>
      <c r="R24" s="37">
        <f>SUMIF('KIN TB'!$R:$R,'KIN P&amp;L'!$A24,'KIN TB'!F:F)</f>
        <v/>
      </c>
      <c r="S24" s="37">
        <f>SUMIF('KIN TB'!$R:$R,'KIN P&amp;L'!$A24,'KIN TB'!G:G)</f>
        <v/>
      </c>
      <c r="T24" s="37">
        <f>SUMIF('KIN TB'!$R:$R,'KIN P&amp;L'!$A24,'KIN TB'!H:H)</f>
        <v/>
      </c>
      <c r="U24" s="37">
        <f>SUMIF('KIN TB'!$R:$R,'KIN P&amp;L'!$A24,'KIN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8" t="n">
        <v>0</v>
      </c>
      <c r="AJ24" s="119" t="n">
        <v>0</v>
      </c>
      <c r="AK24" s="119" t="n">
        <v>0</v>
      </c>
      <c r="AL24" s="119" t="n">
        <v>0</v>
      </c>
      <c r="AM24" s="120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15025</v>
      </c>
      <c r="C25" s="42" t="n">
        <v>18401.96</v>
      </c>
      <c r="D25" s="42" t="n">
        <v>17627.45</v>
      </c>
      <c r="E25" s="42" t="n">
        <v>17739.83</v>
      </c>
      <c r="F25" s="42" t="n">
        <v>18243.97</v>
      </c>
      <c r="G25" s="42" t="n">
        <v>18525.75</v>
      </c>
      <c r="H25" s="42" t="n">
        <v>18796.84</v>
      </c>
      <c r="I25" s="42" t="n">
        <v>17181.26</v>
      </c>
      <c r="J25" s="42" t="n">
        <v>19335.26</v>
      </c>
      <c r="K25" s="42" t="n">
        <v>18532.98</v>
      </c>
      <c r="L25" s="42" t="n">
        <v>18943.47</v>
      </c>
      <c r="M25" s="42" t="n">
        <v>16894.78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3">
        <f>SUM(AI16:AI24)</f>
        <v/>
      </c>
      <c r="AJ25" s="124">
        <f>SUM(AJ16:AJ24)</f>
        <v/>
      </c>
      <c r="AK25" s="124">
        <f>SUM(AK16:AK24)</f>
        <v/>
      </c>
      <c r="AL25" s="124">
        <f>SUM(AL16:AL24)</f>
        <v/>
      </c>
      <c r="AM25" s="124">
        <f>SUM(AM16:AM24)</f>
        <v/>
      </c>
      <c r="AN25" s="123">
        <f>SUM(AN16:AN24)</f>
        <v/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 t="n"/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7" t="n">
        <v>0</v>
      </c>
      <c r="AJ26" s="128" t="n">
        <v>0</v>
      </c>
      <c r="AK26" s="128" t="n">
        <v>0</v>
      </c>
      <c r="AL26" s="128" t="n">
        <v>0</v>
      </c>
      <c r="AM26" s="129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871.84</v>
      </c>
      <c r="C27" s="35" t="n">
        <v>1119.88</v>
      </c>
      <c r="D27" s="35" t="n">
        <v>883.4</v>
      </c>
      <c r="E27" s="35" t="n">
        <v>772.98</v>
      </c>
      <c r="F27" s="35" t="n">
        <v>885.8099999999999</v>
      </c>
      <c r="G27" s="35" t="n">
        <v>1206.2</v>
      </c>
      <c r="H27" s="35" t="n">
        <v>1152.02</v>
      </c>
      <c r="I27" s="35" t="n">
        <v>1021.21</v>
      </c>
      <c r="J27" s="35" t="n">
        <v>906.02</v>
      </c>
      <c r="K27" s="35" t="n">
        <v>1197.66</v>
      </c>
      <c r="L27" s="35" t="n">
        <v>867.37</v>
      </c>
      <c r="M27" s="35" t="n">
        <v>895.21</v>
      </c>
      <c r="N27" s="36">
        <f>SUM(B27:M27)</f>
        <v/>
      </c>
      <c r="O27" s="37">
        <f>SUMIF('KIN TB'!$R:$R,'KIN P&amp;L'!$A27,'KIN TB'!C:C)</f>
        <v/>
      </c>
      <c r="P27" s="37">
        <f>SUMIF('KIN TB'!$R:$R,'KIN P&amp;L'!$A27,'KIN TB'!D:D)</f>
        <v/>
      </c>
      <c r="Q27" s="37">
        <f>SUMIF('KIN TB'!$R:$R,'KIN P&amp;L'!$A27,'KIN TB'!E:E)</f>
        <v/>
      </c>
      <c r="R27" s="37">
        <f>SUMIF('KIN TB'!$R:$R,'KIN P&amp;L'!$A27,'KIN TB'!F:F)</f>
        <v/>
      </c>
      <c r="S27" s="37">
        <f>SUMIF('KIN TB'!$R:$R,'KIN P&amp;L'!$A27,'KIN TB'!G:G)</f>
        <v/>
      </c>
      <c r="T27" s="37">
        <f>SUMIF('KIN TB'!$R:$R,'KIN P&amp;L'!$A27,'KIN TB'!H:H)</f>
        <v/>
      </c>
      <c r="U27" s="37">
        <f>SUMIF('KIN TB'!$R:$R,'KIN P&amp;L'!$A27,'KIN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18" t="n">
        <v>0</v>
      </c>
      <c r="AJ27" s="119" t="n">
        <v>0</v>
      </c>
      <c r="AK27" s="119" t="n">
        <v>0</v>
      </c>
      <c r="AL27" s="119" t="n">
        <v>0</v>
      </c>
      <c r="AM27" s="120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67.66</v>
      </c>
      <c r="C28" s="35" t="n">
        <v>15.5</v>
      </c>
      <c r="D28" s="35" t="n">
        <v>101.01</v>
      </c>
      <c r="E28" s="35" t="n">
        <v>148.99</v>
      </c>
      <c r="F28" s="35" t="n">
        <v>199.49</v>
      </c>
      <c r="G28" s="35" t="n">
        <v>26.91</v>
      </c>
      <c r="H28" s="35" t="n">
        <v>73.44</v>
      </c>
      <c r="I28" s="35" t="n">
        <v>738</v>
      </c>
      <c r="J28" s="35" t="n">
        <v>21.8</v>
      </c>
      <c r="K28" s="35" t="n">
        <v>28.47</v>
      </c>
      <c r="L28" s="35" t="n">
        <v>0</v>
      </c>
      <c r="M28" s="35" t="n">
        <v>113.69</v>
      </c>
      <c r="N28" s="36">
        <f>SUM(B28:M28)</f>
        <v/>
      </c>
      <c r="O28" s="37">
        <f>SUMIF('KIN TB'!$R:$R,'KIN P&amp;L'!$A28,'KIN TB'!C:C)</f>
        <v/>
      </c>
      <c r="P28" s="37">
        <f>SUMIF('KIN TB'!$R:$R,'KIN P&amp;L'!$A28,'KIN TB'!D:D)</f>
        <v/>
      </c>
      <c r="Q28" s="37">
        <f>SUMIF('KIN TB'!$R:$R,'KIN P&amp;L'!$A28,'KIN TB'!E:E)</f>
        <v/>
      </c>
      <c r="R28" s="37">
        <f>SUMIF('KIN TB'!$R:$R,'KIN P&amp;L'!$A28,'KIN TB'!F:F)</f>
        <v/>
      </c>
      <c r="S28" s="37">
        <f>SUMIF('KIN TB'!$R:$R,'KIN P&amp;L'!$A28,'KIN TB'!G:G)</f>
        <v/>
      </c>
      <c r="T28" s="37">
        <f>SUMIF('KIN TB'!$R:$R,'KIN P&amp;L'!$A28,'KIN TB'!H:H)</f>
        <v/>
      </c>
      <c r="U28" s="37">
        <f>SUMIF('KIN TB'!$R:$R,'KIN P&amp;L'!$A28,'KIN TB'!I:I)</f>
        <v/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118" t="n">
        <v>50</v>
      </c>
      <c r="AJ28" s="119" t="n">
        <v>50</v>
      </c>
      <c r="AK28" s="119" t="n">
        <v>50</v>
      </c>
      <c r="AL28" s="119" t="n">
        <v>50</v>
      </c>
      <c r="AM28" s="120" t="n">
        <v>50</v>
      </c>
      <c r="AN28" s="118" t="n">
        <v>50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124.79</v>
      </c>
      <c r="C29" s="35" t="n">
        <v>116.31</v>
      </c>
      <c r="D29" s="35" t="n">
        <v>123.91</v>
      </c>
      <c r="E29" s="35" t="n">
        <v>60.02</v>
      </c>
      <c r="F29" s="35" t="n">
        <v>69.12</v>
      </c>
      <c r="G29" s="35" t="n">
        <v>80.59</v>
      </c>
      <c r="H29" s="35" t="n">
        <v>17.78</v>
      </c>
      <c r="I29" s="35" t="n">
        <v>117.92</v>
      </c>
      <c r="J29" s="35" t="n">
        <v>19.37</v>
      </c>
      <c r="K29" s="35" t="n">
        <v>15.25</v>
      </c>
      <c r="L29" s="35" t="n">
        <v>168.9</v>
      </c>
      <c r="M29" s="35" t="n">
        <v>24.97</v>
      </c>
      <c r="N29" s="36">
        <f>SUM(B29:M29)</f>
        <v/>
      </c>
      <c r="O29" s="37">
        <f>SUMIF('KIN TB'!$R:$R,'KIN P&amp;L'!$A29,'KIN TB'!C:C)</f>
        <v/>
      </c>
      <c r="P29" s="37">
        <f>SUMIF('KIN TB'!$R:$R,'KIN P&amp;L'!$A29,'KIN TB'!D:D)</f>
        <v/>
      </c>
      <c r="Q29" s="37">
        <f>SUMIF('KIN TB'!$R:$R,'KIN P&amp;L'!$A29,'KIN TB'!E:E)</f>
        <v/>
      </c>
      <c r="R29" s="37">
        <f>SUMIF('KIN TB'!$R:$R,'KIN P&amp;L'!$A29,'KIN TB'!F:F)</f>
        <v/>
      </c>
      <c r="S29" s="37">
        <f>SUMIF('KIN TB'!$R:$R,'KIN P&amp;L'!$A29,'KIN TB'!G:G)</f>
        <v/>
      </c>
      <c r="T29" s="37">
        <f>SUMIF('KIN TB'!$R:$R,'KIN P&amp;L'!$A29,'KIN TB'!H:H)</f>
        <v/>
      </c>
      <c r="U29" s="37">
        <f>SUMIF('KIN TB'!$R:$R,'KIN P&amp;L'!$A29,'KIN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18" t="n">
        <v>0</v>
      </c>
      <c r="AJ29" s="119" t="n">
        <v>0</v>
      </c>
      <c r="AK29" s="119" t="n">
        <v>0</v>
      </c>
      <c r="AL29" s="119" t="n">
        <v>0</v>
      </c>
      <c r="AM29" s="120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36.35</v>
      </c>
      <c r="C30" s="35" t="n">
        <v>28.59</v>
      </c>
      <c r="D30" s="35" t="n">
        <v>0</v>
      </c>
      <c r="E30" s="35" t="n">
        <v>16.15</v>
      </c>
      <c r="F30" s="35" t="n">
        <v>21.12</v>
      </c>
      <c r="G30" s="35" t="n">
        <v>0</v>
      </c>
      <c r="H30" s="35" t="n">
        <v>14.52</v>
      </c>
      <c r="I30" s="35" t="n">
        <v>18.44</v>
      </c>
      <c r="J30" s="35" t="n">
        <v>7.88</v>
      </c>
      <c r="K30" s="35" t="n">
        <v>0</v>
      </c>
      <c r="L30" s="35" t="n">
        <v>4.99</v>
      </c>
      <c r="M30" s="35" t="n">
        <v>57.13</v>
      </c>
      <c r="N30" s="36">
        <f>SUM(B30:M30)</f>
        <v/>
      </c>
      <c r="O30" s="37">
        <f>SUMIF('KIN TB'!$R:$R,'KIN P&amp;L'!$A30,'KIN TB'!C:C)</f>
        <v/>
      </c>
      <c r="P30" s="37">
        <f>SUMIF('KIN TB'!$R:$R,'KIN P&amp;L'!$A30,'KIN TB'!D:D)</f>
        <v/>
      </c>
      <c r="Q30" s="37">
        <f>SUMIF('KIN TB'!$R:$R,'KIN P&amp;L'!$A30,'KIN TB'!E:E)</f>
        <v/>
      </c>
      <c r="R30" s="37">
        <f>SUMIF('KIN TB'!$R:$R,'KIN P&amp;L'!$A30,'KIN TB'!F:F)</f>
        <v/>
      </c>
      <c r="S30" s="37">
        <f>SUMIF('KIN TB'!$R:$R,'KIN P&amp;L'!$A30,'KIN TB'!G:G)</f>
        <v/>
      </c>
      <c r="T30" s="37">
        <f>SUMIF('KIN TB'!$R:$R,'KIN P&amp;L'!$A30,'KIN TB'!H:H)</f>
        <v/>
      </c>
      <c r="U30" s="37">
        <f>SUMIF('KIN TB'!$R:$R,'KIN P&amp;L'!$A30,'KIN TB'!I:I)</f>
        <v/>
      </c>
      <c r="V30" s="38" t="n">
        <v>75</v>
      </c>
      <c r="W30" s="38" t="n">
        <v>75</v>
      </c>
      <c r="X30" s="38" t="n">
        <v>75</v>
      </c>
      <c r="Y30" s="38" t="n">
        <v>75</v>
      </c>
      <c r="Z30" s="38" t="n">
        <v>75</v>
      </c>
      <c r="AA30" s="36">
        <f>SUM(O30:U30)</f>
        <v/>
      </c>
      <c r="AB30" s="36">
        <f>SUM(O30:Z30)</f>
        <v/>
      </c>
      <c r="AC30" s="38" t="n">
        <v>75</v>
      </c>
      <c r="AD30" s="38" t="n">
        <v>75</v>
      </c>
      <c r="AE30" s="38" t="n">
        <v>75</v>
      </c>
      <c r="AF30" s="38" t="n">
        <v>75</v>
      </c>
      <c r="AG30" s="38" t="n">
        <v>75</v>
      </c>
      <c r="AH30" s="38" t="n">
        <v>75</v>
      </c>
      <c r="AI30" s="118" t="n">
        <v>75</v>
      </c>
      <c r="AJ30" s="119" t="n">
        <v>75</v>
      </c>
      <c r="AK30" s="119" t="n">
        <v>75</v>
      </c>
      <c r="AL30" s="119" t="n">
        <v>75</v>
      </c>
      <c r="AM30" s="120" t="n">
        <v>75</v>
      </c>
      <c r="AN30" s="118" t="n">
        <v>75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37.02</v>
      </c>
      <c r="C31" s="35" t="n">
        <v>112.99</v>
      </c>
      <c r="D31" s="35" t="n">
        <v>13.99</v>
      </c>
      <c r="E31" s="35" t="n">
        <v>53.88</v>
      </c>
      <c r="F31" s="35" t="n">
        <v>650.1800000000001</v>
      </c>
      <c r="G31" s="35" t="n">
        <v>57.55</v>
      </c>
      <c r="H31" s="35" t="n">
        <v>14.48</v>
      </c>
      <c r="I31" s="35" t="n">
        <v>16</v>
      </c>
      <c r="J31" s="35" t="n">
        <v>121.89</v>
      </c>
      <c r="K31" s="35" t="n">
        <v>116.71</v>
      </c>
      <c r="L31" s="35" t="n">
        <v>84.96000000000001</v>
      </c>
      <c r="M31" s="35" t="n">
        <v>51.93</v>
      </c>
      <c r="N31" s="36">
        <f>SUM(B31:M31)</f>
        <v/>
      </c>
      <c r="O31" s="37">
        <f>SUMIF('KIN TB'!$R:$R,'KIN P&amp;L'!$A31,'KIN TB'!C:C)</f>
        <v/>
      </c>
      <c r="P31" s="37">
        <f>SUMIF('KIN TB'!$R:$R,'KIN P&amp;L'!$A31,'KIN TB'!D:D)</f>
        <v/>
      </c>
      <c r="Q31" s="37">
        <f>SUMIF('KIN TB'!$R:$R,'KIN P&amp;L'!$A31,'KIN TB'!E:E)</f>
        <v/>
      </c>
      <c r="R31" s="37">
        <f>SUMIF('KIN TB'!$R:$R,'KIN P&amp;L'!$A31,'KIN TB'!F:F)</f>
        <v/>
      </c>
      <c r="S31" s="37">
        <f>SUMIF('KIN TB'!$R:$R,'KIN P&amp;L'!$A31,'KIN TB'!G:G)</f>
        <v/>
      </c>
      <c r="T31" s="37">
        <f>SUMIF('KIN TB'!$R:$R,'KIN P&amp;L'!$A31,'KIN TB'!H:H)</f>
        <v/>
      </c>
      <c r="U31" s="37">
        <f>SUMIF('KIN TB'!$R:$R,'KIN P&amp;L'!$A31,'KIN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8" t="n">
        <v>50</v>
      </c>
      <c r="AJ31" s="119" t="n">
        <v>50</v>
      </c>
      <c r="AK31" s="119" t="n">
        <v>50</v>
      </c>
      <c r="AL31" s="119" t="n">
        <v>50</v>
      </c>
      <c r="AM31" s="120" t="n">
        <v>50</v>
      </c>
      <c r="AN31" s="118" t="n">
        <v>50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135.4</v>
      </c>
      <c r="C32" s="35" t="n">
        <v>97.50999999999999</v>
      </c>
      <c r="D32" s="35" t="n">
        <v>105.56</v>
      </c>
      <c r="E32" s="35" t="n">
        <v>101.9</v>
      </c>
      <c r="F32" s="35" t="n">
        <v>34.62</v>
      </c>
      <c r="G32" s="35" t="n">
        <v>0</v>
      </c>
      <c r="H32" s="35" t="n">
        <v>159.02</v>
      </c>
      <c r="I32" s="35" t="n">
        <v>147.67</v>
      </c>
      <c r="J32" s="35" t="n">
        <v>116.18</v>
      </c>
      <c r="K32" s="35" t="n">
        <v>77.15000000000001</v>
      </c>
      <c r="L32" s="35" t="n">
        <v>76.42</v>
      </c>
      <c r="M32" s="35" t="n">
        <v>23.18</v>
      </c>
      <c r="N32" s="36">
        <f>SUM(B32:M32)</f>
        <v/>
      </c>
      <c r="O32" s="37">
        <f>SUMIF('KIN TB'!$R:$R,'KIN P&amp;L'!$A32,'KIN TB'!C:C)</f>
        <v/>
      </c>
      <c r="P32" s="37">
        <f>SUMIF('KIN TB'!$R:$R,'KIN P&amp;L'!$A32,'KIN TB'!D:D)</f>
        <v/>
      </c>
      <c r="Q32" s="37">
        <f>SUMIF('KIN TB'!$R:$R,'KIN P&amp;L'!$A32,'KIN TB'!E:E)</f>
        <v/>
      </c>
      <c r="R32" s="37">
        <f>SUMIF('KIN TB'!$R:$R,'KIN P&amp;L'!$A32,'KIN TB'!F:F)</f>
        <v/>
      </c>
      <c r="S32" s="37">
        <f>SUMIF('KIN TB'!$R:$R,'KIN P&amp;L'!$A32,'KIN TB'!G:G)</f>
        <v/>
      </c>
      <c r="T32" s="37">
        <f>SUMIF('KIN TB'!$R:$R,'KIN P&amp;L'!$A32,'KIN TB'!H:H)</f>
        <v/>
      </c>
      <c r="U32" s="37">
        <f>SUMIF('KIN TB'!$R:$R,'KIN P&amp;L'!$A32,'KIN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18" t="n">
        <v>0</v>
      </c>
      <c r="AJ32" s="119" t="n">
        <v>0</v>
      </c>
      <c r="AK32" s="119" t="n">
        <v>0</v>
      </c>
      <c r="AL32" s="119" t="n">
        <v>0</v>
      </c>
      <c r="AM32" s="120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SUMIF('KIN TB'!$R:$R,'KIN P&amp;L'!$A33,'KIN TB'!C:C)</f>
        <v/>
      </c>
      <c r="P33" s="37">
        <f>SUMIF('KIN TB'!$R:$R,'KIN P&amp;L'!$A33,'KIN TB'!D:D)</f>
        <v/>
      </c>
      <c r="Q33" s="37">
        <f>SUMIF('KIN TB'!$R:$R,'KIN P&amp;L'!$A33,'KIN TB'!E:E)</f>
        <v/>
      </c>
      <c r="R33" s="37">
        <f>SUMIF('KIN TB'!$R:$R,'KIN P&amp;L'!$A33,'KIN TB'!F:F)</f>
        <v/>
      </c>
      <c r="S33" s="37">
        <f>SUMIF('KIN TB'!$R:$R,'KIN P&amp;L'!$A33,'KIN TB'!G:G)</f>
        <v/>
      </c>
      <c r="T33" s="37">
        <f>SUMIF('KIN TB'!$R:$R,'KIN P&amp;L'!$A33,'KIN TB'!H:H)</f>
        <v/>
      </c>
      <c r="U33" s="37">
        <f>SUMIF('KIN TB'!$R:$R,'KIN P&amp;L'!$A33,'KIN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8" t="n">
        <v>0</v>
      </c>
      <c r="AJ33" s="119" t="n">
        <v>0</v>
      </c>
      <c r="AK33" s="119" t="n">
        <v>0</v>
      </c>
      <c r="AL33" s="119" t="n">
        <v>0</v>
      </c>
      <c r="AM33" s="120" t="n">
        <v>0</v>
      </c>
      <c r="AN33" s="118" t="n">
        <v>0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1273.06</v>
      </c>
      <c r="C34" s="42" t="n">
        <v>1490.78</v>
      </c>
      <c r="D34" s="42" t="n">
        <v>1227.87</v>
      </c>
      <c r="E34" s="42" t="n">
        <v>1153.92</v>
      </c>
      <c r="F34" s="42" t="n">
        <v>1860.34</v>
      </c>
      <c r="G34" s="42" t="n">
        <v>1371.25</v>
      </c>
      <c r="H34" s="42" t="n">
        <v>1431.26</v>
      </c>
      <c r="I34" s="42" t="n">
        <v>2059.24</v>
      </c>
      <c r="J34" s="42" t="n">
        <v>1193.14</v>
      </c>
      <c r="K34" s="42" t="n">
        <v>1435.24</v>
      </c>
      <c r="L34" s="42" t="n">
        <v>1202.64</v>
      </c>
      <c r="M34" s="42" t="n">
        <v>1166.11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3">
        <f>SUM(AI27:AI33)</f>
        <v/>
      </c>
      <c r="AJ34" s="124">
        <f>SUM(AJ27:AJ33)</f>
        <v/>
      </c>
      <c r="AK34" s="124">
        <f>SUM(AK27:AK33)</f>
        <v/>
      </c>
      <c r="AL34" s="124">
        <f>SUM(AL27:AL33)</f>
        <v/>
      </c>
      <c r="AM34" s="124">
        <f>SUM(AM27:AM33)</f>
        <v/>
      </c>
      <c r="AN34" s="123">
        <f>SUM(AN27:AN33)</f>
        <v/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7" t="n">
        <v>0</v>
      </c>
      <c r="AJ35" s="128" t="n">
        <v>0</v>
      </c>
      <c r="AK35" s="128" t="n">
        <v>0</v>
      </c>
      <c r="AL35" s="128" t="n">
        <v>0</v>
      </c>
      <c r="AM35" s="129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SUMIF('KIN TB'!$R:$R,'KIN P&amp;L'!$A36,'KIN TB'!C:C)</f>
        <v/>
      </c>
      <c r="P36" s="37">
        <f>SUMIF('KIN TB'!$R:$R,'KIN P&amp;L'!$A36,'KIN TB'!D:D)</f>
        <v/>
      </c>
      <c r="Q36" s="37">
        <f>SUMIF('KIN TB'!$R:$R,'KIN P&amp;L'!$A36,'KIN TB'!E:E)</f>
        <v/>
      </c>
      <c r="R36" s="37">
        <f>SUMIF('KIN TB'!$R:$R,'KIN P&amp;L'!$A36,'KIN TB'!F:F)</f>
        <v/>
      </c>
      <c r="S36" s="37">
        <f>SUMIF('KIN TB'!$R:$R,'KIN P&amp;L'!$A36,'KIN TB'!G:G)</f>
        <v/>
      </c>
      <c r="T36" s="37">
        <f>SUMIF('KIN TB'!$R:$R,'KIN P&amp;L'!$A36,'KIN TB'!H:H)</f>
        <v/>
      </c>
      <c r="U36" s="37">
        <f>SUMIF('KIN TB'!$R:$R,'KIN P&amp;L'!$A36,'KIN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8" t="n">
        <v>0</v>
      </c>
      <c r="AJ36" s="119" t="n">
        <v>0</v>
      </c>
      <c r="AK36" s="119" t="n">
        <v>0</v>
      </c>
      <c r="AL36" s="119" t="n">
        <v>0</v>
      </c>
      <c r="AM36" s="120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758.9</v>
      </c>
      <c r="C37" s="35" t="n">
        <v>758.9</v>
      </c>
      <c r="D37" s="35" t="n">
        <v>758.9</v>
      </c>
      <c r="E37" s="35" t="n">
        <v>758.9</v>
      </c>
      <c r="F37" s="35" t="n">
        <v>758.9</v>
      </c>
      <c r="G37" s="35" t="n">
        <v>758.9</v>
      </c>
      <c r="H37" s="35" t="n">
        <v>758.9</v>
      </c>
      <c r="I37" s="35" t="n">
        <v>758.9</v>
      </c>
      <c r="J37" s="35" t="n">
        <v>758.9</v>
      </c>
      <c r="K37" s="35" t="n">
        <v>758.9</v>
      </c>
      <c r="L37" s="35" t="n">
        <v>758.9</v>
      </c>
      <c r="M37" s="35" t="n">
        <v>758.9</v>
      </c>
      <c r="N37" s="36">
        <f>SUM(B37:M37)</f>
        <v/>
      </c>
      <c r="O37" s="37">
        <f>SUMIF('KIN TB'!$R:$R,'KIN P&amp;L'!$A37,'KIN TB'!C:C)</f>
        <v/>
      </c>
      <c r="P37" s="37">
        <f>SUMIF('KIN TB'!$R:$R,'KIN P&amp;L'!$A37,'KIN TB'!D:D)</f>
        <v/>
      </c>
      <c r="Q37" s="37">
        <f>SUMIF('KIN TB'!$R:$R,'KIN P&amp;L'!$A37,'KIN TB'!E:E)</f>
        <v/>
      </c>
      <c r="R37" s="37">
        <f>SUMIF('KIN TB'!$R:$R,'KIN P&amp;L'!$A37,'KIN TB'!F:F)</f>
        <v/>
      </c>
      <c r="S37" s="37">
        <f>SUMIF('KIN TB'!$R:$R,'KIN P&amp;L'!$A37,'KIN TB'!G:G)</f>
        <v/>
      </c>
      <c r="T37" s="37">
        <f>SUMIF('KIN TB'!$R:$R,'KIN P&amp;L'!$A37,'KIN TB'!H:H)</f>
        <v/>
      </c>
      <c r="U37" s="37">
        <f>SUMIF('KIN TB'!$R:$R,'KIN P&amp;L'!$A37,'KIN TB'!I:I)</f>
        <v/>
      </c>
      <c r="V37" s="38" t="n">
        <v>682</v>
      </c>
      <c r="W37" s="38" t="n">
        <v>682</v>
      </c>
      <c r="X37" s="38" t="n">
        <v>682</v>
      </c>
      <c r="Y37" s="38" t="n">
        <v>682</v>
      </c>
      <c r="Z37" s="38" t="n">
        <v>682</v>
      </c>
      <c r="AA37" s="36">
        <f>SUM(O37:U37)</f>
        <v/>
      </c>
      <c r="AB37" s="36">
        <f>SUM(O37:Z37)</f>
        <v/>
      </c>
      <c r="AC37" s="38" t="n">
        <v>682</v>
      </c>
      <c r="AD37" s="38" t="n">
        <v>682</v>
      </c>
      <c r="AE37" s="38" t="n">
        <v>682</v>
      </c>
      <c r="AF37" s="38" t="n">
        <v>682</v>
      </c>
      <c r="AG37" s="38" t="n">
        <v>682</v>
      </c>
      <c r="AH37" s="38" t="n">
        <v>682</v>
      </c>
      <c r="AI37" s="118" t="n">
        <v>682</v>
      </c>
      <c r="AJ37" s="119" t="n">
        <v>682</v>
      </c>
      <c r="AK37" s="119" t="n">
        <v>682</v>
      </c>
      <c r="AL37" s="119" t="n">
        <v>682</v>
      </c>
      <c r="AM37" s="120" t="n">
        <v>682</v>
      </c>
      <c r="AN37" s="118" t="n">
        <v>682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872.46</v>
      </c>
      <c r="C38" s="35" t="n">
        <v>507.52</v>
      </c>
      <c r="D38" s="35" t="n">
        <v>466.58</v>
      </c>
      <c r="E38" s="35" t="n">
        <v>2967.25</v>
      </c>
      <c r="F38" s="35" t="n">
        <v>84.62</v>
      </c>
      <c r="G38" s="35" t="n">
        <v>279.5</v>
      </c>
      <c r="H38" s="35" t="n">
        <v>221.45</v>
      </c>
      <c r="I38" s="35" t="n">
        <v>960.99</v>
      </c>
      <c r="J38" s="35" t="n">
        <v>501.45</v>
      </c>
      <c r="K38" s="35" t="n">
        <v>437.86</v>
      </c>
      <c r="L38" s="35" t="n">
        <v>626.24</v>
      </c>
      <c r="M38" s="35" t="n">
        <v>739.01</v>
      </c>
      <c r="N38" s="36">
        <f>SUM(B38:M38)</f>
        <v/>
      </c>
      <c r="O38" s="37">
        <f>SUMIF('KIN TB'!$R:$R,'KIN P&amp;L'!$A38,'KIN TB'!C:C)</f>
        <v/>
      </c>
      <c r="P38" s="37">
        <f>SUMIF('KIN TB'!$R:$R,'KIN P&amp;L'!$A38,'KIN TB'!D:D)</f>
        <v/>
      </c>
      <c r="Q38" s="37">
        <f>SUMIF('KIN TB'!$R:$R,'KIN P&amp;L'!$A38,'KIN TB'!E:E)</f>
        <v/>
      </c>
      <c r="R38" s="37">
        <f>SUMIF('KIN TB'!$R:$R,'KIN P&amp;L'!$A38,'KIN TB'!F:F)</f>
        <v/>
      </c>
      <c r="S38" s="37">
        <f>SUMIF('KIN TB'!$R:$R,'KIN P&amp;L'!$A38,'KIN TB'!G:G)</f>
        <v/>
      </c>
      <c r="T38" s="37">
        <f>SUMIF('KIN TB'!$R:$R,'KIN P&amp;L'!$A38,'KIN TB'!H:H)</f>
        <v/>
      </c>
      <c r="U38" s="37">
        <f>SUMIF('KIN TB'!$R:$R,'KIN P&amp;L'!$A38,'KIN TB'!I:I)</f>
        <v/>
      </c>
      <c r="V38" s="38" t="n">
        <v>755</v>
      </c>
      <c r="W38" s="38" t="n">
        <v>755</v>
      </c>
      <c r="X38" s="38" t="n">
        <v>755</v>
      </c>
      <c r="Y38" s="38" t="n">
        <v>755</v>
      </c>
      <c r="Z38" s="38" t="n">
        <v>755</v>
      </c>
      <c r="AA38" s="36">
        <f>SUM(O38:U38)</f>
        <v/>
      </c>
      <c r="AB38" s="36">
        <f>SUM(O38:Z38)</f>
        <v/>
      </c>
      <c r="AC38" s="38" t="n">
        <v>755</v>
      </c>
      <c r="AD38" s="38" t="n">
        <v>755</v>
      </c>
      <c r="AE38" s="38" t="n">
        <v>755</v>
      </c>
      <c r="AF38" s="38" t="n">
        <v>755</v>
      </c>
      <c r="AG38" s="38" t="n">
        <v>755</v>
      </c>
      <c r="AH38" s="38" t="n">
        <v>755</v>
      </c>
      <c r="AI38" s="118" t="n">
        <v>755</v>
      </c>
      <c r="AJ38" s="119" t="n">
        <v>755</v>
      </c>
      <c r="AK38" s="119" t="n">
        <v>755</v>
      </c>
      <c r="AL38" s="119" t="n">
        <v>755</v>
      </c>
      <c r="AM38" s="120" t="n">
        <v>755</v>
      </c>
      <c r="AN38" s="118" t="n">
        <v>755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387.14</v>
      </c>
      <c r="C39" s="35" t="n">
        <v>108.38</v>
      </c>
      <c r="D39" s="35" t="n">
        <v>277.96</v>
      </c>
      <c r="E39" s="35" t="n">
        <v>372.75</v>
      </c>
      <c r="F39" s="35" t="n">
        <v>389.89</v>
      </c>
      <c r="G39" s="35" t="n">
        <v>0</v>
      </c>
      <c r="H39" s="35" t="n">
        <v>421.2</v>
      </c>
      <c r="I39" s="35" t="n">
        <v>252</v>
      </c>
      <c r="J39" s="35" t="n">
        <v>69.92</v>
      </c>
      <c r="K39" s="35" t="n">
        <v>0</v>
      </c>
      <c r="L39" s="35" t="n">
        <v>147.46</v>
      </c>
      <c r="M39" s="35" t="n">
        <v>108</v>
      </c>
      <c r="N39" s="36">
        <f>SUM(B39:M39)</f>
        <v/>
      </c>
      <c r="O39" s="37">
        <f>SUMIF('KIN TB'!$R:$R,'KIN P&amp;L'!$A39,'KIN TB'!C:C)</f>
        <v/>
      </c>
      <c r="P39" s="37">
        <f>SUMIF('KIN TB'!$R:$R,'KIN P&amp;L'!$A39,'KIN TB'!D:D)</f>
        <v/>
      </c>
      <c r="Q39" s="37">
        <f>SUMIF('KIN TB'!$R:$R,'KIN P&amp;L'!$A39,'KIN TB'!E:E)</f>
        <v/>
      </c>
      <c r="R39" s="37">
        <f>SUMIF('KIN TB'!$R:$R,'KIN P&amp;L'!$A39,'KIN TB'!F:F)</f>
        <v/>
      </c>
      <c r="S39" s="37">
        <f>SUMIF('KIN TB'!$R:$R,'KIN P&amp;L'!$A39,'KIN TB'!G:G)</f>
        <v/>
      </c>
      <c r="T39" s="37">
        <f>SUMIF('KIN TB'!$R:$R,'KIN P&amp;L'!$A39,'KIN TB'!H:H)</f>
        <v/>
      </c>
      <c r="U39" s="37">
        <f>SUMIF('KIN TB'!$R:$R,'KIN P&amp;L'!$A39,'KIN TB'!I:I)</f>
        <v/>
      </c>
      <c r="V39" s="38" t="n">
        <v>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8" t="n">
        <v>0</v>
      </c>
      <c r="AJ39" s="119" t="n">
        <v>0</v>
      </c>
      <c r="AK39" s="119" t="n">
        <v>0</v>
      </c>
      <c r="AL39" s="119" t="n">
        <v>0</v>
      </c>
      <c r="AM39" s="120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165.33</v>
      </c>
      <c r="C40" s="35" t="n">
        <v>90.19</v>
      </c>
      <c r="D40" s="35" t="n">
        <v>168.34</v>
      </c>
      <c r="E40" s="35" t="n">
        <v>290</v>
      </c>
      <c r="F40" s="35" t="n">
        <v>234.76</v>
      </c>
      <c r="G40" s="35" t="n">
        <v>142.75</v>
      </c>
      <c r="H40" s="35" t="n">
        <v>227.02</v>
      </c>
      <c r="I40" s="35" t="n">
        <v>220.38</v>
      </c>
      <c r="J40" s="35" t="n">
        <v>109.95</v>
      </c>
      <c r="K40" s="35" t="n">
        <v>206.87</v>
      </c>
      <c r="L40" s="35" t="n">
        <v>200.81</v>
      </c>
      <c r="M40" s="35" t="n">
        <v>0</v>
      </c>
      <c r="N40" s="36">
        <f>SUM(B40:M40)</f>
        <v/>
      </c>
      <c r="O40" s="37">
        <f>SUMIF('KIN TB'!$R:$R,'KIN P&amp;L'!$A40,'KIN TB'!C:C)</f>
        <v/>
      </c>
      <c r="P40" s="37">
        <f>SUMIF('KIN TB'!$R:$R,'KIN P&amp;L'!$A40,'KIN TB'!D:D)</f>
        <v/>
      </c>
      <c r="Q40" s="37">
        <f>SUMIF('KIN TB'!$R:$R,'KIN P&amp;L'!$A40,'KIN TB'!E:E)</f>
        <v/>
      </c>
      <c r="R40" s="37">
        <f>SUMIF('KIN TB'!$R:$R,'KIN P&amp;L'!$A40,'KIN TB'!F:F)</f>
        <v/>
      </c>
      <c r="S40" s="37">
        <f>SUMIF('KIN TB'!$R:$R,'KIN P&amp;L'!$A40,'KIN TB'!G:G)</f>
        <v/>
      </c>
      <c r="T40" s="37">
        <f>SUMIF('KIN TB'!$R:$R,'KIN P&amp;L'!$A40,'KIN TB'!H:H)</f>
        <v/>
      </c>
      <c r="U40" s="37">
        <f>SUMIF('KIN TB'!$R:$R,'KIN P&amp;L'!$A40,'KIN TB'!I:I)</f>
        <v/>
      </c>
      <c r="V40" s="38" t="n">
        <v>185</v>
      </c>
      <c r="W40" s="38" t="n">
        <v>185</v>
      </c>
      <c r="X40" s="38" t="n">
        <v>185</v>
      </c>
      <c r="Y40" s="38" t="n">
        <v>185</v>
      </c>
      <c r="Z40" s="38" t="n">
        <v>185</v>
      </c>
      <c r="AA40" s="36">
        <f>SUM(O40:U40)</f>
        <v/>
      </c>
      <c r="AB40" s="36">
        <f>SUM(O40:Z40)</f>
        <v/>
      </c>
      <c r="AC40" s="38" t="n">
        <v>185</v>
      </c>
      <c r="AD40" s="38" t="n">
        <v>185</v>
      </c>
      <c r="AE40" s="38" t="n">
        <v>185</v>
      </c>
      <c r="AF40" s="38" t="n">
        <v>185</v>
      </c>
      <c r="AG40" s="38" t="n">
        <v>185</v>
      </c>
      <c r="AH40" s="38" t="n">
        <v>185</v>
      </c>
      <c r="AI40" s="118" t="n">
        <v>185</v>
      </c>
      <c r="AJ40" s="119" t="n">
        <v>185</v>
      </c>
      <c r="AK40" s="119" t="n">
        <v>185</v>
      </c>
      <c r="AL40" s="119" t="n">
        <v>185</v>
      </c>
      <c r="AM40" s="120" t="n">
        <v>185</v>
      </c>
      <c r="AN40" s="118" t="n">
        <v>185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403.55</v>
      </c>
      <c r="C41" s="35" t="n">
        <v>655.55</v>
      </c>
      <c r="D41" s="35" t="n">
        <v>533.88</v>
      </c>
      <c r="E41" s="35" t="n">
        <v>385.87</v>
      </c>
      <c r="F41" s="35" t="n">
        <v>337.46</v>
      </c>
      <c r="G41" s="35" t="n">
        <v>361.96</v>
      </c>
      <c r="H41" s="35" t="n">
        <v>308.55</v>
      </c>
      <c r="I41" s="35" t="n">
        <v>322.85</v>
      </c>
      <c r="J41" s="35" t="n">
        <v>483.96</v>
      </c>
      <c r="K41" s="35" t="n">
        <v>430.55</v>
      </c>
      <c r="L41" s="35" t="n">
        <v>322.85</v>
      </c>
      <c r="M41" s="35" t="n">
        <v>376.2599999999999</v>
      </c>
      <c r="N41" s="36">
        <f>SUM(B41:M41)</f>
        <v/>
      </c>
      <c r="O41" s="37">
        <f>SUMIF('KIN TB'!$R:$R,'KIN P&amp;L'!$A41,'KIN TB'!C:C)</f>
        <v/>
      </c>
      <c r="P41" s="37">
        <f>SUMIF('KIN TB'!$R:$R,'KIN P&amp;L'!$A41,'KIN TB'!D:D)</f>
        <v/>
      </c>
      <c r="Q41" s="37">
        <f>SUMIF('KIN TB'!$R:$R,'KIN P&amp;L'!$A41,'KIN TB'!E:E)</f>
        <v/>
      </c>
      <c r="R41" s="37">
        <f>SUMIF('KIN TB'!$R:$R,'KIN P&amp;L'!$A41,'KIN TB'!F:F)</f>
        <v/>
      </c>
      <c r="S41" s="37">
        <f>SUMIF('KIN TB'!$R:$R,'KIN P&amp;L'!$A41,'KIN TB'!G:G)</f>
        <v/>
      </c>
      <c r="T41" s="37">
        <f>SUMIF('KIN TB'!$R:$R,'KIN P&amp;L'!$A41,'KIN TB'!H:H)</f>
        <v/>
      </c>
      <c r="U41" s="37">
        <f>SUMIF('KIN TB'!$R:$R,'KIN P&amp;L'!$A41,'KIN TB'!I:I)</f>
        <v/>
      </c>
      <c r="V41" s="38" t="n">
        <v>422</v>
      </c>
      <c r="W41" s="38" t="n">
        <v>422</v>
      </c>
      <c r="X41" s="38" t="n">
        <v>422</v>
      </c>
      <c r="Y41" s="38" t="n">
        <v>422</v>
      </c>
      <c r="Z41" s="38" t="n">
        <v>422</v>
      </c>
      <c r="AA41" s="36">
        <f>SUM(O41:U41)</f>
        <v/>
      </c>
      <c r="AB41" s="36">
        <f>SUM(O41:Z41)</f>
        <v/>
      </c>
      <c r="AC41" s="38" t="n">
        <v>422</v>
      </c>
      <c r="AD41" s="38" t="n">
        <v>422</v>
      </c>
      <c r="AE41" s="38" t="n">
        <v>422</v>
      </c>
      <c r="AF41" s="38" t="n">
        <v>422</v>
      </c>
      <c r="AG41" s="38" t="n">
        <v>422</v>
      </c>
      <c r="AH41" s="38" t="n">
        <v>422</v>
      </c>
      <c r="AI41" s="118" t="n">
        <v>422</v>
      </c>
      <c r="AJ41" s="119" t="n">
        <v>422</v>
      </c>
      <c r="AK41" s="119" t="n">
        <v>422</v>
      </c>
      <c r="AL41" s="119" t="n">
        <v>422</v>
      </c>
      <c r="AM41" s="120" t="n">
        <v>422</v>
      </c>
      <c r="AN41" s="118" t="n">
        <v>422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43.45</v>
      </c>
      <c r="C42" s="35" t="n">
        <v>71.89999999999999</v>
      </c>
      <c r="D42" s="35" t="n">
        <v>34.49</v>
      </c>
      <c r="E42" s="35" t="n">
        <v>38.27</v>
      </c>
      <c r="F42" s="35" t="n">
        <v>56.39</v>
      </c>
      <c r="G42" s="35" t="n">
        <v>29.28</v>
      </c>
      <c r="H42" s="35" t="n">
        <v>17.79</v>
      </c>
      <c r="I42" s="35" t="n">
        <v>23.77</v>
      </c>
      <c r="J42" s="35" t="n">
        <v>49.73</v>
      </c>
      <c r="K42" s="35" t="n">
        <v>24.86</v>
      </c>
      <c r="L42" s="35" t="n">
        <v>23.78</v>
      </c>
      <c r="M42" s="35" t="n">
        <v>25.28</v>
      </c>
      <c r="N42" s="36">
        <f>SUM(B42:M42)</f>
        <v/>
      </c>
      <c r="O42" s="37">
        <f>SUMIF('KIN TB'!$R:$R,'KIN P&amp;L'!$A42,'KIN TB'!C:C)</f>
        <v/>
      </c>
      <c r="P42" s="37">
        <f>SUMIF('KIN TB'!$R:$R,'KIN P&amp;L'!$A42,'KIN TB'!D:D)</f>
        <v/>
      </c>
      <c r="Q42" s="37">
        <f>SUMIF('KIN TB'!$R:$R,'KIN P&amp;L'!$A42,'KIN TB'!E:E)</f>
        <v/>
      </c>
      <c r="R42" s="37">
        <f>SUMIF('KIN TB'!$R:$R,'KIN P&amp;L'!$A42,'KIN TB'!F:F)</f>
        <v/>
      </c>
      <c r="S42" s="37">
        <f>SUMIF('KIN TB'!$R:$R,'KIN P&amp;L'!$A42,'KIN TB'!G:G)</f>
        <v/>
      </c>
      <c r="T42" s="37">
        <f>SUMIF('KIN TB'!$R:$R,'KIN P&amp;L'!$A42,'KIN TB'!H:H)</f>
        <v/>
      </c>
      <c r="U42" s="37">
        <f>SUMIF('KIN TB'!$R:$R,'KIN P&amp;L'!$A42,'KIN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8" t="n">
        <v>0</v>
      </c>
      <c r="AJ42" s="119" t="n">
        <v>0</v>
      </c>
      <c r="AK42" s="119" t="n">
        <v>0</v>
      </c>
      <c r="AL42" s="119" t="n">
        <v>0</v>
      </c>
      <c r="AM42" s="120" t="n">
        <v>0</v>
      </c>
      <c r="AN42" s="118" t="n">
        <v>0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SUMIF('KIN TB'!$R:$R,'KIN P&amp;L'!$A43,'KIN TB'!C:C)</f>
        <v/>
      </c>
      <c r="P43" s="37">
        <f>SUMIF('KIN TB'!$R:$R,'KIN P&amp;L'!$A43,'KIN TB'!D:D)</f>
        <v/>
      </c>
      <c r="Q43" s="37">
        <f>SUMIF('KIN TB'!$R:$R,'KIN P&amp;L'!$A43,'KIN TB'!E:E)</f>
        <v/>
      </c>
      <c r="R43" s="37">
        <f>SUMIF('KIN TB'!$R:$R,'KIN P&amp;L'!$A43,'KIN TB'!F:F)</f>
        <v/>
      </c>
      <c r="S43" s="37">
        <f>SUMIF('KIN TB'!$R:$R,'KIN P&amp;L'!$A43,'KIN TB'!G:G)</f>
        <v/>
      </c>
      <c r="T43" s="37">
        <f>SUMIF('KIN TB'!$R:$R,'KIN P&amp;L'!$A43,'KIN TB'!H:H)</f>
        <v/>
      </c>
      <c r="U43" s="37">
        <f>SUMIF('KIN TB'!$R:$R,'KIN P&amp;L'!$A43,'KIN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8" t="n">
        <v>0</v>
      </c>
      <c r="AJ43" s="119" t="n">
        <v>0</v>
      </c>
      <c r="AK43" s="119" t="n">
        <v>0</v>
      </c>
      <c r="AL43" s="119" t="n">
        <v>0</v>
      </c>
      <c r="AM43" s="120" t="n">
        <v>0</v>
      </c>
      <c r="AN43" s="118" t="n">
        <v>0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SUMIF('KIN TB'!$R:$R,'KIN P&amp;L'!$A44,'KIN TB'!C:C)</f>
        <v/>
      </c>
      <c r="P44" s="37">
        <f>SUMIF('KIN TB'!$R:$R,'KIN P&amp;L'!$A44,'KIN TB'!D:D)</f>
        <v/>
      </c>
      <c r="Q44" s="37">
        <f>SUMIF('KIN TB'!$R:$R,'KIN P&amp;L'!$A44,'KIN TB'!E:E)</f>
        <v/>
      </c>
      <c r="R44" s="37">
        <f>SUMIF('KIN TB'!$R:$R,'KIN P&amp;L'!$A44,'KIN TB'!F:F)</f>
        <v/>
      </c>
      <c r="S44" s="37">
        <f>SUMIF('KIN TB'!$R:$R,'KIN P&amp;L'!$A44,'KIN TB'!G:G)</f>
        <v/>
      </c>
      <c r="T44" s="37">
        <f>SUMIF('KIN TB'!$R:$R,'KIN P&amp;L'!$A44,'KIN TB'!H:H)</f>
        <v/>
      </c>
      <c r="U44" s="37">
        <f>SUMIF('KIN TB'!$R:$R,'KIN P&amp;L'!$A44,'KIN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8" t="n">
        <v>0</v>
      </c>
      <c r="AJ44" s="119" t="n">
        <v>0</v>
      </c>
      <c r="AK44" s="119" t="n">
        <v>0</v>
      </c>
      <c r="AL44" s="119" t="n">
        <v>0</v>
      </c>
      <c r="AM44" s="120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7.99</v>
      </c>
      <c r="C45" s="35" t="n">
        <v>0</v>
      </c>
      <c r="D45" s="35" t="n">
        <v>143.21</v>
      </c>
      <c r="E45" s="35" t="n">
        <v>0</v>
      </c>
      <c r="F45" s="35" t="n">
        <v>0</v>
      </c>
      <c r="G45" s="35" t="n">
        <v>265</v>
      </c>
      <c r="H45" s="35" t="n">
        <v>0</v>
      </c>
      <c r="I45" s="35" t="n">
        <v>45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SUMIF('KIN TB'!$R:$R,'KIN P&amp;L'!$A45,'KIN TB'!C:C)</f>
        <v/>
      </c>
      <c r="P45" s="37">
        <f>SUMIF('KIN TB'!$R:$R,'KIN P&amp;L'!$A45,'KIN TB'!D:D)</f>
        <v/>
      </c>
      <c r="Q45" s="37">
        <f>SUMIF('KIN TB'!$R:$R,'KIN P&amp;L'!$A45,'KIN TB'!E:E)</f>
        <v/>
      </c>
      <c r="R45" s="37">
        <f>SUMIF('KIN TB'!$R:$R,'KIN P&amp;L'!$A45,'KIN TB'!F:F)</f>
        <v/>
      </c>
      <c r="S45" s="37">
        <f>SUMIF('KIN TB'!$R:$R,'KIN P&amp;L'!$A45,'KIN TB'!G:G)</f>
        <v/>
      </c>
      <c r="T45" s="37">
        <f>SUMIF('KIN TB'!$R:$R,'KIN P&amp;L'!$A45,'KIN TB'!H:H)</f>
        <v/>
      </c>
      <c r="U45" s="37">
        <f>SUMIF('KIN TB'!$R:$R,'KIN P&amp;L'!$A45,'KIN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8" t="n">
        <v>100</v>
      </c>
      <c r="AJ45" s="119" t="n">
        <v>100</v>
      </c>
      <c r="AK45" s="119" t="n">
        <v>100</v>
      </c>
      <c r="AL45" s="119" t="n">
        <v>100</v>
      </c>
      <c r="AM45" s="120" t="n">
        <v>100</v>
      </c>
      <c r="AN45" s="118" t="n">
        <v>100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SUMIF('KIN TB'!$R:$R,'KIN P&amp;L'!$A46,'KIN TB'!C:C)</f>
        <v/>
      </c>
      <c r="P46" s="37">
        <f>SUMIF('KIN TB'!$R:$R,'KIN P&amp;L'!$A46,'KIN TB'!D:D)</f>
        <v/>
      </c>
      <c r="Q46" s="37">
        <f>SUMIF('KIN TB'!$R:$R,'KIN P&amp;L'!$A46,'KIN TB'!E:E)</f>
        <v/>
      </c>
      <c r="R46" s="37">
        <f>SUMIF('KIN TB'!$R:$R,'KIN P&amp;L'!$A46,'KIN TB'!F:F)</f>
        <v/>
      </c>
      <c r="S46" s="37">
        <f>SUMIF('KIN TB'!$R:$R,'KIN P&amp;L'!$A46,'KIN TB'!G:G)</f>
        <v/>
      </c>
      <c r="T46" s="37">
        <f>SUMIF('KIN TB'!$R:$R,'KIN P&amp;L'!$A46,'KIN TB'!H:H)</f>
        <v/>
      </c>
      <c r="U46" s="37">
        <f>SUMIF('KIN TB'!$R:$R,'KIN P&amp;L'!$A46,'KIN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8" t="n">
        <v>0</v>
      </c>
      <c r="AJ46" s="119" t="n">
        <v>0</v>
      </c>
      <c r="AK46" s="119" t="n">
        <v>0</v>
      </c>
      <c r="AL46" s="119" t="n">
        <v>0</v>
      </c>
      <c r="AM46" s="120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2638.82</v>
      </c>
      <c r="C47" s="42" t="n">
        <v>2192.44</v>
      </c>
      <c r="D47" s="42" t="n">
        <v>2383.36</v>
      </c>
      <c r="E47" s="42" t="n">
        <v>4813.04</v>
      </c>
      <c r="F47" s="42" t="n">
        <v>1862.02</v>
      </c>
      <c r="G47" s="42" t="n">
        <v>1837.39</v>
      </c>
      <c r="H47" s="42" t="n">
        <v>1954.91</v>
      </c>
      <c r="I47" s="42" t="n">
        <v>2583.89</v>
      </c>
      <c r="J47" s="42" t="n">
        <v>1973.91</v>
      </c>
      <c r="K47" s="42" t="n">
        <v>1859.04</v>
      </c>
      <c r="L47" s="42" t="n">
        <v>2080.04</v>
      </c>
      <c r="M47" s="42" t="n">
        <v>2007.45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3">
        <f>SUM(AI36:AI46)</f>
        <v/>
      </c>
      <c r="AJ47" s="124">
        <f>SUM(AJ36:AJ46)</f>
        <v/>
      </c>
      <c r="AK47" s="124">
        <f>SUM(AK36:AK46)</f>
        <v/>
      </c>
      <c r="AL47" s="124">
        <f>SUM(AL36:AL46)</f>
        <v/>
      </c>
      <c r="AM47" s="137">
        <f>SUM(AM36:AM46)</f>
        <v/>
      </c>
      <c r="AN47" s="123">
        <f>SUM(AN36:AN46)</f>
        <v/>
      </c>
      <c r="AO47" s="125">
        <f>SUM(AC47:AH47)+SUM(AI47:AN47)</f>
        <v/>
      </c>
      <c r="AP47" s="126">
        <f>IF(AB47&lt;&gt;0,(AO47-AB47)/ABS(AB47),0)</f>
        <v/>
      </c>
    </row>
    <row r="48">
      <c r="A48" s="22" t="inlineStr">
        <is>
          <t>Total Direct Costs</t>
        </is>
      </c>
      <c r="B48" s="23" t="n">
        <v>18936.88</v>
      </c>
      <c r="C48" s="23" t="n">
        <v>22085.18</v>
      </c>
      <c r="D48" s="23" t="n">
        <v>21238.68</v>
      </c>
      <c r="E48" s="23" t="n">
        <v>23706.79</v>
      </c>
      <c r="F48" s="23" t="n">
        <v>21966.33</v>
      </c>
      <c r="G48" s="23" t="n">
        <v>21734.39</v>
      </c>
      <c r="H48" s="23" t="n">
        <v>22183.01</v>
      </c>
      <c r="I48" s="23" t="n">
        <v>21824.39</v>
      </c>
      <c r="J48" s="23" t="n">
        <v>22502.31</v>
      </c>
      <c r="K48" s="23" t="n">
        <v>21827.26</v>
      </c>
      <c r="L48" s="23" t="n">
        <v>22226.15000000001</v>
      </c>
      <c r="M48" s="23" t="n">
        <v>20068.34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3">
        <f>AI25+AI34+AI47</f>
        <v/>
      </c>
      <c r="AJ48" s="147">
        <f>AJ25+AJ34+AJ47</f>
        <v/>
      </c>
      <c r="AK48" s="147">
        <f>AK25+AK34+AK47</f>
        <v/>
      </c>
      <c r="AL48" s="147">
        <f>AL25+AL34+AL47</f>
        <v/>
      </c>
      <c r="AM48" s="147">
        <f>AM25+AM34+AM47</f>
        <v/>
      </c>
      <c r="AN48" s="123">
        <f>AN25+AN34+AN47</f>
        <v/>
      </c>
      <c r="AO48" s="121">
        <f>SUM(AC48:AH48)+SUM(AI48:AN48)</f>
        <v/>
      </c>
      <c r="AP48" s="122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10423.18</v>
      </c>
      <c r="C50" s="55" t="n">
        <v>4759.940000000002</v>
      </c>
      <c r="D50" s="55" t="n">
        <v>9242.059999999998</v>
      </c>
      <c r="E50" s="55" t="n">
        <v>10527.52</v>
      </c>
      <c r="F50" s="55" t="n">
        <v>9786.009999999998</v>
      </c>
      <c r="G50" s="55" t="n">
        <v>11963.71</v>
      </c>
      <c r="H50" s="55" t="n">
        <v>28732.39999999999</v>
      </c>
      <c r="I50" s="55" t="n">
        <v>9445.139999999999</v>
      </c>
      <c r="J50" s="55" t="n">
        <v>3773.810000000001</v>
      </c>
      <c r="K50" s="55" t="n">
        <v>4362.52</v>
      </c>
      <c r="L50" s="55" t="n">
        <v>12109.82999999999</v>
      </c>
      <c r="M50" s="55" t="n">
        <v>21031.25999999999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0">
        <f>AI11-AI48</f>
        <v/>
      </c>
      <c r="AJ50" s="140">
        <f>AJ11-AJ48</f>
        <v/>
      </c>
      <c r="AK50" s="140">
        <f>AK11-AK48</f>
        <v/>
      </c>
      <c r="AL50" s="140">
        <f>AL11-AL48</f>
        <v/>
      </c>
      <c r="AM50" s="140">
        <f>AM11-AM48</f>
        <v/>
      </c>
      <c r="AN50" s="140">
        <f>AN11-AN48</f>
        <v/>
      </c>
      <c r="AO50" s="141">
        <f>SUM(AC50:AH50)+SUM(AI50:AN50)</f>
        <v/>
      </c>
      <c r="AP50" s="14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SUMIF('KIN TB'!$R:$R,'KIN P&amp;L'!$A53,'KIN TB'!C:C)</f>
        <v/>
      </c>
      <c r="P53" s="37">
        <f>SUMIF('KIN TB'!$R:$R,'KIN P&amp;L'!$A53,'KIN TB'!D:D)</f>
        <v/>
      </c>
      <c r="Q53" s="37">
        <f>SUMIF('KIN TB'!$R:$R,'KIN P&amp;L'!$A53,'KIN TB'!E:E)</f>
        <v/>
      </c>
      <c r="R53" s="37">
        <f>SUMIF('KIN TB'!$R:$R,'KIN P&amp;L'!$A53,'KIN TB'!F:F)</f>
        <v/>
      </c>
      <c r="S53" s="37">
        <f>SUMIF('KIN TB'!$R:$R,'KIN P&amp;L'!$A53,'KIN TB'!G:G)</f>
        <v/>
      </c>
      <c r="T53" s="37">
        <f>SUMIF('KIN TB'!$R:$R,'KIN P&amp;L'!$A53,'KIN TB'!H:H)</f>
        <v/>
      </c>
      <c r="U53" s="37">
        <f>SUMIF('KIN TB'!$R:$R,'KIN P&amp;L'!$A53,'KIN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8" t="n">
        <v>0</v>
      </c>
      <c r="AJ53" s="119" t="n">
        <v>0</v>
      </c>
      <c r="AK53" s="119" t="n">
        <v>0</v>
      </c>
      <c r="AL53" s="119" t="n">
        <v>0</v>
      </c>
      <c r="AM53" s="120" t="n">
        <v>0</v>
      </c>
      <c r="AN53" s="118" t="n">
        <v>0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SUMIF('KIN TB'!$R:$R,'KIN P&amp;L'!$A54,'KIN TB'!C:C)</f>
        <v/>
      </c>
      <c r="P54" s="37">
        <f>SUMIF('KIN TB'!$R:$R,'KIN P&amp;L'!$A54,'KIN TB'!D:D)</f>
        <v/>
      </c>
      <c r="Q54" s="37">
        <f>SUMIF('KIN TB'!$R:$R,'KIN P&amp;L'!$A54,'KIN TB'!E:E)</f>
        <v/>
      </c>
      <c r="R54" s="37">
        <f>SUMIF('KIN TB'!$R:$R,'KIN P&amp;L'!$A54,'KIN TB'!F:F)</f>
        <v/>
      </c>
      <c r="S54" s="37">
        <f>SUMIF('KIN TB'!$R:$R,'KIN P&amp;L'!$A54,'KIN TB'!G:G)</f>
        <v/>
      </c>
      <c r="T54" s="37">
        <f>SUMIF('KIN TB'!$R:$R,'KIN P&amp;L'!$A54,'KIN TB'!H:H)</f>
        <v/>
      </c>
      <c r="U54" s="37">
        <f>SUMIF('KIN TB'!$R:$R,'KIN P&amp;L'!$A54,'KIN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8" t="n">
        <v>0</v>
      </c>
      <c r="AJ54" s="119" t="n">
        <v>0</v>
      </c>
      <c r="AK54" s="119" t="n">
        <v>0</v>
      </c>
      <c r="AL54" s="119" t="n">
        <v>0</v>
      </c>
      <c r="AM54" s="120" t="n">
        <v>0</v>
      </c>
      <c r="AN54" s="118" t="n">
        <v>0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SUMIF('KIN TB'!$R:$R,'KIN P&amp;L'!$A55,'KIN TB'!C:C)</f>
        <v/>
      </c>
      <c r="P55" s="37">
        <f>SUMIF('KIN TB'!$R:$R,'KIN P&amp;L'!$A55,'KIN TB'!D:D)</f>
        <v/>
      </c>
      <c r="Q55" s="37">
        <f>SUMIF('KIN TB'!$R:$R,'KIN P&amp;L'!$A55,'KIN TB'!E:E)</f>
        <v/>
      </c>
      <c r="R55" s="37">
        <f>SUMIF('KIN TB'!$R:$R,'KIN P&amp;L'!$A55,'KIN TB'!F:F)</f>
        <v/>
      </c>
      <c r="S55" s="37">
        <f>SUMIF('KIN TB'!$R:$R,'KIN P&amp;L'!$A55,'KIN TB'!G:G)</f>
        <v/>
      </c>
      <c r="T55" s="37">
        <f>SUMIF('KIN TB'!$R:$R,'KIN P&amp;L'!$A55,'KIN TB'!H:H)</f>
        <v/>
      </c>
      <c r="U55" s="37">
        <f>SUMIF('KIN TB'!$R:$R,'KIN P&amp;L'!$A55,'KIN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8" t="n">
        <v>0</v>
      </c>
      <c r="AJ55" s="119" t="n">
        <v>0</v>
      </c>
      <c r="AK55" s="119" t="n">
        <v>0</v>
      </c>
      <c r="AL55" s="119" t="n">
        <v>0</v>
      </c>
      <c r="AM55" s="120" t="n">
        <v>0</v>
      </c>
      <c r="AN55" s="118" t="n">
        <v>0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SUMIF('KIN TB'!$R:$R,'KIN P&amp;L'!$A56,'KIN TB'!C:C)</f>
        <v/>
      </c>
      <c r="P56" s="37">
        <f>SUMIF('KIN TB'!$R:$R,'KIN P&amp;L'!$A56,'KIN TB'!D:D)</f>
        <v/>
      </c>
      <c r="Q56" s="37">
        <f>SUMIF('KIN TB'!$R:$R,'KIN P&amp;L'!$A56,'KIN TB'!E:E)</f>
        <v/>
      </c>
      <c r="R56" s="37">
        <f>SUMIF('KIN TB'!$R:$R,'KIN P&amp;L'!$A56,'KIN TB'!F:F)</f>
        <v/>
      </c>
      <c r="S56" s="37">
        <f>SUMIF('KIN TB'!$R:$R,'KIN P&amp;L'!$A56,'KIN TB'!G:G)</f>
        <v/>
      </c>
      <c r="T56" s="37">
        <f>SUMIF('KIN TB'!$R:$R,'KIN P&amp;L'!$A56,'KIN TB'!H:H)</f>
        <v/>
      </c>
      <c r="U56" s="37">
        <f>SUMIF('KIN TB'!$R:$R,'KIN P&amp;L'!$A56,'KIN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8" t="n">
        <v>0</v>
      </c>
      <c r="AJ56" s="119" t="n">
        <v>0</v>
      </c>
      <c r="AK56" s="119" t="n">
        <v>0</v>
      </c>
      <c r="AL56" s="119" t="n">
        <v>0</v>
      </c>
      <c r="AM56" s="120" t="n">
        <v>0</v>
      </c>
      <c r="AN56" s="118" t="n">
        <v>0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270</v>
      </c>
      <c r="M57" s="35" t="n">
        <v>0</v>
      </c>
      <c r="N57" s="36">
        <f>SUM(B57:M57)</f>
        <v/>
      </c>
      <c r="O57" s="37">
        <f>SUMIF('KIN TB'!$R:$R,'KIN P&amp;L'!$A57,'KIN TB'!C:C)</f>
        <v/>
      </c>
      <c r="P57" s="37">
        <f>SUMIF('KIN TB'!$R:$R,'KIN P&amp;L'!$A57,'KIN TB'!D:D)</f>
        <v/>
      </c>
      <c r="Q57" s="37">
        <f>SUMIF('KIN TB'!$R:$R,'KIN P&amp;L'!$A57,'KIN TB'!E:E)</f>
        <v/>
      </c>
      <c r="R57" s="37">
        <f>SUMIF('KIN TB'!$R:$R,'KIN P&amp;L'!$A57,'KIN TB'!F:F)</f>
        <v/>
      </c>
      <c r="S57" s="37">
        <f>SUMIF('KIN TB'!$R:$R,'KIN P&amp;L'!$A57,'KIN TB'!G:G)</f>
        <v/>
      </c>
      <c r="T57" s="37">
        <f>SUMIF('KIN TB'!$R:$R,'KIN P&amp;L'!$A57,'KIN TB'!H:H)</f>
        <v/>
      </c>
      <c r="U57" s="37">
        <f>SUMIF('KIN TB'!$R:$R,'KIN P&amp;L'!$A57,'KIN TB'!I:I)</f>
        <v/>
      </c>
      <c r="V57" s="38" t="n"/>
      <c r="W57" s="38" t="n"/>
      <c r="X57" s="38" t="n"/>
      <c r="Y57" s="38" t="n"/>
      <c r="Z57" s="38">
        <f>8*30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18" t="n">
        <v>0</v>
      </c>
      <c r="AJ57" s="119" t="n">
        <v>0</v>
      </c>
      <c r="AK57" s="119" t="n">
        <v>0</v>
      </c>
      <c r="AL57" s="119" t="n">
        <v>0</v>
      </c>
      <c r="AM57" s="120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SUMIF('KIN TB'!$R:$R,'KIN P&amp;L'!$A58,'KIN TB'!C:C)</f>
        <v/>
      </c>
      <c r="P58" s="37">
        <f>SUMIF('KIN TB'!$R:$R,'KIN P&amp;L'!$A58,'KIN TB'!D:D)</f>
        <v/>
      </c>
      <c r="Q58" s="37">
        <f>SUMIF('KIN TB'!$R:$R,'KIN P&amp;L'!$A58,'KIN TB'!E:E)</f>
        <v/>
      </c>
      <c r="R58" s="37">
        <f>SUMIF('KIN TB'!$R:$R,'KIN P&amp;L'!$A58,'KIN TB'!F:F)</f>
        <v/>
      </c>
      <c r="S58" s="37">
        <f>SUMIF('KIN TB'!$R:$R,'KIN P&amp;L'!$A58,'KIN TB'!G:G)</f>
        <v/>
      </c>
      <c r="T58" s="37">
        <f>SUMIF('KIN TB'!$R:$R,'KIN P&amp;L'!$A58,'KIN TB'!H:H)</f>
        <v/>
      </c>
      <c r="U58" s="37">
        <f>SUMIF('KIN TB'!$R:$R,'KIN P&amp;L'!$A58,'KIN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8" t="n">
        <v>0</v>
      </c>
      <c r="AJ58" s="119" t="n">
        <v>0</v>
      </c>
      <c r="AK58" s="119" t="n">
        <v>0</v>
      </c>
      <c r="AL58" s="119" t="n">
        <v>0</v>
      </c>
      <c r="AM58" s="120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SUMIF('KIN TB'!$R:$R,'KIN P&amp;L'!$A59,'KIN TB'!C:C)</f>
        <v/>
      </c>
      <c r="P59" s="37">
        <f>SUMIF('KIN TB'!$R:$R,'KIN P&amp;L'!$A59,'KIN TB'!D:D)</f>
        <v/>
      </c>
      <c r="Q59" s="37">
        <f>SUMIF('KIN TB'!$R:$R,'KIN P&amp;L'!$A59,'KIN TB'!E:E)</f>
        <v/>
      </c>
      <c r="R59" s="37">
        <f>SUMIF('KIN TB'!$R:$R,'KIN P&amp;L'!$A59,'KIN TB'!F:F)</f>
        <v/>
      </c>
      <c r="S59" s="37">
        <f>SUMIF('KIN TB'!$R:$R,'KIN P&amp;L'!$A59,'KIN TB'!G:G)</f>
        <v/>
      </c>
      <c r="T59" s="37">
        <f>SUMIF('KIN TB'!$R:$R,'KIN P&amp;L'!$A59,'KIN TB'!H:H)</f>
        <v/>
      </c>
      <c r="U59" s="37">
        <f>SUMIF('KIN TB'!$R:$R,'KIN P&amp;L'!$A59,'KIN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18" t="n">
        <v>0</v>
      </c>
      <c r="AJ59" s="119" t="n">
        <v>0</v>
      </c>
      <c r="AK59" s="119" t="n">
        <v>0</v>
      </c>
      <c r="AL59" s="119" t="n">
        <v>0</v>
      </c>
      <c r="AM59" s="120" t="n">
        <v>0</v>
      </c>
      <c r="AN59" s="118" t="n">
        <v>0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1.8</v>
      </c>
      <c r="C60" s="35" t="n">
        <v>0.6</v>
      </c>
      <c r="D60" s="35" t="n">
        <v>3.6</v>
      </c>
      <c r="E60" s="35" t="n">
        <v>0.6</v>
      </c>
      <c r="F60" s="35" t="n">
        <v>1.2</v>
      </c>
      <c r="G60" s="35" t="n">
        <v>1.8</v>
      </c>
      <c r="H60" s="35" t="n">
        <v>2.4</v>
      </c>
      <c r="I60" s="35" t="n">
        <v>2.4</v>
      </c>
      <c r="J60" s="35" t="n">
        <v>2.4</v>
      </c>
      <c r="K60" s="35" t="n">
        <v>69.39999999999999</v>
      </c>
      <c r="L60" s="35" t="n">
        <v>2.4</v>
      </c>
      <c r="M60" s="35" t="n">
        <v>2.4</v>
      </c>
      <c r="N60" s="36">
        <f>SUM(B60:M60)</f>
        <v/>
      </c>
      <c r="O60" s="37">
        <f>SUMIF('KIN TB'!$R:$R,'KIN P&amp;L'!$A60,'KIN TB'!C:C)</f>
        <v/>
      </c>
      <c r="P60" s="37">
        <f>SUMIF('KIN TB'!$R:$R,'KIN P&amp;L'!$A60,'KIN TB'!D:D)</f>
        <v/>
      </c>
      <c r="Q60" s="37">
        <f>SUMIF('KIN TB'!$R:$R,'KIN P&amp;L'!$A60,'KIN TB'!E:E)</f>
        <v/>
      </c>
      <c r="R60" s="37">
        <f>SUMIF('KIN TB'!$R:$R,'KIN P&amp;L'!$A60,'KIN TB'!F:F)</f>
        <v/>
      </c>
      <c r="S60" s="37">
        <f>SUMIF('KIN TB'!$R:$R,'KIN P&amp;L'!$A60,'KIN TB'!G:G)</f>
        <v/>
      </c>
      <c r="T60" s="37">
        <f>SUMIF('KIN TB'!$R:$R,'KIN P&amp;L'!$A60,'KIN TB'!H:H)</f>
        <v/>
      </c>
      <c r="U60" s="37">
        <f>SUMIF('KIN TB'!$R:$R,'KIN P&amp;L'!$A60,'KIN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8" t="n">
        <v>0</v>
      </c>
      <c r="AJ60" s="119" t="n">
        <v>0</v>
      </c>
      <c r="AK60" s="119" t="n">
        <v>0</v>
      </c>
      <c r="AL60" s="119" t="n">
        <v>0</v>
      </c>
      <c r="AM60" s="120" t="n">
        <v>0</v>
      </c>
      <c r="AN60" s="118" t="n">
        <v>0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3.25</v>
      </c>
      <c r="E61" s="35" t="n">
        <v>118.59</v>
      </c>
      <c r="F61" s="35" t="n">
        <v>48.23</v>
      </c>
      <c r="G61" s="35" t="n">
        <v>16.7</v>
      </c>
      <c r="H61" s="35" t="n">
        <v>47.99</v>
      </c>
      <c r="I61" s="35" t="n">
        <v>0</v>
      </c>
      <c r="J61" s="35" t="n">
        <v>0</v>
      </c>
      <c r="K61" s="35" t="n">
        <v>169.7</v>
      </c>
      <c r="L61" s="35" t="n">
        <v>63.97</v>
      </c>
      <c r="M61" s="35" t="n">
        <v>25.63</v>
      </c>
      <c r="N61" s="36">
        <f>SUM(B61:M61)</f>
        <v/>
      </c>
      <c r="O61" s="37">
        <f>SUMIF('KIN TB'!$R:$R,'KIN P&amp;L'!$A61,'KIN TB'!C:C)</f>
        <v/>
      </c>
      <c r="P61" s="37">
        <f>SUMIF('KIN TB'!$R:$R,'KIN P&amp;L'!$A61,'KIN TB'!D:D)</f>
        <v/>
      </c>
      <c r="Q61" s="37">
        <f>SUMIF('KIN TB'!$R:$R,'KIN P&amp;L'!$A61,'KIN TB'!E:E)</f>
        <v/>
      </c>
      <c r="R61" s="37">
        <f>SUMIF('KIN TB'!$R:$R,'KIN P&amp;L'!$A61,'KIN TB'!F:F)</f>
        <v/>
      </c>
      <c r="S61" s="37">
        <f>SUMIF('KIN TB'!$R:$R,'KIN P&amp;L'!$A61,'KIN TB'!G:G)</f>
        <v/>
      </c>
      <c r="T61" s="37">
        <f>SUMIF('KIN TB'!$R:$R,'KIN P&amp;L'!$A61,'KIN TB'!H:H)</f>
        <v/>
      </c>
      <c r="U61" s="37">
        <f>SUMIF('KIN TB'!$R:$R,'KIN P&amp;L'!$A61,'KIN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8" t="n">
        <v>0</v>
      </c>
      <c r="AJ61" s="119" t="n">
        <v>0</v>
      </c>
      <c r="AK61" s="119" t="n">
        <v>0</v>
      </c>
      <c r="AL61" s="119" t="n">
        <v>0</v>
      </c>
      <c r="AM61" s="120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40</v>
      </c>
      <c r="D62" s="35" t="n">
        <v>0</v>
      </c>
      <c r="E62" s="35" t="n">
        <v>30</v>
      </c>
      <c r="F62" s="35" t="n">
        <v>0</v>
      </c>
      <c r="G62" s="35" t="n">
        <v>0</v>
      </c>
      <c r="H62" s="35" t="n">
        <v>71.5</v>
      </c>
      <c r="I62" s="35" t="n">
        <v>0</v>
      </c>
      <c r="J62" s="35" t="n">
        <v>18</v>
      </c>
      <c r="K62" s="35" t="n">
        <v>56</v>
      </c>
      <c r="L62" s="35" t="n">
        <v>15</v>
      </c>
      <c r="M62" s="35" t="n">
        <v>20</v>
      </c>
      <c r="N62" s="36">
        <f>SUM(B62:M62)</f>
        <v/>
      </c>
      <c r="O62" s="37">
        <f>SUMIF('KIN TB'!$R:$R,'KIN P&amp;L'!$A62,'KIN TB'!C:C)</f>
        <v/>
      </c>
      <c r="P62" s="37">
        <f>SUMIF('KIN TB'!$R:$R,'KIN P&amp;L'!$A62,'KIN TB'!D:D)</f>
        <v/>
      </c>
      <c r="Q62" s="37">
        <f>SUMIF('KIN TB'!$R:$R,'KIN P&amp;L'!$A62,'KIN TB'!E:E)</f>
        <v/>
      </c>
      <c r="R62" s="37">
        <f>SUMIF('KIN TB'!$R:$R,'KIN P&amp;L'!$A62,'KIN TB'!F:F)</f>
        <v/>
      </c>
      <c r="S62" s="37">
        <f>SUMIF('KIN TB'!$R:$R,'KIN P&amp;L'!$A62,'KIN TB'!G:G)</f>
        <v/>
      </c>
      <c r="T62" s="37">
        <f>SUMIF('KIN TB'!$R:$R,'KIN P&amp;L'!$A62,'KIN TB'!H:H)</f>
        <v/>
      </c>
      <c r="U62" s="37">
        <f>SUMIF('KIN TB'!$R:$R,'KIN P&amp;L'!$A62,'KIN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8" t="n">
        <v>0</v>
      </c>
      <c r="AJ62" s="119" t="n">
        <v>0</v>
      </c>
      <c r="AK62" s="119" t="n">
        <v>0</v>
      </c>
      <c r="AL62" s="119" t="n">
        <v>0</v>
      </c>
      <c r="AM62" s="120" t="n">
        <v>0</v>
      </c>
      <c r="AN62" s="118" t="n">
        <v>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SUMIF('KIN TB'!$R:$R,'KIN P&amp;L'!$A63,'KIN TB'!C:C)</f>
        <v/>
      </c>
      <c r="P63" s="37">
        <f>SUMIF('KIN TB'!$R:$R,'KIN P&amp;L'!$A63,'KIN TB'!D:D)</f>
        <v/>
      </c>
      <c r="Q63" s="37">
        <f>SUMIF('KIN TB'!$R:$R,'KIN P&amp;L'!$A63,'KIN TB'!E:E)</f>
        <v/>
      </c>
      <c r="R63" s="37">
        <f>SUMIF('KIN TB'!$R:$R,'KIN P&amp;L'!$A63,'KIN TB'!F:F)</f>
        <v/>
      </c>
      <c r="S63" s="37">
        <f>SUMIF('KIN TB'!$R:$R,'KIN P&amp;L'!$A63,'KIN TB'!G:G)</f>
        <v/>
      </c>
      <c r="T63" s="37">
        <f>SUMIF('KIN TB'!$R:$R,'KIN P&amp;L'!$A63,'KIN TB'!H:H)</f>
        <v/>
      </c>
      <c r="U63" s="37">
        <f>SUMIF('KIN TB'!$R:$R,'KIN P&amp;L'!$A63,'KIN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8" t="n">
        <v>0</v>
      </c>
      <c r="AJ63" s="119" t="n">
        <v>0</v>
      </c>
      <c r="AK63" s="119" t="n">
        <v>0</v>
      </c>
      <c r="AL63" s="119" t="n">
        <v>0</v>
      </c>
      <c r="AM63" s="120" t="n">
        <v>0</v>
      </c>
      <c r="AN63" s="118" t="n">
        <v>0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SUMIF('KIN TB'!$R:$R,'KIN P&amp;L'!$A64,'KIN TB'!C:C)</f>
        <v/>
      </c>
      <c r="P64" s="37">
        <f>SUMIF('KIN TB'!$R:$R,'KIN P&amp;L'!$A64,'KIN TB'!D:D)</f>
        <v/>
      </c>
      <c r="Q64" s="37">
        <f>SUMIF('KIN TB'!$R:$R,'KIN P&amp;L'!$A64,'KIN TB'!E:E)</f>
        <v/>
      </c>
      <c r="R64" s="37">
        <f>SUMIF('KIN TB'!$R:$R,'KIN P&amp;L'!$A64,'KIN TB'!F:F)</f>
        <v/>
      </c>
      <c r="S64" s="37">
        <f>SUMIF('KIN TB'!$R:$R,'KIN P&amp;L'!$A64,'KIN TB'!G:G)</f>
        <v/>
      </c>
      <c r="T64" s="37">
        <f>SUMIF('KIN TB'!$R:$R,'KIN P&amp;L'!$A64,'KIN TB'!H:H)</f>
        <v/>
      </c>
      <c r="U64" s="37">
        <f>SUMIF('KIN TB'!$R:$R,'KIN P&amp;L'!$A64,'KIN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8" t="n">
        <v>0</v>
      </c>
      <c r="AJ64" s="119" t="n">
        <v>0</v>
      </c>
      <c r="AK64" s="119" t="n">
        <v>0</v>
      </c>
      <c r="AL64" s="119" t="n">
        <v>0</v>
      </c>
      <c r="AM64" s="120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SUMIF('KIN TB'!$R:$R,'KIN P&amp;L'!$A65,'KIN TB'!C:C)</f>
        <v/>
      </c>
      <c r="P65" s="37">
        <f>SUMIF('KIN TB'!$R:$R,'KIN P&amp;L'!$A65,'KIN TB'!D:D)</f>
        <v/>
      </c>
      <c r="Q65" s="37">
        <f>SUMIF('KIN TB'!$R:$R,'KIN P&amp;L'!$A65,'KIN TB'!E:E)</f>
        <v/>
      </c>
      <c r="R65" s="37">
        <f>SUMIF('KIN TB'!$R:$R,'KIN P&amp;L'!$A65,'KIN TB'!F:F)</f>
        <v/>
      </c>
      <c r="S65" s="37">
        <f>SUMIF('KIN TB'!$R:$R,'KIN P&amp;L'!$A65,'KIN TB'!G:G)</f>
        <v/>
      </c>
      <c r="T65" s="37">
        <f>SUMIF('KIN TB'!$R:$R,'KIN P&amp;L'!$A65,'KIN TB'!H:H)</f>
        <v/>
      </c>
      <c r="U65" s="37">
        <f>SUMIF('KIN TB'!$R:$R,'KIN P&amp;L'!$A65,'KIN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8" t="n">
        <v>0</v>
      </c>
      <c r="AJ65" s="119" t="n">
        <v>0</v>
      </c>
      <c r="AK65" s="119" t="n">
        <v>0</v>
      </c>
      <c r="AL65" s="119" t="n">
        <v>0</v>
      </c>
      <c r="AM65" s="120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SUMIF('KIN TB'!$R:$R,'KIN P&amp;L'!$A66,'KIN TB'!C:C)</f>
        <v/>
      </c>
      <c r="P66" s="37">
        <f>SUMIF('KIN TB'!$R:$R,'KIN P&amp;L'!$A66,'KIN TB'!D:D)</f>
        <v/>
      </c>
      <c r="Q66" s="37">
        <f>SUMIF('KIN TB'!$R:$R,'KIN P&amp;L'!$A66,'KIN TB'!E:E)</f>
        <v/>
      </c>
      <c r="R66" s="37">
        <f>SUMIF('KIN TB'!$R:$R,'KIN P&amp;L'!$A66,'KIN TB'!F:F)</f>
        <v/>
      </c>
      <c r="S66" s="37">
        <f>SUMIF('KIN TB'!$R:$R,'KIN P&amp;L'!$A66,'KIN TB'!G:G)</f>
        <v/>
      </c>
      <c r="T66" s="37">
        <f>SUMIF('KIN TB'!$R:$R,'KIN P&amp;L'!$A66,'KIN TB'!H:H)</f>
        <v/>
      </c>
      <c r="U66" s="37">
        <f>SUMIF('KIN TB'!$R:$R,'KIN P&amp;L'!$A66,'KIN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8" t="n">
        <v>0</v>
      </c>
      <c r="AJ66" s="119" t="n">
        <v>0</v>
      </c>
      <c r="AK66" s="119" t="n">
        <v>0</v>
      </c>
      <c r="AL66" s="119" t="n">
        <v>0</v>
      </c>
      <c r="AM66" s="120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SUMIF('KIN TB'!$R:$R,'KIN P&amp;L'!$A67,'KIN TB'!C:C)</f>
        <v/>
      </c>
      <c r="P67" s="37">
        <f>SUMIF('KIN TB'!$R:$R,'KIN P&amp;L'!$A67,'KIN TB'!D:D)</f>
        <v/>
      </c>
      <c r="Q67" s="37">
        <f>SUMIF('KIN TB'!$R:$R,'KIN P&amp;L'!$A67,'KIN TB'!E:E)</f>
        <v/>
      </c>
      <c r="R67" s="37">
        <f>SUMIF('KIN TB'!$R:$R,'KIN P&amp;L'!$A67,'KIN TB'!F:F)</f>
        <v/>
      </c>
      <c r="S67" s="37">
        <f>SUMIF('KIN TB'!$R:$R,'KIN P&amp;L'!$A67,'KIN TB'!G:G)</f>
        <v/>
      </c>
      <c r="T67" s="37">
        <f>SUMIF('KIN TB'!$R:$R,'KIN P&amp;L'!$A67,'KIN TB'!H:H)</f>
        <v/>
      </c>
      <c r="U67" s="37">
        <f>SUMIF('KIN TB'!$R:$R,'KIN P&amp;L'!$A67,'KIN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8" t="n">
        <v>0</v>
      </c>
      <c r="AJ67" s="119" t="n">
        <v>0</v>
      </c>
      <c r="AK67" s="119" t="n">
        <v>0</v>
      </c>
      <c r="AL67" s="119" t="n">
        <v>0</v>
      </c>
      <c r="AM67" s="120" t="n">
        <v>0</v>
      </c>
      <c r="AN67" s="118" t="n">
        <v>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SUMIF('KIN TB'!$R:$R,'KIN P&amp;L'!$A68,'KIN TB'!C:C)</f>
        <v/>
      </c>
      <c r="P68" s="37">
        <f>SUMIF('KIN TB'!$R:$R,'KIN P&amp;L'!$A68,'KIN TB'!D:D)</f>
        <v/>
      </c>
      <c r="Q68" s="37">
        <f>SUMIF('KIN TB'!$R:$R,'KIN P&amp;L'!$A68,'KIN TB'!E:E)</f>
        <v/>
      </c>
      <c r="R68" s="37">
        <f>SUMIF('KIN TB'!$R:$R,'KIN P&amp;L'!$A68,'KIN TB'!F:F)</f>
        <v/>
      </c>
      <c r="S68" s="37">
        <f>SUMIF('KIN TB'!$R:$R,'KIN P&amp;L'!$A68,'KIN TB'!G:G)</f>
        <v/>
      </c>
      <c r="T68" s="37">
        <f>SUMIF('KIN TB'!$R:$R,'KIN P&amp;L'!$A68,'KIN TB'!H:H)</f>
        <v/>
      </c>
      <c r="U68" s="37">
        <f>SUMIF('KIN TB'!$R:$R,'KIN P&amp;L'!$A68,'KIN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8" t="n">
        <v>0</v>
      </c>
      <c r="AJ68" s="119" t="n">
        <v>0</v>
      </c>
      <c r="AK68" s="119" t="n">
        <v>0</v>
      </c>
      <c r="AL68" s="119" t="n">
        <v>0</v>
      </c>
      <c r="AM68" s="120" t="n">
        <v>0</v>
      </c>
      <c r="AN68" s="118" t="n">
        <v>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203.18</v>
      </c>
      <c r="C69" s="42" t="n">
        <v>241.98</v>
      </c>
      <c r="D69" s="42" t="n">
        <v>208.23</v>
      </c>
      <c r="E69" s="42" t="n">
        <v>350.5699999999999</v>
      </c>
      <c r="F69" s="42" t="n">
        <v>250.81</v>
      </c>
      <c r="G69" s="42" t="n">
        <v>219.88</v>
      </c>
      <c r="H69" s="42" t="n">
        <v>323.27</v>
      </c>
      <c r="I69" s="42" t="n">
        <v>203.78</v>
      </c>
      <c r="J69" s="42" t="n">
        <v>221.78</v>
      </c>
      <c r="K69" s="42" t="n">
        <v>509.9</v>
      </c>
      <c r="L69" s="42" t="n">
        <v>566.17</v>
      </c>
      <c r="M69" s="42" t="n">
        <v>262.83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3">
        <f>SUM(AI53:AI68)</f>
        <v/>
      </c>
      <c r="AJ69" s="124">
        <f>SUM(AJ53:AJ68)</f>
        <v/>
      </c>
      <c r="AK69" s="124">
        <f>SUM(AK53:AK68)</f>
        <v/>
      </c>
      <c r="AL69" s="124">
        <f>SUM(AL53:AL68)</f>
        <v/>
      </c>
      <c r="AM69" s="124">
        <f>SUM(AM53:AM68)</f>
        <v/>
      </c>
      <c r="AN69" s="123">
        <f>SUM(AN53:AN68)</f>
        <v/>
      </c>
      <c r="AO69" s="125">
        <f>SUM(AC69:AH69)+SUM(AI69:AN69)</f>
        <v/>
      </c>
      <c r="AP69" s="126">
        <f>IF(AB69&lt;&gt;0,(AO69-AB69)/ABS(AB69),0)</f>
        <v/>
      </c>
    </row>
    <row r="70">
      <c r="A70" s="54" t="inlineStr">
        <is>
          <t>EBITDA</t>
        </is>
      </c>
      <c r="B70" s="55" t="n">
        <v>10220</v>
      </c>
      <c r="C70" s="55" t="n">
        <v>4517.960000000003</v>
      </c>
      <c r="D70" s="55" t="n">
        <v>9033.829999999998</v>
      </c>
      <c r="E70" s="55" t="n">
        <v>10176.95</v>
      </c>
      <c r="F70" s="55" t="n">
        <v>9535.199999999999</v>
      </c>
      <c r="G70" s="55" t="n">
        <v>11743.83</v>
      </c>
      <c r="H70" s="55" t="n">
        <v>28409.12999999999</v>
      </c>
      <c r="I70" s="55" t="n">
        <v>9241.359999999999</v>
      </c>
      <c r="J70" s="55" t="n">
        <v>3552.030000000001</v>
      </c>
      <c r="K70" s="55" t="n">
        <v>3852.62</v>
      </c>
      <c r="L70" s="55" t="n">
        <v>11543.65999999999</v>
      </c>
      <c r="M70" s="55" t="n">
        <v>20768.42999999999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0">
        <f>AI50-AI69</f>
        <v/>
      </c>
      <c r="AJ70" s="140">
        <f>AJ50-AJ69</f>
        <v/>
      </c>
      <c r="AK70" s="140">
        <f>AK50-AK69</f>
        <v/>
      </c>
      <c r="AL70" s="140">
        <f>AL50-AL69</f>
        <v/>
      </c>
      <c r="AM70" s="140">
        <f>AM50-AM69</f>
        <v/>
      </c>
      <c r="AN70" s="140">
        <f>AN50-AN69</f>
        <v/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4">
        <f>SUM(AC72:AH72)+SUM(AI72:AN72)</f>
        <v/>
      </c>
      <c r="AP72" s="142">
        <f>IF(AB72&lt;&gt;0,(AO72-AB72)/ABS(AB72),0)</f>
        <v/>
      </c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118" t="n">
        <v>0</v>
      </c>
      <c r="AJ73" s="118" t="n">
        <v>0</v>
      </c>
      <c r="AK73" s="118" t="n">
        <v>0</v>
      </c>
      <c r="AL73" s="118" t="n">
        <v>0</v>
      </c>
      <c r="AM73" s="118" t="n">
        <v>0</v>
      </c>
      <c r="AN73" s="118" t="n">
        <v>0</v>
      </c>
      <c r="AO73" s="144">
        <f>SUM(AC73:AH73)+SUM(AI73:AN73)</f>
        <v/>
      </c>
      <c r="AP73" s="142">
        <f>IF(AB73&lt;&gt;0,(AO73-AB73)/ABS(AB73),0)</f>
        <v/>
      </c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118" t="n">
        <v>0</v>
      </c>
      <c r="AJ74" s="118" t="n">
        <v>0</v>
      </c>
      <c r="AK74" s="118" t="n">
        <v>0</v>
      </c>
      <c r="AL74" s="118" t="n">
        <v>0</v>
      </c>
      <c r="AM74" s="118" t="n">
        <v>0</v>
      </c>
      <c r="AN74" s="118" t="n">
        <v>0</v>
      </c>
      <c r="AO74" s="144">
        <f>SUM(AC74:AH74)+SUM(AI74:AN74)</f>
        <v/>
      </c>
      <c r="AP74" s="142">
        <f>IF(AB74&lt;&gt;0,(AO74-AB74)/ABS(AB74),0)</f>
        <v/>
      </c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118" t="n">
        <v>0</v>
      </c>
      <c r="AJ75" s="118" t="n">
        <v>0</v>
      </c>
      <c r="AK75" s="118" t="n">
        <v>0</v>
      </c>
      <c r="AL75" s="118" t="n">
        <v>0</v>
      </c>
      <c r="AM75" s="118" t="n">
        <v>0</v>
      </c>
      <c r="AN75" s="118" t="n">
        <v>0</v>
      </c>
      <c r="AO75" s="144">
        <f>SUM(AC75:AH75)+SUM(AI75:AN75)</f>
        <v/>
      </c>
      <c r="AP75" s="142">
        <f>IF(AB75&lt;&gt;0,(AO75-AB75)/ABS(AB75),0)</f>
        <v/>
      </c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118" t="n">
        <v>0</v>
      </c>
      <c r="AJ76" s="118" t="n">
        <v>0</v>
      </c>
      <c r="AK76" s="118" t="n">
        <v>0</v>
      </c>
      <c r="AL76" s="118" t="n">
        <v>0</v>
      </c>
      <c r="AM76" s="118" t="n">
        <v>0</v>
      </c>
      <c r="AN76" s="118" t="n">
        <v>0</v>
      </c>
      <c r="AO76" s="144">
        <f>SUM(AC76:AH76)+SUM(AI76:AN76)</f>
        <v/>
      </c>
      <c r="AP76" s="142">
        <f>IF(AB76&lt;&gt;0,(AO76-AB76)/ABS(AB76),0)</f>
        <v/>
      </c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118" t="n">
        <v>0</v>
      </c>
      <c r="AJ77" s="118" t="n">
        <v>0</v>
      </c>
      <c r="AK77" s="118" t="n">
        <v>0</v>
      </c>
      <c r="AL77" s="118" t="n">
        <v>0</v>
      </c>
      <c r="AM77" s="118" t="n">
        <v>0</v>
      </c>
      <c r="AN77" s="118" t="n">
        <v>0</v>
      </c>
      <c r="AO77" s="144">
        <f>SUM(AC77:AH77)+SUM(AI77:AN77)</f>
        <v/>
      </c>
      <c r="AP77" s="142">
        <f>IF(AB77&lt;&gt;0,(AO77-AB77)/ABS(AB77),0)</f>
        <v/>
      </c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10220</v>
      </c>
      <c r="C79" s="57" t="n">
        <v>4517.960000000003</v>
      </c>
      <c r="D79" s="57" t="n">
        <v>9033.829999999998</v>
      </c>
      <c r="E79" s="57" t="n">
        <v>10176.95</v>
      </c>
      <c r="F79" s="57" t="n">
        <v>9535.199999999999</v>
      </c>
      <c r="G79" s="57" t="n">
        <v>11743.83</v>
      </c>
      <c r="H79" s="57" t="n">
        <v>28409.12999999999</v>
      </c>
      <c r="I79" s="57" t="n">
        <v>9241.359999999999</v>
      </c>
      <c r="J79" s="57" t="n">
        <v>3552.030000000001</v>
      </c>
      <c r="K79" s="57" t="n">
        <v>3852.62</v>
      </c>
      <c r="L79" s="57" t="n">
        <v>11543.65999999999</v>
      </c>
      <c r="M79" s="57" t="n">
        <v>20768.42999999999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5">
        <f>U70+SUM(U73:U78)</f>
        <v/>
      </c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127" t="n">
        <v>0</v>
      </c>
      <c r="AJ79" s="127" t="n">
        <v>0</v>
      </c>
      <c r="AK79" s="127" t="n">
        <v>0</v>
      </c>
      <c r="AL79" s="127" t="n">
        <v>0</v>
      </c>
      <c r="AM79" s="127" t="n">
        <v>0</v>
      </c>
      <c r="AN79" s="127" t="n">
        <v>0</v>
      </c>
      <c r="AO79" s="144">
        <f>SUM(AC79:AH79)+SUM(AI79:AN79)</f>
        <v/>
      </c>
      <c r="AP79" s="142">
        <f>IF(AB79&lt;&gt;0,(AO79-AB79)/ABS(AB79),0)</f>
        <v/>
      </c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29360.06</v>
      </c>
      <c r="C87" s="60" t="n">
        <v>26845.12</v>
      </c>
      <c r="D87" s="60" t="n">
        <v>30480.74</v>
      </c>
      <c r="E87" s="60" t="n">
        <v>34234.31</v>
      </c>
      <c r="F87" s="60" t="n">
        <v>31752.34</v>
      </c>
      <c r="G87" s="60" t="n">
        <v>33698.1</v>
      </c>
      <c r="H87" s="60" t="n">
        <v>50915.41</v>
      </c>
      <c r="I87" s="60" t="n">
        <v>31269.53</v>
      </c>
      <c r="J87" s="60" t="n">
        <v>26276.12</v>
      </c>
      <c r="K87" s="60" t="n">
        <v>26189.78</v>
      </c>
      <c r="L87" s="60" t="n">
        <v>34335.98</v>
      </c>
      <c r="M87" s="8" t="n"/>
      <c r="N87" s="8" t="n"/>
      <c r="O87" s="60">
        <f>-SUMIF('KIN TB'!$T:$T,'KIN P&amp;L'!$A87,'KIN TB'!C:C)</f>
        <v/>
      </c>
      <c r="P87" s="60">
        <f>-SUMIF('KIN TB'!$T:$T,'KIN P&amp;L'!$A87,'KIN TB'!D:D)</f>
        <v/>
      </c>
      <c r="Q87" s="60">
        <f>-SUMIF('KIN TB'!$T:$T,'KIN P&amp;L'!$A87,'KIN TB'!E:E)</f>
        <v/>
      </c>
      <c r="R87" s="60">
        <f>-SUMIF('KIN TB'!$T:$T,'KIN P&amp;L'!$A87,'KIN TB'!F:F)</f>
        <v/>
      </c>
      <c r="S87" s="60">
        <f>-SUMIF('KIN TB'!$T:$T,'KIN P&amp;L'!$A87,'KIN TB'!G:G)</f>
        <v/>
      </c>
      <c r="T87" s="60">
        <f>-SUMIF('KIN TB'!$T:$T,'KIN P&amp;L'!$A87,'KIN TB'!H:H)</f>
        <v/>
      </c>
      <c r="U87" s="60">
        <f>-SUMIF('KIN TB'!$T:$T,'KIN P&amp;L'!$A87,'KIN TB'!I:I)</f>
        <v/>
      </c>
      <c r="V87" s="60">
        <f>-SUMIF('KIN TB'!$T:$T,'KIN P&amp;L'!$A87,'KIN TB'!J:J)</f>
        <v/>
      </c>
      <c r="W87" s="60">
        <f>-SUMIF('KIN TB'!$T:$T,'KIN P&amp;L'!$A87,'KIN TB'!K:K)</f>
        <v/>
      </c>
      <c r="X87" s="60">
        <f>-SUMIF('KIN TB'!$T:$T,'KIN P&amp;L'!$A87,'KIN TB'!L:L)</f>
        <v/>
      </c>
      <c r="Y87" s="60">
        <f>-SUMIF('KIN TB'!$T:$T,'KIN P&amp;L'!$A87,'KIN TB'!M:M)</f>
        <v/>
      </c>
      <c r="Z87" s="60">
        <f>-SUMIF('KIN TB'!$T:$T,'KIN P&amp;L'!$A87,'KIN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134" t="n">
        <v>0</v>
      </c>
      <c r="AJ87" s="134" t="n">
        <v>0</v>
      </c>
      <c r="AK87" s="134" t="n">
        <v>0</v>
      </c>
      <c r="AL87" s="134" t="n">
        <v>0</v>
      </c>
      <c r="AM87" s="134" t="n">
        <v>0</v>
      </c>
      <c r="AN87" s="134" t="n">
        <v>0</v>
      </c>
      <c r="AO87" s="145">
        <f>SUM(AC87:AH87)+SUM(AI87:AN87)</f>
        <v/>
      </c>
      <c r="AP87" s="142">
        <f>IF(AB87&lt;&gt;0,(AO87-AB87)/ABS(AB87),0)</f>
        <v/>
      </c>
    </row>
    <row r="88">
      <c r="A88" s="34" t="inlineStr">
        <is>
          <t>Direct - Staff Cost</t>
        </is>
      </c>
      <c r="B88" s="18" t="n">
        <v>-15025</v>
      </c>
      <c r="C88" s="18" t="n">
        <v>-18401.96</v>
      </c>
      <c r="D88" s="18" t="n">
        <v>-17627.45</v>
      </c>
      <c r="E88" s="18" t="n">
        <v>-17739.83</v>
      </c>
      <c r="F88" s="18" t="n">
        <v>-18243.97</v>
      </c>
      <c r="G88" s="18" t="n">
        <v>-18525.75</v>
      </c>
      <c r="H88" s="18" t="n">
        <v>-18796.84</v>
      </c>
      <c r="I88" s="18" t="n">
        <v>-17181.26</v>
      </c>
      <c r="J88" s="18" t="n">
        <v>-19335.26</v>
      </c>
      <c r="K88" s="18" t="n">
        <v>-18532.98</v>
      </c>
      <c r="L88" s="18" t="n">
        <v>-18943.47</v>
      </c>
      <c r="M88" s="18" t="n"/>
      <c r="N88" s="8" t="n"/>
      <c r="O88" s="60">
        <f>-SUMIF('KIN TB'!$T:$T,'KIN P&amp;L'!$A88,'KIN TB'!C:C)</f>
        <v/>
      </c>
      <c r="P88" s="60">
        <f>-SUMIF('KIN TB'!$T:$T,'KIN P&amp;L'!$A88,'KIN TB'!D:D)</f>
        <v/>
      </c>
      <c r="Q88" s="60">
        <f>-SUMIF('KIN TB'!$T:$T,'KIN P&amp;L'!$A88,'KIN TB'!E:E)</f>
        <v/>
      </c>
      <c r="R88" s="60">
        <f>-SUMIF('KIN TB'!$T:$T,'KIN P&amp;L'!$A88,'KIN TB'!F:F)</f>
        <v/>
      </c>
      <c r="S88" s="60">
        <f>-SUMIF('KIN TB'!$T:$T,'KIN P&amp;L'!$A88,'KIN TB'!G:G)</f>
        <v/>
      </c>
      <c r="T88" s="60">
        <f>-SUMIF('KIN TB'!$T:$T,'KIN P&amp;L'!$A88,'KIN TB'!H:H)</f>
        <v/>
      </c>
      <c r="U88" s="60">
        <f>-SUMIF('KIN TB'!$T:$T,'KIN P&amp;L'!$A88,'KIN TB'!I:I)</f>
        <v/>
      </c>
      <c r="V88" s="60">
        <f>-SUMIF('KIN TB'!$T:$T,'KIN P&amp;L'!$A88,'KIN TB'!J:J)</f>
        <v/>
      </c>
      <c r="W88" s="60">
        <f>-SUMIF('KIN TB'!$T:$T,'KIN P&amp;L'!$A88,'KIN TB'!K:K)</f>
        <v/>
      </c>
      <c r="X88" s="60">
        <f>-SUMIF('KIN TB'!$T:$T,'KIN P&amp;L'!$A88,'KIN TB'!L:L)</f>
        <v/>
      </c>
      <c r="Y88" s="60">
        <f>-SUMIF('KIN TB'!$T:$T,'KIN P&amp;L'!$A88,'KIN TB'!M:M)</f>
        <v/>
      </c>
      <c r="Z88" s="60">
        <f>-SUMIF('KIN TB'!$T:$T,'KIN P&amp;L'!$A88,'KIN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134" t="n">
        <v>0</v>
      </c>
      <c r="AJ88" s="134" t="n">
        <v>0</v>
      </c>
      <c r="AK88" s="134" t="n">
        <v>0</v>
      </c>
      <c r="AL88" s="134" t="n">
        <v>0</v>
      </c>
      <c r="AM88" s="134" t="n">
        <v>0</v>
      </c>
      <c r="AN88" s="134" t="n">
        <v>0</v>
      </c>
      <c r="AO88" s="144">
        <f>SUM(AC88:AH88)+SUM(AI88:AN88)</f>
        <v/>
      </c>
      <c r="AP88" s="142">
        <f>IF(AB88&lt;&gt;0,(AO88-AB88)/ABS(AB88),0)</f>
        <v/>
      </c>
    </row>
    <row r="89">
      <c r="A89" s="60" t="inlineStr">
        <is>
          <t>Direct - Childcare Cost</t>
        </is>
      </c>
      <c r="B89" s="18" t="n">
        <v>-1273.06</v>
      </c>
      <c r="C89" s="18" t="n">
        <v>-1490.78</v>
      </c>
      <c r="D89" s="18" t="n">
        <v>-1227.87</v>
      </c>
      <c r="E89" s="18" t="n">
        <v>-1153.92</v>
      </c>
      <c r="F89" s="18" t="n">
        <v>-1860.34</v>
      </c>
      <c r="G89" s="18" t="n">
        <v>-1371.25</v>
      </c>
      <c r="H89" s="18" t="n">
        <v>-1431.26</v>
      </c>
      <c r="I89" s="18" t="n">
        <v>-2059.24</v>
      </c>
      <c r="J89" s="18" t="n">
        <v>-1193.14</v>
      </c>
      <c r="K89" s="18" t="n">
        <v>-1435.24</v>
      </c>
      <c r="L89" s="18" t="n">
        <v>-1202.64</v>
      </c>
      <c r="M89" s="18" t="n">
        <v>-1166.11</v>
      </c>
      <c r="N89" s="8" t="n"/>
      <c r="O89" s="60">
        <f>-SUMIF('KIN TB'!$T:$T,'KIN P&amp;L'!$A89,'KIN TB'!C:C)</f>
        <v/>
      </c>
      <c r="P89" s="60">
        <f>-SUMIF('KIN TB'!$T:$T,'KIN P&amp;L'!$A89,'KIN TB'!D:D)</f>
        <v/>
      </c>
      <c r="Q89" s="60">
        <f>-SUMIF('KIN TB'!$T:$T,'KIN P&amp;L'!$A89,'KIN TB'!E:E)</f>
        <v/>
      </c>
      <c r="R89" s="60">
        <f>-SUMIF('KIN TB'!$T:$T,'KIN P&amp;L'!$A89,'KIN TB'!F:F)</f>
        <v/>
      </c>
      <c r="S89" s="60">
        <f>-SUMIF('KIN TB'!$T:$T,'KIN P&amp;L'!$A89,'KIN TB'!G:G)</f>
        <v/>
      </c>
      <c r="T89" s="60">
        <f>-SUMIF('KIN TB'!$T:$T,'KIN P&amp;L'!$A89,'KIN TB'!H:H)</f>
        <v/>
      </c>
      <c r="U89" s="60">
        <f>-SUMIF('KIN TB'!$T:$T,'KIN P&amp;L'!$A89,'KIN TB'!I:I)</f>
        <v/>
      </c>
      <c r="V89" s="60">
        <f>-SUMIF('KIN TB'!$T:$T,'KIN P&amp;L'!$A89,'KIN TB'!J:J)</f>
        <v/>
      </c>
      <c r="W89" s="60">
        <f>-SUMIF('KIN TB'!$T:$T,'KIN P&amp;L'!$A89,'KIN TB'!K:K)</f>
        <v/>
      </c>
      <c r="X89" s="60">
        <f>-SUMIF('KIN TB'!$T:$T,'KIN P&amp;L'!$A89,'KIN TB'!L:L)</f>
        <v/>
      </c>
      <c r="Y89" s="60">
        <f>-SUMIF('KIN TB'!$T:$T,'KIN P&amp;L'!$A89,'KIN TB'!M:M)</f>
        <v/>
      </c>
      <c r="Z89" s="60">
        <f>-SUMIF('KIN TB'!$T:$T,'KIN P&amp;L'!$A89,'KIN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34" t="n">
        <v>0</v>
      </c>
      <c r="AJ89" s="134" t="n">
        <v>0</v>
      </c>
      <c r="AK89" s="134" t="n">
        <v>0</v>
      </c>
      <c r="AL89" s="134" t="n">
        <v>0</v>
      </c>
      <c r="AM89" s="134" t="n">
        <v>0</v>
      </c>
      <c r="AN89" s="134" t="n">
        <v>0</v>
      </c>
      <c r="AO89" s="144">
        <f>SUM(AC89:AH89)+SUM(AI89:AN89)</f>
        <v/>
      </c>
      <c r="AP89" s="142">
        <f>IF(AB89&lt;&gt;0,(AO89-AB89)/ABS(AB89),0)</f>
        <v/>
      </c>
    </row>
    <row r="90">
      <c r="A90" s="60" t="inlineStr">
        <is>
          <t>Direct - Premises &amp; Admin</t>
        </is>
      </c>
      <c r="B90" s="18" t="n">
        <v>-2638.82</v>
      </c>
      <c r="C90" s="18" t="n">
        <v>-2192.44</v>
      </c>
      <c r="D90" s="18" t="n">
        <v>-2383.36</v>
      </c>
      <c r="E90" s="18" t="n">
        <v>-4813.04</v>
      </c>
      <c r="F90" s="18" t="n">
        <v>-1862.02</v>
      </c>
      <c r="G90" s="18" t="n">
        <v>-1837.39</v>
      </c>
      <c r="H90" s="18" t="n">
        <v>-1954.91</v>
      </c>
      <c r="I90" s="18" t="n">
        <v>-2583.89</v>
      </c>
      <c r="J90" s="18" t="n">
        <v>-1973.91</v>
      </c>
      <c r="K90" s="18" t="n">
        <v>-1859.04</v>
      </c>
      <c r="L90" s="18" t="n">
        <v>-2080.04</v>
      </c>
      <c r="M90" s="18" t="n">
        <v>-2007.45</v>
      </c>
      <c r="N90" s="8" t="n"/>
      <c r="O90" s="60">
        <f>-SUMIF('KIN TB'!$T:$T,'KIN P&amp;L'!$A90,'KIN TB'!C:C)</f>
        <v/>
      </c>
      <c r="P90" s="60">
        <f>-SUMIF('KIN TB'!$T:$T,'KIN P&amp;L'!$A90,'KIN TB'!D:D)</f>
        <v/>
      </c>
      <c r="Q90" s="60">
        <f>-SUMIF('KIN TB'!$T:$T,'KIN P&amp;L'!$A90,'KIN TB'!E:E)</f>
        <v/>
      </c>
      <c r="R90" s="60">
        <f>-SUMIF('KIN TB'!$T:$T,'KIN P&amp;L'!$A90,'KIN TB'!F:F)</f>
        <v/>
      </c>
      <c r="S90" s="60">
        <f>-SUMIF('KIN TB'!$T:$T,'KIN P&amp;L'!$A90,'KIN TB'!G:G)</f>
        <v/>
      </c>
      <c r="T90" s="60">
        <f>-SUMIF('KIN TB'!$T:$T,'KIN P&amp;L'!$A90,'KIN TB'!H:H)</f>
        <v/>
      </c>
      <c r="U90" s="60">
        <f>-SUMIF('KIN TB'!$T:$T,'KIN P&amp;L'!$A90,'KIN TB'!I:I)</f>
        <v/>
      </c>
      <c r="V90" s="60">
        <f>-SUMIF('KIN TB'!$T:$T,'KIN P&amp;L'!$A90,'KIN TB'!J:J)</f>
        <v/>
      </c>
      <c r="W90" s="60">
        <f>-SUMIF('KIN TB'!$T:$T,'KIN P&amp;L'!$A90,'KIN TB'!K:K)</f>
        <v/>
      </c>
      <c r="X90" s="60">
        <f>-SUMIF('KIN TB'!$T:$T,'KIN P&amp;L'!$A90,'KIN TB'!L:L)</f>
        <v/>
      </c>
      <c r="Y90" s="60">
        <f>-SUMIF('KIN TB'!$T:$T,'KIN P&amp;L'!$A90,'KIN TB'!M:M)</f>
        <v/>
      </c>
      <c r="Z90" s="60">
        <f>-SUMIF('KIN TB'!$T:$T,'KIN P&amp;L'!$A90,'KIN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134" t="n">
        <v>0</v>
      </c>
      <c r="AJ90" s="134" t="n">
        <v>0</v>
      </c>
      <c r="AK90" s="134" t="n">
        <v>0</v>
      </c>
      <c r="AL90" s="134" t="n">
        <v>0</v>
      </c>
      <c r="AM90" s="134" t="n">
        <v>0</v>
      </c>
      <c r="AN90" s="134" t="n">
        <v>0</v>
      </c>
      <c r="AO90" s="144">
        <f>SUM(AC90:AH90)+SUM(AI90:AN90)</f>
        <v/>
      </c>
      <c r="AP90" s="142">
        <f>IF(AB90&lt;&gt;0,(AO90-AB90)/ABS(AB90),0)</f>
        <v/>
      </c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-SUMIF('KIN TB'!$T:$T,'KIN P&amp;L'!$A91,'KIN TB'!C:C)</f>
        <v/>
      </c>
      <c r="P91" s="60">
        <f>-SUMIF('KIN TB'!$T:$T,'KIN P&amp;L'!$A91,'KIN TB'!D:D)</f>
        <v/>
      </c>
      <c r="Q91" s="60">
        <f>-SUMIF('KIN TB'!$T:$T,'KIN P&amp;L'!$A91,'KIN TB'!E:E)</f>
        <v/>
      </c>
      <c r="R91" s="60">
        <f>-SUMIF('KIN TB'!$T:$T,'KIN P&amp;L'!$A91,'KIN TB'!F:F)</f>
        <v/>
      </c>
      <c r="S91" s="60">
        <f>-SUMIF('KIN TB'!$T:$T,'KIN P&amp;L'!$A91,'KIN TB'!G:G)</f>
        <v/>
      </c>
      <c r="T91" s="60">
        <f>-SUMIF('KIN TB'!$T:$T,'KIN P&amp;L'!$A91,'KIN TB'!H:H)</f>
        <v/>
      </c>
      <c r="U91" s="60">
        <f>-SUMIF('KIN TB'!$T:$T,'KIN P&amp;L'!$A91,'KIN TB'!I:I)</f>
        <v/>
      </c>
      <c r="V91" s="60">
        <f>-SUMIF('KIN TB'!$T:$T,'KIN P&amp;L'!$A91,'KIN TB'!J:J)</f>
        <v/>
      </c>
      <c r="W91" s="60">
        <f>-SUMIF('KIN TB'!$T:$T,'KIN P&amp;L'!$A91,'KIN TB'!K:K)</f>
        <v/>
      </c>
      <c r="X91" s="60">
        <f>-SUMIF('KIN TB'!$T:$T,'KIN P&amp;L'!$A91,'KIN TB'!L:L)</f>
        <v/>
      </c>
      <c r="Y91" s="60">
        <f>-SUMIF('KIN TB'!$T:$T,'KIN P&amp;L'!$A91,'KIN TB'!M:M)</f>
        <v/>
      </c>
      <c r="Z91" s="60">
        <f>-SUMIF('KIN TB'!$T:$T,'KIN P&amp;L'!$A91,'KIN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134" t="n">
        <v>0</v>
      </c>
      <c r="AJ91" s="134" t="n">
        <v>0</v>
      </c>
      <c r="AK91" s="134" t="n">
        <v>0</v>
      </c>
      <c r="AL91" s="134" t="n">
        <v>0</v>
      </c>
      <c r="AM91" s="134" t="n">
        <v>0</v>
      </c>
      <c r="AN91" s="134" t="n">
        <v>0</v>
      </c>
      <c r="AO91" s="144">
        <f>SUM(AC91:AH91)+SUM(AI91:AN91)</f>
        <v/>
      </c>
      <c r="AP91" s="142">
        <f>IF(AB91&lt;&gt;0,(AO91-AB91)/ABS(AB91),0)</f>
        <v/>
      </c>
    </row>
    <row r="92">
      <c r="A92" s="60" t="inlineStr">
        <is>
          <t>In-Direct - Overheads</t>
        </is>
      </c>
      <c r="B92" s="18" t="n">
        <v>-203.18</v>
      </c>
      <c r="C92" s="18" t="n">
        <v>-241.98</v>
      </c>
      <c r="D92" s="18" t="n">
        <v>-208.23</v>
      </c>
      <c r="E92" s="18" t="n">
        <v>-350.5699999999999</v>
      </c>
      <c r="F92" s="18" t="n">
        <v>-250.81</v>
      </c>
      <c r="G92" s="18" t="n">
        <v>-219.88</v>
      </c>
      <c r="H92" s="18" t="n">
        <v>-323.27</v>
      </c>
      <c r="I92" s="18" t="n">
        <v>-203.78</v>
      </c>
      <c r="J92" s="18" t="n">
        <v>-221.78</v>
      </c>
      <c r="K92" s="18" t="n">
        <v>-509.9</v>
      </c>
      <c r="L92" s="18" t="n">
        <v>-566.17</v>
      </c>
      <c r="M92" s="18" t="n">
        <v>-262.83</v>
      </c>
      <c r="N92" s="8" t="n"/>
      <c r="O92" s="60">
        <f>-SUMIF('KIN TB'!$T:$T,'KIN P&amp;L'!$A92,'KIN TB'!C:C)</f>
        <v/>
      </c>
      <c r="P92" s="60">
        <f>-SUMIF('KIN TB'!$T:$T,'KIN P&amp;L'!$A92,'KIN TB'!D:D)</f>
        <v/>
      </c>
      <c r="Q92" s="60">
        <f>-SUMIF('KIN TB'!$T:$T,'KIN P&amp;L'!$A92,'KIN TB'!E:E)</f>
        <v/>
      </c>
      <c r="R92" s="60">
        <f>-SUMIF('KIN TB'!$T:$T,'KIN P&amp;L'!$A92,'KIN TB'!F:F)</f>
        <v/>
      </c>
      <c r="S92" s="60">
        <f>-SUMIF('KIN TB'!$T:$T,'KIN P&amp;L'!$A92,'KIN TB'!G:G)</f>
        <v/>
      </c>
      <c r="T92" s="60">
        <f>-SUMIF('KIN TB'!$T:$T,'KIN P&amp;L'!$A92,'KIN TB'!H:H)</f>
        <v/>
      </c>
      <c r="U92" s="60">
        <f>-SUMIF('KIN TB'!$T:$T,'KIN P&amp;L'!$A92,'KIN TB'!I:I)</f>
        <v/>
      </c>
      <c r="V92" s="60">
        <f>-SUMIF('KIN TB'!$T:$T,'KIN P&amp;L'!$A92,'KIN TB'!J:J)</f>
        <v/>
      </c>
      <c r="W92" s="60">
        <f>-SUMIF('KIN TB'!$T:$T,'KIN P&amp;L'!$A92,'KIN TB'!K:K)</f>
        <v/>
      </c>
      <c r="X92" s="60">
        <f>-SUMIF('KIN TB'!$T:$T,'KIN P&amp;L'!$A92,'KIN TB'!L:L)</f>
        <v/>
      </c>
      <c r="Y92" s="60">
        <f>-SUMIF('KIN TB'!$T:$T,'KIN P&amp;L'!$A92,'KIN TB'!M:M)</f>
        <v/>
      </c>
      <c r="Z92" s="60">
        <f>-SUMIF('KIN TB'!$T:$T,'KIN P&amp;L'!$A92,'KIN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134" t="n">
        <v>0</v>
      </c>
      <c r="AJ92" s="134" t="n">
        <v>0</v>
      </c>
      <c r="AK92" s="134" t="n">
        <v>0</v>
      </c>
      <c r="AL92" s="134" t="n">
        <v>0</v>
      </c>
      <c r="AM92" s="134" t="n">
        <v>0</v>
      </c>
      <c r="AN92" s="134" t="n">
        <v>0</v>
      </c>
      <c r="AO92" s="144">
        <f>SUM(AC92:AH92)+SUM(AI92:AN92)</f>
        <v/>
      </c>
      <c r="AP92" s="142">
        <f>IF(AB92&lt;&gt;0,(AO92-AB92)/ABS(AB92),0)</f>
        <v/>
      </c>
    </row>
    <row r="93" ht="15.75" customHeight="1">
      <c r="A93" s="8" t="n"/>
      <c r="B93" s="67" t="n">
        <v>10220</v>
      </c>
      <c r="C93" s="67" t="n">
        <v>4517.960000000005</v>
      </c>
      <c r="D93" s="67" t="n">
        <v>9033.829999999998</v>
      </c>
      <c r="E93" s="67" t="n">
        <v>10176.95</v>
      </c>
      <c r="F93" s="67" t="n">
        <v>9535.199999999999</v>
      </c>
      <c r="G93" s="67" t="n">
        <v>11743.83</v>
      </c>
      <c r="H93" s="67" t="n">
        <v>28409.12999999999</v>
      </c>
      <c r="I93" s="67" t="n">
        <v>9241.360000000001</v>
      </c>
      <c r="J93" s="67" t="n">
        <v>3552.03</v>
      </c>
      <c r="K93" s="67" t="n">
        <v>3852.620000000003</v>
      </c>
      <c r="L93" s="67" t="n">
        <v>11543.65999999999</v>
      </c>
      <c r="M93" s="67" t="n">
        <v>-3436.39</v>
      </c>
      <c r="N93" s="8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8" t="n"/>
      <c r="AB93" s="8" t="n"/>
      <c r="AC93" s="64" t="n"/>
      <c r="AD93" s="64" t="n"/>
      <c r="AE93" s="64" t="n"/>
      <c r="AF93" s="64" t="n"/>
      <c r="AG93" s="64" t="n"/>
      <c r="AH93" s="64" t="n"/>
      <c r="AI93" s="134" t="n">
        <v>0</v>
      </c>
      <c r="AJ93" s="134" t="n">
        <v>0</v>
      </c>
      <c r="AK93" s="134" t="n">
        <v>0</v>
      </c>
      <c r="AL93" s="134" t="n">
        <v>0</v>
      </c>
      <c r="AM93" s="134" t="n">
        <v>0</v>
      </c>
      <c r="AN93" s="134" t="n">
        <v>0</v>
      </c>
      <c r="AO93" s="144">
        <f>SUM(AC93:AH93)+SUM(AI93:AN93)</f>
        <v/>
      </c>
      <c r="AP93" s="142">
        <f>IF(AB93&lt;&gt;0,(AO93-AB93)/ABS(AB93),0)</f>
        <v/>
      </c>
    </row>
    <row r="94" ht="15.75" customHeight="1">
      <c r="A94" s="8" t="n"/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0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0</v>
      </c>
      <c r="L94" s="18" t="n">
        <v>0</v>
      </c>
      <c r="M94" s="18" t="n">
        <v>24204.81999999999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134" t="n">
        <v>0</v>
      </c>
      <c r="AJ94" s="134" t="n">
        <v>0</v>
      </c>
      <c r="AK94" s="134" t="n">
        <v>0</v>
      </c>
      <c r="AL94" s="134" t="n">
        <v>0</v>
      </c>
      <c r="AM94" s="134" t="n">
        <v>0</v>
      </c>
      <c r="AN94" s="134" t="n">
        <v>0</v>
      </c>
      <c r="AO94" s="144">
        <f>SUM(AC94:AH94)+SUM(AI94:AN94)</f>
        <v/>
      </c>
      <c r="AP94" s="142">
        <f>IF(AB94&lt;&gt;0,(AO94-AB94)/ABS(AB94),0)</f>
        <v/>
      </c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0</v>
      </c>
      <c r="G96" s="18" t="n">
        <v>0</v>
      </c>
      <c r="H96" s="18" t="n">
        <v>0</v>
      </c>
      <c r="I96" s="18" t="n">
        <v>0</v>
      </c>
      <c r="J96" s="18" t="n">
        <v>0</v>
      </c>
      <c r="K96" s="18" t="n">
        <v>5.456968210637569e-12</v>
      </c>
      <c r="L96" s="18" t="n">
        <v>0</v>
      </c>
      <c r="M96" s="18" t="n">
        <v>-24204.82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134" t="n">
        <v>0</v>
      </c>
      <c r="AJ96" s="134" t="n">
        <v>0</v>
      </c>
      <c r="AK96" s="134" t="n">
        <v>0</v>
      </c>
      <c r="AL96" s="134" t="n">
        <v>0</v>
      </c>
      <c r="AM96" s="134" t="n">
        <v>0</v>
      </c>
      <c r="AN96" s="134" t="n">
        <v>0</v>
      </c>
      <c r="AO96" s="144">
        <f>SUM(AC96:AH96)+SUM(AI96:AN96)</f>
        <v/>
      </c>
      <c r="AP96" s="142">
        <f>IF(AB96&lt;&gt;0,(AO96-AB96)/ABS(AB96),0)</f>
        <v/>
      </c>
    </row>
    <row r="97">
      <c r="A97" s="8" t="n"/>
      <c r="B97" s="18" t="n">
        <v>-10220</v>
      </c>
      <c r="C97" s="18" t="n">
        <v>-4517.960000000005</v>
      </c>
      <c r="D97" s="18" t="n">
        <v>-9033.83</v>
      </c>
      <c r="E97" s="18" t="n">
        <v>-10176.95</v>
      </c>
      <c r="F97" s="18" t="n">
        <v>-9535.200000000003</v>
      </c>
      <c r="G97" s="18" t="n">
        <v>-11743.83</v>
      </c>
      <c r="H97" s="18" t="n">
        <v>-28409.12999999999</v>
      </c>
      <c r="I97" s="18" t="n">
        <v>-9241.360000000002</v>
      </c>
      <c r="J97" s="18" t="n">
        <v>-3552.030000000003</v>
      </c>
      <c r="K97" s="18" t="n">
        <v>-3852.619999999998</v>
      </c>
      <c r="L97" s="18" t="n">
        <v>-11543.66</v>
      </c>
      <c r="M97" s="18" t="n">
        <v>-20768.43</v>
      </c>
      <c r="N97" s="8" t="n"/>
      <c r="O97" s="60">
        <f>SUM('KIN TB'!C2:C42)</f>
        <v/>
      </c>
      <c r="P97" s="60">
        <f>SUM('KIN TB'!D2:D42)</f>
        <v/>
      </c>
      <c r="Q97" s="60">
        <f>SUM('KIN TB'!E2:E42)</f>
        <v/>
      </c>
      <c r="R97" s="60">
        <f>SUM('KIN TB'!F2:F42)</f>
        <v/>
      </c>
      <c r="S97" s="60">
        <f>SUM('KIN TB'!G2:G42)</f>
        <v/>
      </c>
      <c r="T97" s="60">
        <f>SUM('KIN TB'!H2:H42)</f>
        <v/>
      </c>
      <c r="U97" s="60">
        <f>SUM('KIN TB'!I2:I42)</f>
        <v/>
      </c>
      <c r="V97" s="60">
        <f>SUM('KIN TB'!J2:J42)</f>
        <v/>
      </c>
      <c r="W97" s="60">
        <f>SUM('KIN TB'!K2:K42)</f>
        <v/>
      </c>
      <c r="X97" s="60">
        <f>SUM('KIN TB'!L2:L42)</f>
        <v/>
      </c>
      <c r="Y97" s="60">
        <f>SUM('KIN TB'!M2:M42)</f>
        <v/>
      </c>
      <c r="Z97" s="60">
        <f>SUM('KIN TB'!N2:N42)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134" t="n">
        <v>0</v>
      </c>
      <c r="AJ97" s="134" t="n">
        <v>0</v>
      </c>
      <c r="AK97" s="134" t="n">
        <v>0</v>
      </c>
      <c r="AL97" s="134" t="n">
        <v>0</v>
      </c>
      <c r="AM97" s="134" t="n">
        <v>0</v>
      </c>
      <c r="AN97" s="134" t="n">
        <v>0</v>
      </c>
      <c r="AO97" s="144">
        <f>SUM(AC97:AH97)+SUM(AI97:AN97)</f>
        <v/>
      </c>
      <c r="AP97" s="142">
        <f>IF(AB97&lt;&gt;0,(AO97-AB97)/ABS(AB97),0)</f>
        <v/>
      </c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Lower Earley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30963.16</v>
      </c>
      <c r="C8" s="35" t="n">
        <v>27021.59</v>
      </c>
      <c r="D8" s="35" t="n">
        <v>29812.55</v>
      </c>
      <c r="E8" s="35" t="n">
        <v>31949.87</v>
      </c>
      <c r="F8" s="35" t="n">
        <v>31063.91</v>
      </c>
      <c r="G8" s="35" t="n">
        <v>30350.6</v>
      </c>
      <c r="H8" s="35" t="n">
        <v>34021.42999999999</v>
      </c>
      <c r="I8" s="35" t="n">
        <v>29196.77</v>
      </c>
      <c r="J8" s="35" t="n">
        <v>21455.14</v>
      </c>
      <c r="K8" s="35" t="n">
        <v>24315.15</v>
      </c>
      <c r="L8" s="35" t="n">
        <v>18923.36</v>
      </c>
      <c r="M8" s="35" t="n">
        <v>19499.29</v>
      </c>
      <c r="N8" s="36">
        <f>SUM(B8:M8)</f>
        <v/>
      </c>
      <c r="O8" s="37">
        <f>-SUMIF('YBHN LE TB'!$R:$R,'LE P&amp;L'!$A8,'YBHN LE TB'!C:C)</f>
        <v/>
      </c>
      <c r="P8" s="37">
        <f>-SUMIF('YBHN LE TB'!$R:$R,'LE P&amp;L'!$A8,'YBHN LE TB'!D:D)</f>
        <v/>
      </c>
      <c r="Q8" s="37">
        <f>-SUMIF('YBHN LE TB'!$R:$R,'LE P&amp;L'!$A8,'YBHN LE TB'!E:E)</f>
        <v/>
      </c>
      <c r="R8" s="37">
        <f>-SUMIF('YBHN LE TB'!$R:$R,'LE P&amp;L'!$A8,'YBHN LE TB'!F:F)</f>
        <v/>
      </c>
      <c r="S8" s="37">
        <f>-SUMIF('YBHN LE TB'!$R:$R,'LE P&amp;L'!$A8,'YBHN LE TB'!G:G)</f>
        <v/>
      </c>
      <c r="T8" s="37">
        <f>-SUMIF('YBHN LE TB'!$R:$R,'LE P&amp;L'!$A8,'YBHN LE TB'!H:H)</f>
        <v/>
      </c>
      <c r="U8" s="37">
        <f>-SUMIF('YBHN LE TB'!$R:$R,'LE P&amp;L'!$A8,'YBHN LE TB'!I:I)</f>
        <v/>
      </c>
      <c r="V8" s="38" t="n">
        <v>22379</v>
      </c>
      <c r="W8" s="38" t="n">
        <v>11682</v>
      </c>
      <c r="X8" s="38" t="n">
        <v>15125</v>
      </c>
      <c r="Y8" s="38" t="n">
        <v>13992</v>
      </c>
      <c r="Z8" s="38" t="n">
        <v>17567</v>
      </c>
      <c r="AA8" s="36">
        <f>SUM(O8:U8)</f>
        <v/>
      </c>
      <c r="AB8" s="36">
        <f>SUM(O8:Z8)</f>
        <v/>
      </c>
      <c r="AC8" s="38" t="n">
        <v>27908.68</v>
      </c>
      <c r="AD8" s="38" t="n">
        <v>30111.53</v>
      </c>
      <c r="AE8" s="38" t="n">
        <v>36903.62</v>
      </c>
      <c r="AF8" s="38" t="n">
        <v>34701.33</v>
      </c>
      <c r="AG8" s="38" t="n">
        <v>32867.54</v>
      </c>
      <c r="AH8" s="38" t="n">
        <v>36606.08</v>
      </c>
      <c r="AI8" s="118" t="n">
        <v>36606.08</v>
      </c>
      <c r="AJ8" s="119" t="n">
        <v>36606.08</v>
      </c>
      <c r="AK8" s="119" t="n">
        <v>36606.08</v>
      </c>
      <c r="AL8" s="119" t="n">
        <v>36606.08</v>
      </c>
      <c r="AM8" s="120" t="n">
        <v>36606.08</v>
      </c>
      <c r="AN8" s="118" t="n">
        <v>36606.08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11065.6</v>
      </c>
      <c r="C9" s="35" t="n">
        <v>11065.6</v>
      </c>
      <c r="D9" s="35" t="n">
        <v>14478.45</v>
      </c>
      <c r="E9" s="35" t="n">
        <v>8307.689999999999</v>
      </c>
      <c r="F9" s="35" t="n">
        <v>8307.689999999999</v>
      </c>
      <c r="G9" s="35" t="n">
        <v>8307.690000000001</v>
      </c>
      <c r="H9" s="35" t="n">
        <v>22440.35</v>
      </c>
      <c r="I9" s="35" t="n">
        <v>0</v>
      </c>
      <c r="J9" s="35" t="n">
        <v>7068.51</v>
      </c>
      <c r="K9" s="35" t="n">
        <v>7068.51</v>
      </c>
      <c r="L9" s="35" t="n">
        <v>17784.49</v>
      </c>
      <c r="M9" s="35" t="n">
        <v>17975.48</v>
      </c>
      <c r="N9" s="36">
        <f>SUM(B9:M9)</f>
        <v/>
      </c>
      <c r="O9" s="37">
        <f>-SUMIF('YBHN LE TB'!$R:$R,'LE P&amp;L'!$A9,'YBHN LE TB'!C:C)</f>
        <v/>
      </c>
      <c r="P9" s="37">
        <f>-SUMIF('YBHN LE TB'!$R:$R,'LE P&amp;L'!$A9,'YBHN LE TB'!D:D)</f>
        <v/>
      </c>
      <c r="Q9" s="37">
        <f>-SUMIF('YBHN LE TB'!$R:$R,'LE P&amp;L'!$A9,'YBHN LE TB'!E:E)</f>
        <v/>
      </c>
      <c r="R9" s="37">
        <f>-SUMIF('YBHN LE TB'!$R:$R,'LE P&amp;L'!$A9,'YBHN LE TB'!F:F)</f>
        <v/>
      </c>
      <c r="S9" s="37">
        <f>-SUMIF('YBHN LE TB'!$R:$R,'LE P&amp;L'!$A9,'YBHN LE TB'!G:G)</f>
        <v/>
      </c>
      <c r="T9" s="37">
        <f>-SUMIF('YBHN LE TB'!$R:$R,'LE P&amp;L'!$A9,'YBHN LE TB'!H:H)</f>
        <v/>
      </c>
      <c r="U9" s="37">
        <f>-SUMIF('YBHN LE TB'!$R:$R,'LE P&amp;L'!$A9,'YBHN LE TB'!I:I)</f>
        <v/>
      </c>
      <c r="V9" s="38" t="n"/>
      <c r="W9" s="38" t="n">
        <v>11266</v>
      </c>
      <c r="X9" s="38" t="n">
        <v>11310</v>
      </c>
      <c r="Y9" s="38" t="n">
        <v>13077</v>
      </c>
      <c r="Z9" s="38" t="n">
        <v>9495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8" t="n">
        <v>0</v>
      </c>
      <c r="AJ9" s="119" t="n">
        <v>0</v>
      </c>
      <c r="AK9" s="119" t="n">
        <v>0</v>
      </c>
      <c r="AL9" s="119" t="n">
        <v>0</v>
      </c>
      <c r="AM9" s="120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2075.37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-SUMIF('YBHN LE TB'!$R:$R,'LE P&amp;L'!$A10,'YBHN LE TB'!C:C)</f>
        <v/>
      </c>
      <c r="P10" s="37">
        <f>-SUMIF('YBHN LE TB'!$R:$R,'LE P&amp;L'!$A10,'YBHN LE TB'!D:D)</f>
        <v/>
      </c>
      <c r="Q10" s="37">
        <f>-SUMIF('YBHN LE TB'!$R:$R,'LE P&amp;L'!$A10,'YBHN LE TB'!E:E)</f>
        <v/>
      </c>
      <c r="R10" s="37">
        <f>-SUMIF('YBHN LE TB'!$R:$R,'LE P&amp;L'!$A10,'YBHN LE TB'!F:F)</f>
        <v/>
      </c>
      <c r="S10" s="37">
        <f>-SUMIF('YBHN LE TB'!$R:$R,'LE P&amp;L'!$A10,'YBHN LE TB'!G:G)</f>
        <v/>
      </c>
      <c r="T10" s="37">
        <f>-SUMIF('YBHN LE TB'!$R:$R,'LE P&amp;L'!$A10,'YBHN LE TB'!H:H)</f>
        <v/>
      </c>
      <c r="U10" s="37">
        <f>-SUMIF('YBHN LE TB'!$R:$R,'LE P&amp;L'!$A10,'YBHN LE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8" t="n">
        <v>0</v>
      </c>
      <c r="AJ10" s="119" t="n">
        <v>0</v>
      </c>
      <c r="AK10" s="119" t="n">
        <v>0</v>
      </c>
      <c r="AL10" s="119" t="n">
        <v>0</v>
      </c>
      <c r="AM10" s="120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42028.76</v>
      </c>
      <c r="C11" s="42" t="n">
        <v>38087.19</v>
      </c>
      <c r="D11" s="42" t="n">
        <v>44291</v>
      </c>
      <c r="E11" s="42" t="n">
        <v>40257.56</v>
      </c>
      <c r="F11" s="42" t="n">
        <v>39371.6</v>
      </c>
      <c r="G11" s="42" t="n">
        <v>38658.29</v>
      </c>
      <c r="H11" s="42" t="n">
        <v>56461.77999999999</v>
      </c>
      <c r="I11" s="42" t="n">
        <v>31272.14</v>
      </c>
      <c r="J11" s="42" t="n">
        <v>28523.65</v>
      </c>
      <c r="K11" s="42" t="n">
        <v>31383.66</v>
      </c>
      <c r="L11" s="42" t="n">
        <v>36707.85000000001</v>
      </c>
      <c r="M11" s="42" t="n">
        <v>37474.77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3">
        <f>SUM(AI8:AI10)</f>
        <v/>
      </c>
      <c r="AJ11" s="124">
        <f>SUM(AJ8:AJ10)</f>
        <v/>
      </c>
      <c r="AK11" s="124">
        <f>SUM(AK8:AK10)</f>
        <v/>
      </c>
      <c r="AL11" s="124">
        <f>SUM(AL8:AL10)</f>
        <v/>
      </c>
      <c r="AM11" s="124">
        <f>SUM(AM8:AM10)</f>
        <v/>
      </c>
      <c r="AN11" s="123">
        <f>SUM(AN8:AN10)</f>
        <v/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7" t="n">
        <v>0</v>
      </c>
      <c r="AJ12" s="128" t="n">
        <v>0</v>
      </c>
      <c r="AK12" s="128" t="n">
        <v>0</v>
      </c>
      <c r="AL12" s="128" t="n">
        <v>0</v>
      </c>
      <c r="AM12" s="129" t="n">
        <v>0</v>
      </c>
      <c r="AN12" s="127" t="n">
        <v>0</v>
      </c>
      <c r="AO12" s="121">
        <f>SUM(AC12:AH12)+SUM(AI12:AN12)</f>
        <v/>
      </c>
      <c r="AP12" s="122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 t="n">
        <v>0</v>
      </c>
      <c r="AJ13" s="131" t="n">
        <v>0</v>
      </c>
      <c r="AK13" s="131" t="n">
        <v>0</v>
      </c>
      <c r="AL13" s="131" t="n">
        <v>0</v>
      </c>
      <c r="AM13" s="132" t="n">
        <v>0</v>
      </c>
      <c r="AN13" s="130" t="n">
        <v>0</v>
      </c>
      <c r="AO13" s="133">
        <f>SUM(AC13:AH13)+SUM(AI13:AN13)</f>
        <v/>
      </c>
      <c r="AP13" s="122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20563.42</v>
      </c>
      <c r="C16" s="35" t="n">
        <v>20213.37</v>
      </c>
      <c r="D16" s="35" t="n">
        <v>21470.65</v>
      </c>
      <c r="E16" s="35" t="n">
        <v>24892.98</v>
      </c>
      <c r="F16" s="35" t="n">
        <v>23314.35</v>
      </c>
      <c r="G16" s="35" t="n">
        <v>22997.77</v>
      </c>
      <c r="H16" s="35" t="n">
        <v>23503.46</v>
      </c>
      <c r="I16" s="35" t="n">
        <v>18431.22</v>
      </c>
      <c r="J16" s="35" t="n">
        <v>18936.09</v>
      </c>
      <c r="K16" s="35" t="n">
        <v>19115.71</v>
      </c>
      <c r="L16" s="35" t="n">
        <v>19409.15</v>
      </c>
      <c r="M16" s="35" t="n">
        <v>19644.59</v>
      </c>
      <c r="N16" s="36">
        <f>SUM(B16:M16)</f>
        <v/>
      </c>
      <c r="O16" s="37">
        <f>SUMIF('YBHN LE TB'!$R:$R,'LE P&amp;L'!$A16,'YBHN LE TB'!C:C)</f>
        <v/>
      </c>
      <c r="P16" s="37">
        <f>SUMIF('YBHN LE TB'!$R:$R,'LE P&amp;L'!$A16,'YBHN LE TB'!D:D)</f>
        <v/>
      </c>
      <c r="Q16" s="37">
        <f>SUMIF('YBHN LE TB'!$R:$R,'LE P&amp;L'!$A16,'YBHN LE TB'!E:E)</f>
        <v/>
      </c>
      <c r="R16" s="37">
        <f>SUMIF('YBHN LE TB'!$R:$R,'LE P&amp;L'!$A16,'YBHN LE TB'!F:F)</f>
        <v/>
      </c>
      <c r="S16" s="37">
        <f>SUMIF('YBHN LE TB'!$R:$R,'LE P&amp;L'!$A16,'YBHN LE TB'!G:G)</f>
        <v/>
      </c>
      <c r="T16" s="37">
        <f>SUMIF('YBHN LE TB'!$R:$R,'LE P&amp;L'!$A16,'YBHN LE TB'!H:H)</f>
        <v/>
      </c>
      <c r="U16" s="37">
        <f>SUMIF('YBHN LE TB'!$R:$R,'LE P&amp;L'!$A16,'YBHN LE TB'!I:I)</f>
        <v/>
      </c>
      <c r="V16" s="38" t="n">
        <v>24326</v>
      </c>
      <c r="W16" s="38" t="n">
        <v>24326</v>
      </c>
      <c r="X16" s="38" t="n">
        <v>24326</v>
      </c>
      <c r="Y16" s="38" t="n">
        <v>24326</v>
      </c>
      <c r="Z16" s="38" t="n">
        <v>24326</v>
      </c>
      <c r="AA16" s="36">
        <f>SUM(O16:U16)</f>
        <v/>
      </c>
      <c r="AB16" s="36">
        <f>SUM(O16:Z16)</f>
        <v/>
      </c>
      <c r="AC16" s="38" t="n">
        <v>24326</v>
      </c>
      <c r="AD16" s="38" t="n">
        <v>24326</v>
      </c>
      <c r="AE16" s="38" t="n">
        <v>24326</v>
      </c>
      <c r="AF16" s="38" t="n">
        <v>24326</v>
      </c>
      <c r="AG16" s="38" t="n">
        <v>24326</v>
      </c>
      <c r="AH16" s="38" t="n">
        <v>24326</v>
      </c>
      <c r="AI16" s="118" t="n">
        <v>24326</v>
      </c>
      <c r="AJ16" s="119" t="n">
        <v>24326</v>
      </c>
      <c r="AK16" s="119" t="n">
        <v>24326</v>
      </c>
      <c r="AL16" s="119" t="n">
        <v>24326</v>
      </c>
      <c r="AM16" s="120" t="n">
        <v>24326</v>
      </c>
      <c r="AN16" s="118" t="n">
        <v>24326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1779.03</v>
      </c>
      <c r="C17" s="35" t="n">
        <v>1715.81</v>
      </c>
      <c r="D17" s="35" t="n">
        <v>1827.23</v>
      </c>
      <c r="E17" s="35" t="n">
        <v>2853.52</v>
      </c>
      <c r="F17" s="35" t="n">
        <v>2716.71</v>
      </c>
      <c r="G17" s="35" t="n">
        <v>2671.16</v>
      </c>
      <c r="H17" s="35" t="n">
        <v>2750.72</v>
      </c>
      <c r="I17" s="35" t="n">
        <v>2020.55</v>
      </c>
      <c r="J17" s="35" t="n">
        <v>2022.69</v>
      </c>
      <c r="K17" s="35" t="n">
        <v>2177.05</v>
      </c>
      <c r="L17" s="35" t="n">
        <v>2121.95</v>
      </c>
      <c r="M17" s="35" t="n">
        <v>2160.08</v>
      </c>
      <c r="N17" s="36">
        <f>SUM(B17:M17)</f>
        <v/>
      </c>
      <c r="O17" s="37">
        <f>SUMIF('YBHN LE TB'!$R:$R,'LE P&amp;L'!$A17,'YBHN LE TB'!C:C)</f>
        <v/>
      </c>
      <c r="P17" s="37">
        <f>SUMIF('YBHN LE TB'!$R:$R,'LE P&amp;L'!$A17,'YBHN LE TB'!D:D)</f>
        <v/>
      </c>
      <c r="Q17" s="37">
        <f>SUMIF('YBHN LE TB'!$R:$R,'LE P&amp;L'!$A17,'YBHN LE TB'!E:E)</f>
        <v/>
      </c>
      <c r="R17" s="37">
        <f>SUMIF('YBHN LE TB'!$R:$R,'LE P&amp;L'!$A17,'YBHN LE TB'!F:F)</f>
        <v/>
      </c>
      <c r="S17" s="37">
        <f>SUMIF('YBHN LE TB'!$R:$R,'LE P&amp;L'!$A17,'YBHN LE TB'!G:G)</f>
        <v/>
      </c>
      <c r="T17" s="37">
        <f>SUMIF('YBHN LE TB'!$R:$R,'LE P&amp;L'!$A17,'YBHN LE TB'!H:H)</f>
        <v/>
      </c>
      <c r="U17" s="37">
        <f>SUMIF('YBHN LE TB'!$R:$R,'LE P&amp;L'!$A17,'YBHN LE TB'!I:I)</f>
        <v/>
      </c>
      <c r="V17" s="38" t="n">
        <v>2730</v>
      </c>
      <c r="W17" s="38" t="n">
        <v>2730</v>
      </c>
      <c r="X17" s="38" t="n">
        <v>2730</v>
      </c>
      <c r="Y17" s="38" t="n">
        <v>2730</v>
      </c>
      <c r="Z17" s="38" t="n">
        <v>2730</v>
      </c>
      <c r="AA17" s="36">
        <f>SUM(O17:U17)</f>
        <v/>
      </c>
      <c r="AB17" s="36">
        <f>SUM(O17:Z17)</f>
        <v/>
      </c>
      <c r="AC17" s="38" t="n">
        <v>2730</v>
      </c>
      <c r="AD17" s="38" t="n">
        <v>2730</v>
      </c>
      <c r="AE17" s="38" t="n">
        <v>2730</v>
      </c>
      <c r="AF17" s="38" t="n">
        <v>2730</v>
      </c>
      <c r="AG17" s="38" t="n">
        <v>2730</v>
      </c>
      <c r="AH17" s="38" t="n">
        <v>2730</v>
      </c>
      <c r="AI17" s="118" t="n">
        <v>2730</v>
      </c>
      <c r="AJ17" s="119" t="n">
        <v>2730</v>
      </c>
      <c r="AK17" s="119" t="n">
        <v>2730</v>
      </c>
      <c r="AL17" s="119" t="n">
        <v>2730</v>
      </c>
      <c r="AM17" s="120" t="n">
        <v>2730</v>
      </c>
      <c r="AN17" s="118" t="n">
        <v>2730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442.12</v>
      </c>
      <c r="C18" s="35" t="n">
        <v>430.09</v>
      </c>
      <c r="D18" s="35" t="n">
        <v>405.36</v>
      </c>
      <c r="E18" s="35" t="n">
        <v>485.36</v>
      </c>
      <c r="F18" s="35" t="n">
        <v>515.48</v>
      </c>
      <c r="G18" s="35" t="n">
        <v>506.37</v>
      </c>
      <c r="H18" s="35" t="n">
        <v>516.35</v>
      </c>
      <c r="I18" s="35" t="n">
        <v>385.54</v>
      </c>
      <c r="J18" s="35" t="n">
        <v>331.38</v>
      </c>
      <c r="K18" s="35" t="n">
        <v>338.82</v>
      </c>
      <c r="L18" s="35" t="n">
        <v>396.08</v>
      </c>
      <c r="M18" s="35" t="n">
        <v>395.76</v>
      </c>
      <c r="N18" s="36">
        <f>SUM(B18:M18)</f>
        <v/>
      </c>
      <c r="O18" s="37">
        <f>SUMIF('YBHN LE TB'!$R:$R,'LE P&amp;L'!$A18,'YBHN LE TB'!C:C)</f>
        <v/>
      </c>
      <c r="P18" s="37">
        <f>SUMIF('YBHN LE TB'!$R:$R,'LE P&amp;L'!$A18,'YBHN LE TB'!D:D)</f>
        <v/>
      </c>
      <c r="Q18" s="37">
        <f>SUMIF('YBHN LE TB'!$R:$R,'LE P&amp;L'!$A18,'YBHN LE TB'!E:E)</f>
        <v/>
      </c>
      <c r="R18" s="37">
        <f>SUMIF('YBHN LE TB'!$R:$R,'LE P&amp;L'!$A18,'YBHN LE TB'!F:F)</f>
        <v/>
      </c>
      <c r="S18" s="37">
        <f>SUMIF('YBHN LE TB'!$R:$R,'LE P&amp;L'!$A18,'YBHN LE TB'!G:G)</f>
        <v/>
      </c>
      <c r="T18" s="37">
        <f>SUMIF('YBHN LE TB'!$R:$R,'LE P&amp;L'!$A18,'YBHN LE TB'!H:H)</f>
        <v/>
      </c>
      <c r="U18" s="37">
        <f>SUMIF('YBHN LE TB'!$R:$R,'LE P&amp;L'!$A18,'YBHN LE TB'!I:I)</f>
        <v/>
      </c>
      <c r="V18" s="38" t="n">
        <v>478.5</v>
      </c>
      <c r="W18" s="38" t="n">
        <v>478.5</v>
      </c>
      <c r="X18" s="38" t="n">
        <v>478.5</v>
      </c>
      <c r="Y18" s="38" t="n">
        <v>478.5</v>
      </c>
      <c r="Z18" s="38" t="n">
        <v>478.5</v>
      </c>
      <c r="AA18" s="36">
        <f>SUM(O18:U18)</f>
        <v/>
      </c>
      <c r="AB18" s="36">
        <f>SUM(O18:Z18)</f>
        <v/>
      </c>
      <c r="AC18" s="38" t="n">
        <v>478.5</v>
      </c>
      <c r="AD18" s="38" t="n">
        <v>478.5</v>
      </c>
      <c r="AE18" s="38" t="n">
        <v>478.5</v>
      </c>
      <c r="AF18" s="38" t="n">
        <v>478.5</v>
      </c>
      <c r="AG18" s="38" t="n">
        <v>478.5</v>
      </c>
      <c r="AH18" s="38" t="n">
        <v>478.5</v>
      </c>
      <c r="AI18" s="118" t="n">
        <v>478.5</v>
      </c>
      <c r="AJ18" s="119" t="n">
        <v>478.5</v>
      </c>
      <c r="AK18" s="119" t="n">
        <v>478.5</v>
      </c>
      <c r="AL18" s="119" t="n">
        <v>478.5</v>
      </c>
      <c r="AM18" s="120" t="n">
        <v>478.5</v>
      </c>
      <c r="AN18" s="118" t="n">
        <v>478.5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219.84</v>
      </c>
      <c r="D19" s="35" t="n">
        <v>166.92</v>
      </c>
      <c r="E19" s="35" t="n">
        <v>106.38</v>
      </c>
      <c r="F19" s="35" t="n">
        <v>92.34</v>
      </c>
      <c r="G19" s="35" t="n">
        <v>0</v>
      </c>
      <c r="H19" s="35" t="n">
        <v>0</v>
      </c>
      <c r="I19" s="35" t="n">
        <v>91.14</v>
      </c>
      <c r="J19" s="35" t="n">
        <v>13.98</v>
      </c>
      <c r="K19" s="35" t="n">
        <v>534</v>
      </c>
      <c r="L19" s="35" t="n">
        <v>0</v>
      </c>
      <c r="M19" s="35" t="n">
        <v>35.82</v>
      </c>
      <c r="N19" s="36">
        <f>SUM(B19:M19)</f>
        <v/>
      </c>
      <c r="O19" s="37">
        <f>SUMIF('YBHN LE TB'!$R:$R,'LE P&amp;L'!$A19,'YBHN LE TB'!C:C)</f>
        <v/>
      </c>
      <c r="P19" s="37">
        <f>SUMIF('YBHN LE TB'!$R:$R,'LE P&amp;L'!$A19,'YBHN LE TB'!D:D)</f>
        <v/>
      </c>
      <c r="Q19" s="37">
        <f>SUMIF('YBHN LE TB'!$R:$R,'LE P&amp;L'!$A19,'YBHN LE TB'!E:E)</f>
        <v/>
      </c>
      <c r="R19" s="37">
        <f>SUMIF('YBHN LE TB'!$R:$R,'LE P&amp;L'!$A19,'YBHN LE TB'!F:F)</f>
        <v/>
      </c>
      <c r="S19" s="37">
        <f>SUMIF('YBHN LE TB'!$R:$R,'LE P&amp;L'!$A19,'YBHN LE TB'!G:G)</f>
        <v/>
      </c>
      <c r="T19" s="37">
        <f>SUMIF('YBHN LE TB'!$R:$R,'LE P&amp;L'!$A19,'YBHN LE TB'!H:H)</f>
        <v/>
      </c>
      <c r="U19" s="37">
        <f>SUMIF('YBHN LE TB'!$R:$R,'LE P&amp;L'!$A19,'YBHN LE TB'!I:I)</f>
        <v/>
      </c>
      <c r="V19" s="38" t="n">
        <v>39</v>
      </c>
      <c r="W19" s="38" t="n">
        <v>39</v>
      </c>
      <c r="X19" s="38" t="n">
        <v>39</v>
      </c>
      <c r="Y19" s="38" t="n">
        <v>39</v>
      </c>
      <c r="Z19" s="38" t="n">
        <v>39</v>
      </c>
      <c r="AA19" s="36">
        <f>SUM(O19:U19)</f>
        <v/>
      </c>
      <c r="AB19" s="36">
        <f>SUM(O19:Z19)</f>
        <v/>
      </c>
      <c r="AC19" s="38" t="n">
        <v>39</v>
      </c>
      <c r="AD19" s="38" t="n">
        <v>39</v>
      </c>
      <c r="AE19" s="38" t="n">
        <v>39</v>
      </c>
      <c r="AF19" s="38" t="n">
        <v>39</v>
      </c>
      <c r="AG19" s="38" t="n">
        <v>39</v>
      </c>
      <c r="AH19" s="38" t="n">
        <v>39</v>
      </c>
      <c r="AI19" s="118" t="n">
        <v>39</v>
      </c>
      <c r="AJ19" s="119" t="n">
        <v>39</v>
      </c>
      <c r="AK19" s="119" t="n">
        <v>39</v>
      </c>
      <c r="AL19" s="119" t="n">
        <v>39</v>
      </c>
      <c r="AM19" s="120" t="n">
        <v>39</v>
      </c>
      <c r="AN19" s="118" t="n">
        <v>39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48</v>
      </c>
      <c r="C20" s="35" t="n">
        <v>0</v>
      </c>
      <c r="D20" s="35" t="n">
        <v>0</v>
      </c>
      <c r="E20" s="35" t="n">
        <v>0</v>
      </c>
      <c r="F20" s="35" t="n">
        <v>61.2</v>
      </c>
      <c r="G20" s="35" t="n">
        <v>0</v>
      </c>
      <c r="H20" s="35" t="n">
        <v>37.2</v>
      </c>
      <c r="I20" s="35" t="n">
        <v>307.19</v>
      </c>
      <c r="J20" s="35" t="n">
        <v>0</v>
      </c>
      <c r="K20" s="35" t="n">
        <v>0</v>
      </c>
      <c r="L20" s="35" t="n">
        <v>114</v>
      </c>
      <c r="M20" s="35" t="n">
        <v>0</v>
      </c>
      <c r="N20" s="36">
        <f>SUM(B20:M20)</f>
        <v/>
      </c>
      <c r="O20" s="37">
        <f>SUMIF('YBHN LE TB'!$R:$R,'LE P&amp;L'!$A20,'YBHN LE TB'!C:C)</f>
        <v/>
      </c>
      <c r="P20" s="37">
        <f>SUMIF('YBHN LE TB'!$R:$R,'LE P&amp;L'!$A20,'YBHN LE TB'!D:D)</f>
        <v/>
      </c>
      <c r="Q20" s="37">
        <f>SUMIF('YBHN LE TB'!$R:$R,'LE P&amp;L'!$A20,'YBHN LE TB'!E:E)</f>
        <v/>
      </c>
      <c r="R20" s="37">
        <f>SUMIF('YBHN LE TB'!$R:$R,'LE P&amp;L'!$A20,'YBHN LE TB'!F:F)</f>
        <v/>
      </c>
      <c r="S20" s="37">
        <f>SUMIF('YBHN LE TB'!$R:$R,'LE P&amp;L'!$A20,'YBHN LE TB'!G:G)</f>
        <v/>
      </c>
      <c r="T20" s="37">
        <f>SUMIF('YBHN LE TB'!$R:$R,'LE P&amp;L'!$A20,'YBHN LE TB'!H:H)</f>
        <v/>
      </c>
      <c r="U20" s="37">
        <f>SUMIF('YBHN LE TB'!$R:$R,'LE P&amp;L'!$A20,'YBHN LE TB'!I:I)</f>
        <v/>
      </c>
      <c r="V20" s="38" t="n">
        <v>50</v>
      </c>
      <c r="W20" s="38" t="n">
        <v>50</v>
      </c>
      <c r="X20" s="38" t="n">
        <v>50</v>
      </c>
      <c r="Y20" s="38" t="n">
        <v>50</v>
      </c>
      <c r="Z20" s="38" t="n">
        <v>50</v>
      </c>
      <c r="AA20" s="36">
        <f>SUM(O20:U20)</f>
        <v/>
      </c>
      <c r="AB20" s="36">
        <f>SUM(O20:Z20)</f>
        <v/>
      </c>
      <c r="AC20" s="38" t="n">
        <v>50</v>
      </c>
      <c r="AD20" s="38" t="n">
        <v>50</v>
      </c>
      <c r="AE20" s="38" t="n">
        <v>50</v>
      </c>
      <c r="AF20" s="38" t="n">
        <v>50</v>
      </c>
      <c r="AG20" s="38" t="n">
        <v>50</v>
      </c>
      <c r="AH20" s="38" t="n">
        <v>50</v>
      </c>
      <c r="AI20" s="118" t="n">
        <v>50</v>
      </c>
      <c r="AJ20" s="119" t="n">
        <v>50</v>
      </c>
      <c r="AK20" s="119" t="n">
        <v>50</v>
      </c>
      <c r="AL20" s="119" t="n">
        <v>50</v>
      </c>
      <c r="AM20" s="120" t="n">
        <v>50</v>
      </c>
      <c r="AN20" s="118" t="n">
        <v>50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130.26</v>
      </c>
      <c r="C21" s="35" t="n">
        <v>218.62</v>
      </c>
      <c r="D21" s="35" t="n">
        <v>222.99</v>
      </c>
      <c r="E21" s="35" t="n">
        <v>233.98</v>
      </c>
      <c r="F21" s="35" t="n">
        <v>99.15000000000001</v>
      </c>
      <c r="G21" s="35" t="n">
        <v>189.15</v>
      </c>
      <c r="H21" s="35" t="n">
        <v>126.5</v>
      </c>
      <c r="I21" s="35" t="n">
        <v>176.63</v>
      </c>
      <c r="J21" s="35" t="n">
        <v>64.90000000000001</v>
      </c>
      <c r="K21" s="35" t="n">
        <v>212.8</v>
      </c>
      <c r="L21" s="35" t="n">
        <v>68.61</v>
      </c>
      <c r="M21" s="35" t="n">
        <v>23.31</v>
      </c>
      <c r="N21" s="36">
        <f>SUM(B21:M21)</f>
        <v/>
      </c>
      <c r="O21" s="37">
        <f>SUMIF('YBHN LE TB'!$R:$R,'LE P&amp;L'!$A21,'YBHN LE TB'!C:C)</f>
        <v/>
      </c>
      <c r="P21" s="37">
        <f>SUMIF('YBHN LE TB'!$R:$R,'LE P&amp;L'!$A21,'YBHN LE TB'!D:D)</f>
        <v/>
      </c>
      <c r="Q21" s="37">
        <f>SUMIF('YBHN LE TB'!$R:$R,'LE P&amp;L'!$A21,'YBHN LE TB'!E:E)</f>
        <v/>
      </c>
      <c r="R21" s="37">
        <f>SUMIF('YBHN LE TB'!$R:$R,'LE P&amp;L'!$A21,'YBHN LE TB'!F:F)</f>
        <v/>
      </c>
      <c r="S21" s="37">
        <f>SUMIF('YBHN LE TB'!$R:$R,'LE P&amp;L'!$A21,'YBHN LE TB'!G:G)</f>
        <v/>
      </c>
      <c r="T21" s="37">
        <f>SUMIF('YBHN LE TB'!$R:$R,'LE P&amp;L'!$A21,'YBHN LE TB'!H:H)</f>
        <v/>
      </c>
      <c r="U21" s="37">
        <f>SUMIF('YBHN LE TB'!$R:$R,'LE P&amp;L'!$A21,'YBHN LE TB'!I:I)</f>
        <v/>
      </c>
      <c r="V21" s="38" t="n">
        <v>80</v>
      </c>
      <c r="W21" s="38" t="n">
        <v>80</v>
      </c>
      <c r="X21" s="38" t="n">
        <v>80</v>
      </c>
      <c r="Y21" s="38" t="n">
        <v>80</v>
      </c>
      <c r="Z21" s="38" t="n">
        <v>80</v>
      </c>
      <c r="AA21" s="36">
        <f>SUM(O21:U21)</f>
        <v/>
      </c>
      <c r="AB21" s="36">
        <f>SUM(O21:Z21)</f>
        <v/>
      </c>
      <c r="AC21" s="38" t="n">
        <v>80</v>
      </c>
      <c r="AD21" s="38" t="n">
        <v>80</v>
      </c>
      <c r="AE21" s="38" t="n">
        <v>80</v>
      </c>
      <c r="AF21" s="38" t="n">
        <v>80</v>
      </c>
      <c r="AG21" s="38" t="n">
        <v>80</v>
      </c>
      <c r="AH21" s="38" t="n">
        <v>80</v>
      </c>
      <c r="AI21" s="118" t="n">
        <v>80</v>
      </c>
      <c r="AJ21" s="119" t="n">
        <v>80</v>
      </c>
      <c r="AK21" s="119" t="n">
        <v>80</v>
      </c>
      <c r="AL21" s="119" t="n">
        <v>80</v>
      </c>
      <c r="AM21" s="120" t="n">
        <v>80</v>
      </c>
      <c r="AN21" s="118" t="n">
        <v>80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SUMIF('YBHN LE TB'!$R:$R,'LE P&amp;L'!$A22,'YBHN LE TB'!C:C)</f>
        <v/>
      </c>
      <c r="P22" s="37">
        <f>SUMIF('YBHN LE TB'!$R:$R,'LE P&amp;L'!$A22,'YBHN LE TB'!D:D)</f>
        <v/>
      </c>
      <c r="Q22" s="37">
        <f>SUMIF('YBHN LE TB'!$R:$R,'LE P&amp;L'!$A22,'YBHN LE TB'!E:E)</f>
        <v/>
      </c>
      <c r="R22" s="37">
        <f>SUMIF('YBHN LE TB'!$R:$R,'LE P&amp;L'!$A22,'YBHN LE TB'!F:F)</f>
        <v/>
      </c>
      <c r="S22" s="37">
        <f>SUMIF('YBHN LE TB'!$R:$R,'LE P&amp;L'!$A22,'YBHN LE TB'!G:G)</f>
        <v/>
      </c>
      <c r="T22" s="37">
        <f>SUMIF('YBHN LE TB'!$R:$R,'LE P&amp;L'!$A22,'YBHN LE TB'!H:H)</f>
        <v/>
      </c>
      <c r="U22" s="37">
        <f>SUMIF('YBHN LE TB'!$R:$R,'LE P&amp;L'!$A22,'YBHN LE TB'!I:I)</f>
        <v/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118" t="n">
        <v>0</v>
      </c>
      <c r="AJ22" s="119" t="n">
        <v>0</v>
      </c>
      <c r="AK22" s="119" t="n">
        <v>0</v>
      </c>
      <c r="AL22" s="119" t="n">
        <v>0</v>
      </c>
      <c r="AM22" s="120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33</v>
      </c>
      <c r="I23" s="35" t="n">
        <v>0</v>
      </c>
      <c r="J23" s="35" t="n">
        <v>31.5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>
        <f>SUMIF('YBHN LE TB'!$R:$R,'LE P&amp;L'!$A23,'YBHN LE TB'!C:C)</f>
        <v/>
      </c>
      <c r="P23" s="37">
        <f>SUMIF('YBHN LE TB'!$R:$R,'LE P&amp;L'!$A23,'YBHN LE TB'!D:D)</f>
        <v/>
      </c>
      <c r="Q23" s="37">
        <f>SUMIF('YBHN LE TB'!$R:$R,'LE P&amp;L'!$A23,'YBHN LE TB'!E:E)</f>
        <v/>
      </c>
      <c r="R23" s="37">
        <f>SUMIF('YBHN LE TB'!$R:$R,'LE P&amp;L'!$A23,'YBHN LE TB'!F:F)</f>
        <v/>
      </c>
      <c r="S23" s="37">
        <f>SUMIF('YBHN LE TB'!$R:$R,'LE P&amp;L'!$A23,'YBHN LE TB'!G:G)</f>
        <v/>
      </c>
      <c r="T23" s="37">
        <f>SUMIF('YBHN LE TB'!$R:$R,'LE P&amp;L'!$A23,'YBHN LE TB'!H:H)</f>
        <v/>
      </c>
      <c r="U23" s="37">
        <f>SUMIF('YBHN LE TB'!$R:$R,'LE P&amp;L'!$A23,'YBHN LE TB'!I:I)</f>
        <v/>
      </c>
      <c r="V23" s="38" t="n">
        <v>33</v>
      </c>
      <c r="W23" s="38" t="n">
        <v>33</v>
      </c>
      <c r="X23" s="38" t="n">
        <v>33</v>
      </c>
      <c r="Y23" s="38" t="n">
        <v>33</v>
      </c>
      <c r="Z23" s="38" t="n">
        <v>33</v>
      </c>
      <c r="AA23" s="36">
        <f>SUM(O23:U23)</f>
        <v/>
      </c>
      <c r="AB23" s="36">
        <f>SUM(O23:Z23)</f>
        <v/>
      </c>
      <c r="AC23" s="38" t="n">
        <v>33</v>
      </c>
      <c r="AD23" s="38" t="n">
        <v>33</v>
      </c>
      <c r="AE23" s="38" t="n">
        <v>33</v>
      </c>
      <c r="AF23" s="38" t="n">
        <v>33</v>
      </c>
      <c r="AG23" s="38" t="n">
        <v>33</v>
      </c>
      <c r="AH23" s="38" t="n">
        <v>33</v>
      </c>
      <c r="AI23" s="118" t="n">
        <v>33</v>
      </c>
      <c r="AJ23" s="119" t="n">
        <v>33</v>
      </c>
      <c r="AK23" s="119" t="n">
        <v>33</v>
      </c>
      <c r="AL23" s="119" t="n">
        <v>33</v>
      </c>
      <c r="AM23" s="120" t="n">
        <v>33</v>
      </c>
      <c r="AN23" s="118" t="n">
        <v>33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SUMIF('YBHN LE TB'!$R:$R,'LE P&amp;L'!$A24,'YBHN LE TB'!C:C)</f>
        <v/>
      </c>
      <c r="P24" s="37">
        <f>SUMIF('YBHN LE TB'!$R:$R,'LE P&amp;L'!$A24,'YBHN LE TB'!D:D)</f>
        <v/>
      </c>
      <c r="Q24" s="37">
        <f>SUMIF('YBHN LE TB'!$R:$R,'LE P&amp;L'!$A24,'YBHN LE TB'!E:E)</f>
        <v/>
      </c>
      <c r="R24" s="37">
        <f>SUMIF('YBHN LE TB'!$R:$R,'LE P&amp;L'!$A24,'YBHN LE TB'!F:F)</f>
        <v/>
      </c>
      <c r="S24" s="37">
        <f>SUMIF('YBHN LE TB'!$R:$R,'LE P&amp;L'!$A24,'YBHN LE TB'!G:G)</f>
        <v/>
      </c>
      <c r="T24" s="37">
        <f>SUMIF('YBHN LE TB'!$R:$R,'LE P&amp;L'!$A24,'YBHN LE TB'!H:H)</f>
        <v/>
      </c>
      <c r="U24" s="37">
        <f>SUMIF('YBHN LE TB'!$R:$R,'LE P&amp;L'!$A24,'YBHN LE TB'!I:I)</f>
        <v/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118" t="n">
        <v>0</v>
      </c>
      <c r="AJ24" s="119" t="n">
        <v>0</v>
      </c>
      <c r="AK24" s="119" t="n">
        <v>0</v>
      </c>
      <c r="AL24" s="119" t="n">
        <v>0</v>
      </c>
      <c r="AM24" s="120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22962.82999999999</v>
      </c>
      <c r="C25" s="42" t="n">
        <v>22797.73</v>
      </c>
      <c r="D25" s="42" t="n">
        <v>24093.15</v>
      </c>
      <c r="E25" s="42" t="n">
        <v>28572.22</v>
      </c>
      <c r="F25" s="42" t="n">
        <v>26799.23</v>
      </c>
      <c r="G25" s="42" t="n">
        <v>26364.45</v>
      </c>
      <c r="H25" s="42" t="n">
        <v>26967.23</v>
      </c>
      <c r="I25" s="42" t="n">
        <v>21412.27</v>
      </c>
      <c r="J25" s="42" t="n">
        <v>21400.54</v>
      </c>
      <c r="K25" s="42" t="n">
        <v>22378.38</v>
      </c>
      <c r="L25" s="42" t="n">
        <v>22109.79</v>
      </c>
      <c r="M25" s="42" t="n">
        <v>22259.56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3">
        <f>SUM(AI16:AI24)</f>
        <v/>
      </c>
      <c r="AJ25" s="124">
        <f>SUM(AJ16:AJ24)</f>
        <v/>
      </c>
      <c r="AK25" s="124">
        <f>SUM(AK16:AK24)</f>
        <v/>
      </c>
      <c r="AL25" s="124">
        <f>SUM(AL16:AL24)</f>
        <v/>
      </c>
      <c r="AM25" s="124">
        <f>SUM(AM16:AM24)</f>
        <v/>
      </c>
      <c r="AN25" s="123">
        <f>SUM(AN16:AN24)</f>
        <v/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7" t="n">
        <v>0</v>
      </c>
      <c r="AJ26" s="128" t="n">
        <v>0</v>
      </c>
      <c r="AK26" s="128" t="n">
        <v>0</v>
      </c>
      <c r="AL26" s="128" t="n">
        <v>0</v>
      </c>
      <c r="AM26" s="129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1332.6</v>
      </c>
      <c r="C27" s="35" t="n">
        <v>1191.73</v>
      </c>
      <c r="D27" s="35" t="n">
        <v>1025.59</v>
      </c>
      <c r="E27" s="35" t="n">
        <v>910.41</v>
      </c>
      <c r="F27" s="35" t="n">
        <v>1198.8</v>
      </c>
      <c r="G27" s="35" t="n">
        <v>1030.9</v>
      </c>
      <c r="H27" s="35" t="n">
        <v>1110.68</v>
      </c>
      <c r="I27" s="35" t="n">
        <v>937.1999999999999</v>
      </c>
      <c r="J27" s="35" t="n">
        <v>1236.03</v>
      </c>
      <c r="K27" s="35" t="n">
        <v>1802.97</v>
      </c>
      <c r="L27" s="35" t="n">
        <v>1242.95</v>
      </c>
      <c r="M27" s="35" t="n">
        <v>1292.99</v>
      </c>
      <c r="N27" s="36">
        <f>SUM(B27:M27)</f>
        <v/>
      </c>
      <c r="O27" s="37">
        <f>SUMIF('YBHN LE TB'!$R:$R,'LE P&amp;L'!$A27,'YBHN LE TB'!C:C)</f>
        <v/>
      </c>
      <c r="P27" s="37">
        <f>SUMIF('YBHN LE TB'!$R:$R,'LE P&amp;L'!$A27,'YBHN LE TB'!D:D)</f>
        <v/>
      </c>
      <c r="Q27" s="37">
        <f>SUMIF('YBHN LE TB'!$R:$R,'LE P&amp;L'!$A27,'YBHN LE TB'!E:E)</f>
        <v/>
      </c>
      <c r="R27" s="37">
        <f>SUMIF('YBHN LE TB'!$R:$R,'LE P&amp;L'!$A27,'YBHN LE TB'!F:F)</f>
        <v/>
      </c>
      <c r="S27" s="37">
        <f>SUMIF('YBHN LE TB'!$R:$R,'LE P&amp;L'!$A27,'YBHN LE TB'!G:G)</f>
        <v/>
      </c>
      <c r="T27" s="37">
        <f>SUMIF('YBHN LE TB'!$R:$R,'LE P&amp;L'!$A27,'YBHN LE TB'!H:H)</f>
        <v/>
      </c>
      <c r="U27" s="37">
        <f>SUMIF('YBHN LE TB'!$R:$R,'LE P&amp;L'!$A27,'YBHN LE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18" t="n">
        <v>0</v>
      </c>
      <c r="AJ27" s="119" t="n">
        <v>0</v>
      </c>
      <c r="AK27" s="119" t="n">
        <v>0</v>
      </c>
      <c r="AL27" s="119" t="n">
        <v>0</v>
      </c>
      <c r="AM27" s="120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29.48</v>
      </c>
      <c r="C28" s="35" t="n">
        <v>98.81</v>
      </c>
      <c r="D28" s="35" t="n">
        <v>209.15</v>
      </c>
      <c r="E28" s="35" t="n">
        <v>106.54</v>
      </c>
      <c r="F28" s="35" t="n">
        <v>197.64</v>
      </c>
      <c r="G28" s="35" t="n">
        <v>67.42</v>
      </c>
      <c r="H28" s="35" t="n">
        <v>179.26</v>
      </c>
      <c r="I28" s="35" t="n">
        <v>51.75</v>
      </c>
      <c r="J28" s="35" t="n">
        <v>224.25</v>
      </c>
      <c r="K28" s="35" t="n">
        <v>49.58</v>
      </c>
      <c r="L28" s="35" t="n">
        <v>71.05</v>
      </c>
      <c r="M28" s="35" t="n">
        <v>37.20999999999999</v>
      </c>
      <c r="N28" s="36">
        <f>SUM(B28:M28)</f>
        <v/>
      </c>
      <c r="O28" s="37">
        <f>SUMIF('YBHN LE TB'!$R:$R,'LE P&amp;L'!$A28,'YBHN LE TB'!C:C)</f>
        <v/>
      </c>
      <c r="P28" s="37">
        <f>SUMIF('YBHN LE TB'!$R:$R,'LE P&amp;L'!$A28,'YBHN LE TB'!D:D)</f>
        <v/>
      </c>
      <c r="Q28" s="37">
        <f>SUMIF('YBHN LE TB'!$R:$R,'LE P&amp;L'!$A28,'YBHN LE TB'!E:E)</f>
        <v/>
      </c>
      <c r="R28" s="37">
        <f>SUMIF('YBHN LE TB'!$R:$R,'LE P&amp;L'!$A28,'YBHN LE TB'!F:F)</f>
        <v/>
      </c>
      <c r="S28" s="37">
        <f>SUMIF('YBHN LE TB'!$R:$R,'LE P&amp;L'!$A28,'YBHN LE TB'!G:G)</f>
        <v/>
      </c>
      <c r="T28" s="37">
        <f>SUMIF('YBHN LE TB'!$R:$R,'LE P&amp;L'!$A28,'YBHN LE TB'!H:H)</f>
        <v/>
      </c>
      <c r="U28" s="37">
        <f>SUMIF('YBHN LE TB'!$R:$R,'LE P&amp;L'!$A28,'YBHN LE TB'!I:I)</f>
        <v/>
      </c>
      <c r="V28" s="38" t="n">
        <v>54</v>
      </c>
      <c r="W28" s="38" t="n">
        <v>55</v>
      </c>
      <c r="X28" s="38" t="n">
        <v>56</v>
      </c>
      <c r="Y28" s="38" t="n">
        <v>57</v>
      </c>
      <c r="Z28" s="38" t="n">
        <v>58</v>
      </c>
      <c r="AA28" s="36">
        <f>SUM(O28:U28)</f>
        <v/>
      </c>
      <c r="AB28" s="36">
        <f>SUM(O28:Z28)</f>
        <v/>
      </c>
      <c r="AC28" s="38" t="n">
        <v>58</v>
      </c>
      <c r="AD28" s="38" t="n">
        <v>58</v>
      </c>
      <c r="AE28" s="38" t="n">
        <v>58</v>
      </c>
      <c r="AF28" s="38" t="n">
        <v>58</v>
      </c>
      <c r="AG28" s="38" t="n">
        <v>58</v>
      </c>
      <c r="AH28" s="38" t="n">
        <v>58</v>
      </c>
      <c r="AI28" s="118" t="n">
        <v>58</v>
      </c>
      <c r="AJ28" s="119" t="n">
        <v>58</v>
      </c>
      <c r="AK28" s="119" t="n">
        <v>58</v>
      </c>
      <c r="AL28" s="119" t="n">
        <v>58</v>
      </c>
      <c r="AM28" s="120" t="n">
        <v>58</v>
      </c>
      <c r="AN28" s="118" t="n">
        <v>58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8.18</v>
      </c>
      <c r="C29" s="35" t="n">
        <v>28.97</v>
      </c>
      <c r="D29" s="35" t="n">
        <v>112.31</v>
      </c>
      <c r="E29" s="35" t="n">
        <v>151.3</v>
      </c>
      <c r="F29" s="35" t="n">
        <v>47.69</v>
      </c>
      <c r="G29" s="35" t="n">
        <v>122.42</v>
      </c>
      <c r="H29" s="35" t="n">
        <v>0</v>
      </c>
      <c r="I29" s="35" t="n">
        <v>31.91</v>
      </c>
      <c r="J29" s="35" t="n">
        <v>25.44</v>
      </c>
      <c r="K29" s="35" t="n">
        <v>84.27000000000001</v>
      </c>
      <c r="L29" s="35" t="n">
        <v>198.26</v>
      </c>
      <c r="M29" s="35" t="n">
        <v>107.1</v>
      </c>
      <c r="N29" s="36">
        <f>SUM(B29:M29)</f>
        <v/>
      </c>
      <c r="O29" s="37">
        <f>SUMIF('YBHN LE TB'!$R:$R,'LE P&amp;L'!$A29,'YBHN LE TB'!C:C)</f>
        <v/>
      </c>
      <c r="P29" s="37">
        <f>SUMIF('YBHN LE TB'!$R:$R,'LE P&amp;L'!$A29,'YBHN LE TB'!D:D)</f>
        <v/>
      </c>
      <c r="Q29" s="37">
        <f>SUMIF('YBHN LE TB'!$R:$R,'LE P&amp;L'!$A29,'YBHN LE TB'!E:E)</f>
        <v/>
      </c>
      <c r="R29" s="37">
        <f>SUMIF('YBHN LE TB'!$R:$R,'LE P&amp;L'!$A29,'YBHN LE TB'!F:F)</f>
        <v/>
      </c>
      <c r="S29" s="37">
        <f>SUMIF('YBHN LE TB'!$R:$R,'LE P&amp;L'!$A29,'YBHN LE TB'!G:G)</f>
        <v/>
      </c>
      <c r="T29" s="37">
        <f>SUMIF('YBHN LE TB'!$R:$R,'LE P&amp;L'!$A29,'YBHN LE TB'!H:H)</f>
        <v/>
      </c>
      <c r="U29" s="37">
        <f>SUMIF('YBHN LE TB'!$R:$R,'LE P&amp;L'!$A29,'YBHN LE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18" t="n">
        <v>0</v>
      </c>
      <c r="AJ29" s="119" t="n">
        <v>0</v>
      </c>
      <c r="AK29" s="119" t="n">
        <v>0</v>
      </c>
      <c r="AL29" s="119" t="n">
        <v>0</v>
      </c>
      <c r="AM29" s="120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SUMIF('YBHN LE TB'!$R:$R,'LE P&amp;L'!$A30,'YBHN LE TB'!C:C)</f>
        <v/>
      </c>
      <c r="P30" s="37">
        <f>SUMIF('YBHN LE TB'!$R:$R,'LE P&amp;L'!$A30,'YBHN LE TB'!D:D)</f>
        <v/>
      </c>
      <c r="Q30" s="37">
        <f>SUMIF('YBHN LE TB'!$R:$R,'LE P&amp;L'!$A30,'YBHN LE TB'!E:E)</f>
        <v/>
      </c>
      <c r="R30" s="37">
        <f>SUMIF('YBHN LE TB'!$R:$R,'LE P&amp;L'!$A30,'YBHN LE TB'!F:F)</f>
        <v/>
      </c>
      <c r="S30" s="37">
        <f>SUMIF('YBHN LE TB'!$R:$R,'LE P&amp;L'!$A30,'YBHN LE TB'!G:G)</f>
        <v/>
      </c>
      <c r="T30" s="37">
        <f>SUMIF('YBHN LE TB'!$R:$R,'LE P&amp;L'!$A30,'YBHN LE TB'!H:H)</f>
        <v/>
      </c>
      <c r="U30" s="37">
        <f>SUMIF('YBHN LE TB'!$R:$R,'LE P&amp;L'!$A30,'YBHN LE TB'!I:I)</f>
        <v/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118" t="n">
        <v>100</v>
      </c>
      <c r="AJ30" s="119" t="n">
        <v>100</v>
      </c>
      <c r="AK30" s="119" t="n">
        <v>100</v>
      </c>
      <c r="AL30" s="119" t="n">
        <v>100</v>
      </c>
      <c r="AM30" s="120" t="n">
        <v>100</v>
      </c>
      <c r="AN30" s="118" t="n">
        <v>100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0</v>
      </c>
      <c r="C31" s="35" t="n">
        <v>3.99</v>
      </c>
      <c r="D31" s="35" t="n">
        <v>201.16</v>
      </c>
      <c r="E31" s="35" t="n">
        <v>91.98</v>
      </c>
      <c r="F31" s="35" t="n">
        <v>114.68</v>
      </c>
      <c r="G31" s="35" t="n">
        <v>25</v>
      </c>
      <c r="H31" s="35" t="n">
        <v>28.7</v>
      </c>
      <c r="I31" s="35" t="n">
        <v>396.21</v>
      </c>
      <c r="J31" s="35" t="n">
        <v>169.37</v>
      </c>
      <c r="K31" s="35" t="n">
        <v>48.97</v>
      </c>
      <c r="L31" s="35" t="n">
        <v>35.92</v>
      </c>
      <c r="M31" s="35" t="n">
        <v>151.68</v>
      </c>
      <c r="N31" s="36">
        <f>SUM(B31:M31)</f>
        <v/>
      </c>
      <c r="O31" s="37">
        <f>SUMIF('YBHN LE TB'!$R:$R,'LE P&amp;L'!$A31,'YBHN LE TB'!C:C)</f>
        <v/>
      </c>
      <c r="P31" s="37">
        <f>SUMIF('YBHN LE TB'!$R:$R,'LE P&amp;L'!$A31,'YBHN LE TB'!D:D)</f>
        <v/>
      </c>
      <c r="Q31" s="37">
        <f>SUMIF('YBHN LE TB'!$R:$R,'LE P&amp;L'!$A31,'YBHN LE TB'!E:E)</f>
        <v/>
      </c>
      <c r="R31" s="37">
        <f>SUMIF('YBHN LE TB'!$R:$R,'LE P&amp;L'!$A31,'YBHN LE TB'!F:F)</f>
        <v/>
      </c>
      <c r="S31" s="37">
        <f>SUMIF('YBHN LE TB'!$R:$R,'LE P&amp;L'!$A31,'YBHN LE TB'!G:G)</f>
        <v/>
      </c>
      <c r="T31" s="37">
        <f>SUMIF('YBHN LE TB'!$R:$R,'LE P&amp;L'!$A31,'YBHN LE TB'!H:H)</f>
        <v/>
      </c>
      <c r="U31" s="37">
        <f>SUMIF('YBHN LE TB'!$R:$R,'LE P&amp;L'!$A31,'YBHN LE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8" t="n">
        <v>50</v>
      </c>
      <c r="AJ31" s="119" t="n">
        <v>50</v>
      </c>
      <c r="AK31" s="119" t="n">
        <v>50</v>
      </c>
      <c r="AL31" s="119" t="n">
        <v>50</v>
      </c>
      <c r="AM31" s="120" t="n">
        <v>50</v>
      </c>
      <c r="AN31" s="118" t="n">
        <v>50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131.82</v>
      </c>
      <c r="C32" s="35" t="n">
        <v>33.24</v>
      </c>
      <c r="D32" s="35" t="n">
        <v>57.88</v>
      </c>
      <c r="E32" s="35" t="n">
        <v>31.94</v>
      </c>
      <c r="F32" s="35" t="n">
        <v>52.53</v>
      </c>
      <c r="G32" s="35" t="n">
        <v>76.42999999999999</v>
      </c>
      <c r="H32" s="35" t="n">
        <v>19.38</v>
      </c>
      <c r="I32" s="35" t="n">
        <v>32.9</v>
      </c>
      <c r="J32" s="35" t="n">
        <v>90.89999999999999</v>
      </c>
      <c r="K32" s="35" t="n">
        <v>69.39</v>
      </c>
      <c r="L32" s="35" t="n">
        <v>53.64</v>
      </c>
      <c r="M32" s="35" t="n">
        <v>160.62</v>
      </c>
      <c r="N32" s="36">
        <f>SUM(B32:M32)</f>
        <v/>
      </c>
      <c r="O32" s="37">
        <f>SUMIF('YBHN LE TB'!$R:$R,'LE P&amp;L'!$A32,'YBHN LE TB'!C:C)</f>
        <v/>
      </c>
      <c r="P32" s="37">
        <f>SUMIF('YBHN LE TB'!$R:$R,'LE P&amp;L'!$A32,'YBHN LE TB'!D:D)</f>
        <v/>
      </c>
      <c r="Q32" s="37">
        <f>SUMIF('YBHN LE TB'!$R:$R,'LE P&amp;L'!$A32,'YBHN LE TB'!E:E)</f>
        <v/>
      </c>
      <c r="R32" s="37">
        <f>SUMIF('YBHN LE TB'!$R:$R,'LE P&amp;L'!$A32,'YBHN LE TB'!F:F)</f>
        <v/>
      </c>
      <c r="S32" s="37">
        <f>SUMIF('YBHN LE TB'!$R:$R,'LE P&amp;L'!$A32,'YBHN LE TB'!G:G)</f>
        <v/>
      </c>
      <c r="T32" s="37">
        <f>SUMIF('YBHN LE TB'!$R:$R,'LE P&amp;L'!$A32,'YBHN LE TB'!H:H)</f>
        <v/>
      </c>
      <c r="U32" s="37">
        <f>SUMIF('YBHN LE TB'!$R:$R,'LE P&amp;L'!$A32,'YBHN LE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18" t="n">
        <v>0</v>
      </c>
      <c r="AJ32" s="119" t="n">
        <v>0</v>
      </c>
      <c r="AK32" s="119" t="n">
        <v>0</v>
      </c>
      <c r="AL32" s="119" t="n">
        <v>0</v>
      </c>
      <c r="AM32" s="120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SUMIF('YBHN LE TB'!$R:$R,'LE P&amp;L'!$A33,'YBHN LE TB'!C:C)</f>
        <v/>
      </c>
      <c r="P33" s="37">
        <f>SUMIF('YBHN LE TB'!$R:$R,'LE P&amp;L'!$A33,'YBHN LE TB'!D:D)</f>
        <v/>
      </c>
      <c r="Q33" s="37">
        <f>SUMIF('YBHN LE TB'!$R:$R,'LE P&amp;L'!$A33,'YBHN LE TB'!E:E)</f>
        <v/>
      </c>
      <c r="R33" s="37">
        <f>SUMIF('YBHN LE TB'!$R:$R,'LE P&amp;L'!$A33,'YBHN LE TB'!F:F)</f>
        <v/>
      </c>
      <c r="S33" s="37">
        <f>SUMIF('YBHN LE TB'!$R:$R,'LE P&amp;L'!$A33,'YBHN LE TB'!G:G)</f>
        <v/>
      </c>
      <c r="T33" s="37">
        <f>SUMIF('YBHN LE TB'!$R:$R,'LE P&amp;L'!$A33,'YBHN LE TB'!H:H)</f>
        <v/>
      </c>
      <c r="U33" s="37">
        <f>SUMIF('YBHN LE TB'!$R:$R,'LE P&amp;L'!$A33,'YBHN LE TB'!I:I)</f>
        <v/>
      </c>
      <c r="V33" s="38" t="n">
        <v>4</v>
      </c>
      <c r="W33" s="38" t="n">
        <v>5</v>
      </c>
      <c r="X33" s="38" t="n">
        <v>6</v>
      </c>
      <c r="Y33" s="38" t="n">
        <v>7</v>
      </c>
      <c r="Z33" s="38" t="n">
        <v>8</v>
      </c>
      <c r="AA33" s="36">
        <f>SUM(O33:U33)</f>
        <v/>
      </c>
      <c r="AB33" s="36">
        <f>SUM(O33:Z33)</f>
        <v/>
      </c>
      <c r="AC33" s="38" t="n">
        <v>8</v>
      </c>
      <c r="AD33" s="38" t="n">
        <v>8</v>
      </c>
      <c r="AE33" s="38" t="n">
        <v>8</v>
      </c>
      <c r="AF33" s="38" t="n">
        <v>8</v>
      </c>
      <c r="AG33" s="38" t="n">
        <v>8</v>
      </c>
      <c r="AH33" s="38" t="n">
        <v>8</v>
      </c>
      <c r="AI33" s="118" t="n">
        <v>8</v>
      </c>
      <c r="AJ33" s="119" t="n">
        <v>8</v>
      </c>
      <c r="AK33" s="119" t="n">
        <v>8</v>
      </c>
      <c r="AL33" s="119" t="n">
        <v>8</v>
      </c>
      <c r="AM33" s="120" t="n">
        <v>8</v>
      </c>
      <c r="AN33" s="118" t="n">
        <v>8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1502.08</v>
      </c>
      <c r="C34" s="42" t="n">
        <v>1356.74</v>
      </c>
      <c r="D34" s="42" t="n">
        <v>1606.09</v>
      </c>
      <c r="E34" s="42" t="n">
        <v>1292.17</v>
      </c>
      <c r="F34" s="42" t="n">
        <v>1611.34</v>
      </c>
      <c r="G34" s="42" t="n">
        <v>1322.17</v>
      </c>
      <c r="H34" s="42" t="n">
        <v>1338.02</v>
      </c>
      <c r="I34" s="42" t="n">
        <v>1449.97</v>
      </c>
      <c r="J34" s="42" t="n">
        <v>1745.99</v>
      </c>
      <c r="K34" s="42" t="n">
        <v>2055.18</v>
      </c>
      <c r="L34" s="42" t="n">
        <v>1601.82</v>
      </c>
      <c r="M34" s="42" t="n">
        <v>1749.6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3">
        <f>SUM(AI27:AI33)</f>
        <v/>
      </c>
      <c r="AJ34" s="124">
        <f>SUM(AJ27:AJ33)</f>
        <v/>
      </c>
      <c r="AK34" s="124">
        <f>SUM(AK27:AK33)</f>
        <v/>
      </c>
      <c r="AL34" s="124">
        <f>SUM(AL27:AL33)</f>
        <v/>
      </c>
      <c r="AM34" s="124">
        <f>SUM(AM27:AM33)</f>
        <v/>
      </c>
      <c r="AN34" s="123">
        <f>SUM(AN27:AN33)</f>
        <v/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7" t="n">
        <v>0</v>
      </c>
      <c r="AJ35" s="128" t="n">
        <v>0</v>
      </c>
      <c r="AK35" s="128" t="n">
        <v>0</v>
      </c>
      <c r="AL35" s="128" t="n">
        <v>0</v>
      </c>
      <c r="AM35" s="129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541.67</v>
      </c>
      <c r="C36" s="35" t="n">
        <v>541.67</v>
      </c>
      <c r="D36" s="35" t="n">
        <v>541.67</v>
      </c>
      <c r="E36" s="35" t="n">
        <v>541.67</v>
      </c>
      <c r="F36" s="35" t="n">
        <v>541.67</v>
      </c>
      <c r="G36" s="35" t="n">
        <v>541.67</v>
      </c>
      <c r="H36" s="35" t="n">
        <v>541.67</v>
      </c>
      <c r="I36" s="35" t="n">
        <v>541.67</v>
      </c>
      <c r="J36" s="35" t="n">
        <v>541.66</v>
      </c>
      <c r="K36" s="35" t="n">
        <v>541.67</v>
      </c>
      <c r="L36" s="35" t="n">
        <v>541.67</v>
      </c>
      <c r="M36" s="35" t="n">
        <v>541.66</v>
      </c>
      <c r="N36" s="36">
        <f>SUM(B36:M36)</f>
        <v/>
      </c>
      <c r="O36" s="37">
        <f>SUMIF('YBHN LE TB'!$R:$R,'LE P&amp;L'!$A36,'YBHN LE TB'!C:C)</f>
        <v/>
      </c>
      <c r="P36" s="37">
        <f>SUMIF('YBHN LE TB'!$R:$R,'LE P&amp;L'!$A36,'YBHN LE TB'!D:D)</f>
        <v/>
      </c>
      <c r="Q36" s="37">
        <f>SUMIF('YBHN LE TB'!$R:$R,'LE P&amp;L'!$A36,'YBHN LE TB'!E:E)</f>
        <v/>
      </c>
      <c r="R36" s="37">
        <f>SUMIF('YBHN LE TB'!$R:$R,'LE P&amp;L'!$A36,'YBHN LE TB'!F:F)</f>
        <v/>
      </c>
      <c r="S36" s="37">
        <f>SUMIF('YBHN LE TB'!$R:$R,'LE P&amp;L'!$A36,'YBHN LE TB'!G:G)</f>
        <v/>
      </c>
      <c r="T36" s="37">
        <f>SUMIF('YBHN LE TB'!$R:$R,'LE P&amp;L'!$A36,'YBHN LE TB'!H:H)</f>
        <v/>
      </c>
      <c r="U36" s="37">
        <f>SUMIF('YBHN LE TB'!$R:$R,'LE P&amp;L'!$A36,'YBHN LE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8" t="n">
        <v>0</v>
      </c>
      <c r="AJ36" s="119" t="n">
        <v>0</v>
      </c>
      <c r="AK36" s="119" t="n">
        <v>0</v>
      </c>
      <c r="AL36" s="119" t="n">
        <v>0</v>
      </c>
      <c r="AM36" s="120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426.23</v>
      </c>
      <c r="C37" s="35" t="n">
        <v>426.23</v>
      </c>
      <c r="D37" s="35" t="n">
        <v>426.23</v>
      </c>
      <c r="E37" s="35" t="n">
        <v>426.23</v>
      </c>
      <c r="F37" s="35" t="n">
        <v>426.23</v>
      </c>
      <c r="G37" s="35" t="n">
        <v>426.23</v>
      </c>
      <c r="H37" s="35" t="n">
        <v>426.23</v>
      </c>
      <c r="I37" s="35" t="n">
        <v>426.23</v>
      </c>
      <c r="J37" s="35" t="n">
        <v>426.23</v>
      </c>
      <c r="K37" s="35" t="n">
        <v>426.23</v>
      </c>
      <c r="L37" s="35" t="n">
        <v>426.23</v>
      </c>
      <c r="M37" s="35" t="n">
        <v>426.23</v>
      </c>
      <c r="N37" s="36">
        <f>SUM(B37:M37)</f>
        <v/>
      </c>
      <c r="O37" s="37">
        <f>SUMIF('YBHN LE TB'!$R:$R,'LE P&amp;L'!$A37,'YBHN LE TB'!C:C)</f>
        <v/>
      </c>
      <c r="P37" s="37">
        <f>SUMIF('YBHN LE TB'!$R:$R,'LE P&amp;L'!$A37,'YBHN LE TB'!D:D)</f>
        <v/>
      </c>
      <c r="Q37" s="37">
        <f>SUMIF('YBHN LE TB'!$R:$R,'LE P&amp;L'!$A37,'YBHN LE TB'!E:E)</f>
        <v/>
      </c>
      <c r="R37" s="37">
        <f>SUMIF('YBHN LE TB'!$R:$R,'LE P&amp;L'!$A37,'YBHN LE TB'!F:F)</f>
        <v/>
      </c>
      <c r="S37" s="37">
        <f>SUMIF('YBHN LE TB'!$R:$R,'LE P&amp;L'!$A37,'YBHN LE TB'!G:G)</f>
        <v/>
      </c>
      <c r="T37" s="37">
        <f>SUMIF('YBHN LE TB'!$R:$R,'LE P&amp;L'!$A37,'YBHN LE TB'!H:H)</f>
        <v/>
      </c>
      <c r="U37" s="37">
        <f>SUMIF('YBHN LE TB'!$R:$R,'LE P&amp;L'!$A37,'YBHN LE TB'!I:I)</f>
        <v/>
      </c>
      <c r="V37" s="38" t="n"/>
      <c r="W37" s="38" t="n"/>
      <c r="X37" s="38" t="n"/>
      <c r="Y37" s="38" t="n"/>
      <c r="Z37" s="38" t="n"/>
      <c r="AA37" s="36">
        <f>SUM(O37:U37)</f>
        <v/>
      </c>
      <c r="AB37" s="36">
        <f>SUM(O37:Z37)</f>
        <v/>
      </c>
      <c r="AC37" s="38" t="n"/>
      <c r="AD37" s="38" t="n"/>
      <c r="AE37" s="38" t="n"/>
      <c r="AF37" s="38" t="n"/>
      <c r="AG37" s="38" t="n"/>
      <c r="AH37" s="38" t="n"/>
      <c r="AI37" s="118" t="n">
        <v>0</v>
      </c>
      <c r="AJ37" s="119" t="n">
        <v>0</v>
      </c>
      <c r="AK37" s="119" t="n">
        <v>0</v>
      </c>
      <c r="AL37" s="119" t="n">
        <v>0</v>
      </c>
      <c r="AM37" s="120" t="n">
        <v>0</v>
      </c>
      <c r="AN37" s="118" t="n">
        <v>0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1144.51</v>
      </c>
      <c r="C38" s="35" t="n">
        <v>1876.52</v>
      </c>
      <c r="D38" s="35" t="n">
        <v>3731.16</v>
      </c>
      <c r="E38" s="35" t="n">
        <v>2446.87</v>
      </c>
      <c r="F38" s="35" t="n">
        <v>-507.1600000000001</v>
      </c>
      <c r="G38" s="35" t="n">
        <v>852.76</v>
      </c>
      <c r="H38" s="35" t="n">
        <v>771.11</v>
      </c>
      <c r="I38" s="35" t="n">
        <v>2306.56</v>
      </c>
      <c r="J38" s="35" t="n">
        <v>853.0600000000001</v>
      </c>
      <c r="K38" s="35" t="n">
        <v>2101.48</v>
      </c>
      <c r="L38" s="35" t="n">
        <v>2463.12</v>
      </c>
      <c r="M38" s="35" t="n">
        <v>3402.53</v>
      </c>
      <c r="N38" s="36">
        <f>SUM(B38:M38)</f>
        <v/>
      </c>
      <c r="O38" s="37">
        <f>SUMIF('YBHN LE TB'!$R:$R,'LE P&amp;L'!$A38,'YBHN LE TB'!C:C)</f>
        <v/>
      </c>
      <c r="P38" s="37">
        <f>SUMIF('YBHN LE TB'!$R:$R,'LE P&amp;L'!$A38,'YBHN LE TB'!D:D)</f>
        <v/>
      </c>
      <c r="Q38" s="37">
        <f>SUMIF('YBHN LE TB'!$R:$R,'LE P&amp;L'!$A38,'YBHN LE TB'!E:E)</f>
        <v/>
      </c>
      <c r="R38" s="37">
        <f>SUMIF('YBHN LE TB'!$R:$R,'LE P&amp;L'!$A38,'YBHN LE TB'!F:F)</f>
        <v/>
      </c>
      <c r="S38" s="37">
        <f>SUMIF('YBHN LE TB'!$R:$R,'LE P&amp;L'!$A38,'YBHN LE TB'!G:G)</f>
        <v/>
      </c>
      <c r="T38" s="37">
        <f>SUMIF('YBHN LE TB'!$R:$R,'LE P&amp;L'!$A38,'YBHN LE TB'!H:H)</f>
        <v/>
      </c>
      <c r="U38" s="37">
        <f>SUMIF('YBHN LE TB'!$R:$R,'LE P&amp;L'!$A38,'YBHN LE TB'!I:I)</f>
        <v/>
      </c>
      <c r="V38" s="38" t="n"/>
      <c r="W38" s="38" t="n"/>
      <c r="X38" s="38" t="n"/>
      <c r="Y38" s="38" t="n"/>
      <c r="Z38" s="38" t="n"/>
      <c r="AA38" s="36">
        <f>SUM(O38:U38)</f>
        <v/>
      </c>
      <c r="AB38" s="36">
        <f>SUM(O38:Z38)</f>
        <v/>
      </c>
      <c r="AC38" s="38" t="n"/>
      <c r="AD38" s="38" t="n"/>
      <c r="AE38" s="38" t="n"/>
      <c r="AF38" s="38" t="n"/>
      <c r="AG38" s="38" t="n"/>
      <c r="AH38" s="38" t="n"/>
      <c r="AI38" s="118" t="n">
        <v>0</v>
      </c>
      <c r="AJ38" s="119" t="n">
        <v>0</v>
      </c>
      <c r="AK38" s="119" t="n">
        <v>0</v>
      </c>
      <c r="AL38" s="119" t="n">
        <v>0</v>
      </c>
      <c r="AM38" s="120" t="n">
        <v>0</v>
      </c>
      <c r="AN38" s="118" t="n">
        <v>0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0</v>
      </c>
      <c r="C39" s="35" t="n">
        <v>14.36</v>
      </c>
      <c r="D39" s="35" t="n">
        <v>327.5</v>
      </c>
      <c r="E39" s="35" t="n">
        <v>305.35</v>
      </c>
      <c r="F39" s="35" t="n">
        <v>370.59</v>
      </c>
      <c r="G39" s="35" t="n">
        <v>26.58</v>
      </c>
      <c r="H39" s="35" t="n">
        <v>0</v>
      </c>
      <c r="I39" s="35" t="n">
        <v>32.82</v>
      </c>
      <c r="J39" s="35" t="n">
        <v>0</v>
      </c>
      <c r="K39" s="35" t="n">
        <v>0</v>
      </c>
      <c r="L39" s="35" t="n">
        <v>27.8</v>
      </c>
      <c r="M39" s="35" t="n">
        <v>268.7</v>
      </c>
      <c r="N39" s="36">
        <f>SUM(B39:M39)</f>
        <v/>
      </c>
      <c r="O39" s="37">
        <f>SUMIF('YBHN LE TB'!$R:$R,'LE P&amp;L'!$A39,'YBHN LE TB'!C:C)</f>
        <v/>
      </c>
      <c r="P39" s="37">
        <f>SUMIF('YBHN LE TB'!$R:$R,'LE P&amp;L'!$A39,'YBHN LE TB'!D:D)</f>
        <v/>
      </c>
      <c r="Q39" s="37">
        <f>SUMIF('YBHN LE TB'!$R:$R,'LE P&amp;L'!$A39,'YBHN LE TB'!E:E)</f>
        <v/>
      </c>
      <c r="R39" s="37">
        <f>SUMIF('YBHN LE TB'!$R:$R,'LE P&amp;L'!$A39,'YBHN LE TB'!F:F)</f>
        <v/>
      </c>
      <c r="S39" s="37">
        <f>SUMIF('YBHN LE TB'!$R:$R,'LE P&amp;L'!$A39,'YBHN LE TB'!G:G)</f>
        <v/>
      </c>
      <c r="T39" s="37">
        <f>SUMIF('YBHN LE TB'!$R:$R,'LE P&amp;L'!$A39,'YBHN LE TB'!H:H)</f>
        <v/>
      </c>
      <c r="U39" s="37">
        <f>SUMIF('YBHN LE TB'!$R:$R,'LE P&amp;L'!$A39,'YBHN LE TB'!I:I)</f>
        <v/>
      </c>
      <c r="V39" s="38" t="n"/>
      <c r="W39" s="38" t="n">
        <v>4000</v>
      </c>
      <c r="X39" s="38" t="n">
        <v>3000</v>
      </c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8" t="n">
        <v>0</v>
      </c>
      <c r="AJ39" s="119" t="n">
        <v>0</v>
      </c>
      <c r="AK39" s="119" t="n">
        <v>0</v>
      </c>
      <c r="AL39" s="119" t="n">
        <v>0</v>
      </c>
      <c r="AM39" s="120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341.18</v>
      </c>
      <c r="C40" s="35" t="n">
        <v>0</v>
      </c>
      <c r="D40" s="35" t="n">
        <v>495.47</v>
      </c>
      <c r="E40" s="35" t="n">
        <v>147.98</v>
      </c>
      <c r="F40" s="35" t="n">
        <v>216.21</v>
      </c>
      <c r="G40" s="35" t="n">
        <v>0</v>
      </c>
      <c r="H40" s="35" t="n">
        <v>42.92</v>
      </c>
      <c r="I40" s="35" t="n">
        <v>219.35</v>
      </c>
      <c r="J40" s="35" t="n">
        <v>417.65</v>
      </c>
      <c r="K40" s="35" t="n">
        <v>206.69</v>
      </c>
      <c r="L40" s="35" t="n">
        <v>0</v>
      </c>
      <c r="M40" s="35" t="n">
        <v>146.16</v>
      </c>
      <c r="N40" s="36">
        <f>SUM(B40:M40)</f>
        <v/>
      </c>
      <c r="O40" s="37">
        <f>SUMIF('YBHN LE TB'!$R:$R,'LE P&amp;L'!$A40,'YBHN LE TB'!C:C)</f>
        <v/>
      </c>
      <c r="P40" s="37">
        <f>SUMIF('YBHN LE TB'!$R:$R,'LE P&amp;L'!$A40,'YBHN LE TB'!D:D)</f>
        <v/>
      </c>
      <c r="Q40" s="37">
        <f>SUMIF('YBHN LE TB'!$R:$R,'LE P&amp;L'!$A40,'YBHN LE TB'!E:E)</f>
        <v/>
      </c>
      <c r="R40" s="37">
        <f>SUMIF('YBHN LE TB'!$R:$R,'LE P&amp;L'!$A40,'YBHN LE TB'!F:F)</f>
        <v/>
      </c>
      <c r="S40" s="37">
        <f>SUMIF('YBHN LE TB'!$R:$R,'LE P&amp;L'!$A40,'YBHN LE TB'!G:G)</f>
        <v/>
      </c>
      <c r="T40" s="37">
        <f>SUMIF('YBHN LE TB'!$R:$R,'LE P&amp;L'!$A40,'YBHN LE TB'!H:H)</f>
        <v/>
      </c>
      <c r="U40" s="37">
        <f>SUMIF('YBHN LE TB'!$R:$R,'LE P&amp;L'!$A40,'YBHN LE TB'!I:I)</f>
        <v/>
      </c>
      <c r="V40" s="38" t="n">
        <v>200</v>
      </c>
      <c r="W40" s="38" t="n">
        <v>200</v>
      </c>
      <c r="X40" s="38" t="n">
        <v>200</v>
      </c>
      <c r="Y40" s="38" t="n">
        <v>200</v>
      </c>
      <c r="Z40" s="38" t="n">
        <v>200</v>
      </c>
      <c r="AA40" s="36">
        <f>SUM(O40:U40)</f>
        <v/>
      </c>
      <c r="AB40" s="36">
        <f>SUM(O40:Z40)</f>
        <v/>
      </c>
      <c r="AC40" s="38" t="n">
        <v>200</v>
      </c>
      <c r="AD40" s="38" t="n">
        <v>200</v>
      </c>
      <c r="AE40" s="38" t="n">
        <v>200</v>
      </c>
      <c r="AF40" s="38" t="n">
        <v>200</v>
      </c>
      <c r="AG40" s="38" t="n">
        <v>200</v>
      </c>
      <c r="AH40" s="38" t="n">
        <v>200</v>
      </c>
      <c r="AI40" s="118" t="n">
        <v>200</v>
      </c>
      <c r="AJ40" s="119" t="n">
        <v>200</v>
      </c>
      <c r="AK40" s="119" t="n">
        <v>200</v>
      </c>
      <c r="AL40" s="119" t="n">
        <v>200</v>
      </c>
      <c r="AM40" s="120" t="n">
        <v>200</v>
      </c>
      <c r="AN40" s="118" t="n">
        <v>200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346.68</v>
      </c>
      <c r="C41" s="35" t="n">
        <v>537.6600000000001</v>
      </c>
      <c r="D41" s="35" t="n">
        <v>397.6799999999999</v>
      </c>
      <c r="E41" s="35" t="n">
        <v>356.33</v>
      </c>
      <c r="F41" s="35" t="n">
        <v>380.74</v>
      </c>
      <c r="G41" s="35" t="n">
        <v>446.01</v>
      </c>
      <c r="H41" s="35" t="n">
        <v>380.74</v>
      </c>
      <c r="I41" s="35" t="n">
        <v>551.72</v>
      </c>
      <c r="J41" s="35" t="n">
        <v>434.15</v>
      </c>
      <c r="K41" s="35" t="n">
        <v>431.14</v>
      </c>
      <c r="L41" s="35" t="n">
        <v>389.72</v>
      </c>
      <c r="M41" s="35" t="n">
        <v>443.13</v>
      </c>
      <c r="N41" s="36">
        <f>SUM(B41:M41)</f>
        <v/>
      </c>
      <c r="O41" s="37">
        <f>SUMIF('YBHN LE TB'!$R:$R,'LE P&amp;L'!$A41,'YBHN LE TB'!C:C)</f>
        <v/>
      </c>
      <c r="P41" s="37">
        <f>SUMIF('YBHN LE TB'!$R:$R,'LE P&amp;L'!$A41,'YBHN LE TB'!D:D)</f>
        <v/>
      </c>
      <c r="Q41" s="37">
        <f>SUMIF('YBHN LE TB'!$R:$R,'LE P&amp;L'!$A41,'YBHN LE TB'!E:E)</f>
        <v/>
      </c>
      <c r="R41" s="37">
        <f>SUMIF('YBHN LE TB'!$R:$R,'LE P&amp;L'!$A41,'YBHN LE TB'!F:F)</f>
        <v/>
      </c>
      <c r="S41" s="37">
        <f>SUMIF('YBHN LE TB'!$R:$R,'LE P&amp;L'!$A41,'YBHN LE TB'!G:G)</f>
        <v/>
      </c>
      <c r="T41" s="37">
        <f>SUMIF('YBHN LE TB'!$R:$R,'LE P&amp;L'!$A41,'YBHN LE TB'!H:H)</f>
        <v/>
      </c>
      <c r="U41" s="37">
        <f>SUMIF('YBHN LE TB'!$R:$R,'LE P&amp;L'!$A41,'YBHN LE TB'!I:I)</f>
        <v/>
      </c>
      <c r="V41" s="38" t="n">
        <v>426</v>
      </c>
      <c r="W41" s="38" t="n">
        <v>426</v>
      </c>
      <c r="X41" s="38" t="n">
        <v>426</v>
      </c>
      <c r="Y41" s="38" t="n">
        <v>426</v>
      </c>
      <c r="Z41" s="38" t="n">
        <v>426</v>
      </c>
      <c r="AA41" s="36">
        <f>SUM(O41:U41)</f>
        <v/>
      </c>
      <c r="AB41" s="36">
        <f>SUM(O41:Z41)</f>
        <v/>
      </c>
      <c r="AC41" s="38" t="n">
        <v>426</v>
      </c>
      <c r="AD41" s="38" t="n">
        <v>426</v>
      </c>
      <c r="AE41" s="38" t="n">
        <v>426</v>
      </c>
      <c r="AF41" s="38" t="n">
        <v>426</v>
      </c>
      <c r="AG41" s="38" t="n">
        <v>426</v>
      </c>
      <c r="AH41" s="38" t="n">
        <v>426</v>
      </c>
      <c r="AI41" s="118" t="n">
        <v>426</v>
      </c>
      <c r="AJ41" s="119" t="n">
        <v>426</v>
      </c>
      <c r="AK41" s="119" t="n">
        <v>426</v>
      </c>
      <c r="AL41" s="119" t="n">
        <v>426</v>
      </c>
      <c r="AM41" s="120" t="n">
        <v>426</v>
      </c>
      <c r="AN41" s="118" t="n">
        <v>426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27.13</v>
      </c>
      <c r="C42" s="35" t="n">
        <v>39.52</v>
      </c>
      <c r="D42" s="35" t="n">
        <v>37.15</v>
      </c>
      <c r="E42" s="35" t="n">
        <v>84.5</v>
      </c>
      <c r="F42" s="35" t="n">
        <v>28.99</v>
      </c>
      <c r="G42" s="35" t="n">
        <v>32.1</v>
      </c>
      <c r="H42" s="35" t="n">
        <v>23.58</v>
      </c>
      <c r="I42" s="35" t="n">
        <v>0</v>
      </c>
      <c r="J42" s="35" t="n">
        <v>166.43</v>
      </c>
      <c r="K42" s="35" t="n">
        <v>695.5</v>
      </c>
      <c r="L42" s="35" t="n">
        <v>0</v>
      </c>
      <c r="M42" s="35" t="n">
        <v>-413.13</v>
      </c>
      <c r="N42" s="36">
        <f>SUM(B42:M42)</f>
        <v/>
      </c>
      <c r="O42" s="37">
        <f>SUMIF('YBHN LE TB'!$R:$R,'LE P&amp;L'!$A42,'YBHN LE TB'!C:C)</f>
        <v/>
      </c>
      <c r="P42" s="37">
        <f>SUMIF('YBHN LE TB'!$R:$R,'LE P&amp;L'!$A42,'YBHN LE TB'!D:D)</f>
        <v/>
      </c>
      <c r="Q42" s="37">
        <f>SUMIF('YBHN LE TB'!$R:$R,'LE P&amp;L'!$A42,'YBHN LE TB'!E:E)</f>
        <v/>
      </c>
      <c r="R42" s="37">
        <f>SUMIF('YBHN LE TB'!$R:$R,'LE P&amp;L'!$A42,'YBHN LE TB'!F:F)</f>
        <v/>
      </c>
      <c r="S42" s="37">
        <f>SUMIF('YBHN LE TB'!$R:$R,'LE P&amp;L'!$A42,'YBHN LE TB'!G:G)</f>
        <v/>
      </c>
      <c r="T42" s="37">
        <f>SUMIF('YBHN LE TB'!$R:$R,'LE P&amp;L'!$A42,'YBHN LE TB'!H:H)</f>
        <v/>
      </c>
      <c r="U42" s="37">
        <f>SUMIF('YBHN LE TB'!$R:$R,'LE P&amp;L'!$A42,'YBHN LE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8" t="n">
        <v>0</v>
      </c>
      <c r="AJ42" s="119" t="n">
        <v>0</v>
      </c>
      <c r="AK42" s="119" t="n">
        <v>0</v>
      </c>
      <c r="AL42" s="119" t="n">
        <v>0</v>
      </c>
      <c r="AM42" s="120" t="n">
        <v>0</v>
      </c>
      <c r="AN42" s="118" t="n">
        <v>0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20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SUMIF('YBHN LE TB'!$R:$R,'LE P&amp;L'!$A43,'YBHN LE TB'!C:C)</f>
        <v/>
      </c>
      <c r="P43" s="37">
        <f>SUMIF('YBHN LE TB'!$R:$R,'LE P&amp;L'!$A43,'YBHN LE TB'!D:D)</f>
        <v/>
      </c>
      <c r="Q43" s="37">
        <f>SUMIF('YBHN LE TB'!$R:$R,'LE P&amp;L'!$A43,'YBHN LE TB'!E:E)</f>
        <v/>
      </c>
      <c r="R43" s="37">
        <f>SUMIF('YBHN LE TB'!$R:$R,'LE P&amp;L'!$A43,'YBHN LE TB'!F:F)</f>
        <v/>
      </c>
      <c r="S43" s="37">
        <f>SUMIF('YBHN LE TB'!$R:$R,'LE P&amp;L'!$A43,'YBHN LE TB'!G:G)</f>
        <v/>
      </c>
      <c r="T43" s="37">
        <f>SUMIF('YBHN LE TB'!$R:$R,'LE P&amp;L'!$A43,'YBHN LE TB'!H:H)</f>
        <v/>
      </c>
      <c r="U43" s="37">
        <f>SUMIF('YBHN LE TB'!$R:$R,'LE P&amp;L'!$A43,'YBHN LE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8" t="n">
        <v>0</v>
      </c>
      <c r="AJ43" s="119" t="n">
        <v>0</v>
      </c>
      <c r="AK43" s="119" t="n">
        <v>0</v>
      </c>
      <c r="AL43" s="119" t="n">
        <v>0</v>
      </c>
      <c r="AM43" s="120" t="n">
        <v>0</v>
      </c>
      <c r="AN43" s="118" t="n">
        <v>0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SUMIF('YBHN LE TB'!$R:$R,'LE P&amp;L'!$A44,'YBHN LE TB'!C:C)</f>
        <v/>
      </c>
      <c r="P44" s="37">
        <f>SUMIF('YBHN LE TB'!$R:$R,'LE P&amp;L'!$A44,'YBHN LE TB'!D:D)</f>
        <v/>
      </c>
      <c r="Q44" s="37">
        <f>SUMIF('YBHN LE TB'!$R:$R,'LE P&amp;L'!$A44,'YBHN LE TB'!E:E)</f>
        <v/>
      </c>
      <c r="R44" s="37">
        <f>SUMIF('YBHN LE TB'!$R:$R,'LE P&amp;L'!$A44,'YBHN LE TB'!F:F)</f>
        <v/>
      </c>
      <c r="S44" s="37">
        <f>SUMIF('YBHN LE TB'!$R:$R,'LE P&amp;L'!$A44,'YBHN LE TB'!G:G)</f>
        <v/>
      </c>
      <c r="T44" s="37">
        <f>SUMIF('YBHN LE TB'!$R:$R,'LE P&amp;L'!$A44,'YBHN LE TB'!H:H)</f>
        <v/>
      </c>
      <c r="U44" s="37">
        <f>SUMIF('YBHN LE TB'!$R:$R,'LE P&amp;L'!$A44,'YBHN LE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8" t="n">
        <v>0</v>
      </c>
      <c r="AJ44" s="119" t="n">
        <v>0</v>
      </c>
      <c r="AK44" s="119" t="n">
        <v>0</v>
      </c>
      <c r="AL44" s="119" t="n">
        <v>0</v>
      </c>
      <c r="AM44" s="120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SUMIF('YBHN LE TB'!$R:$R,'LE P&amp;L'!$A45,'YBHN LE TB'!C:C)</f>
        <v/>
      </c>
      <c r="P45" s="37">
        <f>SUMIF('YBHN LE TB'!$R:$R,'LE P&amp;L'!$A45,'YBHN LE TB'!D:D)</f>
        <v/>
      </c>
      <c r="Q45" s="37">
        <f>SUMIF('YBHN LE TB'!$R:$R,'LE P&amp;L'!$A45,'YBHN LE TB'!E:E)</f>
        <v/>
      </c>
      <c r="R45" s="37">
        <f>SUMIF('YBHN LE TB'!$R:$R,'LE P&amp;L'!$A45,'YBHN LE TB'!F:F)</f>
        <v/>
      </c>
      <c r="S45" s="37">
        <f>SUMIF('YBHN LE TB'!$R:$R,'LE P&amp;L'!$A45,'YBHN LE TB'!G:G)</f>
        <v/>
      </c>
      <c r="T45" s="37">
        <f>SUMIF('YBHN LE TB'!$R:$R,'LE P&amp;L'!$A45,'YBHN LE TB'!H:H)</f>
        <v/>
      </c>
      <c r="U45" s="37">
        <f>SUMIF('YBHN LE TB'!$R:$R,'LE P&amp;L'!$A45,'YBHN LE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8" t="n">
        <v>100</v>
      </c>
      <c r="AJ45" s="119" t="n">
        <v>100</v>
      </c>
      <c r="AK45" s="119" t="n">
        <v>100</v>
      </c>
      <c r="AL45" s="119" t="n">
        <v>100</v>
      </c>
      <c r="AM45" s="120" t="n">
        <v>100</v>
      </c>
      <c r="AN45" s="118" t="n">
        <v>100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SUMIF('YBHN LE TB'!$R:$R,'LE P&amp;L'!$A46,'YBHN LE TB'!C:C)</f>
        <v/>
      </c>
      <c r="P46" s="37">
        <f>SUMIF('YBHN LE TB'!$R:$R,'LE P&amp;L'!$A46,'YBHN LE TB'!D:D)</f>
        <v/>
      </c>
      <c r="Q46" s="37">
        <f>SUMIF('YBHN LE TB'!$R:$R,'LE P&amp;L'!$A46,'YBHN LE TB'!E:E)</f>
        <v/>
      </c>
      <c r="R46" s="37">
        <f>SUMIF('YBHN LE TB'!$R:$R,'LE P&amp;L'!$A46,'YBHN LE TB'!F:F)</f>
        <v/>
      </c>
      <c r="S46" s="37">
        <f>SUMIF('YBHN LE TB'!$R:$R,'LE P&amp;L'!$A46,'YBHN LE TB'!G:G)</f>
        <v/>
      </c>
      <c r="T46" s="37">
        <f>SUMIF('YBHN LE TB'!$R:$R,'LE P&amp;L'!$A46,'YBHN LE TB'!H:H)</f>
        <v/>
      </c>
      <c r="U46" s="37">
        <f>SUMIF('YBHN LE TB'!$R:$R,'LE P&amp;L'!$A46,'YBHN LE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8" t="n">
        <v>0</v>
      </c>
      <c r="AJ46" s="119" t="n">
        <v>0</v>
      </c>
      <c r="AK46" s="119" t="n">
        <v>0</v>
      </c>
      <c r="AL46" s="119" t="n">
        <v>0</v>
      </c>
      <c r="AM46" s="120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2827.4</v>
      </c>
      <c r="C47" s="42" t="n">
        <v>3435.96</v>
      </c>
      <c r="D47" s="42" t="n">
        <v>5956.86</v>
      </c>
      <c r="E47" s="42" t="n">
        <v>4308.93</v>
      </c>
      <c r="F47" s="42" t="n">
        <v>1457.27</v>
      </c>
      <c r="G47" s="42" t="n">
        <v>2325.35</v>
      </c>
      <c r="H47" s="42" t="n">
        <v>2186.25</v>
      </c>
      <c r="I47" s="42" t="n">
        <v>4078.35</v>
      </c>
      <c r="J47" s="42" t="n">
        <v>2859.18</v>
      </c>
      <c r="K47" s="42" t="n">
        <v>4402.71</v>
      </c>
      <c r="L47" s="42" t="n">
        <v>3848.54</v>
      </c>
      <c r="M47" s="42" t="n">
        <v>4815.28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3">
        <f>SUM(AI36:AI46)</f>
        <v/>
      </c>
      <c r="AJ47" s="124">
        <f>SUM(AJ36:AJ46)</f>
        <v/>
      </c>
      <c r="AK47" s="124">
        <f>SUM(AK36:AK46)</f>
        <v/>
      </c>
      <c r="AL47" s="124">
        <f>SUM(AL36:AL46)</f>
        <v/>
      </c>
      <c r="AM47" s="137">
        <f>SUM(AM36:AM46)</f>
        <v/>
      </c>
      <c r="AN47" s="123">
        <f>SUM(AN36:AN46)</f>
        <v/>
      </c>
      <c r="AO47" s="125">
        <f>SUM(AC47:AH47)+SUM(AI47:AN47)</f>
        <v/>
      </c>
      <c r="AP47" s="126">
        <f>IF(AB47&lt;&gt;0,(AO47-AB47)/ABS(AB47),0)</f>
        <v/>
      </c>
    </row>
    <row r="48">
      <c r="A48" s="22" t="inlineStr">
        <is>
          <t>Total Direct Costs</t>
        </is>
      </c>
      <c r="B48" s="23" t="n">
        <v>27292.31</v>
      </c>
      <c r="C48" s="23" t="n">
        <v>27590.43</v>
      </c>
      <c r="D48" s="23" t="n">
        <v>31656.1</v>
      </c>
      <c r="E48" s="23" t="n">
        <v>34173.32</v>
      </c>
      <c r="F48" s="23" t="n">
        <v>29867.84</v>
      </c>
      <c r="G48" s="23" t="n">
        <v>30011.97</v>
      </c>
      <c r="H48" s="23" t="n">
        <v>30491.5</v>
      </c>
      <c r="I48" s="23" t="n">
        <v>26940.59</v>
      </c>
      <c r="J48" s="23" t="n">
        <v>26005.71</v>
      </c>
      <c r="K48" s="23" t="n">
        <v>28836.27</v>
      </c>
      <c r="L48" s="23" t="n">
        <v>27560.15000000001</v>
      </c>
      <c r="M48" s="23" t="n">
        <v>28824.44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3">
        <f>AI25+AI34+AI47</f>
        <v/>
      </c>
      <c r="AJ48" s="147">
        <f>AJ25+AJ34+AJ47</f>
        <v/>
      </c>
      <c r="AK48" s="147">
        <f>AK25+AK34+AK47</f>
        <v/>
      </c>
      <c r="AL48" s="147">
        <f>AL25+AL34+AL47</f>
        <v/>
      </c>
      <c r="AM48" s="147">
        <f>AM25+AM34+AM47</f>
        <v/>
      </c>
      <c r="AN48" s="123">
        <f>AN25+AN34+AN47</f>
        <v/>
      </c>
      <c r="AO48" s="121">
        <f>SUM(AC48:AH48)+SUM(AI48:AN48)</f>
        <v/>
      </c>
      <c r="AP48" s="122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14736.45</v>
      </c>
      <c r="C50" s="55" t="n">
        <v>10496.75999999999</v>
      </c>
      <c r="D50" s="55" t="n">
        <v>12634.9</v>
      </c>
      <c r="E50" s="55" t="n">
        <v>6084.239999999998</v>
      </c>
      <c r="F50" s="55" t="n">
        <v>9503.759999999998</v>
      </c>
      <c r="G50" s="55" t="n">
        <v>8646.32</v>
      </c>
      <c r="H50" s="55" t="n">
        <v>25970.27999999999</v>
      </c>
      <c r="I50" s="55" t="n">
        <v>4331.549999999996</v>
      </c>
      <c r="J50" s="55" t="n">
        <v>2517.939999999999</v>
      </c>
      <c r="K50" s="55" t="n">
        <v>2547.390000000007</v>
      </c>
      <c r="L50" s="55" t="n">
        <v>9147.700000000001</v>
      </c>
      <c r="M50" s="55" t="n">
        <v>8650.330000000009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0">
        <f>AI11-AI48</f>
        <v/>
      </c>
      <c r="AJ50" s="140">
        <f>AJ11-AJ48</f>
        <v/>
      </c>
      <c r="AK50" s="140">
        <f>AK11-AK48</f>
        <v/>
      </c>
      <c r="AL50" s="140">
        <f>AL11-AL48</f>
        <v/>
      </c>
      <c r="AM50" s="140">
        <f>AM11-AM48</f>
        <v/>
      </c>
      <c r="AN50" s="140">
        <f>AN11-AN48</f>
        <v/>
      </c>
      <c r="AO50" s="141">
        <f>SUM(AC50:AH50)+SUM(AI50:AN50)</f>
        <v/>
      </c>
      <c r="AP50" s="14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SUMIF('YBHN LE TB'!$R:$R,'LE P&amp;L'!$A53,'YBHN LE TB'!C:C)</f>
        <v/>
      </c>
      <c r="P53" s="37">
        <f>SUMIF('YBHN LE TB'!$R:$R,'LE P&amp;L'!$A53,'YBHN LE TB'!D:D)</f>
        <v/>
      </c>
      <c r="Q53" s="37">
        <f>SUMIF('YBHN LE TB'!$R:$R,'LE P&amp;L'!$A53,'YBHN LE TB'!E:E)</f>
        <v/>
      </c>
      <c r="R53" s="37">
        <f>SUMIF('YBHN LE TB'!$R:$R,'LE P&amp;L'!$A53,'YBHN LE TB'!F:F)</f>
        <v/>
      </c>
      <c r="S53" s="37">
        <f>SUMIF('YBHN LE TB'!$R:$R,'LE P&amp;L'!$A53,'YBHN LE TB'!G:G)</f>
        <v/>
      </c>
      <c r="T53" s="37">
        <f>SUMIF('YBHN LE TB'!$R:$R,'LE P&amp;L'!$A53,'YBHN LE TB'!H:H)</f>
        <v/>
      </c>
      <c r="U53" s="37">
        <f>SUMIF('YBHN LE TB'!$R:$R,'LE P&amp;L'!$A53,'YBHN LE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8" t="n">
        <v>0</v>
      </c>
      <c r="AJ53" s="119" t="n">
        <v>0</v>
      </c>
      <c r="AK53" s="119" t="n">
        <v>0</v>
      </c>
      <c r="AL53" s="119" t="n">
        <v>0</v>
      </c>
      <c r="AM53" s="120" t="n">
        <v>0</v>
      </c>
      <c r="AN53" s="118" t="n">
        <v>0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SUMIF('YBHN LE TB'!$R:$R,'LE P&amp;L'!$A54,'YBHN LE TB'!C:C)</f>
        <v/>
      </c>
      <c r="P54" s="37">
        <f>SUMIF('YBHN LE TB'!$R:$R,'LE P&amp;L'!$A54,'YBHN LE TB'!D:D)</f>
        <v/>
      </c>
      <c r="Q54" s="37">
        <f>SUMIF('YBHN LE TB'!$R:$R,'LE P&amp;L'!$A54,'YBHN LE TB'!E:E)</f>
        <v/>
      </c>
      <c r="R54" s="37">
        <f>SUMIF('YBHN LE TB'!$R:$R,'LE P&amp;L'!$A54,'YBHN LE TB'!F:F)</f>
        <v/>
      </c>
      <c r="S54" s="37">
        <f>SUMIF('YBHN LE TB'!$R:$R,'LE P&amp;L'!$A54,'YBHN LE TB'!G:G)</f>
        <v/>
      </c>
      <c r="T54" s="37">
        <f>SUMIF('YBHN LE TB'!$R:$R,'LE P&amp;L'!$A54,'YBHN LE TB'!H:H)</f>
        <v/>
      </c>
      <c r="U54" s="37">
        <f>SUMIF('YBHN LE TB'!$R:$R,'LE P&amp;L'!$A54,'YBHN LE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8" t="n">
        <v>0</v>
      </c>
      <c r="AJ54" s="119" t="n">
        <v>0</v>
      </c>
      <c r="AK54" s="119" t="n">
        <v>0</v>
      </c>
      <c r="AL54" s="119" t="n">
        <v>0</v>
      </c>
      <c r="AM54" s="120" t="n">
        <v>0</v>
      </c>
      <c r="AN54" s="118" t="n">
        <v>0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SUMIF('YBHN LE TB'!$R:$R,'LE P&amp;L'!$A55,'YBHN LE TB'!C:C)</f>
        <v/>
      </c>
      <c r="P55" s="37">
        <f>SUMIF('YBHN LE TB'!$R:$R,'LE P&amp;L'!$A55,'YBHN LE TB'!D:D)</f>
        <v/>
      </c>
      <c r="Q55" s="37">
        <f>SUMIF('YBHN LE TB'!$R:$R,'LE P&amp;L'!$A55,'YBHN LE TB'!E:E)</f>
        <v/>
      </c>
      <c r="R55" s="37">
        <f>SUMIF('YBHN LE TB'!$R:$R,'LE P&amp;L'!$A55,'YBHN LE TB'!F:F)</f>
        <v/>
      </c>
      <c r="S55" s="37">
        <f>SUMIF('YBHN LE TB'!$R:$R,'LE P&amp;L'!$A55,'YBHN LE TB'!G:G)</f>
        <v/>
      </c>
      <c r="T55" s="37">
        <f>SUMIF('YBHN LE TB'!$R:$R,'LE P&amp;L'!$A55,'YBHN LE TB'!H:H)</f>
        <v/>
      </c>
      <c r="U55" s="37">
        <f>SUMIF('YBHN LE TB'!$R:$R,'LE P&amp;L'!$A55,'YBHN LE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8" t="n">
        <v>0</v>
      </c>
      <c r="AJ55" s="119" t="n">
        <v>0</v>
      </c>
      <c r="AK55" s="119" t="n">
        <v>0</v>
      </c>
      <c r="AL55" s="119" t="n">
        <v>0</v>
      </c>
      <c r="AM55" s="120" t="n">
        <v>0</v>
      </c>
      <c r="AN55" s="118" t="n">
        <v>0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SUMIF('YBHN LE TB'!$R:$R,'LE P&amp;L'!$A56,'YBHN LE TB'!C:C)</f>
        <v/>
      </c>
      <c r="P56" s="37">
        <f>SUMIF('YBHN LE TB'!$R:$R,'LE P&amp;L'!$A56,'YBHN LE TB'!D:D)</f>
        <v/>
      </c>
      <c r="Q56" s="37">
        <f>SUMIF('YBHN LE TB'!$R:$R,'LE P&amp;L'!$A56,'YBHN LE TB'!E:E)</f>
        <v/>
      </c>
      <c r="R56" s="37">
        <f>SUMIF('YBHN LE TB'!$R:$R,'LE P&amp;L'!$A56,'YBHN LE TB'!F:F)</f>
        <v/>
      </c>
      <c r="S56" s="37">
        <f>SUMIF('YBHN LE TB'!$R:$R,'LE P&amp;L'!$A56,'YBHN LE TB'!G:G)</f>
        <v/>
      </c>
      <c r="T56" s="37">
        <f>SUMIF('YBHN LE TB'!$R:$R,'LE P&amp;L'!$A56,'YBHN LE TB'!H:H)</f>
        <v/>
      </c>
      <c r="U56" s="37">
        <f>SUMIF('YBHN LE TB'!$R:$R,'LE P&amp;L'!$A56,'YBHN LE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8" t="n">
        <v>0</v>
      </c>
      <c r="AJ56" s="119" t="n">
        <v>0</v>
      </c>
      <c r="AK56" s="119" t="n">
        <v>0</v>
      </c>
      <c r="AL56" s="119" t="n">
        <v>0</v>
      </c>
      <c r="AM56" s="120" t="n">
        <v>0</v>
      </c>
      <c r="AN56" s="118" t="n">
        <v>0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258.01</v>
      </c>
      <c r="N57" s="36">
        <f>SUM(B57:M57)</f>
        <v/>
      </c>
      <c r="O57" s="37">
        <f>SUMIF('YBHN LE TB'!$R:$R,'LE P&amp;L'!$A57,'YBHN LE TB'!C:C)</f>
        <v/>
      </c>
      <c r="P57" s="37">
        <f>SUMIF('YBHN LE TB'!$R:$R,'LE P&amp;L'!$A57,'YBHN LE TB'!D:D)</f>
        <v/>
      </c>
      <c r="Q57" s="37">
        <f>SUMIF('YBHN LE TB'!$R:$R,'LE P&amp;L'!$A57,'YBHN LE TB'!E:E)</f>
        <v/>
      </c>
      <c r="R57" s="37">
        <f>SUMIF('YBHN LE TB'!$R:$R,'LE P&amp;L'!$A57,'YBHN LE TB'!F:F)</f>
        <v/>
      </c>
      <c r="S57" s="37">
        <f>SUMIF('YBHN LE TB'!$R:$R,'LE P&amp;L'!$A57,'YBHN LE TB'!G:G)</f>
        <v/>
      </c>
      <c r="T57" s="37">
        <f>SUMIF('YBHN LE TB'!$R:$R,'LE P&amp;L'!$A57,'YBHN LE TB'!H:H)</f>
        <v/>
      </c>
      <c r="U57" s="37">
        <f>SUMIF('YBHN LE TB'!$R:$R,'LE P&amp;L'!$A57,'YBHN LE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18" t="n">
        <v>0</v>
      </c>
      <c r="AJ57" s="119" t="n">
        <v>0</v>
      </c>
      <c r="AK57" s="119" t="n">
        <v>0</v>
      </c>
      <c r="AL57" s="119" t="n">
        <v>0</v>
      </c>
      <c r="AM57" s="120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SUMIF('YBHN LE TB'!$R:$R,'LE P&amp;L'!$A58,'YBHN LE TB'!C:C)</f>
        <v/>
      </c>
      <c r="P58" s="37">
        <f>SUMIF('YBHN LE TB'!$R:$R,'LE P&amp;L'!$A58,'YBHN LE TB'!D:D)</f>
        <v/>
      </c>
      <c r="Q58" s="37">
        <f>SUMIF('YBHN LE TB'!$R:$R,'LE P&amp;L'!$A58,'YBHN LE TB'!E:E)</f>
        <v/>
      </c>
      <c r="R58" s="37">
        <f>SUMIF('YBHN LE TB'!$R:$R,'LE P&amp;L'!$A58,'YBHN LE TB'!F:F)</f>
        <v/>
      </c>
      <c r="S58" s="37">
        <f>SUMIF('YBHN LE TB'!$R:$R,'LE P&amp;L'!$A58,'YBHN LE TB'!G:G)</f>
        <v/>
      </c>
      <c r="T58" s="37">
        <f>SUMIF('YBHN LE TB'!$R:$R,'LE P&amp;L'!$A58,'YBHN LE TB'!H:H)</f>
        <v/>
      </c>
      <c r="U58" s="37">
        <f>SUMIF('YBHN LE TB'!$R:$R,'LE P&amp;L'!$A58,'YBHN LE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8" t="n">
        <v>0</v>
      </c>
      <c r="AJ58" s="119" t="n">
        <v>0</v>
      </c>
      <c r="AK58" s="119" t="n">
        <v>0</v>
      </c>
      <c r="AL58" s="119" t="n">
        <v>0</v>
      </c>
      <c r="AM58" s="120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201.37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SUMIF('YBHN LE TB'!$R:$R,'LE P&amp;L'!$A59,'YBHN LE TB'!C:C)</f>
        <v/>
      </c>
      <c r="P59" s="37">
        <f>SUMIF('YBHN LE TB'!$R:$R,'LE P&amp;L'!$A59,'YBHN LE TB'!D:D)</f>
        <v/>
      </c>
      <c r="Q59" s="37">
        <f>SUMIF('YBHN LE TB'!$R:$R,'LE P&amp;L'!$A59,'YBHN LE TB'!E:E)</f>
        <v/>
      </c>
      <c r="R59" s="37">
        <f>SUMIF('YBHN LE TB'!$R:$R,'LE P&amp;L'!$A59,'YBHN LE TB'!F:F)</f>
        <v/>
      </c>
      <c r="S59" s="37">
        <f>SUMIF('YBHN LE TB'!$R:$R,'LE P&amp;L'!$A59,'YBHN LE TB'!G:G)</f>
        <v/>
      </c>
      <c r="T59" s="37">
        <f>SUMIF('YBHN LE TB'!$R:$R,'LE P&amp;L'!$A59,'YBHN LE TB'!H:H)</f>
        <v/>
      </c>
      <c r="U59" s="37">
        <f>SUMIF('YBHN LE TB'!$R:$R,'LE P&amp;L'!$A59,'YBHN LE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18" t="n">
        <v>0</v>
      </c>
      <c r="AJ59" s="119" t="n">
        <v>0</v>
      </c>
      <c r="AK59" s="119" t="n">
        <v>0</v>
      </c>
      <c r="AL59" s="119" t="n">
        <v>0</v>
      </c>
      <c r="AM59" s="120" t="n">
        <v>0</v>
      </c>
      <c r="AN59" s="118" t="n">
        <v>0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0.6</v>
      </c>
      <c r="C60" s="35" t="n">
        <v>2.4</v>
      </c>
      <c r="D60" s="35" t="n">
        <v>136.41</v>
      </c>
      <c r="E60" s="35" t="n">
        <v>530.78</v>
      </c>
      <c r="F60" s="35" t="n">
        <v>1.8</v>
      </c>
      <c r="G60" s="35" t="n">
        <v>47.4</v>
      </c>
      <c r="H60" s="35" t="n">
        <v>1.8</v>
      </c>
      <c r="I60" s="35" t="n">
        <v>1.8</v>
      </c>
      <c r="J60" s="35" t="n">
        <v>1.8</v>
      </c>
      <c r="K60" s="35" t="n">
        <v>68.8</v>
      </c>
      <c r="L60" s="35" t="n">
        <v>46.2</v>
      </c>
      <c r="M60" s="35" t="n">
        <v>221.8</v>
      </c>
      <c r="N60" s="36">
        <f>SUM(B60:M60)</f>
        <v/>
      </c>
      <c r="O60" s="37">
        <f>SUMIF('YBHN LE TB'!$R:$R,'LE P&amp;L'!$A60,'YBHN LE TB'!C:C)</f>
        <v/>
      </c>
      <c r="P60" s="37">
        <f>SUMIF('YBHN LE TB'!$R:$R,'LE P&amp;L'!$A60,'YBHN LE TB'!D:D)</f>
        <v/>
      </c>
      <c r="Q60" s="37">
        <f>SUMIF('YBHN LE TB'!$R:$R,'LE P&amp;L'!$A60,'YBHN LE TB'!E:E)</f>
        <v/>
      </c>
      <c r="R60" s="37">
        <f>SUMIF('YBHN LE TB'!$R:$R,'LE P&amp;L'!$A60,'YBHN LE TB'!F:F)</f>
        <v/>
      </c>
      <c r="S60" s="37">
        <f>SUMIF('YBHN LE TB'!$R:$R,'LE P&amp;L'!$A60,'YBHN LE TB'!G:G)</f>
        <v/>
      </c>
      <c r="T60" s="37">
        <f>SUMIF('YBHN LE TB'!$R:$R,'LE P&amp;L'!$A60,'YBHN LE TB'!H:H)</f>
        <v/>
      </c>
      <c r="U60" s="37">
        <f>SUMIF('YBHN LE TB'!$R:$R,'LE P&amp;L'!$A60,'YBHN LE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8" t="n">
        <v>0</v>
      </c>
      <c r="AJ60" s="119" t="n">
        <v>0</v>
      </c>
      <c r="AK60" s="119" t="n">
        <v>0</v>
      </c>
      <c r="AL60" s="119" t="n">
        <v>0</v>
      </c>
      <c r="AM60" s="120" t="n">
        <v>0</v>
      </c>
      <c r="AN60" s="118" t="n">
        <v>0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57.93000000000001</v>
      </c>
      <c r="E61" s="35" t="n">
        <v>0</v>
      </c>
      <c r="F61" s="35" t="n">
        <v>68.36</v>
      </c>
      <c r="G61" s="35" t="n">
        <v>8.99</v>
      </c>
      <c r="H61" s="35" t="n">
        <v>6.48</v>
      </c>
      <c r="I61" s="35" t="n">
        <v>0</v>
      </c>
      <c r="J61" s="35" t="n">
        <v>19.94</v>
      </c>
      <c r="K61" s="35" t="n">
        <v>88.73</v>
      </c>
      <c r="L61" s="35" t="n">
        <v>7.29</v>
      </c>
      <c r="M61" s="35" t="n">
        <v>70</v>
      </c>
      <c r="N61" s="36">
        <f>SUM(B61:M61)</f>
        <v/>
      </c>
      <c r="O61" s="37">
        <f>SUMIF('YBHN LE TB'!$R:$R,'LE P&amp;L'!$A61,'YBHN LE TB'!C:C)</f>
        <v/>
      </c>
      <c r="P61" s="37">
        <f>SUMIF('YBHN LE TB'!$R:$R,'LE P&amp;L'!$A61,'YBHN LE TB'!D:D)</f>
        <v/>
      </c>
      <c r="Q61" s="37">
        <f>SUMIF('YBHN LE TB'!$R:$R,'LE P&amp;L'!$A61,'YBHN LE TB'!E:E)</f>
        <v/>
      </c>
      <c r="R61" s="37">
        <f>SUMIF('YBHN LE TB'!$R:$R,'LE P&amp;L'!$A61,'YBHN LE TB'!F:F)</f>
        <v/>
      </c>
      <c r="S61" s="37">
        <f>SUMIF('YBHN LE TB'!$R:$R,'LE P&amp;L'!$A61,'YBHN LE TB'!G:G)</f>
        <v/>
      </c>
      <c r="T61" s="37">
        <f>SUMIF('YBHN LE TB'!$R:$R,'LE P&amp;L'!$A61,'YBHN LE TB'!H:H)</f>
        <v/>
      </c>
      <c r="U61" s="37">
        <f>SUMIF('YBHN LE TB'!$R:$R,'LE P&amp;L'!$A61,'YBHN LE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8" t="n">
        <v>0</v>
      </c>
      <c r="AJ61" s="119" t="n">
        <v>0</v>
      </c>
      <c r="AK61" s="119" t="n">
        <v>0</v>
      </c>
      <c r="AL61" s="119" t="n">
        <v>0</v>
      </c>
      <c r="AM61" s="120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14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70</v>
      </c>
      <c r="L62" s="35" t="n">
        <v>0</v>
      </c>
      <c r="M62" s="35" t="n">
        <v>0</v>
      </c>
      <c r="N62" s="36">
        <f>SUM(B62:M62)</f>
        <v/>
      </c>
      <c r="O62" s="37">
        <f>SUMIF('YBHN LE TB'!$R:$R,'LE P&amp;L'!$A62,'YBHN LE TB'!C:C)</f>
        <v/>
      </c>
      <c r="P62" s="37">
        <f>SUMIF('YBHN LE TB'!$R:$R,'LE P&amp;L'!$A62,'YBHN LE TB'!D:D)</f>
        <v/>
      </c>
      <c r="Q62" s="37">
        <f>SUMIF('YBHN LE TB'!$R:$R,'LE P&amp;L'!$A62,'YBHN LE TB'!E:E)</f>
        <v/>
      </c>
      <c r="R62" s="37">
        <f>SUMIF('YBHN LE TB'!$R:$R,'LE P&amp;L'!$A62,'YBHN LE TB'!F:F)</f>
        <v/>
      </c>
      <c r="S62" s="37">
        <f>SUMIF('YBHN LE TB'!$R:$R,'LE P&amp;L'!$A62,'YBHN LE TB'!G:G)</f>
        <v/>
      </c>
      <c r="T62" s="37">
        <f>SUMIF('YBHN LE TB'!$R:$R,'LE P&amp;L'!$A62,'YBHN LE TB'!H:H)</f>
        <v/>
      </c>
      <c r="U62" s="37">
        <f>SUMIF('YBHN LE TB'!$R:$R,'LE P&amp;L'!$A62,'YBHN LE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8" t="n">
        <v>0</v>
      </c>
      <c r="AJ62" s="119" t="n">
        <v>0</v>
      </c>
      <c r="AK62" s="119" t="n">
        <v>0</v>
      </c>
      <c r="AL62" s="119" t="n">
        <v>0</v>
      </c>
      <c r="AM62" s="120" t="n">
        <v>0</v>
      </c>
      <c r="AN62" s="118" t="n">
        <v>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SUMIF('YBHN LE TB'!$R:$R,'LE P&amp;L'!$A63,'YBHN LE TB'!C:C)</f>
        <v/>
      </c>
      <c r="P63" s="37">
        <f>SUMIF('YBHN LE TB'!$R:$R,'LE P&amp;L'!$A63,'YBHN LE TB'!D:D)</f>
        <v/>
      </c>
      <c r="Q63" s="37">
        <f>SUMIF('YBHN LE TB'!$R:$R,'LE P&amp;L'!$A63,'YBHN LE TB'!E:E)</f>
        <v/>
      </c>
      <c r="R63" s="37">
        <f>SUMIF('YBHN LE TB'!$R:$R,'LE P&amp;L'!$A63,'YBHN LE TB'!F:F)</f>
        <v/>
      </c>
      <c r="S63" s="37">
        <f>SUMIF('YBHN LE TB'!$R:$R,'LE P&amp;L'!$A63,'YBHN LE TB'!G:G)</f>
        <v/>
      </c>
      <c r="T63" s="37">
        <f>SUMIF('YBHN LE TB'!$R:$R,'LE P&amp;L'!$A63,'YBHN LE TB'!H:H)</f>
        <v/>
      </c>
      <c r="U63" s="37">
        <f>SUMIF('YBHN LE TB'!$R:$R,'LE P&amp;L'!$A63,'YBHN LE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8" t="n">
        <v>0</v>
      </c>
      <c r="AJ63" s="119" t="n">
        <v>0</v>
      </c>
      <c r="AK63" s="119" t="n">
        <v>0</v>
      </c>
      <c r="AL63" s="119" t="n">
        <v>0</v>
      </c>
      <c r="AM63" s="120" t="n">
        <v>0</v>
      </c>
      <c r="AN63" s="118" t="n">
        <v>0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SUMIF('YBHN LE TB'!$R:$R,'LE P&amp;L'!$A64,'YBHN LE TB'!C:C)</f>
        <v/>
      </c>
      <c r="P64" s="37">
        <f>SUMIF('YBHN LE TB'!$R:$R,'LE P&amp;L'!$A64,'YBHN LE TB'!D:D)</f>
        <v/>
      </c>
      <c r="Q64" s="37">
        <f>SUMIF('YBHN LE TB'!$R:$R,'LE P&amp;L'!$A64,'YBHN LE TB'!E:E)</f>
        <v/>
      </c>
      <c r="R64" s="37">
        <f>SUMIF('YBHN LE TB'!$R:$R,'LE P&amp;L'!$A64,'YBHN LE TB'!F:F)</f>
        <v/>
      </c>
      <c r="S64" s="37">
        <f>SUMIF('YBHN LE TB'!$R:$R,'LE P&amp;L'!$A64,'YBHN LE TB'!G:G)</f>
        <v/>
      </c>
      <c r="T64" s="37">
        <f>SUMIF('YBHN LE TB'!$R:$R,'LE P&amp;L'!$A64,'YBHN LE TB'!H:H)</f>
        <v/>
      </c>
      <c r="U64" s="37">
        <f>SUMIF('YBHN LE TB'!$R:$R,'LE P&amp;L'!$A64,'YBHN LE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8" t="n">
        <v>0</v>
      </c>
      <c r="AJ64" s="119" t="n">
        <v>0</v>
      </c>
      <c r="AK64" s="119" t="n">
        <v>0</v>
      </c>
      <c r="AL64" s="119" t="n">
        <v>0</v>
      </c>
      <c r="AM64" s="120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SUMIF('YBHN LE TB'!$R:$R,'LE P&amp;L'!$A65,'YBHN LE TB'!C:C)</f>
        <v/>
      </c>
      <c r="P65" s="37">
        <f>SUMIF('YBHN LE TB'!$R:$R,'LE P&amp;L'!$A65,'YBHN LE TB'!D:D)</f>
        <v/>
      </c>
      <c r="Q65" s="37">
        <f>SUMIF('YBHN LE TB'!$R:$R,'LE P&amp;L'!$A65,'YBHN LE TB'!E:E)</f>
        <v/>
      </c>
      <c r="R65" s="37">
        <f>SUMIF('YBHN LE TB'!$R:$R,'LE P&amp;L'!$A65,'YBHN LE TB'!F:F)</f>
        <v/>
      </c>
      <c r="S65" s="37">
        <f>SUMIF('YBHN LE TB'!$R:$R,'LE P&amp;L'!$A65,'YBHN LE TB'!G:G)</f>
        <v/>
      </c>
      <c r="T65" s="37">
        <f>SUMIF('YBHN LE TB'!$R:$R,'LE P&amp;L'!$A65,'YBHN LE TB'!H:H)</f>
        <v/>
      </c>
      <c r="U65" s="37">
        <f>SUMIF('YBHN LE TB'!$R:$R,'LE P&amp;L'!$A65,'YBHN LE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8" t="n">
        <v>0</v>
      </c>
      <c r="AJ65" s="119" t="n">
        <v>0</v>
      </c>
      <c r="AK65" s="119" t="n">
        <v>0</v>
      </c>
      <c r="AL65" s="119" t="n">
        <v>0</v>
      </c>
      <c r="AM65" s="120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SUMIF('YBHN LE TB'!$R:$R,'LE P&amp;L'!$A66,'YBHN LE TB'!C:C)</f>
        <v/>
      </c>
      <c r="P66" s="37">
        <f>SUMIF('YBHN LE TB'!$R:$R,'LE P&amp;L'!$A66,'YBHN LE TB'!D:D)</f>
        <v/>
      </c>
      <c r="Q66" s="37">
        <f>SUMIF('YBHN LE TB'!$R:$R,'LE P&amp;L'!$A66,'YBHN LE TB'!E:E)</f>
        <v/>
      </c>
      <c r="R66" s="37">
        <f>SUMIF('YBHN LE TB'!$R:$R,'LE P&amp;L'!$A66,'YBHN LE TB'!F:F)</f>
        <v/>
      </c>
      <c r="S66" s="37">
        <f>SUMIF('YBHN LE TB'!$R:$R,'LE P&amp;L'!$A66,'YBHN LE TB'!G:G)</f>
        <v/>
      </c>
      <c r="T66" s="37">
        <f>SUMIF('YBHN LE TB'!$R:$R,'LE P&amp;L'!$A66,'YBHN LE TB'!H:H)</f>
        <v/>
      </c>
      <c r="U66" s="37">
        <f>SUMIF('YBHN LE TB'!$R:$R,'LE P&amp;L'!$A66,'YBHN LE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8" t="n">
        <v>0</v>
      </c>
      <c r="AJ66" s="119" t="n">
        <v>0</v>
      </c>
      <c r="AK66" s="119" t="n">
        <v>0</v>
      </c>
      <c r="AL66" s="119" t="n">
        <v>0</v>
      </c>
      <c r="AM66" s="120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SUMIF('YBHN LE TB'!$R:$R,'LE P&amp;L'!$A67,'YBHN LE TB'!C:C)</f>
        <v/>
      </c>
      <c r="P67" s="37">
        <f>SUMIF('YBHN LE TB'!$R:$R,'LE P&amp;L'!$A67,'YBHN LE TB'!D:D)</f>
        <v/>
      </c>
      <c r="Q67" s="37">
        <f>SUMIF('YBHN LE TB'!$R:$R,'LE P&amp;L'!$A67,'YBHN LE TB'!E:E)</f>
        <v/>
      </c>
      <c r="R67" s="37">
        <f>SUMIF('YBHN LE TB'!$R:$R,'LE P&amp;L'!$A67,'YBHN LE TB'!F:F)</f>
        <v/>
      </c>
      <c r="S67" s="37">
        <f>SUMIF('YBHN LE TB'!$R:$R,'LE P&amp;L'!$A67,'YBHN LE TB'!G:G)</f>
        <v/>
      </c>
      <c r="T67" s="37">
        <f>SUMIF('YBHN LE TB'!$R:$R,'LE P&amp;L'!$A67,'YBHN LE TB'!H:H)</f>
        <v/>
      </c>
      <c r="U67" s="37">
        <f>SUMIF('YBHN LE TB'!$R:$R,'LE P&amp;L'!$A67,'YBHN LE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8" t="n">
        <v>0</v>
      </c>
      <c r="AJ67" s="119" t="n">
        <v>0</v>
      </c>
      <c r="AK67" s="119" t="n">
        <v>0</v>
      </c>
      <c r="AL67" s="119" t="n">
        <v>0</v>
      </c>
      <c r="AM67" s="120" t="n">
        <v>0</v>
      </c>
      <c r="AN67" s="118" t="n">
        <v>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SUMIF('YBHN LE TB'!$R:$R,'LE P&amp;L'!$A68,'YBHN LE TB'!C:C)</f>
        <v/>
      </c>
      <c r="P68" s="37">
        <f>SUMIF('YBHN LE TB'!$R:$R,'LE P&amp;L'!$A68,'YBHN LE TB'!D:D)</f>
        <v/>
      </c>
      <c r="Q68" s="37">
        <f>SUMIF('YBHN LE TB'!$R:$R,'LE P&amp;L'!$A68,'YBHN LE TB'!E:E)</f>
        <v/>
      </c>
      <c r="R68" s="37">
        <f>SUMIF('YBHN LE TB'!$R:$R,'LE P&amp;L'!$A68,'YBHN LE TB'!F:F)</f>
        <v/>
      </c>
      <c r="S68" s="37">
        <f>SUMIF('YBHN LE TB'!$R:$R,'LE P&amp;L'!$A68,'YBHN LE TB'!G:G)</f>
        <v/>
      </c>
      <c r="T68" s="37">
        <f>SUMIF('YBHN LE TB'!$R:$R,'LE P&amp;L'!$A68,'YBHN LE TB'!H:H)</f>
        <v/>
      </c>
      <c r="U68" s="37">
        <f>SUMIF('YBHN LE TB'!$R:$R,'LE P&amp;L'!$A68,'YBHN LE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8" t="n">
        <v>0</v>
      </c>
      <c r="AJ68" s="119" t="n">
        <v>0</v>
      </c>
      <c r="AK68" s="119" t="n">
        <v>0</v>
      </c>
      <c r="AL68" s="119" t="n">
        <v>0</v>
      </c>
      <c r="AM68" s="120" t="n">
        <v>0</v>
      </c>
      <c r="AN68" s="118" t="n">
        <v>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215.98</v>
      </c>
      <c r="C69" s="42" t="n">
        <v>203.78</v>
      </c>
      <c r="D69" s="42" t="n">
        <v>395.72</v>
      </c>
      <c r="E69" s="42" t="n">
        <v>732.16</v>
      </c>
      <c r="F69" s="42" t="n">
        <v>271.53</v>
      </c>
      <c r="G69" s="42" t="n">
        <v>257.77</v>
      </c>
      <c r="H69" s="42" t="n">
        <v>209.66</v>
      </c>
      <c r="I69" s="42" t="n">
        <v>203.18</v>
      </c>
      <c r="J69" s="42" t="n">
        <v>223.12</v>
      </c>
      <c r="K69" s="42" t="n">
        <v>442.33</v>
      </c>
      <c r="L69" s="42" t="n">
        <v>268.29</v>
      </c>
      <c r="M69" s="42" t="n">
        <v>764.61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3">
        <f>SUM(AI53:AI68)</f>
        <v/>
      </c>
      <c r="AJ69" s="124">
        <f>SUM(AJ53:AJ68)</f>
        <v/>
      </c>
      <c r="AK69" s="124">
        <f>SUM(AK53:AK68)</f>
        <v/>
      </c>
      <c r="AL69" s="124">
        <f>SUM(AL53:AL68)</f>
        <v/>
      </c>
      <c r="AM69" s="124">
        <f>SUM(AM53:AM68)</f>
        <v/>
      </c>
      <c r="AN69" s="123">
        <f>SUM(AN53:AN68)</f>
        <v/>
      </c>
      <c r="AO69" s="125">
        <f>SUM(AC69:AH69)+SUM(AI69:AN69)</f>
        <v/>
      </c>
      <c r="AP69" s="126">
        <f>IF(AB69&lt;&gt;0,(AO69-AB69)/ABS(AB69),0)</f>
        <v/>
      </c>
    </row>
    <row r="70">
      <c r="A70" s="54" t="inlineStr">
        <is>
          <t>EBITDA</t>
        </is>
      </c>
      <c r="B70" s="55" t="n">
        <v>14520.47</v>
      </c>
      <c r="C70" s="55" t="n">
        <v>10292.97999999999</v>
      </c>
      <c r="D70" s="55" t="n">
        <v>12239.18</v>
      </c>
      <c r="E70" s="55" t="n">
        <v>5352.079999999998</v>
      </c>
      <c r="F70" s="55" t="n">
        <v>9232.229999999998</v>
      </c>
      <c r="G70" s="55" t="n">
        <v>8388.549999999999</v>
      </c>
      <c r="H70" s="55" t="n">
        <v>25760.61999999999</v>
      </c>
      <c r="I70" s="55" t="n">
        <v>4128.369999999995</v>
      </c>
      <c r="J70" s="55" t="n">
        <v>2294.819999999999</v>
      </c>
      <c r="K70" s="55" t="n">
        <v>2105.060000000007</v>
      </c>
      <c r="L70" s="55" t="n">
        <v>8879.41</v>
      </c>
      <c r="M70" s="55" t="n">
        <v>7885.720000000009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0">
        <f>AI50-AI69</f>
        <v/>
      </c>
      <c r="AJ70" s="140">
        <f>AJ50-AJ69</f>
        <v/>
      </c>
      <c r="AK70" s="140">
        <f>AK50-AK69</f>
        <v/>
      </c>
      <c r="AL70" s="140">
        <f>AL50-AL69</f>
        <v/>
      </c>
      <c r="AM70" s="140">
        <f>AM50-AM69</f>
        <v/>
      </c>
      <c r="AN70" s="140">
        <f>AN50-AN69</f>
        <v/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4">
        <f>SUM(AC72:AH72)+SUM(AI72:AN72)</f>
        <v/>
      </c>
      <c r="AP72" s="142">
        <f>IF(AB72&lt;&gt;0,(AO72-AB72)/ABS(AB72),0)</f>
        <v/>
      </c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118" t="n">
        <v>0</v>
      </c>
      <c r="AJ73" s="118" t="n">
        <v>0</v>
      </c>
      <c r="AK73" s="118" t="n">
        <v>0</v>
      </c>
      <c r="AL73" s="118" t="n">
        <v>0</v>
      </c>
      <c r="AM73" s="118" t="n">
        <v>0</v>
      </c>
      <c r="AN73" s="118" t="n">
        <v>0</v>
      </c>
      <c r="AO73" s="144">
        <f>SUM(AC73:AH73)+SUM(AI73:AN73)</f>
        <v/>
      </c>
      <c r="AP73" s="142">
        <f>IF(AB73&lt;&gt;0,(AO73-AB73)/ABS(AB73),0)</f>
        <v/>
      </c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118" t="n">
        <v>0</v>
      </c>
      <c r="AJ74" s="118" t="n">
        <v>0</v>
      </c>
      <c r="AK74" s="118" t="n">
        <v>0</v>
      </c>
      <c r="AL74" s="118" t="n">
        <v>0</v>
      </c>
      <c r="AM74" s="118" t="n">
        <v>0</v>
      </c>
      <c r="AN74" s="118" t="n">
        <v>0</v>
      </c>
      <c r="AO74" s="144">
        <f>SUM(AC74:AH74)+SUM(AI74:AN74)</f>
        <v/>
      </c>
      <c r="AP74" s="142">
        <f>IF(AB74&lt;&gt;0,(AO74-AB74)/ABS(AB74),0)</f>
        <v/>
      </c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118" t="n">
        <v>0</v>
      </c>
      <c r="AJ75" s="118" t="n">
        <v>0</v>
      </c>
      <c r="AK75" s="118" t="n">
        <v>0</v>
      </c>
      <c r="AL75" s="118" t="n">
        <v>0</v>
      </c>
      <c r="AM75" s="118" t="n">
        <v>0</v>
      </c>
      <c r="AN75" s="118" t="n">
        <v>0</v>
      </c>
      <c r="AO75" s="144">
        <f>SUM(AC75:AH75)+SUM(AI75:AN75)</f>
        <v/>
      </c>
      <c r="AP75" s="142">
        <f>IF(AB75&lt;&gt;0,(AO75-AB75)/ABS(AB75),0)</f>
        <v/>
      </c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118" t="n">
        <v>0</v>
      </c>
      <c r="AJ76" s="118" t="n">
        <v>0</v>
      </c>
      <c r="AK76" s="118" t="n">
        <v>0</v>
      </c>
      <c r="AL76" s="118" t="n">
        <v>0</v>
      </c>
      <c r="AM76" s="118" t="n">
        <v>0</v>
      </c>
      <c r="AN76" s="118" t="n">
        <v>0</v>
      </c>
      <c r="AO76" s="144">
        <f>SUM(AC76:AH76)+SUM(AI76:AN76)</f>
        <v/>
      </c>
      <c r="AP76" s="142">
        <f>IF(AB76&lt;&gt;0,(AO76-AB76)/ABS(AB76),0)</f>
        <v/>
      </c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118" t="n">
        <v>0</v>
      </c>
      <c r="AJ77" s="118" t="n">
        <v>0</v>
      </c>
      <c r="AK77" s="118" t="n">
        <v>0</v>
      </c>
      <c r="AL77" s="118" t="n">
        <v>0</v>
      </c>
      <c r="AM77" s="118" t="n">
        <v>0</v>
      </c>
      <c r="AN77" s="118" t="n">
        <v>0</v>
      </c>
      <c r="AO77" s="144">
        <f>SUM(AC77:AH77)+SUM(AI77:AN77)</f>
        <v/>
      </c>
      <c r="AP77" s="142">
        <f>IF(AB77&lt;&gt;0,(AO77-AB77)/ABS(AB77),0)</f>
        <v/>
      </c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14520.47</v>
      </c>
      <c r="C79" s="57" t="n">
        <v>10292.97999999999</v>
      </c>
      <c r="D79" s="57" t="n">
        <v>12239.18</v>
      </c>
      <c r="E79" s="57" t="n">
        <v>5352.079999999998</v>
      </c>
      <c r="F79" s="57" t="n">
        <v>9232.229999999998</v>
      </c>
      <c r="G79" s="57" t="n">
        <v>8388.549999999999</v>
      </c>
      <c r="H79" s="57" t="n">
        <v>25760.61999999999</v>
      </c>
      <c r="I79" s="57" t="n">
        <v>4128.369999999995</v>
      </c>
      <c r="J79" s="57" t="n">
        <v>2294.819999999999</v>
      </c>
      <c r="K79" s="57" t="n">
        <v>2105.060000000007</v>
      </c>
      <c r="L79" s="57" t="n">
        <v>8879.41</v>
      </c>
      <c r="M79" s="57" t="n">
        <v>7885.720000000009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5">
        <f>U70+SUM(U73:U78)</f>
        <v/>
      </c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127" t="n">
        <v>0</v>
      </c>
      <c r="AJ79" s="127" t="n">
        <v>0</v>
      </c>
      <c r="AK79" s="127" t="n">
        <v>0</v>
      </c>
      <c r="AL79" s="127" t="n">
        <v>0</v>
      </c>
      <c r="AM79" s="127" t="n">
        <v>0</v>
      </c>
      <c r="AN79" s="127" t="n">
        <v>0</v>
      </c>
      <c r="AO79" s="144">
        <f>SUM(AC79:AH79)+SUM(AI79:AN79)</f>
        <v/>
      </c>
      <c r="AP79" s="142">
        <f>IF(AB79&lt;&gt;0,(AO79-AB79)/ABS(AB79),0)</f>
        <v/>
      </c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42028.76</v>
      </c>
      <c r="C87" s="60" t="n">
        <v>38087.19</v>
      </c>
      <c r="D87" s="60" t="n">
        <v>44291</v>
      </c>
      <c r="E87" s="60" t="n">
        <v>40257.56</v>
      </c>
      <c r="F87" s="60" t="n">
        <v>39371.6</v>
      </c>
      <c r="G87" s="60" t="n">
        <v>38658.29</v>
      </c>
      <c r="H87" s="60" t="n">
        <v>56461.77999999999</v>
      </c>
      <c r="I87" s="60" t="n">
        <v>31272.14</v>
      </c>
      <c r="J87" s="60" t="n">
        <v>28523.65</v>
      </c>
      <c r="K87" s="60" t="n">
        <v>31383.66</v>
      </c>
      <c r="L87" s="60" t="n">
        <v>36707.85000000001</v>
      </c>
      <c r="M87" s="8" t="n"/>
      <c r="N87" s="8" t="n"/>
      <c r="O87" s="60">
        <f>-SUMIF('YBHN LE TB'!$T:$T,'LE P&amp;L'!$A87,'YBHN LE TB'!C:C)</f>
        <v/>
      </c>
      <c r="P87" s="60">
        <f>-SUMIF('YBHN LE TB'!$T:$T,'LE P&amp;L'!$A87,'YBHN LE TB'!D:D)</f>
        <v/>
      </c>
      <c r="Q87" s="60">
        <f>-SUMIF('YBHN LE TB'!$T:$T,'LE P&amp;L'!$A87,'YBHN LE TB'!E:E)</f>
        <v/>
      </c>
      <c r="R87" s="60">
        <f>-SUMIF('YBHN LE TB'!$T:$T,'LE P&amp;L'!$A87,'YBHN LE TB'!F:F)</f>
        <v/>
      </c>
      <c r="S87" s="60">
        <f>-SUMIF('YBHN LE TB'!$T:$T,'LE P&amp;L'!$A87,'YBHN LE TB'!G:G)</f>
        <v/>
      </c>
      <c r="T87" s="60">
        <f>-SUMIF('YBHN LE TB'!$T:$T,'LE P&amp;L'!$A87,'YBHN LE TB'!H:H)</f>
        <v/>
      </c>
      <c r="U87" s="60">
        <f>-SUMIF('YBHN LE TB'!$T:$T,'LE P&amp;L'!$A87,'YBHN LE TB'!I:I)</f>
        <v/>
      </c>
      <c r="V87" s="60">
        <f>-SUMIF('YBHN LE TB'!$T:$T,'LE P&amp;L'!$A87,'YBHN LE TB'!J:J)</f>
        <v/>
      </c>
      <c r="W87" s="60">
        <f>-SUMIF('YBHN LE TB'!$T:$T,'LE P&amp;L'!$A87,'YBHN LE TB'!K:K)</f>
        <v/>
      </c>
      <c r="X87" s="60">
        <f>-SUMIF('YBHN LE TB'!$T:$T,'LE P&amp;L'!$A87,'YBHN LE TB'!L:L)</f>
        <v/>
      </c>
      <c r="Y87" s="60">
        <f>-SUMIF('YBHN LE TB'!$T:$T,'LE P&amp;L'!$A87,'YBHN LE TB'!M:M)</f>
        <v/>
      </c>
      <c r="Z87" s="60">
        <f>-SUMIF('YBHN LE TB'!$T:$T,'LE P&amp;L'!$A87,'YBHN LE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134" t="n">
        <v>0</v>
      </c>
      <c r="AJ87" s="134" t="n">
        <v>0</v>
      </c>
      <c r="AK87" s="134" t="n">
        <v>0</v>
      </c>
      <c r="AL87" s="134" t="n">
        <v>0</v>
      </c>
      <c r="AM87" s="134" t="n">
        <v>0</v>
      </c>
      <c r="AN87" s="134" t="n">
        <v>0</v>
      </c>
      <c r="AO87" s="145">
        <f>SUM(AC87:AH87)+SUM(AI87:AN87)</f>
        <v/>
      </c>
      <c r="AP87" s="142">
        <f>IF(AB87&lt;&gt;0,(AO87-AB87)/ABS(AB87),0)</f>
        <v/>
      </c>
    </row>
    <row r="88">
      <c r="A88" s="34" t="inlineStr">
        <is>
          <t>Direct - Staff Cost</t>
        </is>
      </c>
      <c r="B88" s="18" t="n">
        <v>-22962.82999999999</v>
      </c>
      <c r="C88" s="18" t="n">
        <v>-22797.73</v>
      </c>
      <c r="D88" s="18" t="n">
        <v>-24093.15</v>
      </c>
      <c r="E88" s="18" t="n">
        <v>-28572.22</v>
      </c>
      <c r="F88" s="18" t="n">
        <v>-26799.23</v>
      </c>
      <c r="G88" s="18" t="n">
        <v>-26364.45</v>
      </c>
      <c r="H88" s="18" t="n">
        <v>-26967.23</v>
      </c>
      <c r="I88" s="18" t="n">
        <v>-21412.27</v>
      </c>
      <c r="J88" s="18" t="n">
        <v>-21400.54</v>
      </c>
      <c r="K88" s="18" t="n">
        <v>-22378.38</v>
      </c>
      <c r="L88" s="18" t="n">
        <v>-22109.79</v>
      </c>
      <c r="M88" s="18" t="n"/>
      <c r="N88" s="8" t="n"/>
      <c r="O88" s="60">
        <f>-SUMIF('YBHN LE TB'!$T:$T,'LE P&amp;L'!$A88,'YBHN LE TB'!C:C)</f>
        <v/>
      </c>
      <c r="P88" s="60">
        <f>-SUMIF('YBHN LE TB'!$T:$T,'LE P&amp;L'!$A88,'YBHN LE TB'!D:D)</f>
        <v/>
      </c>
      <c r="Q88" s="60">
        <f>-SUMIF('YBHN LE TB'!$T:$T,'LE P&amp;L'!$A88,'YBHN LE TB'!E:E)</f>
        <v/>
      </c>
      <c r="R88" s="60">
        <f>-SUMIF('YBHN LE TB'!$T:$T,'LE P&amp;L'!$A88,'YBHN LE TB'!F:F)</f>
        <v/>
      </c>
      <c r="S88" s="60">
        <f>-SUMIF('YBHN LE TB'!$T:$T,'LE P&amp;L'!$A88,'YBHN LE TB'!G:G)</f>
        <v/>
      </c>
      <c r="T88" s="60">
        <f>-SUMIF('YBHN LE TB'!$T:$T,'LE P&amp;L'!$A88,'YBHN LE TB'!H:H)</f>
        <v/>
      </c>
      <c r="U88" s="60">
        <f>-SUMIF('YBHN LE TB'!$T:$T,'LE P&amp;L'!$A88,'YBHN LE TB'!I:I)</f>
        <v/>
      </c>
      <c r="V88" s="60">
        <f>-SUMIF('YBHN LE TB'!$T:$T,'LE P&amp;L'!$A88,'YBHN LE TB'!J:J)</f>
        <v/>
      </c>
      <c r="W88" s="60">
        <f>-SUMIF('YBHN LE TB'!$T:$T,'LE P&amp;L'!$A88,'YBHN LE TB'!K:K)</f>
        <v/>
      </c>
      <c r="X88" s="60">
        <f>-SUMIF('YBHN LE TB'!$T:$T,'LE P&amp;L'!$A88,'YBHN LE TB'!L:L)</f>
        <v/>
      </c>
      <c r="Y88" s="60">
        <f>-SUMIF('YBHN LE TB'!$T:$T,'LE P&amp;L'!$A88,'YBHN LE TB'!M:M)</f>
        <v/>
      </c>
      <c r="Z88" s="60">
        <f>-SUMIF('YBHN LE TB'!$T:$T,'LE P&amp;L'!$A88,'YBHN LE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134" t="n">
        <v>0</v>
      </c>
      <c r="AJ88" s="134" t="n">
        <v>0</v>
      </c>
      <c r="AK88" s="134" t="n">
        <v>0</v>
      </c>
      <c r="AL88" s="134" t="n">
        <v>0</v>
      </c>
      <c r="AM88" s="134" t="n">
        <v>0</v>
      </c>
      <c r="AN88" s="134" t="n">
        <v>0</v>
      </c>
      <c r="AO88" s="144">
        <f>SUM(AC88:AH88)+SUM(AI88:AN88)</f>
        <v/>
      </c>
      <c r="AP88" s="142">
        <f>IF(AB88&lt;&gt;0,(AO88-AB88)/ABS(AB88),0)</f>
        <v/>
      </c>
    </row>
    <row r="89">
      <c r="A89" s="60" t="inlineStr">
        <is>
          <t>Direct - Childcare Cost</t>
        </is>
      </c>
      <c r="B89" s="18" t="n">
        <v>-1502.08</v>
      </c>
      <c r="C89" s="18" t="n">
        <v>-1356.74</v>
      </c>
      <c r="D89" s="18" t="n">
        <v>-1606.09</v>
      </c>
      <c r="E89" s="18" t="n">
        <v>-1292.17</v>
      </c>
      <c r="F89" s="18" t="n">
        <v>-1611.34</v>
      </c>
      <c r="G89" s="18" t="n">
        <v>-1322.17</v>
      </c>
      <c r="H89" s="18" t="n">
        <v>-1338.02</v>
      </c>
      <c r="I89" s="18" t="n">
        <v>-1449.97</v>
      </c>
      <c r="J89" s="18" t="n">
        <v>-1745.99</v>
      </c>
      <c r="K89" s="18" t="n">
        <v>-2055.18</v>
      </c>
      <c r="L89" s="18" t="n">
        <v>-1601.82</v>
      </c>
      <c r="M89" s="18" t="n">
        <v>-1749.6</v>
      </c>
      <c r="N89" s="8" t="n"/>
      <c r="O89" s="60">
        <f>-SUMIF('YBHN LE TB'!$T:$T,'LE P&amp;L'!$A89,'YBHN LE TB'!C:C)</f>
        <v/>
      </c>
      <c r="P89" s="60">
        <f>-SUMIF('YBHN LE TB'!$T:$T,'LE P&amp;L'!$A89,'YBHN LE TB'!D:D)</f>
        <v/>
      </c>
      <c r="Q89" s="60">
        <f>-SUMIF('YBHN LE TB'!$T:$T,'LE P&amp;L'!$A89,'YBHN LE TB'!E:E)</f>
        <v/>
      </c>
      <c r="R89" s="60">
        <f>-SUMIF('YBHN LE TB'!$T:$T,'LE P&amp;L'!$A89,'YBHN LE TB'!F:F)</f>
        <v/>
      </c>
      <c r="S89" s="60">
        <f>-SUMIF('YBHN LE TB'!$T:$T,'LE P&amp;L'!$A89,'YBHN LE TB'!G:G)</f>
        <v/>
      </c>
      <c r="T89" s="60">
        <f>-SUMIF('YBHN LE TB'!$T:$T,'LE P&amp;L'!$A89,'YBHN LE TB'!H:H)</f>
        <v/>
      </c>
      <c r="U89" s="60">
        <f>-SUMIF('YBHN LE TB'!$T:$T,'LE P&amp;L'!$A89,'YBHN LE TB'!I:I)</f>
        <v/>
      </c>
      <c r="V89" s="60">
        <f>-SUMIF('YBHN LE TB'!$T:$T,'LE P&amp;L'!$A89,'YBHN LE TB'!J:J)</f>
        <v/>
      </c>
      <c r="W89" s="60">
        <f>-SUMIF('YBHN LE TB'!$T:$T,'LE P&amp;L'!$A89,'YBHN LE TB'!K:K)</f>
        <v/>
      </c>
      <c r="X89" s="60">
        <f>-SUMIF('YBHN LE TB'!$T:$T,'LE P&amp;L'!$A89,'YBHN LE TB'!L:L)</f>
        <v/>
      </c>
      <c r="Y89" s="60">
        <f>-SUMIF('YBHN LE TB'!$T:$T,'LE P&amp;L'!$A89,'YBHN LE TB'!M:M)</f>
        <v/>
      </c>
      <c r="Z89" s="60">
        <f>-SUMIF('YBHN LE TB'!$T:$T,'LE P&amp;L'!$A89,'YBHN LE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34" t="n">
        <v>0</v>
      </c>
      <c r="AJ89" s="134" t="n">
        <v>0</v>
      </c>
      <c r="AK89" s="134" t="n">
        <v>0</v>
      </c>
      <c r="AL89" s="134" t="n">
        <v>0</v>
      </c>
      <c r="AM89" s="134" t="n">
        <v>0</v>
      </c>
      <c r="AN89" s="134" t="n">
        <v>0</v>
      </c>
      <c r="AO89" s="144">
        <f>SUM(AC89:AH89)+SUM(AI89:AN89)</f>
        <v/>
      </c>
      <c r="AP89" s="142">
        <f>IF(AB89&lt;&gt;0,(AO89-AB89)/ABS(AB89),0)</f>
        <v/>
      </c>
    </row>
    <row r="90">
      <c r="A90" s="60" t="inlineStr">
        <is>
          <t>Direct - Premises &amp; Admin</t>
        </is>
      </c>
      <c r="B90" s="18" t="n">
        <v>-2827.4</v>
      </c>
      <c r="C90" s="18" t="n">
        <v>-3435.96</v>
      </c>
      <c r="D90" s="18" t="n">
        <v>-5956.86</v>
      </c>
      <c r="E90" s="18" t="n">
        <v>-4308.93</v>
      </c>
      <c r="F90" s="18" t="n">
        <v>-1457.27</v>
      </c>
      <c r="G90" s="18" t="n">
        <v>-2325.35</v>
      </c>
      <c r="H90" s="18" t="n">
        <v>-2186.25</v>
      </c>
      <c r="I90" s="18" t="n">
        <v>-4078.35</v>
      </c>
      <c r="J90" s="18" t="n">
        <v>-2859.18</v>
      </c>
      <c r="K90" s="18" t="n">
        <v>-4402.709999999999</v>
      </c>
      <c r="L90" s="18" t="n">
        <v>-3848.54</v>
      </c>
      <c r="M90" s="18" t="n">
        <v>-4815.28</v>
      </c>
      <c r="N90" s="8" t="n"/>
      <c r="O90" s="60">
        <f>-SUMIF('YBHN LE TB'!$T:$T,'LE P&amp;L'!$A90,'YBHN LE TB'!C:C)</f>
        <v/>
      </c>
      <c r="P90" s="60">
        <f>-SUMIF('YBHN LE TB'!$T:$T,'LE P&amp;L'!$A90,'YBHN LE TB'!D:D)</f>
        <v/>
      </c>
      <c r="Q90" s="60">
        <f>-SUMIF('YBHN LE TB'!$T:$T,'LE P&amp;L'!$A90,'YBHN LE TB'!E:E)</f>
        <v/>
      </c>
      <c r="R90" s="60">
        <f>-SUMIF('YBHN LE TB'!$T:$T,'LE P&amp;L'!$A90,'YBHN LE TB'!F:F)</f>
        <v/>
      </c>
      <c r="S90" s="60">
        <f>-SUMIF('YBHN LE TB'!$T:$T,'LE P&amp;L'!$A90,'YBHN LE TB'!G:G)</f>
        <v/>
      </c>
      <c r="T90" s="60">
        <f>-SUMIF('YBHN LE TB'!$T:$T,'LE P&amp;L'!$A90,'YBHN LE TB'!H:H)</f>
        <v/>
      </c>
      <c r="U90" s="60">
        <f>-SUMIF('YBHN LE TB'!$T:$T,'LE P&amp;L'!$A90,'YBHN LE TB'!I:I)</f>
        <v/>
      </c>
      <c r="V90" s="60">
        <f>-SUMIF('YBHN LE TB'!$T:$T,'LE P&amp;L'!$A90,'YBHN LE TB'!J:J)</f>
        <v/>
      </c>
      <c r="W90" s="60">
        <f>-SUMIF('YBHN LE TB'!$T:$T,'LE P&amp;L'!$A90,'YBHN LE TB'!K:K)</f>
        <v/>
      </c>
      <c r="X90" s="60">
        <f>-SUMIF('YBHN LE TB'!$T:$T,'LE P&amp;L'!$A90,'YBHN LE TB'!L:L)</f>
        <v/>
      </c>
      <c r="Y90" s="60">
        <f>-SUMIF('YBHN LE TB'!$T:$T,'LE P&amp;L'!$A90,'YBHN LE TB'!M:M)</f>
        <v/>
      </c>
      <c r="Z90" s="60">
        <f>-SUMIF('YBHN LE TB'!$T:$T,'LE P&amp;L'!$A90,'YBHN LE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134" t="n">
        <v>0</v>
      </c>
      <c r="AJ90" s="134" t="n">
        <v>0</v>
      </c>
      <c r="AK90" s="134" t="n">
        <v>0</v>
      </c>
      <c r="AL90" s="134" t="n">
        <v>0</v>
      </c>
      <c r="AM90" s="134" t="n">
        <v>0</v>
      </c>
      <c r="AN90" s="134" t="n">
        <v>0</v>
      </c>
      <c r="AO90" s="144">
        <f>SUM(AC90:AH90)+SUM(AI90:AN90)</f>
        <v/>
      </c>
      <c r="AP90" s="142">
        <f>IF(AB90&lt;&gt;0,(AO90-AB90)/ABS(AB90),0)</f>
        <v/>
      </c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-SUMIF('YBHN LE TB'!$T:$T,'LE P&amp;L'!$A91,'YBHN LE TB'!C:C)</f>
        <v/>
      </c>
      <c r="P91" s="60">
        <f>-SUMIF('YBHN LE TB'!$T:$T,'LE P&amp;L'!$A91,'YBHN LE TB'!D:D)</f>
        <v/>
      </c>
      <c r="Q91" s="60">
        <f>-SUMIF('YBHN LE TB'!$T:$T,'LE P&amp;L'!$A91,'YBHN LE TB'!E:E)</f>
        <v/>
      </c>
      <c r="R91" s="60">
        <f>-SUMIF('YBHN LE TB'!$T:$T,'LE P&amp;L'!$A91,'YBHN LE TB'!F:F)</f>
        <v/>
      </c>
      <c r="S91" s="60">
        <f>-SUMIF('YBHN LE TB'!$T:$T,'LE P&amp;L'!$A91,'YBHN LE TB'!G:G)</f>
        <v/>
      </c>
      <c r="T91" s="60">
        <f>-SUMIF('YBHN LE TB'!$T:$T,'LE P&amp;L'!$A91,'YBHN LE TB'!H:H)</f>
        <v/>
      </c>
      <c r="U91" s="60">
        <f>-SUMIF('YBHN LE TB'!$T:$T,'LE P&amp;L'!$A91,'YBHN LE TB'!I:I)</f>
        <v/>
      </c>
      <c r="V91" s="60">
        <f>-SUMIF('YBHN LE TB'!$T:$T,'LE P&amp;L'!$A91,'YBHN LE TB'!J:J)</f>
        <v/>
      </c>
      <c r="W91" s="60">
        <f>-SUMIF('YBHN LE TB'!$T:$T,'LE P&amp;L'!$A91,'YBHN LE TB'!K:K)</f>
        <v/>
      </c>
      <c r="X91" s="60">
        <f>-SUMIF('YBHN LE TB'!$T:$T,'LE P&amp;L'!$A91,'YBHN LE TB'!L:L)</f>
        <v/>
      </c>
      <c r="Y91" s="60">
        <f>-SUMIF('YBHN LE TB'!$T:$T,'LE P&amp;L'!$A91,'YBHN LE TB'!M:M)</f>
        <v/>
      </c>
      <c r="Z91" s="60">
        <f>-SUMIF('YBHN LE TB'!$T:$T,'LE P&amp;L'!$A91,'YBHN LE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134" t="n">
        <v>0</v>
      </c>
      <c r="AJ91" s="134" t="n">
        <v>0</v>
      </c>
      <c r="AK91" s="134" t="n">
        <v>0</v>
      </c>
      <c r="AL91" s="134" t="n">
        <v>0</v>
      </c>
      <c r="AM91" s="134" t="n">
        <v>0</v>
      </c>
      <c r="AN91" s="134" t="n">
        <v>0</v>
      </c>
      <c r="AO91" s="144">
        <f>SUM(AC91:AH91)+SUM(AI91:AN91)</f>
        <v/>
      </c>
      <c r="AP91" s="142">
        <f>IF(AB91&lt;&gt;0,(AO91-AB91)/ABS(AB91),0)</f>
        <v/>
      </c>
    </row>
    <row r="92">
      <c r="A92" s="60" t="inlineStr">
        <is>
          <t>In-Direct - Overheads</t>
        </is>
      </c>
      <c r="B92" s="18" t="n">
        <v>-215.98</v>
      </c>
      <c r="C92" s="18" t="n">
        <v>-203.78</v>
      </c>
      <c r="D92" s="18" t="n">
        <v>-395.72</v>
      </c>
      <c r="E92" s="18" t="n">
        <v>-732.16</v>
      </c>
      <c r="F92" s="18" t="n">
        <v>-271.53</v>
      </c>
      <c r="G92" s="18" t="n">
        <v>-257.77</v>
      </c>
      <c r="H92" s="18" t="n">
        <v>-209.66</v>
      </c>
      <c r="I92" s="18" t="n">
        <v>-203.18</v>
      </c>
      <c r="J92" s="18" t="n">
        <v>-223.12</v>
      </c>
      <c r="K92" s="18" t="n">
        <v>-442.33</v>
      </c>
      <c r="L92" s="18" t="n">
        <v>-268.29</v>
      </c>
      <c r="M92" s="18" t="n">
        <v>-764.61</v>
      </c>
      <c r="N92" s="8" t="n"/>
      <c r="O92" s="60">
        <f>-SUMIF('YBHN LE TB'!$T:$T,'LE P&amp;L'!$A92,'YBHN LE TB'!C:C)</f>
        <v/>
      </c>
      <c r="P92" s="60">
        <f>-SUMIF('YBHN LE TB'!$T:$T,'LE P&amp;L'!$A92,'YBHN LE TB'!D:D)</f>
        <v/>
      </c>
      <c r="Q92" s="60">
        <f>-SUMIF('YBHN LE TB'!$T:$T,'LE P&amp;L'!$A92,'YBHN LE TB'!E:E)</f>
        <v/>
      </c>
      <c r="R92" s="60">
        <f>-SUMIF('YBHN LE TB'!$T:$T,'LE P&amp;L'!$A92,'YBHN LE TB'!F:F)</f>
        <v/>
      </c>
      <c r="S92" s="60">
        <f>-SUMIF('YBHN LE TB'!$T:$T,'LE P&amp;L'!$A92,'YBHN LE TB'!G:G)</f>
        <v/>
      </c>
      <c r="T92" s="60">
        <f>-SUMIF('YBHN LE TB'!$T:$T,'LE P&amp;L'!$A92,'YBHN LE TB'!H:H)</f>
        <v/>
      </c>
      <c r="U92" s="60">
        <f>-SUMIF('YBHN LE TB'!$T:$T,'LE P&amp;L'!$A92,'YBHN LE TB'!I:I)</f>
        <v/>
      </c>
      <c r="V92" s="60">
        <f>-SUMIF('YBHN LE TB'!$T:$T,'LE P&amp;L'!$A92,'YBHN LE TB'!J:J)</f>
        <v/>
      </c>
      <c r="W92" s="60">
        <f>-SUMIF('YBHN LE TB'!$T:$T,'LE P&amp;L'!$A92,'YBHN LE TB'!K:K)</f>
        <v/>
      </c>
      <c r="X92" s="60">
        <f>-SUMIF('YBHN LE TB'!$T:$T,'LE P&amp;L'!$A92,'YBHN LE TB'!L:L)</f>
        <v/>
      </c>
      <c r="Y92" s="60">
        <f>-SUMIF('YBHN LE TB'!$T:$T,'LE P&amp;L'!$A92,'YBHN LE TB'!M:M)</f>
        <v/>
      </c>
      <c r="Z92" s="60">
        <f>-SUMIF('YBHN LE TB'!$T:$T,'LE P&amp;L'!$A92,'YBHN LE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134" t="n">
        <v>0</v>
      </c>
      <c r="AJ92" s="134" t="n">
        <v>0</v>
      </c>
      <c r="AK92" s="134" t="n">
        <v>0</v>
      </c>
      <c r="AL92" s="134" t="n">
        <v>0</v>
      </c>
      <c r="AM92" s="134" t="n">
        <v>0</v>
      </c>
      <c r="AN92" s="134" t="n">
        <v>0</v>
      </c>
      <c r="AO92" s="144">
        <f>SUM(AC92:AH92)+SUM(AI92:AN92)</f>
        <v/>
      </c>
      <c r="AP92" s="142">
        <f>IF(AB92&lt;&gt;0,(AO92-AB92)/ABS(AB92),0)</f>
        <v/>
      </c>
    </row>
    <row r="93" ht="15.75" customHeight="1">
      <c r="A93" s="8" t="n"/>
      <c r="B93" s="67" t="n">
        <v>14520.47000000001</v>
      </c>
      <c r="C93" s="67" t="n">
        <v>10292.97999999999</v>
      </c>
      <c r="D93" s="67" t="n">
        <v>12239.18</v>
      </c>
      <c r="E93" s="67" t="n">
        <v>5352.079999999996</v>
      </c>
      <c r="F93" s="67" t="n">
        <v>9232.229999999998</v>
      </c>
      <c r="G93" s="67" t="n">
        <v>8388.549999999999</v>
      </c>
      <c r="H93" s="67" t="n">
        <v>25760.61999999999</v>
      </c>
      <c r="I93" s="67" t="n">
        <v>4128.369999999999</v>
      </c>
      <c r="J93" s="67" t="n">
        <v>2294.820000000001</v>
      </c>
      <c r="K93" s="67" t="n">
        <v>2105.060000000007</v>
      </c>
      <c r="L93" s="67" t="n">
        <v>8879.41</v>
      </c>
      <c r="M93" s="67" t="n">
        <v>-7329.489999999999</v>
      </c>
      <c r="N93" s="8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8" t="n"/>
      <c r="AB93" s="8" t="n"/>
      <c r="AC93" s="64" t="n"/>
      <c r="AD93" s="64" t="n"/>
      <c r="AE93" s="64" t="n"/>
      <c r="AF93" s="64" t="n"/>
      <c r="AG93" s="64" t="n"/>
      <c r="AH93" s="64" t="n"/>
      <c r="AI93" s="134" t="n">
        <v>0</v>
      </c>
      <c r="AJ93" s="134" t="n">
        <v>0</v>
      </c>
      <c r="AK93" s="134" t="n">
        <v>0</v>
      </c>
      <c r="AL93" s="134" t="n">
        <v>0</v>
      </c>
      <c r="AM93" s="134" t="n">
        <v>0</v>
      </c>
      <c r="AN93" s="134" t="n">
        <v>0</v>
      </c>
      <c r="AO93" s="144">
        <f>SUM(AC93:AH93)+SUM(AI93:AN93)</f>
        <v/>
      </c>
      <c r="AP93" s="142">
        <f>IF(AB93&lt;&gt;0,(AO93-AB93)/ABS(AB93),0)</f>
        <v/>
      </c>
    </row>
    <row r="94" ht="15.75" customHeight="1">
      <c r="A94" s="8" t="n"/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0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0</v>
      </c>
      <c r="L94" s="18" t="n">
        <v>0</v>
      </c>
      <c r="M94" s="18" t="n">
        <v>15215.21000000001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134" t="n">
        <v>0</v>
      </c>
      <c r="AJ94" s="134" t="n">
        <v>0</v>
      </c>
      <c r="AK94" s="134" t="n">
        <v>0</v>
      </c>
      <c r="AL94" s="134" t="n">
        <v>0</v>
      </c>
      <c r="AM94" s="134" t="n">
        <v>0</v>
      </c>
      <c r="AN94" s="134" t="n">
        <v>0</v>
      </c>
      <c r="AO94" s="144">
        <f>SUM(AC94:AH94)+SUM(AI94:AN94)</f>
        <v/>
      </c>
      <c r="AP94" s="142">
        <f>IF(AB94&lt;&gt;0,(AO94-AB94)/ABS(AB94),0)</f>
        <v/>
      </c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0</v>
      </c>
      <c r="G96" s="18" t="n">
        <v>0</v>
      </c>
      <c r="H96" s="18" t="n">
        <v>0</v>
      </c>
      <c r="I96" s="18" t="n">
        <v>0</v>
      </c>
      <c r="J96" s="18" t="n">
        <v>0</v>
      </c>
      <c r="K96" s="18" t="n">
        <v>0</v>
      </c>
      <c r="L96" s="18" t="n">
        <v>0</v>
      </c>
      <c r="M96" s="18" t="n">
        <v>-15215.21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134" t="n">
        <v>0</v>
      </c>
      <c r="AJ96" s="134" t="n">
        <v>0</v>
      </c>
      <c r="AK96" s="134" t="n">
        <v>0</v>
      </c>
      <c r="AL96" s="134" t="n">
        <v>0</v>
      </c>
      <c r="AM96" s="134" t="n">
        <v>0</v>
      </c>
      <c r="AN96" s="134" t="n">
        <v>0</v>
      </c>
      <c r="AO96" s="144">
        <f>SUM(AC96:AH96)+SUM(AI96:AN96)</f>
        <v/>
      </c>
      <c r="AP96" s="142">
        <f>IF(AB96&lt;&gt;0,(AO96-AB96)/ABS(AB96),0)</f>
        <v/>
      </c>
    </row>
    <row r="97">
      <c r="A97" s="8" t="n"/>
      <c r="B97" s="18" t="n">
        <v>-14520.47000000001</v>
      </c>
      <c r="C97" s="18" t="n">
        <v>-10292.98</v>
      </c>
      <c r="D97" s="18" t="n">
        <v>-12239.18</v>
      </c>
      <c r="E97" s="18" t="n">
        <v>-5352.08</v>
      </c>
      <c r="F97" s="18" t="n">
        <v>-9232.23</v>
      </c>
      <c r="G97" s="18" t="n">
        <v>-8388.550000000003</v>
      </c>
      <c r="H97" s="18" t="n">
        <v>-25760.61999999999</v>
      </c>
      <c r="I97" s="18" t="n">
        <v>-4128.37</v>
      </c>
      <c r="J97" s="18" t="n">
        <v>-2294.820000000001</v>
      </c>
      <c r="K97" s="18" t="n">
        <v>-2105.060000000004</v>
      </c>
      <c r="L97" s="18" t="n">
        <v>-8879.410000000005</v>
      </c>
      <c r="M97" s="18" t="n">
        <v>-7885.720000000005</v>
      </c>
      <c r="N97" s="8" t="n"/>
      <c r="O97" s="60">
        <f>SUM('YBHN LE TB'!C2:C42)</f>
        <v/>
      </c>
      <c r="P97" s="60">
        <f>SUM('YBHN LE TB'!D2:D42)</f>
        <v/>
      </c>
      <c r="Q97" s="60">
        <f>SUM('YBHN LE TB'!E2:E42)</f>
        <v/>
      </c>
      <c r="R97" s="60">
        <f>SUM('YBHN LE TB'!F2:F42)</f>
        <v/>
      </c>
      <c r="S97" s="60">
        <f>SUM('YBHN LE TB'!G2:G42)</f>
        <v/>
      </c>
      <c r="T97" s="60">
        <f>SUM('YBHN LE TB'!H2:H42)</f>
        <v/>
      </c>
      <c r="U97" s="60">
        <f>SUM('YBHN LE TB'!I2:I42)</f>
        <v/>
      </c>
      <c r="V97" s="60">
        <f>SUM('YBHN LE TB'!J2:J42)</f>
        <v/>
      </c>
      <c r="W97" s="60">
        <f>SUM('YBHN LE TB'!K2:K42)</f>
        <v/>
      </c>
      <c r="X97" s="60">
        <f>SUM('YBHN LE TB'!L2:L42)</f>
        <v/>
      </c>
      <c r="Y97" s="60">
        <f>SUM('YBHN LE TB'!M2:M42)</f>
        <v/>
      </c>
      <c r="Z97" s="60">
        <f>SUM('YBHN LE TB'!N2:N42)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134" t="n">
        <v>0</v>
      </c>
      <c r="AJ97" s="134" t="n">
        <v>0</v>
      </c>
      <c r="AK97" s="134" t="n">
        <v>0</v>
      </c>
      <c r="AL97" s="134" t="n">
        <v>0</v>
      </c>
      <c r="AM97" s="134" t="n">
        <v>0</v>
      </c>
      <c r="AN97" s="134" t="n">
        <v>0</v>
      </c>
      <c r="AO97" s="144">
        <f>SUM(AC97:AH97)+SUM(AI97:AN97)</f>
        <v/>
      </c>
      <c r="AP97" s="142">
        <f>IF(AB97&lt;&gt;0,(AO97-AB97)/ABS(AB97),0)</f>
        <v/>
      </c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Merrydale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71748.46000000001</v>
      </c>
      <c r="C8" s="35" t="n">
        <v>62355.58</v>
      </c>
      <c r="D8" s="35" t="n">
        <v>73377.48</v>
      </c>
      <c r="E8" s="35" t="n">
        <v>84905.42</v>
      </c>
      <c r="F8" s="35" t="n">
        <v>78933.88</v>
      </c>
      <c r="G8" s="35" t="n">
        <v>76038.8</v>
      </c>
      <c r="H8" s="35" t="n">
        <v>94722.25999999999</v>
      </c>
      <c r="I8" s="35" t="n">
        <v>81393.89</v>
      </c>
      <c r="J8" s="35" t="n">
        <v>67283.53999999999</v>
      </c>
      <c r="K8" s="35" t="n">
        <v>63773.81</v>
      </c>
      <c r="L8" s="35" t="n">
        <v>55368.1</v>
      </c>
      <c r="M8" s="35" t="n">
        <v>74284.68999999999</v>
      </c>
      <c r="N8" s="36">
        <f>SUM(B8:M8)</f>
        <v/>
      </c>
      <c r="O8" s="37">
        <f>-SUMIF('MER TB'!$R:$R,'MER P&amp;L'!$A8,'MER TB'!C:C)</f>
        <v/>
      </c>
      <c r="P8" s="37">
        <f>-SUMIF('MER TB'!$R:$R,'MER P&amp;L'!$A8,'MER TB'!D:D)</f>
        <v/>
      </c>
      <c r="Q8" s="37">
        <f>-SUMIF('MER TB'!$R:$R,'MER P&amp;L'!$A8,'MER TB'!E:E)</f>
        <v/>
      </c>
      <c r="R8" s="37">
        <f>-SUMIF('MER TB'!$R:$R,'MER P&amp;L'!$A8,'MER TB'!F:F)</f>
        <v/>
      </c>
      <c r="S8" s="37">
        <f>-SUMIF('MER TB'!$R:$R,'MER P&amp;L'!$A8,'MER TB'!G:G)</f>
        <v/>
      </c>
      <c r="T8" s="37">
        <f>-SUMIF('MER TB'!$R:$R,'MER P&amp;L'!$A8,'MER TB'!H:H)</f>
        <v/>
      </c>
      <c r="U8" s="37">
        <f>-SUMIF('MER TB'!$R:$R,'MER P&amp;L'!$A8,'MER TB'!I:I)</f>
        <v/>
      </c>
      <c r="V8" s="38" t="n">
        <v>68250</v>
      </c>
      <c r="W8" s="38" t="n">
        <v>43443</v>
      </c>
      <c r="X8" s="38" t="n">
        <v>41460</v>
      </c>
      <c r="Y8" s="38" t="n">
        <v>43425</v>
      </c>
      <c r="Z8" s="38" t="n">
        <v>61258</v>
      </c>
      <c r="AA8" s="36">
        <f>SUM(O8:U8)</f>
        <v/>
      </c>
      <c r="AB8" s="36">
        <f>SUM(O8:Z8)</f>
        <v/>
      </c>
      <c r="AC8" s="38" t="n">
        <v>79907.42999999999</v>
      </c>
      <c r="AD8" s="38" t="n">
        <v>74377.98</v>
      </c>
      <c r="AE8" s="38" t="n">
        <v>90136.03999999999</v>
      </c>
      <c r="AF8" s="38" t="n">
        <v>81715.39</v>
      </c>
      <c r="AG8" s="38" t="n">
        <v>85494.06</v>
      </c>
      <c r="AH8" s="38" t="n">
        <v>91076.72</v>
      </c>
      <c r="AI8" s="118" t="n">
        <v>91076.72</v>
      </c>
      <c r="AJ8" s="119" t="n">
        <v>91076.72</v>
      </c>
      <c r="AK8" s="119" t="n">
        <v>91076.72</v>
      </c>
      <c r="AL8" s="119" t="n">
        <v>91076.72</v>
      </c>
      <c r="AM8" s="120" t="n">
        <v>91076.72</v>
      </c>
      <c r="AN8" s="118" t="n">
        <v>91076.72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27056.38</v>
      </c>
      <c r="C9" s="35" t="n">
        <v>27056.38</v>
      </c>
      <c r="D9" s="35" t="n">
        <v>27641.21</v>
      </c>
      <c r="E9" s="35" t="n">
        <v>20062.71</v>
      </c>
      <c r="F9" s="35" t="n">
        <v>20062.71</v>
      </c>
      <c r="G9" s="35" t="n">
        <v>20062.71</v>
      </c>
      <c r="H9" s="35" t="n">
        <v>53755.95</v>
      </c>
      <c r="I9" s="35" t="n">
        <v>0</v>
      </c>
      <c r="J9" s="35" t="n">
        <v>24868.19</v>
      </c>
      <c r="K9" s="35" t="n">
        <v>24868.19</v>
      </c>
      <c r="L9" s="35" t="n">
        <v>53954.23</v>
      </c>
      <c r="M9" s="35" t="n">
        <v>54512.01</v>
      </c>
      <c r="N9" s="36">
        <f>SUM(B9:M9)</f>
        <v/>
      </c>
      <c r="O9" s="37">
        <f>-SUMIF('MER TB'!$R:$R,'MER P&amp;L'!$A9,'MER TB'!C:C)</f>
        <v/>
      </c>
      <c r="P9" s="37">
        <f>-SUMIF('MER TB'!$R:$R,'MER P&amp;L'!$A9,'MER TB'!D:D)</f>
        <v/>
      </c>
      <c r="Q9" s="37">
        <f>-SUMIF('MER TB'!$R:$R,'MER P&amp;L'!$A9,'MER TB'!E:E)</f>
        <v/>
      </c>
      <c r="R9" s="37">
        <f>-SUMIF('MER TB'!$R:$R,'MER P&amp;L'!$A9,'MER TB'!F:F)</f>
        <v/>
      </c>
      <c r="S9" s="37">
        <f>-SUMIF('MER TB'!$R:$R,'MER P&amp;L'!$A9,'MER TB'!G:G)</f>
        <v/>
      </c>
      <c r="T9" s="37">
        <f>-SUMIF('MER TB'!$R:$R,'MER P&amp;L'!$A9,'MER TB'!H:H)</f>
        <v/>
      </c>
      <c r="U9" s="37">
        <f>-SUMIF('MER TB'!$R:$R,'MER P&amp;L'!$A9,'MER TB'!I:I)</f>
        <v/>
      </c>
      <c r="V9" s="38" t="n">
        <v>0</v>
      </c>
      <c r="W9" s="38" t="n">
        <v>30009</v>
      </c>
      <c r="X9" s="38" t="n">
        <v>37283</v>
      </c>
      <c r="Y9" s="38" t="n">
        <v>35976</v>
      </c>
      <c r="Z9" s="38" t="n">
        <v>16335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8" t="n">
        <v>0</v>
      </c>
      <c r="AJ9" s="119" t="n">
        <v>0</v>
      </c>
      <c r="AK9" s="119" t="n">
        <v>0</v>
      </c>
      <c r="AL9" s="119" t="n">
        <v>0</v>
      </c>
      <c r="AM9" s="120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250</v>
      </c>
      <c r="C10" s="35" t="n">
        <v>150</v>
      </c>
      <c r="D10" s="35" t="n">
        <v>400</v>
      </c>
      <c r="E10" s="35" t="n">
        <v>559.14</v>
      </c>
      <c r="F10" s="35" t="n">
        <v>300</v>
      </c>
      <c r="G10" s="35" t="n">
        <v>300</v>
      </c>
      <c r="H10" s="35" t="n">
        <v>150</v>
      </c>
      <c r="I10" s="35" t="n">
        <v>5287.55</v>
      </c>
      <c r="J10" s="35" t="n">
        <v>150</v>
      </c>
      <c r="K10" s="35" t="n">
        <v>150</v>
      </c>
      <c r="L10" s="35" t="n">
        <v>0</v>
      </c>
      <c r="M10" s="35" t="n">
        <v>300</v>
      </c>
      <c r="N10" s="36">
        <f>SUM(B10:M10)</f>
        <v/>
      </c>
      <c r="O10" s="37">
        <f>-SUMIF('MER TB'!$R:$R,'MER P&amp;L'!$A10,'MER TB'!C:C)</f>
        <v/>
      </c>
      <c r="P10" s="37">
        <f>-SUMIF('MER TB'!$R:$R,'MER P&amp;L'!$A10,'MER TB'!D:D)</f>
        <v/>
      </c>
      <c r="Q10" s="37">
        <f>-SUMIF('MER TB'!$R:$R,'MER P&amp;L'!$A10,'MER TB'!E:E)</f>
        <v/>
      </c>
      <c r="R10" s="37">
        <f>-SUMIF('MER TB'!$R:$R,'MER P&amp;L'!$A10,'MER TB'!F:F)</f>
        <v/>
      </c>
      <c r="S10" s="37">
        <f>-SUMIF('MER TB'!$R:$R,'MER P&amp;L'!$A10,'MER TB'!G:G)</f>
        <v/>
      </c>
      <c r="T10" s="37">
        <f>-SUMIF('MER TB'!$R:$R,'MER P&amp;L'!$A10,'MER TB'!H:H)</f>
        <v/>
      </c>
      <c r="U10" s="37">
        <f>-SUMIF('MER TB'!$R:$R,'MER P&amp;L'!$A10,'MER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8" t="n">
        <v>0</v>
      </c>
      <c r="AJ10" s="119" t="n">
        <v>0</v>
      </c>
      <c r="AK10" s="119" t="n">
        <v>0</v>
      </c>
      <c r="AL10" s="119" t="n">
        <v>0</v>
      </c>
      <c r="AM10" s="120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99054.84000000001</v>
      </c>
      <c r="C11" s="42" t="n">
        <v>89561.96000000001</v>
      </c>
      <c r="D11" s="42" t="n">
        <v>101418.69</v>
      </c>
      <c r="E11" s="42" t="n">
        <v>105527.27</v>
      </c>
      <c r="F11" s="42" t="n">
        <v>99296.59</v>
      </c>
      <c r="G11" s="42" t="n">
        <v>96401.51000000001</v>
      </c>
      <c r="H11" s="42" t="n">
        <v>148628.21</v>
      </c>
      <c r="I11" s="42" t="n">
        <v>86681.44</v>
      </c>
      <c r="J11" s="42" t="n">
        <v>92301.73</v>
      </c>
      <c r="K11" s="42" t="n">
        <v>88792</v>
      </c>
      <c r="L11" s="42" t="n">
        <v>109322.33</v>
      </c>
      <c r="M11" s="42" t="n">
        <v>129096.7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3">
        <f>SUM(AI8:AI10)</f>
        <v/>
      </c>
      <c r="AJ11" s="124">
        <f>SUM(AJ8:AJ10)</f>
        <v/>
      </c>
      <c r="AK11" s="124">
        <f>SUM(AK8:AK10)</f>
        <v/>
      </c>
      <c r="AL11" s="124">
        <f>SUM(AL8:AL10)</f>
        <v/>
      </c>
      <c r="AM11" s="124">
        <f>SUM(AM8:AM10)</f>
        <v/>
      </c>
      <c r="AN11" s="123">
        <f>SUM(AN8:AN10)</f>
        <v/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7" t="n">
        <v>0</v>
      </c>
      <c r="AJ12" s="128" t="n">
        <v>0</v>
      </c>
      <c r="AK12" s="128" t="n">
        <v>0</v>
      </c>
      <c r="AL12" s="128" t="n">
        <v>0</v>
      </c>
      <c r="AM12" s="129" t="n">
        <v>0</v>
      </c>
      <c r="AN12" s="127" t="n">
        <v>0</v>
      </c>
      <c r="AO12" s="121">
        <f>SUM(AC12:AH12)+SUM(AI12:AN12)</f>
        <v/>
      </c>
      <c r="AP12" s="122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 t="n">
        <v>0</v>
      </c>
      <c r="AJ13" s="131" t="n">
        <v>0</v>
      </c>
      <c r="AK13" s="131" t="n">
        <v>0</v>
      </c>
      <c r="AL13" s="131" t="n">
        <v>0</v>
      </c>
      <c r="AM13" s="132" t="n">
        <v>0</v>
      </c>
      <c r="AN13" s="130" t="n">
        <v>0</v>
      </c>
      <c r="AO13" s="133">
        <f>SUM(AC13:AH13)+SUM(AI13:AN13)</f>
        <v/>
      </c>
      <c r="AP13" s="122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31604.86</v>
      </c>
      <c r="C16" s="35" t="n">
        <v>32120.62</v>
      </c>
      <c r="D16" s="35" t="n">
        <v>33783.29</v>
      </c>
      <c r="E16" s="35" t="n">
        <v>39088.61</v>
      </c>
      <c r="F16" s="35" t="n">
        <v>35853.61</v>
      </c>
      <c r="G16" s="35" t="n">
        <v>32713.57</v>
      </c>
      <c r="H16" s="35" t="n">
        <v>38084.64</v>
      </c>
      <c r="I16" s="35" t="n">
        <v>39688.59</v>
      </c>
      <c r="J16" s="35" t="n">
        <v>39229.98</v>
      </c>
      <c r="K16" s="35" t="n">
        <v>38640.36</v>
      </c>
      <c r="L16" s="35" t="n">
        <v>31254.13</v>
      </c>
      <c r="M16" s="35" t="n">
        <v>33683.63</v>
      </c>
      <c r="N16" s="36">
        <f>SUM(B16:M16)</f>
        <v/>
      </c>
      <c r="O16" s="37">
        <f>SUMIF('MER TB'!$R:$R,'MER P&amp;L'!$A16,'MER TB'!C:C)</f>
        <v/>
      </c>
      <c r="P16" s="37">
        <f>SUMIF('MER TB'!$R:$R,'MER P&amp;L'!$A16,'MER TB'!D:D)</f>
        <v/>
      </c>
      <c r="Q16" s="37">
        <f>SUMIF('MER TB'!$R:$R,'MER P&amp;L'!$A16,'MER TB'!E:E)</f>
        <v/>
      </c>
      <c r="R16" s="37">
        <f>SUMIF('MER TB'!$R:$R,'MER P&amp;L'!$A16,'MER TB'!F:F)</f>
        <v/>
      </c>
      <c r="S16" s="37">
        <f>SUMIF('MER TB'!$R:$R,'MER P&amp;L'!$A16,'MER TB'!G:G)</f>
        <v/>
      </c>
      <c r="T16" s="37">
        <f>SUMIF('MER TB'!$R:$R,'MER P&amp;L'!$A16,'MER TB'!H:H)</f>
        <v/>
      </c>
      <c r="U16" s="37">
        <f>SUMIF('MER TB'!$R:$R,'MER P&amp;L'!$A16,'MER TB'!I:I)</f>
        <v/>
      </c>
      <c r="V16" s="38" t="n">
        <v>38831.14</v>
      </c>
      <c r="W16" s="38" t="n">
        <v>38831.14</v>
      </c>
      <c r="X16" s="38" t="n">
        <v>38831.14</v>
      </c>
      <c r="Y16" s="38" t="n">
        <v>38831.14</v>
      </c>
      <c r="Z16" s="38" t="n">
        <v>38831.14</v>
      </c>
      <c r="AA16" s="36">
        <f>SUM(O16:U16)</f>
        <v/>
      </c>
      <c r="AB16" s="36">
        <f>SUM(O16:Z16)</f>
        <v/>
      </c>
      <c r="AC16" s="38" t="n">
        <v>38831.14</v>
      </c>
      <c r="AD16" s="38" t="n">
        <v>38831.14</v>
      </c>
      <c r="AE16" s="38" t="n">
        <v>38831.14</v>
      </c>
      <c r="AF16" s="38" t="n">
        <v>38831.14</v>
      </c>
      <c r="AG16" s="38" t="n">
        <v>38831.14</v>
      </c>
      <c r="AH16" s="38" t="n">
        <v>38831.14</v>
      </c>
      <c r="AI16" s="118" t="n">
        <v>38831.14</v>
      </c>
      <c r="AJ16" s="119" t="n">
        <v>38831.14</v>
      </c>
      <c r="AK16" s="119" t="n">
        <v>38831.14</v>
      </c>
      <c r="AL16" s="119" t="n">
        <v>38831.14</v>
      </c>
      <c r="AM16" s="120" t="n">
        <v>38831.14</v>
      </c>
      <c r="AN16" s="118" t="n">
        <v>38831.14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2507.7</v>
      </c>
      <c r="C17" s="35" t="n">
        <v>2502.98</v>
      </c>
      <c r="D17" s="35" t="n">
        <v>2767.29</v>
      </c>
      <c r="E17" s="35" t="n">
        <v>4489.64</v>
      </c>
      <c r="F17" s="35" t="n">
        <v>3897.7</v>
      </c>
      <c r="G17" s="35" t="n">
        <v>3435.72</v>
      </c>
      <c r="H17" s="35" t="n">
        <v>3882.52</v>
      </c>
      <c r="I17" s="35" t="n">
        <v>3661.25</v>
      </c>
      <c r="J17" s="35" t="n">
        <v>3574.09</v>
      </c>
      <c r="K17" s="35" t="n">
        <v>3581.38</v>
      </c>
      <c r="L17" s="35" t="n">
        <v>2779.53</v>
      </c>
      <c r="M17" s="35" t="n">
        <v>3180.07</v>
      </c>
      <c r="N17" s="36">
        <f>SUM(B17:M17)</f>
        <v/>
      </c>
      <c r="O17" s="37">
        <f>SUMIF('MER TB'!$R:$R,'MER P&amp;L'!$A17,'MER TB'!C:C)</f>
        <v/>
      </c>
      <c r="P17" s="37">
        <f>SUMIF('MER TB'!$R:$R,'MER P&amp;L'!$A17,'MER TB'!D:D)</f>
        <v/>
      </c>
      <c r="Q17" s="37">
        <f>SUMIF('MER TB'!$R:$R,'MER P&amp;L'!$A17,'MER TB'!E:E)</f>
        <v/>
      </c>
      <c r="R17" s="37">
        <f>SUMIF('MER TB'!$R:$R,'MER P&amp;L'!$A17,'MER TB'!F:F)</f>
        <v/>
      </c>
      <c r="S17" s="37">
        <f>SUMIF('MER TB'!$R:$R,'MER P&amp;L'!$A17,'MER TB'!G:G)</f>
        <v/>
      </c>
      <c r="T17" s="37">
        <f>SUMIF('MER TB'!$R:$R,'MER P&amp;L'!$A17,'MER TB'!H:H)</f>
        <v/>
      </c>
      <c r="U17" s="37">
        <f>SUMIF('MER TB'!$R:$R,'MER P&amp;L'!$A17,'MER TB'!I:I)</f>
        <v/>
      </c>
      <c r="V17" s="38" t="n">
        <v>3476.28</v>
      </c>
      <c r="W17" s="38" t="n">
        <v>3476.28</v>
      </c>
      <c r="X17" s="38" t="n">
        <v>3476.28</v>
      </c>
      <c r="Y17" s="38" t="n">
        <v>3476.28</v>
      </c>
      <c r="Z17" s="38" t="n">
        <v>3476.28</v>
      </c>
      <c r="AA17" s="36">
        <f>SUM(O17:U17)</f>
        <v/>
      </c>
      <c r="AB17" s="36">
        <f>SUM(O17:Z17)</f>
        <v/>
      </c>
      <c r="AC17" s="38" t="n">
        <v>3476.28</v>
      </c>
      <c r="AD17" s="38" t="n">
        <v>3476.28</v>
      </c>
      <c r="AE17" s="38" t="n">
        <v>3476.28</v>
      </c>
      <c r="AF17" s="38" t="n">
        <v>3476.28</v>
      </c>
      <c r="AG17" s="38" t="n">
        <v>3476.28</v>
      </c>
      <c r="AH17" s="38" t="n">
        <v>3476.28</v>
      </c>
      <c r="AI17" s="118" t="n">
        <v>3476.28</v>
      </c>
      <c r="AJ17" s="119" t="n">
        <v>3476.28</v>
      </c>
      <c r="AK17" s="119" t="n">
        <v>3476.28</v>
      </c>
      <c r="AL17" s="119" t="n">
        <v>3476.28</v>
      </c>
      <c r="AM17" s="120" t="n">
        <v>3476.28</v>
      </c>
      <c r="AN17" s="118" t="n">
        <v>3476.28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578.26</v>
      </c>
      <c r="C18" s="35" t="n">
        <v>576.6</v>
      </c>
      <c r="D18" s="35" t="n">
        <v>553.41</v>
      </c>
      <c r="E18" s="35" t="n">
        <v>642.37</v>
      </c>
      <c r="F18" s="35" t="n">
        <v>614.2</v>
      </c>
      <c r="G18" s="35" t="n">
        <v>527.5599999999999</v>
      </c>
      <c r="H18" s="35" t="n">
        <v>611.47</v>
      </c>
      <c r="I18" s="35" t="n">
        <v>558.66</v>
      </c>
      <c r="J18" s="35" t="n">
        <v>482.76</v>
      </c>
      <c r="K18" s="35" t="n">
        <v>259.94</v>
      </c>
      <c r="L18" s="35" t="n">
        <v>246.15</v>
      </c>
      <c r="M18" s="35" t="n">
        <v>444.9</v>
      </c>
      <c r="N18" s="36">
        <f>SUM(B18:M18)</f>
        <v/>
      </c>
      <c r="O18" s="37">
        <f>SUMIF('MER TB'!$R:$R,'MER P&amp;L'!$A18,'MER TB'!C:C)</f>
        <v/>
      </c>
      <c r="P18" s="37">
        <f>SUMIF('MER TB'!$R:$R,'MER P&amp;L'!$A18,'MER TB'!D:D)</f>
        <v/>
      </c>
      <c r="Q18" s="37">
        <f>SUMIF('MER TB'!$R:$R,'MER P&amp;L'!$A18,'MER TB'!E:E)</f>
        <v/>
      </c>
      <c r="R18" s="37">
        <f>SUMIF('MER TB'!$R:$R,'MER P&amp;L'!$A18,'MER TB'!F:F)</f>
        <v/>
      </c>
      <c r="S18" s="37">
        <f>SUMIF('MER TB'!$R:$R,'MER P&amp;L'!$A18,'MER TB'!G:G)</f>
        <v/>
      </c>
      <c r="T18" s="37">
        <f>SUMIF('MER TB'!$R:$R,'MER P&amp;L'!$A18,'MER TB'!H:H)</f>
        <v/>
      </c>
      <c r="U18" s="37">
        <f>SUMIF('MER TB'!$R:$R,'MER P&amp;L'!$A18,'MER TB'!I:I)</f>
        <v/>
      </c>
      <c r="V18" s="38" t="n">
        <v>523.85</v>
      </c>
      <c r="W18" s="38" t="n">
        <v>523.85</v>
      </c>
      <c r="X18" s="38" t="n">
        <v>523.85</v>
      </c>
      <c r="Y18" s="38" t="n">
        <v>523.85</v>
      </c>
      <c r="Z18" s="38" t="n">
        <v>523.85</v>
      </c>
      <c r="AA18" s="36">
        <f>SUM(O18:U18)</f>
        <v/>
      </c>
      <c r="AB18" s="36">
        <f>SUM(O18:Z18)</f>
        <v/>
      </c>
      <c r="AC18" s="38" t="n">
        <v>523.85</v>
      </c>
      <c r="AD18" s="38" t="n">
        <v>523.85</v>
      </c>
      <c r="AE18" s="38" t="n">
        <v>523.85</v>
      </c>
      <c r="AF18" s="38" t="n">
        <v>523.85</v>
      </c>
      <c r="AG18" s="38" t="n">
        <v>523.85</v>
      </c>
      <c r="AH18" s="38" t="n">
        <v>523.85</v>
      </c>
      <c r="AI18" s="118" t="n">
        <v>523.85</v>
      </c>
      <c r="AJ18" s="119" t="n">
        <v>523.85</v>
      </c>
      <c r="AK18" s="119" t="n">
        <v>523.85</v>
      </c>
      <c r="AL18" s="119" t="n">
        <v>523.85</v>
      </c>
      <c r="AM18" s="120" t="n">
        <v>523.85</v>
      </c>
      <c r="AN18" s="118" t="n">
        <v>523.85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108.42</v>
      </c>
      <c r="C19" s="35" t="n">
        <v>232.56</v>
      </c>
      <c r="D19" s="35" t="n">
        <v>0</v>
      </c>
      <c r="E19" s="35" t="n">
        <v>98.81999999999999</v>
      </c>
      <c r="F19" s="35" t="n">
        <v>126.27</v>
      </c>
      <c r="G19" s="35" t="n">
        <v>106.73</v>
      </c>
      <c r="H19" s="35" t="n">
        <v>101.82</v>
      </c>
      <c r="I19" s="35" t="n">
        <v>0</v>
      </c>
      <c r="J19" s="35" t="n">
        <v>119.88</v>
      </c>
      <c r="K19" s="35" t="n">
        <v>408.72</v>
      </c>
      <c r="L19" s="35" t="n">
        <v>115.32</v>
      </c>
      <c r="M19" s="35" t="n">
        <v>114.6</v>
      </c>
      <c r="N19" s="36">
        <f>SUM(B19:M19)</f>
        <v/>
      </c>
      <c r="O19" s="37">
        <f>SUMIF('MER TB'!$R:$R,'MER P&amp;L'!$A19,'MER TB'!C:C)</f>
        <v/>
      </c>
      <c r="P19" s="37">
        <f>SUMIF('MER TB'!$R:$R,'MER P&amp;L'!$A19,'MER TB'!D:D)</f>
        <v/>
      </c>
      <c r="Q19" s="37">
        <f>SUMIF('MER TB'!$R:$R,'MER P&amp;L'!$A19,'MER TB'!E:E)</f>
        <v/>
      </c>
      <c r="R19" s="37">
        <f>SUMIF('MER TB'!$R:$R,'MER P&amp;L'!$A19,'MER TB'!F:F)</f>
        <v/>
      </c>
      <c r="S19" s="37">
        <f>SUMIF('MER TB'!$R:$R,'MER P&amp;L'!$A19,'MER TB'!G:G)</f>
        <v/>
      </c>
      <c r="T19" s="37">
        <f>SUMIF('MER TB'!$R:$R,'MER P&amp;L'!$A19,'MER TB'!H:H)</f>
        <v/>
      </c>
      <c r="U19" s="37">
        <f>SUMIF('MER TB'!$R:$R,'MER P&amp;L'!$A19,'MER TB'!I:I)</f>
        <v/>
      </c>
      <c r="V19" s="38" t="n">
        <v>88</v>
      </c>
      <c r="W19" s="38" t="n">
        <v>88</v>
      </c>
      <c r="X19" s="38" t="n">
        <v>88</v>
      </c>
      <c r="Y19" s="38" t="n">
        <v>88</v>
      </c>
      <c r="Z19" s="38" t="n">
        <v>88</v>
      </c>
      <c r="AA19" s="36">
        <f>SUM(O19:U19)</f>
        <v/>
      </c>
      <c r="AB19" s="36">
        <f>SUM(O19:Z19)</f>
        <v/>
      </c>
      <c r="AC19" s="38" t="n">
        <v>88</v>
      </c>
      <c r="AD19" s="38" t="n">
        <v>88</v>
      </c>
      <c r="AE19" s="38" t="n">
        <v>88</v>
      </c>
      <c r="AF19" s="38" t="n">
        <v>88</v>
      </c>
      <c r="AG19" s="38" t="n">
        <v>88</v>
      </c>
      <c r="AH19" s="38" t="n">
        <v>88</v>
      </c>
      <c r="AI19" s="118" t="n">
        <v>88</v>
      </c>
      <c r="AJ19" s="119" t="n">
        <v>88</v>
      </c>
      <c r="AK19" s="119" t="n">
        <v>88</v>
      </c>
      <c r="AL19" s="119" t="n">
        <v>88</v>
      </c>
      <c r="AM19" s="120" t="n">
        <v>88</v>
      </c>
      <c r="AN19" s="118" t="n">
        <v>88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68.22</v>
      </c>
      <c r="C20" s="35" t="n">
        <v>50</v>
      </c>
      <c r="D20" s="35" t="n">
        <v>0</v>
      </c>
      <c r="E20" s="35" t="n">
        <v>0</v>
      </c>
      <c r="F20" s="35" t="n">
        <v>31.2</v>
      </c>
      <c r="G20" s="35" t="n">
        <v>11.35</v>
      </c>
      <c r="H20" s="35" t="n">
        <v>37.2</v>
      </c>
      <c r="I20" s="35" t="n">
        <v>0</v>
      </c>
      <c r="J20" s="35" t="n">
        <v>114</v>
      </c>
      <c r="K20" s="35" t="n">
        <v>0</v>
      </c>
      <c r="L20" s="35" t="n">
        <v>114</v>
      </c>
      <c r="M20" s="35" t="n">
        <v>-11.28999999999996</v>
      </c>
      <c r="N20" s="36">
        <f>SUM(B20:M20)</f>
        <v/>
      </c>
      <c r="O20" s="37">
        <f>SUMIF('MER TB'!$R:$R,'MER P&amp;L'!$A20,'MER TB'!C:C)</f>
        <v/>
      </c>
      <c r="P20" s="37">
        <f>SUMIF('MER TB'!$R:$R,'MER P&amp;L'!$A20,'MER TB'!D:D)</f>
        <v/>
      </c>
      <c r="Q20" s="37">
        <f>SUMIF('MER TB'!$R:$R,'MER P&amp;L'!$A20,'MER TB'!E:E)</f>
        <v/>
      </c>
      <c r="R20" s="37">
        <f>SUMIF('MER TB'!$R:$R,'MER P&amp;L'!$A20,'MER TB'!F:F)</f>
        <v/>
      </c>
      <c r="S20" s="37">
        <f>SUMIF('MER TB'!$R:$R,'MER P&amp;L'!$A20,'MER TB'!G:G)</f>
        <v/>
      </c>
      <c r="T20" s="37">
        <f>SUMIF('MER TB'!$R:$R,'MER P&amp;L'!$A20,'MER TB'!H:H)</f>
        <v/>
      </c>
      <c r="U20" s="37">
        <f>SUMIF('MER TB'!$R:$R,'MER P&amp;L'!$A20,'MER TB'!I:I)</f>
        <v/>
      </c>
      <c r="V20" s="38" t="n">
        <v>50</v>
      </c>
      <c r="W20" s="38" t="n">
        <v>50</v>
      </c>
      <c r="X20" s="38" t="n">
        <v>50</v>
      </c>
      <c r="Y20" s="38" t="n">
        <v>50</v>
      </c>
      <c r="Z20" s="38" t="n">
        <v>50</v>
      </c>
      <c r="AA20" s="36">
        <f>SUM(O20:U20)</f>
        <v/>
      </c>
      <c r="AB20" s="36">
        <f>SUM(O20:Z20)</f>
        <v/>
      </c>
      <c r="AC20" s="38" t="n">
        <v>50</v>
      </c>
      <c r="AD20" s="38" t="n">
        <v>50</v>
      </c>
      <c r="AE20" s="38" t="n">
        <v>50</v>
      </c>
      <c r="AF20" s="38" t="n">
        <v>50</v>
      </c>
      <c r="AG20" s="38" t="n">
        <v>50</v>
      </c>
      <c r="AH20" s="38" t="n">
        <v>50</v>
      </c>
      <c r="AI20" s="118" t="n">
        <v>50</v>
      </c>
      <c r="AJ20" s="119" t="n">
        <v>50</v>
      </c>
      <c r="AK20" s="119" t="n">
        <v>50</v>
      </c>
      <c r="AL20" s="119" t="n">
        <v>50</v>
      </c>
      <c r="AM20" s="120" t="n">
        <v>50</v>
      </c>
      <c r="AN20" s="118" t="n">
        <v>50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304.95</v>
      </c>
      <c r="C21" s="35" t="n">
        <v>264.71</v>
      </c>
      <c r="D21" s="35" t="n">
        <v>188.52</v>
      </c>
      <c r="E21" s="35" t="n">
        <v>236.83</v>
      </c>
      <c r="F21" s="35" t="n">
        <v>480.61</v>
      </c>
      <c r="G21" s="35" t="n">
        <v>227.41</v>
      </c>
      <c r="H21" s="35" t="n">
        <v>311.65</v>
      </c>
      <c r="I21" s="35" t="n">
        <v>17.06</v>
      </c>
      <c r="J21" s="35" t="n">
        <v>76.78999999999999</v>
      </c>
      <c r="K21" s="35" t="n">
        <v>131.31</v>
      </c>
      <c r="L21" s="35" t="n">
        <v>263.85</v>
      </c>
      <c r="M21" s="35" t="n">
        <v>64.3</v>
      </c>
      <c r="N21" s="36">
        <f>SUM(B21:M21)</f>
        <v/>
      </c>
      <c r="O21" s="37">
        <f>SUMIF('MER TB'!$R:$R,'MER P&amp;L'!$A21,'MER TB'!C:C)</f>
        <v/>
      </c>
      <c r="P21" s="37">
        <f>SUMIF('MER TB'!$R:$R,'MER P&amp;L'!$A21,'MER TB'!D:D)</f>
        <v/>
      </c>
      <c r="Q21" s="37">
        <f>SUMIF('MER TB'!$R:$R,'MER P&amp;L'!$A21,'MER TB'!E:E)</f>
        <v/>
      </c>
      <c r="R21" s="37">
        <f>SUMIF('MER TB'!$R:$R,'MER P&amp;L'!$A21,'MER TB'!F:F)</f>
        <v/>
      </c>
      <c r="S21" s="37">
        <f>SUMIF('MER TB'!$R:$R,'MER P&amp;L'!$A21,'MER TB'!G:G)</f>
        <v/>
      </c>
      <c r="T21" s="37">
        <f>SUMIF('MER TB'!$R:$R,'MER P&amp;L'!$A21,'MER TB'!H:H)</f>
        <v/>
      </c>
      <c r="U21" s="37">
        <f>SUMIF('MER TB'!$R:$R,'MER P&amp;L'!$A21,'MER TB'!I:I)</f>
        <v/>
      </c>
      <c r="V21" s="38" t="n">
        <v>180</v>
      </c>
      <c r="W21" s="38" t="n">
        <v>180</v>
      </c>
      <c r="X21" s="38" t="n">
        <v>180</v>
      </c>
      <c r="Y21" s="38" t="n">
        <v>180</v>
      </c>
      <c r="Z21" s="38" t="n">
        <v>180</v>
      </c>
      <c r="AA21" s="36">
        <f>SUM(O21:U21)</f>
        <v/>
      </c>
      <c r="AB21" s="36">
        <f>SUM(O21:Z21)</f>
        <v/>
      </c>
      <c r="AC21" s="38" t="n">
        <v>180</v>
      </c>
      <c r="AD21" s="38" t="n">
        <v>180</v>
      </c>
      <c r="AE21" s="38" t="n">
        <v>180</v>
      </c>
      <c r="AF21" s="38" t="n">
        <v>180</v>
      </c>
      <c r="AG21" s="38" t="n">
        <v>180</v>
      </c>
      <c r="AH21" s="38" t="n">
        <v>180</v>
      </c>
      <c r="AI21" s="118" t="n">
        <v>180</v>
      </c>
      <c r="AJ21" s="119" t="n">
        <v>180</v>
      </c>
      <c r="AK21" s="119" t="n">
        <v>180</v>
      </c>
      <c r="AL21" s="119" t="n">
        <v>180</v>
      </c>
      <c r="AM21" s="120" t="n">
        <v>180</v>
      </c>
      <c r="AN21" s="118" t="n">
        <v>180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3352.38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SUMIF('MER TB'!$R:$R,'MER P&amp;L'!$A22,'MER TB'!C:C)</f>
        <v/>
      </c>
      <c r="P22" s="37">
        <f>SUMIF('MER TB'!$R:$R,'MER P&amp;L'!$A22,'MER TB'!D:D)</f>
        <v/>
      </c>
      <c r="Q22" s="37">
        <f>SUMIF('MER TB'!$R:$R,'MER P&amp;L'!$A22,'MER TB'!E:E)</f>
        <v/>
      </c>
      <c r="R22" s="37">
        <f>SUMIF('MER TB'!$R:$R,'MER P&amp;L'!$A22,'MER TB'!F:F)</f>
        <v/>
      </c>
      <c r="S22" s="37">
        <f>SUMIF('MER TB'!$R:$R,'MER P&amp;L'!$A22,'MER TB'!G:G)</f>
        <v/>
      </c>
      <c r="T22" s="37">
        <f>SUMIF('MER TB'!$R:$R,'MER P&amp;L'!$A22,'MER TB'!H:H)</f>
        <v/>
      </c>
      <c r="U22" s="37">
        <f>SUMIF('MER TB'!$R:$R,'MER P&amp;L'!$A22,'MER TB'!I:I)</f>
        <v/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118" t="n">
        <v>0</v>
      </c>
      <c r="AJ22" s="119" t="n">
        <v>0</v>
      </c>
      <c r="AK22" s="119" t="n">
        <v>0</v>
      </c>
      <c r="AL22" s="119" t="n">
        <v>0</v>
      </c>
      <c r="AM22" s="120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8.109999999999999</v>
      </c>
      <c r="I23" s="35" t="n">
        <v>0</v>
      </c>
      <c r="J23" s="35" t="n">
        <v>23.49</v>
      </c>
      <c r="K23" s="35" t="n">
        <v>6.28</v>
      </c>
      <c r="L23" s="35" t="n">
        <v>0</v>
      </c>
      <c r="M23" s="35" t="n">
        <v>95.38</v>
      </c>
      <c r="N23" s="36">
        <f>SUM(B23:M23)</f>
        <v/>
      </c>
      <c r="O23" s="37">
        <f>SUMIF('MER TB'!$R:$R,'MER P&amp;L'!$A23,'MER TB'!C:C)</f>
        <v/>
      </c>
      <c r="P23" s="37">
        <f>SUMIF('MER TB'!$R:$R,'MER P&amp;L'!$A23,'MER TB'!D:D)</f>
        <v/>
      </c>
      <c r="Q23" s="37">
        <f>SUMIF('MER TB'!$R:$R,'MER P&amp;L'!$A23,'MER TB'!E:E)</f>
        <v/>
      </c>
      <c r="R23" s="37">
        <f>SUMIF('MER TB'!$R:$R,'MER P&amp;L'!$A23,'MER TB'!F:F)</f>
        <v/>
      </c>
      <c r="S23" s="37">
        <f>SUMIF('MER TB'!$R:$R,'MER P&amp;L'!$A23,'MER TB'!G:G)</f>
        <v/>
      </c>
      <c r="T23" s="37">
        <f>SUMIF('MER TB'!$R:$R,'MER P&amp;L'!$A23,'MER TB'!H:H)</f>
        <v/>
      </c>
      <c r="U23" s="37">
        <f>SUMIF('MER TB'!$R:$R,'MER P&amp;L'!$A23,'MER TB'!I:I)</f>
        <v/>
      </c>
      <c r="V23" s="38" t="n">
        <v>75</v>
      </c>
      <c r="W23" s="38" t="n">
        <v>75</v>
      </c>
      <c r="X23" s="38" t="n">
        <v>75</v>
      </c>
      <c r="Y23" s="38" t="n">
        <v>75</v>
      </c>
      <c r="Z23" s="38" t="n">
        <v>75</v>
      </c>
      <c r="AA23" s="36">
        <f>SUM(O23:U23)</f>
        <v/>
      </c>
      <c r="AB23" s="36">
        <f>SUM(O23:Z23)</f>
        <v/>
      </c>
      <c r="AC23" s="38" t="n">
        <v>75</v>
      </c>
      <c r="AD23" s="38" t="n">
        <v>75</v>
      </c>
      <c r="AE23" s="38" t="n">
        <v>75</v>
      </c>
      <c r="AF23" s="38" t="n">
        <v>75</v>
      </c>
      <c r="AG23" s="38" t="n">
        <v>75</v>
      </c>
      <c r="AH23" s="38" t="n">
        <v>75</v>
      </c>
      <c r="AI23" s="118" t="n">
        <v>75</v>
      </c>
      <c r="AJ23" s="119" t="n">
        <v>75</v>
      </c>
      <c r="AK23" s="119" t="n">
        <v>75</v>
      </c>
      <c r="AL23" s="119" t="n">
        <v>75</v>
      </c>
      <c r="AM23" s="120" t="n">
        <v>75</v>
      </c>
      <c r="AN23" s="118" t="n">
        <v>75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226.03</v>
      </c>
      <c r="G24" s="35" t="n">
        <v>0</v>
      </c>
      <c r="H24" s="35" t="n">
        <v>249.41</v>
      </c>
      <c r="I24" s="35" t="n">
        <v>0</v>
      </c>
      <c r="J24" s="35" t="n">
        <v>0</v>
      </c>
      <c r="K24" s="35" t="n">
        <v>4590.68</v>
      </c>
      <c r="L24" s="35" t="n">
        <v>3008.5</v>
      </c>
      <c r="M24" s="35" t="n">
        <v>0</v>
      </c>
      <c r="N24" s="36">
        <f>SUM(B24:M24)</f>
        <v/>
      </c>
      <c r="O24" s="37">
        <f>SUMIF('MER TB'!$R:$R,'MER P&amp;L'!$A24,'MER TB'!C:C)</f>
        <v/>
      </c>
      <c r="P24" s="37">
        <f>SUMIF('MER TB'!$R:$R,'MER P&amp;L'!$A24,'MER TB'!D:D)</f>
        <v/>
      </c>
      <c r="Q24" s="37">
        <f>SUMIF('MER TB'!$R:$R,'MER P&amp;L'!$A24,'MER TB'!E:E)</f>
        <v/>
      </c>
      <c r="R24" s="37">
        <f>SUMIF('MER TB'!$R:$R,'MER P&amp;L'!$A24,'MER TB'!F:F)</f>
        <v/>
      </c>
      <c r="S24" s="37">
        <f>SUMIF('MER TB'!$R:$R,'MER P&amp;L'!$A24,'MER TB'!G:G)</f>
        <v/>
      </c>
      <c r="T24" s="37">
        <f>SUMIF('MER TB'!$R:$R,'MER P&amp;L'!$A24,'MER TB'!H:H)</f>
        <v/>
      </c>
      <c r="U24" s="37">
        <f>SUMIF('MER TB'!$R:$R,'MER P&amp;L'!$A24,'MER TB'!I:I)</f>
        <v/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118" t="n">
        <v>0</v>
      </c>
      <c r="AJ24" s="119" t="n">
        <v>0</v>
      </c>
      <c r="AK24" s="119" t="n">
        <v>0</v>
      </c>
      <c r="AL24" s="119" t="n">
        <v>0</v>
      </c>
      <c r="AM24" s="120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35172.41</v>
      </c>
      <c r="C25" s="42" t="n">
        <v>35747.46999999999</v>
      </c>
      <c r="D25" s="42" t="n">
        <v>37292.51</v>
      </c>
      <c r="E25" s="42" t="n">
        <v>44556.27</v>
      </c>
      <c r="F25" s="42" t="n">
        <v>44581.99999999999</v>
      </c>
      <c r="G25" s="42" t="n">
        <v>37022.34</v>
      </c>
      <c r="H25" s="42" t="n">
        <v>43286.82</v>
      </c>
      <c r="I25" s="42" t="n">
        <v>43925.56</v>
      </c>
      <c r="J25" s="42" t="n">
        <v>43620.99000000001</v>
      </c>
      <c r="K25" s="42" t="n">
        <v>47618.67</v>
      </c>
      <c r="L25" s="42" t="n">
        <v>37781.48</v>
      </c>
      <c r="M25" s="42" t="n">
        <v>37571.59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3">
        <f>SUM(AI16:AI24)</f>
        <v/>
      </c>
      <c r="AJ25" s="124">
        <f>SUM(AJ16:AJ24)</f>
        <v/>
      </c>
      <c r="AK25" s="124">
        <f>SUM(AK16:AK24)</f>
        <v/>
      </c>
      <c r="AL25" s="124">
        <f>SUM(AL16:AL24)</f>
        <v/>
      </c>
      <c r="AM25" s="124">
        <f>SUM(AM16:AM24)</f>
        <v/>
      </c>
      <c r="AN25" s="123">
        <f>SUM(AN16:AN24)</f>
        <v/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7" t="n">
        <v>0</v>
      </c>
      <c r="AJ26" s="128" t="n">
        <v>0</v>
      </c>
      <c r="AK26" s="128" t="n">
        <v>0</v>
      </c>
      <c r="AL26" s="128" t="n">
        <v>0</v>
      </c>
      <c r="AM26" s="129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2289.58</v>
      </c>
      <c r="C27" s="35" t="n">
        <v>2546.22</v>
      </c>
      <c r="D27" s="35" t="n">
        <v>2519.94</v>
      </c>
      <c r="E27" s="35" t="n">
        <v>2197.72</v>
      </c>
      <c r="F27" s="35" t="n">
        <v>3033.92</v>
      </c>
      <c r="G27" s="35" t="n">
        <v>2423.51</v>
      </c>
      <c r="H27" s="35" t="n">
        <v>2384.5</v>
      </c>
      <c r="I27" s="35" t="n">
        <v>3214.98</v>
      </c>
      <c r="J27" s="35" t="n">
        <v>2401.27</v>
      </c>
      <c r="K27" s="35" t="n">
        <v>3123.55</v>
      </c>
      <c r="L27" s="35" t="n">
        <v>2139.83</v>
      </c>
      <c r="M27" s="35" t="n">
        <v>1819.24</v>
      </c>
      <c r="N27" s="36">
        <f>SUM(B27:M27)</f>
        <v/>
      </c>
      <c r="O27" s="37">
        <f>SUMIF('MER TB'!$R:$R,'MER P&amp;L'!$A27,'MER TB'!C:C)</f>
        <v/>
      </c>
      <c r="P27" s="37">
        <f>SUMIF('MER TB'!$R:$R,'MER P&amp;L'!$A27,'MER TB'!D:D)</f>
        <v/>
      </c>
      <c r="Q27" s="37">
        <f>SUMIF('MER TB'!$R:$R,'MER P&amp;L'!$A27,'MER TB'!E:E)</f>
        <v/>
      </c>
      <c r="R27" s="37">
        <f>SUMIF('MER TB'!$R:$R,'MER P&amp;L'!$A27,'MER TB'!F:F)</f>
        <v/>
      </c>
      <c r="S27" s="37">
        <f>SUMIF('MER TB'!$R:$R,'MER P&amp;L'!$A27,'MER TB'!G:G)</f>
        <v/>
      </c>
      <c r="T27" s="37">
        <f>SUMIF('MER TB'!$R:$R,'MER P&amp;L'!$A27,'MER TB'!H:H)</f>
        <v/>
      </c>
      <c r="U27" s="37">
        <f>SUMIF('MER TB'!$R:$R,'MER P&amp;L'!$A27,'MER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18" t="n">
        <v>0</v>
      </c>
      <c r="AJ27" s="119" t="n">
        <v>0</v>
      </c>
      <c r="AK27" s="119" t="n">
        <v>0</v>
      </c>
      <c r="AL27" s="119" t="n">
        <v>0</v>
      </c>
      <c r="AM27" s="120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150.47</v>
      </c>
      <c r="C28" s="35" t="n">
        <v>158.38</v>
      </c>
      <c r="D28" s="35" t="n">
        <v>149.6</v>
      </c>
      <c r="E28" s="35" t="n">
        <v>525.9299999999999</v>
      </c>
      <c r="F28" s="35" t="n">
        <v>276.46</v>
      </c>
      <c r="G28" s="35" t="n">
        <v>459.8100000000001</v>
      </c>
      <c r="H28" s="35" t="n">
        <v>618.96</v>
      </c>
      <c r="I28" s="35" t="n">
        <v>0</v>
      </c>
      <c r="J28" s="35" t="n">
        <v>157.63</v>
      </c>
      <c r="K28" s="35" t="n">
        <v>157.78</v>
      </c>
      <c r="L28" s="35" t="n">
        <v>433.98</v>
      </c>
      <c r="M28" s="35" t="n">
        <v>160.93</v>
      </c>
      <c r="N28" s="36">
        <f>SUM(B28:M28)</f>
        <v/>
      </c>
      <c r="O28" s="37">
        <f>SUMIF('MER TB'!$R:$R,'MER P&amp;L'!$A28,'MER TB'!C:C)</f>
        <v/>
      </c>
      <c r="P28" s="37">
        <f>SUMIF('MER TB'!$R:$R,'MER P&amp;L'!$A28,'MER TB'!D:D)</f>
        <v/>
      </c>
      <c r="Q28" s="37">
        <f>SUMIF('MER TB'!$R:$R,'MER P&amp;L'!$A28,'MER TB'!E:E)</f>
        <v/>
      </c>
      <c r="R28" s="37">
        <f>SUMIF('MER TB'!$R:$R,'MER P&amp;L'!$A28,'MER TB'!F:F)</f>
        <v/>
      </c>
      <c r="S28" s="37">
        <f>SUMIF('MER TB'!$R:$R,'MER P&amp;L'!$A28,'MER TB'!G:G)</f>
        <v/>
      </c>
      <c r="T28" s="37">
        <f>SUMIF('MER TB'!$R:$R,'MER P&amp;L'!$A28,'MER TB'!H:H)</f>
        <v/>
      </c>
      <c r="U28" s="37">
        <f>SUMIF('MER TB'!$R:$R,'MER P&amp;L'!$A28,'MER TB'!I:I)</f>
        <v/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118" t="n">
        <v>50</v>
      </c>
      <c r="AJ28" s="119" t="n">
        <v>50</v>
      </c>
      <c r="AK28" s="119" t="n">
        <v>50</v>
      </c>
      <c r="AL28" s="119" t="n">
        <v>50</v>
      </c>
      <c r="AM28" s="120" t="n">
        <v>50</v>
      </c>
      <c r="AN28" s="118" t="n">
        <v>50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265.61</v>
      </c>
      <c r="C29" s="35" t="n">
        <v>319.94</v>
      </c>
      <c r="D29" s="35" t="n">
        <v>271.53</v>
      </c>
      <c r="E29" s="35" t="n">
        <v>23.32</v>
      </c>
      <c r="F29" s="35" t="n">
        <v>4.64</v>
      </c>
      <c r="G29" s="35" t="n">
        <v>27.53</v>
      </c>
      <c r="H29" s="35" t="n">
        <v>0</v>
      </c>
      <c r="I29" s="35" t="n">
        <v>0</v>
      </c>
      <c r="J29" s="35" t="n">
        <v>6</v>
      </c>
      <c r="K29" s="35" t="n">
        <v>204.23</v>
      </c>
      <c r="L29" s="35" t="n">
        <v>22.49</v>
      </c>
      <c r="M29" s="35" t="n">
        <v>233.2</v>
      </c>
      <c r="N29" s="36">
        <f>SUM(B29:M29)</f>
        <v/>
      </c>
      <c r="O29" s="37">
        <f>SUMIF('MER TB'!$R:$R,'MER P&amp;L'!$A29,'MER TB'!C:C)</f>
        <v/>
      </c>
      <c r="P29" s="37">
        <f>SUMIF('MER TB'!$R:$R,'MER P&amp;L'!$A29,'MER TB'!D:D)</f>
        <v/>
      </c>
      <c r="Q29" s="37">
        <f>SUMIF('MER TB'!$R:$R,'MER P&amp;L'!$A29,'MER TB'!E:E)</f>
        <v/>
      </c>
      <c r="R29" s="37">
        <f>SUMIF('MER TB'!$R:$R,'MER P&amp;L'!$A29,'MER TB'!F:F)</f>
        <v/>
      </c>
      <c r="S29" s="37">
        <f>SUMIF('MER TB'!$R:$R,'MER P&amp;L'!$A29,'MER TB'!G:G)</f>
        <v/>
      </c>
      <c r="T29" s="37">
        <f>SUMIF('MER TB'!$R:$R,'MER P&amp;L'!$A29,'MER TB'!H:H)</f>
        <v/>
      </c>
      <c r="U29" s="37">
        <f>SUMIF('MER TB'!$R:$R,'MER P&amp;L'!$A29,'MER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18" t="n">
        <v>0</v>
      </c>
      <c r="AJ29" s="119" t="n">
        <v>0</v>
      </c>
      <c r="AK29" s="119" t="n">
        <v>0</v>
      </c>
      <c r="AL29" s="119" t="n">
        <v>0</v>
      </c>
      <c r="AM29" s="120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28.68</v>
      </c>
      <c r="C30" s="35" t="n">
        <v>99.43000000000001</v>
      </c>
      <c r="D30" s="35" t="n">
        <v>62.8</v>
      </c>
      <c r="E30" s="35" t="n">
        <v>18.53</v>
      </c>
      <c r="F30" s="35" t="n">
        <v>58.69</v>
      </c>
      <c r="G30" s="35" t="n">
        <v>7.64</v>
      </c>
      <c r="H30" s="35" t="n">
        <v>76.06</v>
      </c>
      <c r="I30" s="35" t="n">
        <v>48.85</v>
      </c>
      <c r="J30" s="35" t="n">
        <v>0</v>
      </c>
      <c r="K30" s="35" t="n">
        <v>112.19</v>
      </c>
      <c r="L30" s="35" t="n">
        <v>108.87</v>
      </c>
      <c r="M30" s="35" t="n">
        <v>0</v>
      </c>
      <c r="N30" s="36">
        <f>SUM(B30:M30)</f>
        <v/>
      </c>
      <c r="O30" s="37">
        <f>SUMIF('MER TB'!$R:$R,'MER P&amp;L'!$A30,'MER TB'!C:C)</f>
        <v/>
      </c>
      <c r="P30" s="37">
        <f>SUMIF('MER TB'!$R:$R,'MER P&amp;L'!$A30,'MER TB'!D:D)</f>
        <v/>
      </c>
      <c r="Q30" s="37">
        <f>SUMIF('MER TB'!$R:$R,'MER P&amp;L'!$A30,'MER TB'!E:E)</f>
        <v/>
      </c>
      <c r="R30" s="37">
        <f>SUMIF('MER TB'!$R:$R,'MER P&amp;L'!$A30,'MER TB'!F:F)</f>
        <v/>
      </c>
      <c r="S30" s="37">
        <f>SUMIF('MER TB'!$R:$R,'MER P&amp;L'!$A30,'MER TB'!G:G)</f>
        <v/>
      </c>
      <c r="T30" s="37">
        <f>SUMIF('MER TB'!$R:$R,'MER P&amp;L'!$A30,'MER TB'!H:H)</f>
        <v/>
      </c>
      <c r="U30" s="37">
        <f>SUMIF('MER TB'!$R:$R,'MER P&amp;L'!$A30,'MER TB'!I:I)</f>
        <v/>
      </c>
      <c r="V30" s="38" t="n">
        <v>90</v>
      </c>
      <c r="W30" s="38" t="n">
        <v>90</v>
      </c>
      <c r="X30" s="38" t="n">
        <v>90</v>
      </c>
      <c r="Y30" s="38" t="n">
        <v>90</v>
      </c>
      <c r="Z30" s="38" t="n">
        <v>90</v>
      </c>
      <c r="AA30" s="36">
        <f>SUM(O30:U30)</f>
        <v/>
      </c>
      <c r="AB30" s="36">
        <f>SUM(O30:Z30)</f>
        <v/>
      </c>
      <c r="AC30" s="38" t="n">
        <v>90</v>
      </c>
      <c r="AD30" s="38" t="n">
        <v>90</v>
      </c>
      <c r="AE30" s="38" t="n">
        <v>90</v>
      </c>
      <c r="AF30" s="38" t="n">
        <v>90</v>
      </c>
      <c r="AG30" s="38" t="n">
        <v>90</v>
      </c>
      <c r="AH30" s="38" t="n">
        <v>90</v>
      </c>
      <c r="AI30" s="118" t="n">
        <v>90</v>
      </c>
      <c r="AJ30" s="119" t="n">
        <v>90</v>
      </c>
      <c r="AK30" s="119" t="n">
        <v>90</v>
      </c>
      <c r="AL30" s="119" t="n">
        <v>90</v>
      </c>
      <c r="AM30" s="120" t="n">
        <v>90</v>
      </c>
      <c r="AN30" s="118" t="n">
        <v>90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160.7</v>
      </c>
      <c r="C31" s="35" t="n">
        <v>123.84</v>
      </c>
      <c r="D31" s="35" t="n">
        <v>222.23</v>
      </c>
      <c r="E31" s="35" t="n">
        <v>28.49</v>
      </c>
      <c r="F31" s="35" t="n">
        <v>71.57000000000001</v>
      </c>
      <c r="G31" s="35" t="n">
        <v>71.31999999999999</v>
      </c>
      <c r="H31" s="35" t="n">
        <v>80.70999999999999</v>
      </c>
      <c r="I31" s="35" t="n">
        <v>3.95</v>
      </c>
      <c r="J31" s="35" t="n">
        <v>12.98</v>
      </c>
      <c r="K31" s="35" t="n">
        <v>267.22</v>
      </c>
      <c r="L31" s="35" t="n">
        <v>151.94</v>
      </c>
      <c r="M31" s="35" t="n">
        <v>10.99</v>
      </c>
      <c r="N31" s="36">
        <f>SUM(B31:M31)</f>
        <v/>
      </c>
      <c r="O31" s="37">
        <f>SUMIF('MER TB'!$R:$R,'MER P&amp;L'!$A31,'MER TB'!C:C)</f>
        <v/>
      </c>
      <c r="P31" s="37">
        <f>SUMIF('MER TB'!$R:$R,'MER P&amp;L'!$A31,'MER TB'!D:D)</f>
        <v/>
      </c>
      <c r="Q31" s="37">
        <f>SUMIF('MER TB'!$R:$R,'MER P&amp;L'!$A31,'MER TB'!E:E)</f>
        <v/>
      </c>
      <c r="R31" s="37">
        <f>SUMIF('MER TB'!$R:$R,'MER P&amp;L'!$A31,'MER TB'!F:F)</f>
        <v/>
      </c>
      <c r="S31" s="37">
        <f>SUMIF('MER TB'!$R:$R,'MER P&amp;L'!$A31,'MER TB'!G:G)</f>
        <v/>
      </c>
      <c r="T31" s="37">
        <f>SUMIF('MER TB'!$R:$R,'MER P&amp;L'!$A31,'MER TB'!H:H)</f>
        <v/>
      </c>
      <c r="U31" s="37">
        <f>SUMIF('MER TB'!$R:$R,'MER P&amp;L'!$A31,'MER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8" t="n">
        <v>50</v>
      </c>
      <c r="AJ31" s="119" t="n">
        <v>50</v>
      </c>
      <c r="AK31" s="119" t="n">
        <v>50</v>
      </c>
      <c r="AL31" s="119" t="n">
        <v>50</v>
      </c>
      <c r="AM31" s="120" t="n">
        <v>50</v>
      </c>
      <c r="AN31" s="118" t="n">
        <v>50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418.32</v>
      </c>
      <c r="C32" s="35" t="n">
        <v>226.31</v>
      </c>
      <c r="D32" s="35" t="n">
        <v>105.24</v>
      </c>
      <c r="E32" s="35" t="n">
        <v>357.01</v>
      </c>
      <c r="F32" s="35" t="n">
        <v>282.85</v>
      </c>
      <c r="G32" s="35" t="n">
        <v>276.79</v>
      </c>
      <c r="H32" s="35" t="n">
        <v>241.13</v>
      </c>
      <c r="I32" s="35" t="n">
        <v>7</v>
      </c>
      <c r="J32" s="35" t="n">
        <v>251.25</v>
      </c>
      <c r="K32" s="35" t="n">
        <v>196.15</v>
      </c>
      <c r="L32" s="35" t="n">
        <v>468.95</v>
      </c>
      <c r="M32" s="35" t="n">
        <v>683.21</v>
      </c>
      <c r="N32" s="36">
        <f>SUM(B32:M32)</f>
        <v/>
      </c>
      <c r="O32" s="37">
        <f>SUMIF('MER TB'!$R:$R,'MER P&amp;L'!$A32,'MER TB'!C:C)</f>
        <v/>
      </c>
      <c r="P32" s="37">
        <f>SUMIF('MER TB'!$R:$R,'MER P&amp;L'!$A32,'MER TB'!D:D)</f>
        <v/>
      </c>
      <c r="Q32" s="37">
        <f>SUMIF('MER TB'!$R:$R,'MER P&amp;L'!$A32,'MER TB'!E:E)</f>
        <v/>
      </c>
      <c r="R32" s="37">
        <f>SUMIF('MER TB'!$R:$R,'MER P&amp;L'!$A32,'MER TB'!F:F)</f>
        <v/>
      </c>
      <c r="S32" s="37">
        <f>SUMIF('MER TB'!$R:$R,'MER P&amp;L'!$A32,'MER TB'!G:G)</f>
        <v/>
      </c>
      <c r="T32" s="37">
        <f>SUMIF('MER TB'!$R:$R,'MER P&amp;L'!$A32,'MER TB'!H:H)</f>
        <v/>
      </c>
      <c r="U32" s="37">
        <f>SUMIF('MER TB'!$R:$R,'MER P&amp;L'!$A32,'MER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18" t="n">
        <v>0</v>
      </c>
      <c r="AJ32" s="119" t="n">
        <v>0</v>
      </c>
      <c r="AK32" s="119" t="n">
        <v>0</v>
      </c>
      <c r="AL32" s="119" t="n">
        <v>0</v>
      </c>
      <c r="AM32" s="120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SUMIF('MER TB'!$R:$R,'MER P&amp;L'!$A33,'MER TB'!C:C)</f>
        <v/>
      </c>
      <c r="P33" s="37">
        <f>SUMIF('MER TB'!$R:$R,'MER P&amp;L'!$A33,'MER TB'!D:D)</f>
        <v/>
      </c>
      <c r="Q33" s="37">
        <f>SUMIF('MER TB'!$R:$R,'MER P&amp;L'!$A33,'MER TB'!E:E)</f>
        <v/>
      </c>
      <c r="R33" s="37">
        <f>SUMIF('MER TB'!$R:$R,'MER P&amp;L'!$A33,'MER TB'!F:F)</f>
        <v/>
      </c>
      <c r="S33" s="37">
        <f>SUMIF('MER TB'!$R:$R,'MER P&amp;L'!$A33,'MER TB'!G:G)</f>
        <v/>
      </c>
      <c r="T33" s="37">
        <f>SUMIF('MER TB'!$R:$R,'MER P&amp;L'!$A33,'MER TB'!H:H)</f>
        <v/>
      </c>
      <c r="U33" s="37">
        <f>SUMIF('MER TB'!$R:$R,'MER P&amp;L'!$A33,'MER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8" t="n">
        <v>0</v>
      </c>
      <c r="AJ33" s="119" t="n">
        <v>0</v>
      </c>
      <c r="AK33" s="119" t="n">
        <v>0</v>
      </c>
      <c r="AL33" s="119" t="n">
        <v>0</v>
      </c>
      <c r="AM33" s="120" t="n">
        <v>0</v>
      </c>
      <c r="AN33" s="118" t="n">
        <v>0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3313.36</v>
      </c>
      <c r="C34" s="42" t="n">
        <v>3474.12</v>
      </c>
      <c r="D34" s="42" t="n">
        <v>3331.34</v>
      </c>
      <c r="E34" s="42" t="n">
        <v>3151</v>
      </c>
      <c r="F34" s="42" t="n">
        <v>3728.13</v>
      </c>
      <c r="G34" s="42" t="n">
        <v>3266.6</v>
      </c>
      <c r="H34" s="42" t="n">
        <v>3401.36</v>
      </c>
      <c r="I34" s="42" t="n">
        <v>3274.78</v>
      </c>
      <c r="J34" s="42" t="n">
        <v>2829.13</v>
      </c>
      <c r="K34" s="42" t="n">
        <v>4061.12</v>
      </c>
      <c r="L34" s="42" t="n">
        <v>3326.059999999999</v>
      </c>
      <c r="M34" s="42" t="n">
        <v>2907.57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3">
        <f>SUM(AI27:AI33)</f>
        <v/>
      </c>
      <c r="AJ34" s="124">
        <f>SUM(AJ27:AJ33)</f>
        <v/>
      </c>
      <c r="AK34" s="124">
        <f>SUM(AK27:AK33)</f>
        <v/>
      </c>
      <c r="AL34" s="124">
        <f>SUM(AL27:AL33)</f>
        <v/>
      </c>
      <c r="AM34" s="124">
        <f>SUM(AM27:AM33)</f>
        <v/>
      </c>
      <c r="AN34" s="123">
        <f>SUM(AN27:AN33)</f>
        <v/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7" t="n">
        <v>0</v>
      </c>
      <c r="AJ35" s="128" t="n">
        <v>0</v>
      </c>
      <c r="AK35" s="128" t="n">
        <v>0</v>
      </c>
      <c r="AL35" s="128" t="n">
        <v>0</v>
      </c>
      <c r="AM35" s="129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SUMIF('MER TB'!$R:$R,'MER P&amp;L'!$A36,'MER TB'!C:C)</f>
        <v/>
      </c>
      <c r="P36" s="37">
        <f>SUMIF('MER TB'!$R:$R,'MER P&amp;L'!$A36,'MER TB'!D:D)</f>
        <v/>
      </c>
      <c r="Q36" s="37">
        <f>SUMIF('MER TB'!$R:$R,'MER P&amp;L'!$A36,'MER TB'!E:E)</f>
        <v/>
      </c>
      <c r="R36" s="37">
        <f>SUMIF('MER TB'!$R:$R,'MER P&amp;L'!$A36,'MER TB'!F:F)</f>
        <v/>
      </c>
      <c r="S36" s="37">
        <f>SUMIF('MER TB'!$R:$R,'MER P&amp;L'!$A36,'MER TB'!G:G)</f>
        <v/>
      </c>
      <c r="T36" s="37">
        <f>SUMIF('MER TB'!$R:$R,'MER P&amp;L'!$A36,'MER TB'!H:H)</f>
        <v/>
      </c>
      <c r="U36" s="37">
        <f>SUMIF('MER TB'!$R:$R,'MER P&amp;L'!$A36,'MER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8" t="n">
        <v>0</v>
      </c>
      <c r="AJ36" s="119" t="n">
        <v>0</v>
      </c>
      <c r="AK36" s="119" t="n">
        <v>0</v>
      </c>
      <c r="AL36" s="119" t="n">
        <v>0</v>
      </c>
      <c r="AM36" s="120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3094</v>
      </c>
      <c r="C37" s="35" t="n">
        <v>3094</v>
      </c>
      <c r="D37" s="35" t="n">
        <v>3094</v>
      </c>
      <c r="E37" s="35" t="n">
        <v>3145</v>
      </c>
      <c r="F37" s="35" t="n">
        <v>3145</v>
      </c>
      <c r="G37" s="35" t="n">
        <v>3145</v>
      </c>
      <c r="H37" s="35" t="n">
        <v>3145</v>
      </c>
      <c r="I37" s="35" t="n">
        <v>3145</v>
      </c>
      <c r="J37" s="35" t="n">
        <v>3145</v>
      </c>
      <c r="K37" s="35" t="n">
        <v>3145</v>
      </c>
      <c r="L37" s="35" t="n">
        <v>3145</v>
      </c>
      <c r="M37" s="35" t="n">
        <v>3145</v>
      </c>
      <c r="N37" s="36">
        <f>SUM(B37:M37)</f>
        <v/>
      </c>
      <c r="O37" s="37">
        <f>SUMIF('MER TB'!$R:$R,'MER P&amp;L'!$A37,'MER TB'!C:C)</f>
        <v/>
      </c>
      <c r="P37" s="37">
        <f>SUMIF('MER TB'!$R:$R,'MER P&amp;L'!$A37,'MER TB'!D:D)</f>
        <v/>
      </c>
      <c r="Q37" s="37">
        <f>SUMIF('MER TB'!$R:$R,'MER P&amp;L'!$A37,'MER TB'!E:E)</f>
        <v/>
      </c>
      <c r="R37" s="37">
        <f>SUMIF('MER TB'!$R:$R,'MER P&amp;L'!$A37,'MER TB'!F:F)</f>
        <v/>
      </c>
      <c r="S37" s="37">
        <f>SUMIF('MER TB'!$R:$R,'MER P&amp;L'!$A37,'MER TB'!G:G)</f>
        <v/>
      </c>
      <c r="T37" s="37">
        <f>SUMIF('MER TB'!$R:$R,'MER P&amp;L'!$A37,'MER TB'!H:H)</f>
        <v/>
      </c>
      <c r="U37" s="37">
        <f>SUMIF('MER TB'!$R:$R,'MER P&amp;L'!$A37,'MER TB'!I:I)</f>
        <v/>
      </c>
      <c r="V37" s="38" t="n">
        <v>3022</v>
      </c>
      <c r="W37" s="38" t="n">
        <v>3022</v>
      </c>
      <c r="X37" s="38" t="n">
        <v>3022</v>
      </c>
      <c r="Y37" s="38" t="n">
        <v>3022</v>
      </c>
      <c r="Z37" s="38" t="n">
        <v>3022</v>
      </c>
      <c r="AA37" s="36">
        <f>SUM(O37:U37)</f>
        <v/>
      </c>
      <c r="AB37" s="36">
        <f>SUM(O37:Z37)</f>
        <v/>
      </c>
      <c r="AC37" s="38" t="n">
        <v>3022</v>
      </c>
      <c r="AD37" s="38" t="n">
        <v>3022</v>
      </c>
      <c r="AE37" s="38" t="n">
        <v>3022</v>
      </c>
      <c r="AF37" s="38" t="n">
        <v>3022</v>
      </c>
      <c r="AG37" s="38" t="n">
        <v>3022</v>
      </c>
      <c r="AH37" s="38" t="n">
        <v>3022</v>
      </c>
      <c r="AI37" s="118" t="n">
        <v>3022</v>
      </c>
      <c r="AJ37" s="119" t="n">
        <v>3022</v>
      </c>
      <c r="AK37" s="119" t="n">
        <v>3022</v>
      </c>
      <c r="AL37" s="119" t="n">
        <v>3022</v>
      </c>
      <c r="AM37" s="120" t="n">
        <v>3022</v>
      </c>
      <c r="AN37" s="118" t="n">
        <v>3022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1090.6</v>
      </c>
      <c r="C38" s="35" t="n">
        <v>72.00000000000045</v>
      </c>
      <c r="D38" s="35" t="n">
        <v>2060.91</v>
      </c>
      <c r="E38" s="35" t="n">
        <v>1227.22</v>
      </c>
      <c r="F38" s="35" t="n">
        <v>800.8800000000001</v>
      </c>
      <c r="G38" s="35" t="n">
        <v>1086.41</v>
      </c>
      <c r="H38" s="35" t="n">
        <v>648.46</v>
      </c>
      <c r="I38" s="35" t="n">
        <v>655.5999999999999</v>
      </c>
      <c r="J38" s="35" t="n">
        <v>1518.48</v>
      </c>
      <c r="K38" s="35" t="n">
        <v>795.6700000000001</v>
      </c>
      <c r="L38" s="35" t="n">
        <v>740.5999999999999</v>
      </c>
      <c r="M38" s="35" t="n">
        <v>1205.02</v>
      </c>
      <c r="N38" s="36">
        <f>SUM(B38:M38)</f>
        <v/>
      </c>
      <c r="O38" s="37">
        <f>SUMIF('MER TB'!$R:$R,'MER P&amp;L'!$A38,'MER TB'!C:C)</f>
        <v/>
      </c>
      <c r="P38" s="37">
        <f>SUMIF('MER TB'!$R:$R,'MER P&amp;L'!$A38,'MER TB'!D:D)</f>
        <v/>
      </c>
      <c r="Q38" s="37">
        <f>SUMIF('MER TB'!$R:$R,'MER P&amp;L'!$A38,'MER TB'!E:E)</f>
        <v/>
      </c>
      <c r="R38" s="37">
        <f>SUMIF('MER TB'!$R:$R,'MER P&amp;L'!$A38,'MER TB'!F:F)</f>
        <v/>
      </c>
      <c r="S38" s="37">
        <f>SUMIF('MER TB'!$R:$R,'MER P&amp;L'!$A38,'MER TB'!G:G)</f>
        <v/>
      </c>
      <c r="T38" s="37">
        <f>SUMIF('MER TB'!$R:$R,'MER P&amp;L'!$A38,'MER TB'!H:H)</f>
        <v/>
      </c>
      <c r="U38" s="37">
        <f>SUMIF('MER TB'!$R:$R,'MER P&amp;L'!$A38,'MER TB'!I:I)</f>
        <v/>
      </c>
      <c r="V38" s="38" t="n">
        <v>996</v>
      </c>
      <c r="W38" s="38" t="n">
        <v>996</v>
      </c>
      <c r="X38" s="38" t="n">
        <v>996</v>
      </c>
      <c r="Y38" s="38" t="n">
        <v>996</v>
      </c>
      <c r="Z38" s="38" t="n">
        <v>996</v>
      </c>
      <c r="AA38" s="36">
        <f>SUM(O38:U38)</f>
        <v/>
      </c>
      <c r="AB38" s="36">
        <f>SUM(O38:Z38)</f>
        <v/>
      </c>
      <c r="AC38" s="38" t="n">
        <v>996</v>
      </c>
      <c r="AD38" s="38" t="n">
        <v>996</v>
      </c>
      <c r="AE38" s="38" t="n">
        <v>996</v>
      </c>
      <c r="AF38" s="38" t="n">
        <v>996</v>
      </c>
      <c r="AG38" s="38" t="n">
        <v>996</v>
      </c>
      <c r="AH38" s="38" t="n">
        <v>996</v>
      </c>
      <c r="AI38" s="118" t="n">
        <v>996</v>
      </c>
      <c r="AJ38" s="119" t="n">
        <v>996</v>
      </c>
      <c r="AK38" s="119" t="n">
        <v>996</v>
      </c>
      <c r="AL38" s="119" t="n">
        <v>996</v>
      </c>
      <c r="AM38" s="120" t="n">
        <v>996</v>
      </c>
      <c r="AN38" s="118" t="n">
        <v>996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222</v>
      </c>
      <c r="C39" s="35" t="n">
        <v>0</v>
      </c>
      <c r="D39" s="35" t="n">
        <v>2295.47</v>
      </c>
      <c r="E39" s="35" t="n">
        <v>59.2</v>
      </c>
      <c r="F39" s="35" t="n">
        <v>102.84</v>
      </c>
      <c r="G39" s="35" t="n">
        <v>156.31</v>
      </c>
      <c r="H39" s="35" t="n">
        <v>269.93</v>
      </c>
      <c r="I39" s="35" t="n">
        <v>7.38</v>
      </c>
      <c r="J39" s="35" t="n">
        <v>10.62</v>
      </c>
      <c r="K39" s="35" t="n">
        <v>114.23</v>
      </c>
      <c r="L39" s="35" t="n">
        <v>36</v>
      </c>
      <c r="M39" s="35" t="n">
        <v>108</v>
      </c>
      <c r="N39" s="36">
        <f>SUM(B39:M39)</f>
        <v/>
      </c>
      <c r="O39" s="37">
        <f>SUMIF('MER TB'!$R:$R,'MER P&amp;L'!$A39,'MER TB'!C:C)</f>
        <v/>
      </c>
      <c r="P39" s="37">
        <f>SUMIF('MER TB'!$R:$R,'MER P&amp;L'!$A39,'MER TB'!D:D)</f>
        <v/>
      </c>
      <c r="Q39" s="37">
        <f>SUMIF('MER TB'!$R:$R,'MER P&amp;L'!$A39,'MER TB'!E:E)</f>
        <v/>
      </c>
      <c r="R39" s="37">
        <f>SUMIF('MER TB'!$R:$R,'MER P&amp;L'!$A39,'MER TB'!F:F)</f>
        <v/>
      </c>
      <c r="S39" s="37">
        <f>SUMIF('MER TB'!$R:$R,'MER P&amp;L'!$A39,'MER TB'!G:G)</f>
        <v/>
      </c>
      <c r="T39" s="37">
        <f>SUMIF('MER TB'!$R:$R,'MER P&amp;L'!$A39,'MER TB'!H:H)</f>
        <v/>
      </c>
      <c r="U39" s="37">
        <f>SUMIF('MER TB'!$R:$R,'MER P&amp;L'!$A39,'MER TB'!I:I)</f>
        <v/>
      </c>
      <c r="V39" s="38" t="n"/>
      <c r="W39" s="38" t="n">
        <v>3500</v>
      </c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8" t="n">
        <v>0</v>
      </c>
      <c r="AJ39" s="119" t="n">
        <v>0</v>
      </c>
      <c r="AK39" s="119" t="n">
        <v>0</v>
      </c>
      <c r="AL39" s="119" t="n">
        <v>0</v>
      </c>
      <c r="AM39" s="120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910.8999999999999</v>
      </c>
      <c r="C40" s="35" t="n">
        <v>436.73</v>
      </c>
      <c r="D40" s="35" t="n">
        <v>608.49</v>
      </c>
      <c r="E40" s="35" t="n">
        <v>631.55</v>
      </c>
      <c r="F40" s="35" t="n">
        <v>660.9300000000001</v>
      </c>
      <c r="G40" s="35" t="n">
        <v>1356.2</v>
      </c>
      <c r="H40" s="35" t="n">
        <v>461</v>
      </c>
      <c r="I40" s="35" t="n">
        <v>439.54</v>
      </c>
      <c r="J40" s="35" t="n">
        <v>1191.48</v>
      </c>
      <c r="K40" s="35" t="n">
        <v>462.57</v>
      </c>
      <c r="L40" s="35" t="n">
        <v>228.42</v>
      </c>
      <c r="M40" s="35" t="n">
        <v>464.64</v>
      </c>
      <c r="N40" s="36">
        <f>SUM(B40:M40)</f>
        <v/>
      </c>
      <c r="O40" s="37">
        <f>SUMIF('MER TB'!$R:$R,'MER P&amp;L'!$A40,'MER TB'!C:C)</f>
        <v/>
      </c>
      <c r="P40" s="37">
        <f>SUMIF('MER TB'!$R:$R,'MER P&amp;L'!$A40,'MER TB'!D:D)</f>
        <v/>
      </c>
      <c r="Q40" s="37">
        <f>SUMIF('MER TB'!$R:$R,'MER P&amp;L'!$A40,'MER TB'!E:E)</f>
        <v/>
      </c>
      <c r="R40" s="37">
        <f>SUMIF('MER TB'!$R:$R,'MER P&amp;L'!$A40,'MER TB'!F:F)</f>
        <v/>
      </c>
      <c r="S40" s="37">
        <f>SUMIF('MER TB'!$R:$R,'MER P&amp;L'!$A40,'MER TB'!G:G)</f>
        <v/>
      </c>
      <c r="T40" s="37">
        <f>SUMIF('MER TB'!$R:$R,'MER P&amp;L'!$A40,'MER TB'!H:H)</f>
        <v/>
      </c>
      <c r="U40" s="37">
        <f>SUMIF('MER TB'!$R:$R,'MER P&amp;L'!$A40,'MER TB'!I:I)</f>
        <v/>
      </c>
      <c r="V40" s="38" t="n">
        <v>333</v>
      </c>
      <c r="W40" s="38" t="n">
        <v>333</v>
      </c>
      <c r="X40" s="38" t="n">
        <v>333</v>
      </c>
      <c r="Y40" s="38" t="n">
        <v>333</v>
      </c>
      <c r="Z40" s="38" t="n">
        <v>333</v>
      </c>
      <c r="AA40" s="36">
        <f>SUM(O40:U40)</f>
        <v/>
      </c>
      <c r="AB40" s="36">
        <f>SUM(O40:Z40)</f>
        <v/>
      </c>
      <c r="AC40" s="38" t="n">
        <v>333</v>
      </c>
      <c r="AD40" s="38" t="n">
        <v>333</v>
      </c>
      <c r="AE40" s="38" t="n">
        <v>333</v>
      </c>
      <c r="AF40" s="38" t="n">
        <v>333</v>
      </c>
      <c r="AG40" s="38" t="n">
        <v>333</v>
      </c>
      <c r="AH40" s="38" t="n">
        <v>333</v>
      </c>
      <c r="AI40" s="118" t="n">
        <v>333</v>
      </c>
      <c r="AJ40" s="119" t="n">
        <v>333</v>
      </c>
      <c r="AK40" s="119" t="n">
        <v>333</v>
      </c>
      <c r="AL40" s="119" t="n">
        <v>333</v>
      </c>
      <c r="AM40" s="120" t="n">
        <v>333</v>
      </c>
      <c r="AN40" s="118" t="n">
        <v>333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377.59</v>
      </c>
      <c r="C41" s="35" t="n">
        <v>583.16</v>
      </c>
      <c r="D41" s="35" t="n">
        <v>730.2299999999999</v>
      </c>
      <c r="E41" s="35" t="n">
        <v>334.81</v>
      </c>
      <c r="F41" s="35" t="n">
        <v>283.5700000000001</v>
      </c>
      <c r="G41" s="35" t="n">
        <v>414.48</v>
      </c>
      <c r="H41" s="35" t="n">
        <v>361.07</v>
      </c>
      <c r="I41" s="35" t="n">
        <v>449.9</v>
      </c>
      <c r="J41" s="35" t="n">
        <v>780.8099999999999</v>
      </c>
      <c r="K41" s="35" t="n">
        <v>411.19</v>
      </c>
      <c r="L41" s="35" t="n">
        <v>428.31</v>
      </c>
      <c r="M41" s="35" t="n">
        <v>481.72</v>
      </c>
      <c r="N41" s="36">
        <f>SUM(B41:M41)</f>
        <v/>
      </c>
      <c r="O41" s="37">
        <f>SUMIF('MER TB'!$R:$R,'MER P&amp;L'!$A41,'MER TB'!C:C)</f>
        <v/>
      </c>
      <c r="P41" s="37">
        <f>SUMIF('MER TB'!$R:$R,'MER P&amp;L'!$A41,'MER TB'!D:D)</f>
        <v/>
      </c>
      <c r="Q41" s="37">
        <f>SUMIF('MER TB'!$R:$R,'MER P&amp;L'!$A41,'MER TB'!E:E)</f>
        <v/>
      </c>
      <c r="R41" s="37">
        <f>SUMIF('MER TB'!$R:$R,'MER P&amp;L'!$A41,'MER TB'!F:F)</f>
        <v/>
      </c>
      <c r="S41" s="37">
        <f>SUMIF('MER TB'!$R:$R,'MER P&amp;L'!$A41,'MER TB'!G:G)</f>
        <v/>
      </c>
      <c r="T41" s="37">
        <f>SUMIF('MER TB'!$R:$R,'MER P&amp;L'!$A41,'MER TB'!H:H)</f>
        <v/>
      </c>
      <c r="U41" s="37">
        <f>SUMIF('MER TB'!$R:$R,'MER P&amp;L'!$A41,'MER TB'!I:I)</f>
        <v/>
      </c>
      <c r="V41" s="38" t="n">
        <v>474</v>
      </c>
      <c r="W41" s="38" t="n">
        <v>474</v>
      </c>
      <c r="X41" s="38" t="n">
        <v>474</v>
      </c>
      <c r="Y41" s="38" t="n">
        <v>474</v>
      </c>
      <c r="Z41" s="38" t="n">
        <v>474</v>
      </c>
      <c r="AA41" s="36">
        <f>SUM(O41:U41)</f>
        <v/>
      </c>
      <c r="AB41" s="36">
        <f>SUM(O41:Z41)</f>
        <v/>
      </c>
      <c r="AC41" s="38" t="n">
        <v>474</v>
      </c>
      <c r="AD41" s="38" t="n">
        <v>474</v>
      </c>
      <c r="AE41" s="38" t="n">
        <v>474</v>
      </c>
      <c r="AF41" s="38" t="n">
        <v>474</v>
      </c>
      <c r="AG41" s="38" t="n">
        <v>474</v>
      </c>
      <c r="AH41" s="38" t="n">
        <v>474</v>
      </c>
      <c r="AI41" s="118" t="n">
        <v>474</v>
      </c>
      <c r="AJ41" s="119" t="n">
        <v>474</v>
      </c>
      <c r="AK41" s="119" t="n">
        <v>474</v>
      </c>
      <c r="AL41" s="119" t="n">
        <v>474</v>
      </c>
      <c r="AM41" s="120" t="n">
        <v>474</v>
      </c>
      <c r="AN41" s="118" t="n">
        <v>474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71.09999999999999</v>
      </c>
      <c r="C42" s="35" t="n">
        <v>84.2</v>
      </c>
      <c r="D42" s="35" t="n">
        <v>53.57</v>
      </c>
      <c r="E42" s="35" t="n">
        <v>40.14</v>
      </c>
      <c r="F42" s="35" t="n">
        <v>67.65000000000001</v>
      </c>
      <c r="G42" s="35" t="n">
        <v>49.08</v>
      </c>
      <c r="H42" s="35" t="n">
        <v>71.48999999999999</v>
      </c>
      <c r="I42" s="35" t="n">
        <v>270.78</v>
      </c>
      <c r="J42" s="35" t="n">
        <v>102.83</v>
      </c>
      <c r="K42" s="35" t="n">
        <v>91.92</v>
      </c>
      <c r="L42" s="35" t="n">
        <v>54.05</v>
      </c>
      <c r="M42" s="35" t="n">
        <v>43.75</v>
      </c>
      <c r="N42" s="36">
        <f>SUM(B42:M42)</f>
        <v/>
      </c>
      <c r="O42" s="37">
        <f>SUMIF('MER TB'!$R:$R,'MER P&amp;L'!$A42,'MER TB'!C:C)</f>
        <v/>
      </c>
      <c r="P42" s="37">
        <f>SUMIF('MER TB'!$R:$R,'MER P&amp;L'!$A42,'MER TB'!D:D)</f>
        <v/>
      </c>
      <c r="Q42" s="37">
        <f>SUMIF('MER TB'!$R:$R,'MER P&amp;L'!$A42,'MER TB'!E:E)</f>
        <v/>
      </c>
      <c r="R42" s="37">
        <f>SUMIF('MER TB'!$R:$R,'MER P&amp;L'!$A42,'MER TB'!F:F)</f>
        <v/>
      </c>
      <c r="S42" s="37">
        <f>SUMIF('MER TB'!$R:$R,'MER P&amp;L'!$A42,'MER TB'!G:G)</f>
        <v/>
      </c>
      <c r="T42" s="37">
        <f>SUMIF('MER TB'!$R:$R,'MER P&amp;L'!$A42,'MER TB'!H:H)</f>
        <v/>
      </c>
      <c r="U42" s="37">
        <f>SUMIF('MER TB'!$R:$R,'MER P&amp;L'!$A42,'MER TB'!I:I)</f>
        <v/>
      </c>
      <c r="V42" s="38" t="n"/>
      <c r="W42" s="38" t="n"/>
      <c r="X42" s="38" t="n"/>
      <c r="Y42" s="38" t="n"/>
      <c r="Z42" s="38" t="n"/>
      <c r="AA42" s="36">
        <f>SUM(O42:U42)</f>
        <v/>
      </c>
      <c r="AB42" s="36">
        <f>SUM(O42:Z42)</f>
        <v/>
      </c>
      <c r="AC42" s="38" t="n"/>
      <c r="AD42" s="38" t="n"/>
      <c r="AE42" s="38" t="n"/>
      <c r="AF42" s="38" t="n"/>
      <c r="AG42" s="38" t="n"/>
      <c r="AH42" s="38" t="n"/>
      <c r="AI42" s="118" t="n">
        <v>0</v>
      </c>
      <c r="AJ42" s="119" t="n">
        <v>0</v>
      </c>
      <c r="AK42" s="119" t="n">
        <v>0</v>
      </c>
      <c r="AL42" s="119" t="n">
        <v>0</v>
      </c>
      <c r="AM42" s="120" t="n">
        <v>0</v>
      </c>
      <c r="AN42" s="118" t="n">
        <v>0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SUMIF('MER TB'!$R:$R,'MER P&amp;L'!$A43,'MER TB'!C:C)</f>
        <v/>
      </c>
      <c r="P43" s="37">
        <f>SUMIF('MER TB'!$R:$R,'MER P&amp;L'!$A43,'MER TB'!D:D)</f>
        <v/>
      </c>
      <c r="Q43" s="37">
        <f>SUMIF('MER TB'!$R:$R,'MER P&amp;L'!$A43,'MER TB'!E:E)</f>
        <v/>
      </c>
      <c r="R43" s="37">
        <f>SUMIF('MER TB'!$R:$R,'MER P&amp;L'!$A43,'MER TB'!F:F)</f>
        <v/>
      </c>
      <c r="S43" s="37">
        <f>SUMIF('MER TB'!$R:$R,'MER P&amp;L'!$A43,'MER TB'!G:G)</f>
        <v/>
      </c>
      <c r="T43" s="37">
        <f>SUMIF('MER TB'!$R:$R,'MER P&amp;L'!$A43,'MER TB'!H:H)</f>
        <v/>
      </c>
      <c r="U43" s="37">
        <f>SUMIF('MER TB'!$R:$R,'MER P&amp;L'!$A43,'MER TB'!I:I)</f>
        <v/>
      </c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118" t="n">
        <v>0</v>
      </c>
      <c r="AJ43" s="119" t="n">
        <v>0</v>
      </c>
      <c r="AK43" s="119" t="n">
        <v>0</v>
      </c>
      <c r="AL43" s="119" t="n">
        <v>0</v>
      </c>
      <c r="AM43" s="120" t="n">
        <v>0</v>
      </c>
      <c r="AN43" s="118" t="n">
        <v>0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SUMIF('MER TB'!$R:$R,'MER P&amp;L'!$A44,'MER TB'!C:C)</f>
        <v/>
      </c>
      <c r="P44" s="37">
        <f>SUMIF('MER TB'!$R:$R,'MER P&amp;L'!$A44,'MER TB'!D:D)</f>
        <v/>
      </c>
      <c r="Q44" s="37">
        <f>SUMIF('MER TB'!$R:$R,'MER P&amp;L'!$A44,'MER TB'!E:E)</f>
        <v/>
      </c>
      <c r="R44" s="37">
        <f>SUMIF('MER TB'!$R:$R,'MER P&amp;L'!$A44,'MER TB'!F:F)</f>
        <v/>
      </c>
      <c r="S44" s="37">
        <f>SUMIF('MER TB'!$R:$R,'MER P&amp;L'!$A44,'MER TB'!G:G)</f>
        <v/>
      </c>
      <c r="T44" s="37">
        <f>SUMIF('MER TB'!$R:$R,'MER P&amp;L'!$A44,'MER TB'!H:H)</f>
        <v/>
      </c>
      <c r="U44" s="37">
        <f>SUMIF('MER TB'!$R:$R,'MER P&amp;L'!$A44,'MER TB'!I:I)</f>
        <v/>
      </c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118" t="n">
        <v>0</v>
      </c>
      <c r="AJ44" s="119" t="n">
        <v>0</v>
      </c>
      <c r="AK44" s="119" t="n">
        <v>0</v>
      </c>
      <c r="AL44" s="119" t="n">
        <v>0</v>
      </c>
      <c r="AM44" s="120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270.44</v>
      </c>
      <c r="E45" s="35" t="n">
        <v>0</v>
      </c>
      <c r="F45" s="35" t="n">
        <v>0</v>
      </c>
      <c r="G45" s="35" t="n">
        <v>265</v>
      </c>
      <c r="H45" s="35" t="n">
        <v>0</v>
      </c>
      <c r="I45" s="35" t="n">
        <v>45</v>
      </c>
      <c r="J45" s="35" t="n">
        <v>41.25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SUMIF('MER TB'!$R:$R,'MER P&amp;L'!$A45,'MER TB'!C:C)</f>
        <v/>
      </c>
      <c r="P45" s="37">
        <f>SUMIF('MER TB'!$R:$R,'MER P&amp;L'!$A45,'MER TB'!D:D)</f>
        <v/>
      </c>
      <c r="Q45" s="37">
        <f>SUMIF('MER TB'!$R:$R,'MER P&amp;L'!$A45,'MER TB'!E:E)</f>
        <v/>
      </c>
      <c r="R45" s="37">
        <f>SUMIF('MER TB'!$R:$R,'MER P&amp;L'!$A45,'MER TB'!F:F)</f>
        <v/>
      </c>
      <c r="S45" s="37">
        <f>SUMIF('MER TB'!$R:$R,'MER P&amp;L'!$A45,'MER TB'!G:G)</f>
        <v/>
      </c>
      <c r="T45" s="37">
        <f>SUMIF('MER TB'!$R:$R,'MER P&amp;L'!$A45,'MER TB'!H:H)</f>
        <v/>
      </c>
      <c r="U45" s="37">
        <f>SUMIF('MER TB'!$R:$R,'MER P&amp;L'!$A45,'MER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8" t="n">
        <v>100</v>
      </c>
      <c r="AJ45" s="119" t="n">
        <v>100</v>
      </c>
      <c r="AK45" s="119" t="n">
        <v>100</v>
      </c>
      <c r="AL45" s="119" t="n">
        <v>100</v>
      </c>
      <c r="AM45" s="120" t="n">
        <v>100</v>
      </c>
      <c r="AN45" s="118" t="n">
        <v>100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SUMIF('MER TB'!$R:$R,'MER P&amp;L'!$A46,'MER TB'!C:C)</f>
        <v/>
      </c>
      <c r="P46" s="37">
        <f>SUMIF('MER TB'!$R:$R,'MER P&amp;L'!$A46,'MER TB'!D:D)</f>
        <v/>
      </c>
      <c r="Q46" s="37">
        <f>SUMIF('MER TB'!$R:$R,'MER P&amp;L'!$A46,'MER TB'!E:E)</f>
        <v/>
      </c>
      <c r="R46" s="37">
        <f>SUMIF('MER TB'!$R:$R,'MER P&amp;L'!$A46,'MER TB'!F:F)</f>
        <v/>
      </c>
      <c r="S46" s="37">
        <f>SUMIF('MER TB'!$R:$R,'MER P&amp;L'!$A46,'MER TB'!G:G)</f>
        <v/>
      </c>
      <c r="T46" s="37">
        <f>SUMIF('MER TB'!$R:$R,'MER P&amp;L'!$A46,'MER TB'!H:H)</f>
        <v/>
      </c>
      <c r="U46" s="37">
        <f>SUMIF('MER TB'!$R:$R,'MER P&amp;L'!$A46,'MER TB'!I:I)</f>
        <v/>
      </c>
      <c r="V46" s="38" t="n"/>
      <c r="W46" s="38" t="n"/>
      <c r="X46" s="38" t="n"/>
      <c r="Y46" s="38" t="n"/>
      <c r="Z46" s="38" t="n"/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118" t="n">
        <v>0</v>
      </c>
      <c r="AJ46" s="119" t="n">
        <v>0</v>
      </c>
      <c r="AK46" s="119" t="n">
        <v>0</v>
      </c>
      <c r="AL46" s="119" t="n">
        <v>0</v>
      </c>
      <c r="AM46" s="120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5766.190000000001</v>
      </c>
      <c r="C47" s="42" t="n">
        <v>4270.09</v>
      </c>
      <c r="D47" s="42" t="n">
        <v>9113.110000000001</v>
      </c>
      <c r="E47" s="42" t="n">
        <v>5437.920000000001</v>
      </c>
      <c r="F47" s="42" t="n">
        <v>5060.87</v>
      </c>
      <c r="G47" s="42" t="n">
        <v>6472.48</v>
      </c>
      <c r="H47" s="42" t="n">
        <v>4956.949999999999</v>
      </c>
      <c r="I47" s="42" t="n">
        <v>5013.2</v>
      </c>
      <c r="J47" s="42" t="n">
        <v>6790.469999999999</v>
      </c>
      <c r="K47" s="42" t="n">
        <v>5020.58</v>
      </c>
      <c r="L47" s="42" t="n">
        <v>4632.38</v>
      </c>
      <c r="M47" s="42" t="n">
        <v>5448.130000000001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3">
        <f>SUM(AI36:AI46)</f>
        <v/>
      </c>
      <c r="AJ47" s="124">
        <f>SUM(AJ36:AJ46)</f>
        <v/>
      </c>
      <c r="AK47" s="124">
        <f>SUM(AK36:AK46)</f>
        <v/>
      </c>
      <c r="AL47" s="124">
        <f>SUM(AL36:AL46)</f>
        <v/>
      </c>
      <c r="AM47" s="137">
        <f>SUM(AM36:AM46)</f>
        <v/>
      </c>
      <c r="AN47" s="123">
        <f>SUM(AN36:AN46)</f>
        <v/>
      </c>
      <c r="AO47" s="125">
        <f>SUM(AC47:AH47)+SUM(AI47:AN47)</f>
        <v/>
      </c>
      <c r="AP47" s="126">
        <f>IF(AB47&lt;&gt;0,(AO47-AB47)/ABS(AB47),0)</f>
        <v/>
      </c>
    </row>
    <row r="48">
      <c r="A48" s="22" t="inlineStr">
        <is>
          <t>Total Direct Costs</t>
        </is>
      </c>
      <c r="B48" s="23" t="n">
        <v>44251.96</v>
      </c>
      <c r="C48" s="23" t="n">
        <v>43491.67999999999</v>
      </c>
      <c r="D48" s="23" t="n">
        <v>49736.96000000001</v>
      </c>
      <c r="E48" s="23" t="n">
        <v>53145.19</v>
      </c>
      <c r="F48" s="23" t="n">
        <v>53370.99999999999</v>
      </c>
      <c r="G48" s="23" t="n">
        <v>46761.42</v>
      </c>
      <c r="H48" s="23" t="n">
        <v>51645.13</v>
      </c>
      <c r="I48" s="23" t="n">
        <v>52213.53999999999</v>
      </c>
      <c r="J48" s="23" t="n">
        <v>53240.59</v>
      </c>
      <c r="K48" s="23" t="n">
        <v>56700.37</v>
      </c>
      <c r="L48" s="23" t="n">
        <v>45739.92</v>
      </c>
      <c r="M48" s="23" t="n">
        <v>45927.28999999999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3">
        <f>AI25+AI34+AI47</f>
        <v/>
      </c>
      <c r="AJ48" s="147">
        <f>AJ25+AJ34+AJ47</f>
        <v/>
      </c>
      <c r="AK48" s="147">
        <f>AK25+AK34+AK47</f>
        <v/>
      </c>
      <c r="AL48" s="147">
        <f>AL25+AL34+AL47</f>
        <v/>
      </c>
      <c r="AM48" s="147">
        <f>AM25+AM34+AM47</f>
        <v/>
      </c>
      <c r="AN48" s="123">
        <f>AN25+AN34+AN47</f>
        <v/>
      </c>
      <c r="AO48" s="121">
        <f>SUM(AC48:AH48)+SUM(AI48:AN48)</f>
        <v/>
      </c>
      <c r="AP48" s="122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54802.88000000001</v>
      </c>
      <c r="C50" s="55" t="n">
        <v>46070.28000000001</v>
      </c>
      <c r="D50" s="55" t="n">
        <v>51681.73</v>
      </c>
      <c r="E50" s="55" t="n">
        <v>52382.08</v>
      </c>
      <c r="F50" s="55" t="n">
        <v>45925.59000000001</v>
      </c>
      <c r="G50" s="55" t="n">
        <v>49640.09000000001</v>
      </c>
      <c r="H50" s="55" t="n">
        <v>96983.07999999999</v>
      </c>
      <c r="I50" s="55" t="n">
        <v>34467.90000000001</v>
      </c>
      <c r="J50" s="55" t="n">
        <v>39061.13999999999</v>
      </c>
      <c r="K50" s="55" t="n">
        <v>32091.63</v>
      </c>
      <c r="L50" s="55" t="n">
        <v>63582.40999999999</v>
      </c>
      <c r="M50" s="55" t="n">
        <v>83169.40999999999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0">
        <f>AI11-AI48</f>
        <v/>
      </c>
      <c r="AJ50" s="140">
        <f>AJ11-AJ48</f>
        <v/>
      </c>
      <c r="AK50" s="140">
        <f>AK11-AK48</f>
        <v/>
      </c>
      <c r="AL50" s="140">
        <f>AL11-AL48</f>
        <v/>
      </c>
      <c r="AM50" s="140">
        <f>AM11-AM48</f>
        <v/>
      </c>
      <c r="AN50" s="140">
        <f>AN11-AN48</f>
        <v/>
      </c>
      <c r="AO50" s="141">
        <f>SUM(AC50:AH50)+SUM(AI50:AN50)</f>
        <v/>
      </c>
      <c r="AP50" s="14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SUMIF('MER TB'!$R:$R,'MER P&amp;L'!$A53,'MER TB'!C:C)</f>
        <v/>
      </c>
      <c r="P53" s="37">
        <f>SUMIF('MER TB'!$R:$R,'MER P&amp;L'!$A53,'MER TB'!D:D)</f>
        <v/>
      </c>
      <c r="Q53" s="37">
        <f>SUMIF('MER TB'!$R:$R,'MER P&amp;L'!$A53,'MER TB'!E:E)</f>
        <v/>
      </c>
      <c r="R53" s="37">
        <f>SUMIF('MER TB'!$R:$R,'MER P&amp;L'!$A53,'MER TB'!F:F)</f>
        <v/>
      </c>
      <c r="S53" s="37">
        <f>SUMIF('MER TB'!$R:$R,'MER P&amp;L'!$A53,'MER TB'!G:G)</f>
        <v/>
      </c>
      <c r="T53" s="37">
        <f>SUMIF('MER TB'!$R:$R,'MER P&amp;L'!$A53,'MER TB'!H:H)</f>
        <v/>
      </c>
      <c r="U53" s="37">
        <f>SUMIF('MER TB'!$R:$R,'MER P&amp;L'!$A53,'MER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8" t="n">
        <v>0</v>
      </c>
      <c r="AJ53" s="119" t="n">
        <v>0</v>
      </c>
      <c r="AK53" s="119" t="n">
        <v>0</v>
      </c>
      <c r="AL53" s="119" t="n">
        <v>0</v>
      </c>
      <c r="AM53" s="120" t="n">
        <v>0</v>
      </c>
      <c r="AN53" s="118" t="n">
        <v>0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SUMIF('MER TB'!$R:$R,'MER P&amp;L'!$A54,'MER TB'!C:C)</f>
        <v/>
      </c>
      <c r="P54" s="37">
        <f>SUMIF('MER TB'!$R:$R,'MER P&amp;L'!$A54,'MER TB'!D:D)</f>
        <v/>
      </c>
      <c r="Q54" s="37">
        <f>SUMIF('MER TB'!$R:$R,'MER P&amp;L'!$A54,'MER TB'!E:E)</f>
        <v/>
      </c>
      <c r="R54" s="37">
        <f>SUMIF('MER TB'!$R:$R,'MER P&amp;L'!$A54,'MER TB'!F:F)</f>
        <v/>
      </c>
      <c r="S54" s="37">
        <f>SUMIF('MER TB'!$R:$R,'MER P&amp;L'!$A54,'MER TB'!G:G)</f>
        <v/>
      </c>
      <c r="T54" s="37">
        <f>SUMIF('MER TB'!$R:$R,'MER P&amp;L'!$A54,'MER TB'!H:H)</f>
        <v/>
      </c>
      <c r="U54" s="37">
        <f>SUMIF('MER TB'!$R:$R,'MER P&amp;L'!$A54,'MER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8" t="n">
        <v>0</v>
      </c>
      <c r="AJ54" s="119" t="n">
        <v>0</v>
      </c>
      <c r="AK54" s="119" t="n">
        <v>0</v>
      </c>
      <c r="AL54" s="119" t="n">
        <v>0</v>
      </c>
      <c r="AM54" s="120" t="n">
        <v>0</v>
      </c>
      <c r="AN54" s="118" t="n">
        <v>0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SUMIF('MER TB'!$R:$R,'MER P&amp;L'!$A55,'MER TB'!C:C)</f>
        <v/>
      </c>
      <c r="P55" s="37">
        <f>SUMIF('MER TB'!$R:$R,'MER P&amp;L'!$A55,'MER TB'!D:D)</f>
        <v/>
      </c>
      <c r="Q55" s="37">
        <f>SUMIF('MER TB'!$R:$R,'MER P&amp;L'!$A55,'MER TB'!E:E)</f>
        <v/>
      </c>
      <c r="R55" s="37">
        <f>SUMIF('MER TB'!$R:$R,'MER P&amp;L'!$A55,'MER TB'!F:F)</f>
        <v/>
      </c>
      <c r="S55" s="37">
        <f>SUMIF('MER TB'!$R:$R,'MER P&amp;L'!$A55,'MER TB'!G:G)</f>
        <v/>
      </c>
      <c r="T55" s="37">
        <f>SUMIF('MER TB'!$R:$R,'MER P&amp;L'!$A55,'MER TB'!H:H)</f>
        <v/>
      </c>
      <c r="U55" s="37">
        <f>SUMIF('MER TB'!$R:$R,'MER P&amp;L'!$A55,'MER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8" t="n">
        <v>0</v>
      </c>
      <c r="AJ55" s="119" t="n">
        <v>0</v>
      </c>
      <c r="AK55" s="119" t="n">
        <v>0</v>
      </c>
      <c r="AL55" s="119" t="n">
        <v>0</v>
      </c>
      <c r="AM55" s="120" t="n">
        <v>0</v>
      </c>
      <c r="AN55" s="118" t="n">
        <v>0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SUMIF('MER TB'!$R:$R,'MER P&amp;L'!$A56,'MER TB'!C:C)</f>
        <v/>
      </c>
      <c r="P56" s="37">
        <f>SUMIF('MER TB'!$R:$R,'MER P&amp;L'!$A56,'MER TB'!D:D)</f>
        <v/>
      </c>
      <c r="Q56" s="37">
        <f>SUMIF('MER TB'!$R:$R,'MER P&amp;L'!$A56,'MER TB'!E:E)</f>
        <v/>
      </c>
      <c r="R56" s="37">
        <f>SUMIF('MER TB'!$R:$R,'MER P&amp;L'!$A56,'MER TB'!F:F)</f>
        <v/>
      </c>
      <c r="S56" s="37">
        <f>SUMIF('MER TB'!$R:$R,'MER P&amp;L'!$A56,'MER TB'!G:G)</f>
        <v/>
      </c>
      <c r="T56" s="37">
        <f>SUMIF('MER TB'!$R:$R,'MER P&amp;L'!$A56,'MER TB'!H:H)</f>
        <v/>
      </c>
      <c r="U56" s="37">
        <f>SUMIF('MER TB'!$R:$R,'MER P&amp;L'!$A56,'MER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8" t="n">
        <v>0</v>
      </c>
      <c r="AJ56" s="119" t="n">
        <v>0</v>
      </c>
      <c r="AK56" s="119" t="n">
        <v>0</v>
      </c>
      <c r="AL56" s="119" t="n">
        <v>0</v>
      </c>
      <c r="AM56" s="120" t="n">
        <v>0</v>
      </c>
      <c r="AN56" s="118" t="n">
        <v>0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450</v>
      </c>
      <c r="N57" s="36">
        <f>SUM(B57:M57)</f>
        <v/>
      </c>
      <c r="O57" s="37">
        <f>SUMIF('MER TB'!$R:$R,'MER P&amp;L'!$A57,'MER TB'!C:C)</f>
        <v/>
      </c>
      <c r="P57" s="37">
        <f>SUMIF('MER TB'!$R:$R,'MER P&amp;L'!$A57,'MER TB'!D:D)</f>
        <v/>
      </c>
      <c r="Q57" s="37">
        <f>SUMIF('MER TB'!$R:$R,'MER P&amp;L'!$A57,'MER TB'!E:E)</f>
        <v/>
      </c>
      <c r="R57" s="37">
        <f>SUMIF('MER TB'!$R:$R,'MER P&amp;L'!$A57,'MER TB'!F:F)</f>
        <v/>
      </c>
      <c r="S57" s="37">
        <f>SUMIF('MER TB'!$R:$R,'MER P&amp;L'!$A57,'MER TB'!G:G)</f>
        <v/>
      </c>
      <c r="T57" s="37">
        <f>SUMIF('MER TB'!$R:$R,'MER P&amp;L'!$A57,'MER TB'!H:H)</f>
        <v/>
      </c>
      <c r="U57" s="37">
        <f>SUMIF('MER TB'!$R:$R,'MER P&amp;L'!$A57,'MER TB'!I:I)</f>
        <v/>
      </c>
      <c r="V57" s="38" t="n"/>
      <c r="W57" s="38" t="n"/>
      <c r="X57" s="38" t="n"/>
      <c r="Y57" s="38" t="n"/>
      <c r="Z57" s="38">
        <f>30*18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18" t="n">
        <v>0</v>
      </c>
      <c r="AJ57" s="119" t="n">
        <v>0</v>
      </c>
      <c r="AK57" s="119" t="n">
        <v>0</v>
      </c>
      <c r="AL57" s="119" t="n">
        <v>0</v>
      </c>
      <c r="AM57" s="120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SUMIF('MER TB'!$R:$R,'MER P&amp;L'!$A58,'MER TB'!C:C)</f>
        <v/>
      </c>
      <c r="P58" s="37">
        <f>SUMIF('MER TB'!$R:$R,'MER P&amp;L'!$A58,'MER TB'!D:D)</f>
        <v/>
      </c>
      <c r="Q58" s="37">
        <f>SUMIF('MER TB'!$R:$R,'MER P&amp;L'!$A58,'MER TB'!E:E)</f>
        <v/>
      </c>
      <c r="R58" s="37">
        <f>SUMIF('MER TB'!$R:$R,'MER P&amp;L'!$A58,'MER TB'!F:F)</f>
        <v/>
      </c>
      <c r="S58" s="37">
        <f>SUMIF('MER TB'!$R:$R,'MER P&amp;L'!$A58,'MER TB'!G:G)</f>
        <v/>
      </c>
      <c r="T58" s="37">
        <f>SUMIF('MER TB'!$R:$R,'MER P&amp;L'!$A58,'MER TB'!H:H)</f>
        <v/>
      </c>
      <c r="U58" s="37">
        <f>SUMIF('MER TB'!$R:$R,'MER P&amp;L'!$A58,'MER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8" t="n">
        <v>0</v>
      </c>
      <c r="AJ58" s="119" t="n">
        <v>0</v>
      </c>
      <c r="AK58" s="119" t="n">
        <v>0</v>
      </c>
      <c r="AL58" s="119" t="n">
        <v>0</v>
      </c>
      <c r="AM58" s="120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SUMIF('MER TB'!$R:$R,'MER P&amp;L'!$A59,'MER TB'!C:C)</f>
        <v/>
      </c>
      <c r="P59" s="37">
        <f>SUMIF('MER TB'!$R:$R,'MER P&amp;L'!$A59,'MER TB'!D:D)</f>
        <v/>
      </c>
      <c r="Q59" s="37">
        <f>SUMIF('MER TB'!$R:$R,'MER P&amp;L'!$A59,'MER TB'!E:E)</f>
        <v/>
      </c>
      <c r="R59" s="37">
        <f>SUMIF('MER TB'!$R:$R,'MER P&amp;L'!$A59,'MER TB'!F:F)</f>
        <v/>
      </c>
      <c r="S59" s="37">
        <f>SUMIF('MER TB'!$R:$R,'MER P&amp;L'!$A59,'MER TB'!G:G)</f>
        <v/>
      </c>
      <c r="T59" s="37">
        <f>SUMIF('MER TB'!$R:$R,'MER P&amp;L'!$A59,'MER TB'!H:H)</f>
        <v/>
      </c>
      <c r="U59" s="37">
        <f>SUMIF('MER TB'!$R:$R,'MER P&amp;L'!$A59,'MER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18" t="n">
        <v>0</v>
      </c>
      <c r="AJ59" s="119" t="n">
        <v>0</v>
      </c>
      <c r="AK59" s="119" t="n">
        <v>0</v>
      </c>
      <c r="AL59" s="119" t="n">
        <v>0</v>
      </c>
      <c r="AM59" s="120" t="n">
        <v>0</v>
      </c>
      <c r="AN59" s="118" t="n">
        <v>0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8.4</v>
      </c>
      <c r="C60" s="35" t="n">
        <v>6.6</v>
      </c>
      <c r="D60" s="35" t="n">
        <v>6.6</v>
      </c>
      <c r="E60" s="35" t="n">
        <v>9.6</v>
      </c>
      <c r="F60" s="35" t="n">
        <v>10.8</v>
      </c>
      <c r="G60" s="35" t="n">
        <v>9.600000000000001</v>
      </c>
      <c r="H60" s="35" t="n">
        <v>9</v>
      </c>
      <c r="I60" s="35" t="n">
        <v>6</v>
      </c>
      <c r="J60" s="35" t="n">
        <v>9.599999999999998</v>
      </c>
      <c r="K60" s="35" t="n">
        <v>77.2</v>
      </c>
      <c r="L60" s="35" t="n">
        <v>6.600000000000001</v>
      </c>
      <c r="M60" s="35" t="n">
        <v>7.800000000000001</v>
      </c>
      <c r="N60" s="36">
        <f>SUM(B60:M60)</f>
        <v/>
      </c>
      <c r="O60" s="37">
        <f>SUMIF('MER TB'!$R:$R,'MER P&amp;L'!$A60,'MER TB'!C:C)</f>
        <v/>
      </c>
      <c r="P60" s="37">
        <f>SUMIF('MER TB'!$R:$R,'MER P&amp;L'!$A60,'MER TB'!D:D)</f>
        <v/>
      </c>
      <c r="Q60" s="37">
        <f>SUMIF('MER TB'!$R:$R,'MER P&amp;L'!$A60,'MER TB'!E:E)</f>
        <v/>
      </c>
      <c r="R60" s="37">
        <f>SUMIF('MER TB'!$R:$R,'MER P&amp;L'!$A60,'MER TB'!F:F)</f>
        <v/>
      </c>
      <c r="S60" s="37">
        <f>SUMIF('MER TB'!$R:$R,'MER P&amp;L'!$A60,'MER TB'!G:G)</f>
        <v/>
      </c>
      <c r="T60" s="37">
        <f>SUMIF('MER TB'!$R:$R,'MER P&amp;L'!$A60,'MER TB'!H:H)</f>
        <v/>
      </c>
      <c r="U60" s="37">
        <f>SUMIF('MER TB'!$R:$R,'MER P&amp;L'!$A60,'MER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8" t="n">
        <v>0</v>
      </c>
      <c r="AJ60" s="119" t="n">
        <v>0</v>
      </c>
      <c r="AK60" s="119" t="n">
        <v>0</v>
      </c>
      <c r="AL60" s="119" t="n">
        <v>0</v>
      </c>
      <c r="AM60" s="120" t="n">
        <v>0</v>
      </c>
      <c r="AN60" s="118" t="n">
        <v>0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7.970000000000001</v>
      </c>
      <c r="C61" s="35" t="n">
        <v>14.98</v>
      </c>
      <c r="D61" s="35" t="n">
        <v>30.38</v>
      </c>
      <c r="E61" s="35" t="n">
        <v>0</v>
      </c>
      <c r="F61" s="35" t="n">
        <v>28.17</v>
      </c>
      <c r="G61" s="35" t="n">
        <v>48.89</v>
      </c>
      <c r="H61" s="35" t="n">
        <v>8.98</v>
      </c>
      <c r="I61" s="35" t="n">
        <v>0</v>
      </c>
      <c r="J61" s="35" t="n">
        <v>0</v>
      </c>
      <c r="K61" s="35" t="n">
        <v>0</v>
      </c>
      <c r="L61" s="35" t="n">
        <v>18.97</v>
      </c>
      <c r="M61" s="35" t="n">
        <v>0</v>
      </c>
      <c r="N61" s="36">
        <f>SUM(B61:M61)</f>
        <v/>
      </c>
      <c r="O61" s="37">
        <f>SUMIF('MER TB'!$R:$R,'MER P&amp;L'!$A61,'MER TB'!C:C)</f>
        <v/>
      </c>
      <c r="P61" s="37">
        <f>SUMIF('MER TB'!$R:$R,'MER P&amp;L'!$A61,'MER TB'!D:D)</f>
        <v/>
      </c>
      <c r="Q61" s="37">
        <f>SUMIF('MER TB'!$R:$R,'MER P&amp;L'!$A61,'MER TB'!E:E)</f>
        <v/>
      </c>
      <c r="R61" s="37">
        <f>SUMIF('MER TB'!$R:$R,'MER P&amp;L'!$A61,'MER TB'!F:F)</f>
        <v/>
      </c>
      <c r="S61" s="37">
        <f>SUMIF('MER TB'!$R:$R,'MER P&amp;L'!$A61,'MER TB'!G:G)</f>
        <v/>
      </c>
      <c r="T61" s="37">
        <f>SUMIF('MER TB'!$R:$R,'MER P&amp;L'!$A61,'MER TB'!H:H)</f>
        <v/>
      </c>
      <c r="U61" s="37">
        <f>SUMIF('MER TB'!$R:$R,'MER P&amp;L'!$A61,'MER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8" t="n">
        <v>0</v>
      </c>
      <c r="AJ61" s="119" t="n">
        <v>0</v>
      </c>
      <c r="AK61" s="119" t="n">
        <v>0</v>
      </c>
      <c r="AL61" s="119" t="n">
        <v>0</v>
      </c>
      <c r="AM61" s="120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132</v>
      </c>
      <c r="C62" s="35" t="n">
        <v>110</v>
      </c>
      <c r="D62" s="35" t="n">
        <v>172.91</v>
      </c>
      <c r="E62" s="35" t="n">
        <v>129.17</v>
      </c>
      <c r="F62" s="35" t="n">
        <v>452.34</v>
      </c>
      <c r="G62" s="35" t="n">
        <v>186</v>
      </c>
      <c r="H62" s="35" t="n">
        <v>222.8</v>
      </c>
      <c r="I62" s="35" t="n">
        <v>301.93</v>
      </c>
      <c r="J62" s="35" t="n">
        <v>174.26</v>
      </c>
      <c r="K62" s="35" t="n">
        <v>318.6</v>
      </c>
      <c r="L62" s="35" t="n">
        <v>501</v>
      </c>
      <c r="M62" s="35" t="n">
        <v>438</v>
      </c>
      <c r="N62" s="36">
        <f>SUM(B62:M62)</f>
        <v/>
      </c>
      <c r="O62" s="37">
        <f>SUMIF('MER TB'!$R:$R,'MER P&amp;L'!$A62,'MER TB'!C:C)</f>
        <v/>
      </c>
      <c r="P62" s="37">
        <f>SUMIF('MER TB'!$R:$R,'MER P&amp;L'!$A62,'MER TB'!D:D)</f>
        <v/>
      </c>
      <c r="Q62" s="37">
        <f>SUMIF('MER TB'!$R:$R,'MER P&amp;L'!$A62,'MER TB'!E:E)</f>
        <v/>
      </c>
      <c r="R62" s="37">
        <f>SUMIF('MER TB'!$R:$R,'MER P&amp;L'!$A62,'MER TB'!F:F)</f>
        <v/>
      </c>
      <c r="S62" s="37">
        <f>SUMIF('MER TB'!$R:$R,'MER P&amp;L'!$A62,'MER TB'!G:G)</f>
        <v/>
      </c>
      <c r="T62" s="37">
        <f>SUMIF('MER TB'!$R:$R,'MER P&amp;L'!$A62,'MER TB'!H:H)</f>
        <v/>
      </c>
      <c r="U62" s="37">
        <f>SUMIF('MER TB'!$R:$R,'MER P&amp;L'!$A62,'MER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8" t="n">
        <v>0</v>
      </c>
      <c r="AJ62" s="119" t="n">
        <v>0</v>
      </c>
      <c r="AK62" s="119" t="n">
        <v>0</v>
      </c>
      <c r="AL62" s="119" t="n">
        <v>0</v>
      </c>
      <c r="AM62" s="120" t="n">
        <v>0</v>
      </c>
      <c r="AN62" s="118" t="n">
        <v>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SUMIF('MER TB'!$R:$R,'MER P&amp;L'!$A63,'MER TB'!C:C)</f>
        <v/>
      </c>
      <c r="P63" s="37">
        <f>SUMIF('MER TB'!$R:$R,'MER P&amp;L'!$A63,'MER TB'!D:D)</f>
        <v/>
      </c>
      <c r="Q63" s="37">
        <f>SUMIF('MER TB'!$R:$R,'MER P&amp;L'!$A63,'MER TB'!E:E)</f>
        <v/>
      </c>
      <c r="R63" s="37">
        <f>SUMIF('MER TB'!$R:$R,'MER P&amp;L'!$A63,'MER TB'!F:F)</f>
        <v/>
      </c>
      <c r="S63" s="37">
        <f>SUMIF('MER TB'!$R:$R,'MER P&amp;L'!$A63,'MER TB'!G:G)</f>
        <v/>
      </c>
      <c r="T63" s="37">
        <f>SUMIF('MER TB'!$R:$R,'MER P&amp;L'!$A63,'MER TB'!H:H)</f>
        <v/>
      </c>
      <c r="U63" s="37">
        <f>SUMIF('MER TB'!$R:$R,'MER P&amp;L'!$A63,'MER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8" t="n">
        <v>0</v>
      </c>
      <c r="AJ63" s="119" t="n">
        <v>0</v>
      </c>
      <c r="AK63" s="119" t="n">
        <v>0</v>
      </c>
      <c r="AL63" s="119" t="n">
        <v>0</v>
      </c>
      <c r="AM63" s="120" t="n">
        <v>0</v>
      </c>
      <c r="AN63" s="118" t="n">
        <v>0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SUMIF('MER TB'!$R:$R,'MER P&amp;L'!$A64,'MER TB'!C:C)</f>
        <v/>
      </c>
      <c r="P64" s="37">
        <f>SUMIF('MER TB'!$R:$R,'MER P&amp;L'!$A64,'MER TB'!D:D)</f>
        <v/>
      </c>
      <c r="Q64" s="37">
        <f>SUMIF('MER TB'!$R:$R,'MER P&amp;L'!$A64,'MER TB'!E:E)</f>
        <v/>
      </c>
      <c r="R64" s="37">
        <f>SUMIF('MER TB'!$R:$R,'MER P&amp;L'!$A64,'MER TB'!F:F)</f>
        <v/>
      </c>
      <c r="S64" s="37">
        <f>SUMIF('MER TB'!$R:$R,'MER P&amp;L'!$A64,'MER TB'!G:G)</f>
        <v/>
      </c>
      <c r="T64" s="37">
        <f>SUMIF('MER TB'!$R:$R,'MER P&amp;L'!$A64,'MER TB'!H:H)</f>
        <v/>
      </c>
      <c r="U64" s="37">
        <f>SUMIF('MER TB'!$R:$R,'MER P&amp;L'!$A64,'MER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8" t="n">
        <v>0</v>
      </c>
      <c r="AJ64" s="119" t="n">
        <v>0</v>
      </c>
      <c r="AK64" s="119" t="n">
        <v>0</v>
      </c>
      <c r="AL64" s="119" t="n">
        <v>0</v>
      </c>
      <c r="AM64" s="120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SUMIF('MER TB'!$R:$R,'MER P&amp;L'!$A65,'MER TB'!C:C)</f>
        <v/>
      </c>
      <c r="P65" s="37">
        <f>SUMIF('MER TB'!$R:$R,'MER P&amp;L'!$A65,'MER TB'!D:D)</f>
        <v/>
      </c>
      <c r="Q65" s="37">
        <f>SUMIF('MER TB'!$R:$R,'MER P&amp;L'!$A65,'MER TB'!E:E)</f>
        <v/>
      </c>
      <c r="R65" s="37">
        <f>SUMIF('MER TB'!$R:$R,'MER P&amp;L'!$A65,'MER TB'!F:F)</f>
        <v/>
      </c>
      <c r="S65" s="37">
        <f>SUMIF('MER TB'!$R:$R,'MER P&amp;L'!$A65,'MER TB'!G:G)</f>
        <v/>
      </c>
      <c r="T65" s="37">
        <f>SUMIF('MER TB'!$R:$R,'MER P&amp;L'!$A65,'MER TB'!H:H)</f>
        <v/>
      </c>
      <c r="U65" s="37">
        <f>SUMIF('MER TB'!$R:$R,'MER P&amp;L'!$A65,'MER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8" t="n">
        <v>0</v>
      </c>
      <c r="AJ65" s="119" t="n">
        <v>0</v>
      </c>
      <c r="AK65" s="119" t="n">
        <v>0</v>
      </c>
      <c r="AL65" s="119" t="n">
        <v>0</v>
      </c>
      <c r="AM65" s="120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SUMIF('MER TB'!$R:$R,'MER P&amp;L'!$A66,'MER TB'!C:C)</f>
        <v/>
      </c>
      <c r="P66" s="37">
        <f>SUMIF('MER TB'!$R:$R,'MER P&amp;L'!$A66,'MER TB'!D:D)</f>
        <v/>
      </c>
      <c r="Q66" s="37">
        <f>SUMIF('MER TB'!$R:$R,'MER P&amp;L'!$A66,'MER TB'!E:E)</f>
        <v/>
      </c>
      <c r="R66" s="37">
        <f>SUMIF('MER TB'!$R:$R,'MER P&amp;L'!$A66,'MER TB'!F:F)</f>
        <v/>
      </c>
      <c r="S66" s="37">
        <f>SUMIF('MER TB'!$R:$R,'MER P&amp;L'!$A66,'MER TB'!G:G)</f>
        <v/>
      </c>
      <c r="T66" s="37">
        <f>SUMIF('MER TB'!$R:$R,'MER P&amp;L'!$A66,'MER TB'!H:H)</f>
        <v/>
      </c>
      <c r="U66" s="37">
        <f>SUMIF('MER TB'!$R:$R,'MER P&amp;L'!$A66,'MER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8" t="n">
        <v>0</v>
      </c>
      <c r="AJ66" s="119" t="n">
        <v>0</v>
      </c>
      <c r="AK66" s="119" t="n">
        <v>0</v>
      </c>
      <c r="AL66" s="119" t="n">
        <v>0</v>
      </c>
      <c r="AM66" s="120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SUMIF('MER TB'!$R:$R,'MER P&amp;L'!$A67,'MER TB'!C:C)</f>
        <v/>
      </c>
      <c r="P67" s="37">
        <f>SUMIF('MER TB'!$R:$R,'MER P&amp;L'!$A67,'MER TB'!D:D)</f>
        <v/>
      </c>
      <c r="Q67" s="37">
        <f>SUMIF('MER TB'!$R:$R,'MER P&amp;L'!$A67,'MER TB'!E:E)</f>
        <v/>
      </c>
      <c r="R67" s="37">
        <f>SUMIF('MER TB'!$R:$R,'MER P&amp;L'!$A67,'MER TB'!F:F)</f>
        <v/>
      </c>
      <c r="S67" s="37">
        <f>SUMIF('MER TB'!$R:$R,'MER P&amp;L'!$A67,'MER TB'!G:G)</f>
        <v/>
      </c>
      <c r="T67" s="37">
        <f>SUMIF('MER TB'!$R:$R,'MER P&amp;L'!$A67,'MER TB'!H:H)</f>
        <v/>
      </c>
      <c r="U67" s="37">
        <f>SUMIF('MER TB'!$R:$R,'MER P&amp;L'!$A67,'MER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8" t="n">
        <v>0</v>
      </c>
      <c r="AJ67" s="119" t="n">
        <v>0</v>
      </c>
      <c r="AK67" s="119" t="n">
        <v>0</v>
      </c>
      <c r="AL67" s="119" t="n">
        <v>0</v>
      </c>
      <c r="AM67" s="120" t="n">
        <v>0</v>
      </c>
      <c r="AN67" s="118" t="n">
        <v>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SUMIF('MER TB'!$R:$R,'MER P&amp;L'!$A68,'MER TB'!C:C)</f>
        <v/>
      </c>
      <c r="P68" s="37">
        <f>SUMIF('MER TB'!$R:$R,'MER P&amp;L'!$A68,'MER TB'!D:D)</f>
        <v/>
      </c>
      <c r="Q68" s="37">
        <f>SUMIF('MER TB'!$R:$R,'MER P&amp;L'!$A68,'MER TB'!E:E)</f>
        <v/>
      </c>
      <c r="R68" s="37">
        <f>SUMIF('MER TB'!$R:$R,'MER P&amp;L'!$A68,'MER TB'!F:F)</f>
        <v/>
      </c>
      <c r="S68" s="37">
        <f>SUMIF('MER TB'!$R:$R,'MER P&amp;L'!$A68,'MER TB'!G:G)</f>
        <v/>
      </c>
      <c r="T68" s="37">
        <f>SUMIF('MER TB'!$R:$R,'MER P&amp;L'!$A68,'MER TB'!H:H)</f>
        <v/>
      </c>
      <c r="U68" s="37">
        <f>SUMIF('MER TB'!$R:$R,'MER P&amp;L'!$A68,'MER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8" t="n">
        <v>0</v>
      </c>
      <c r="AJ68" s="119" t="n">
        <v>0</v>
      </c>
      <c r="AK68" s="119" t="n">
        <v>0</v>
      </c>
      <c r="AL68" s="119" t="n">
        <v>0</v>
      </c>
      <c r="AM68" s="120" t="n">
        <v>0</v>
      </c>
      <c r="AN68" s="118" t="n">
        <v>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349.75</v>
      </c>
      <c r="C69" s="42" t="n">
        <v>332.96</v>
      </c>
      <c r="D69" s="42" t="n">
        <v>411.27</v>
      </c>
      <c r="E69" s="42" t="n">
        <v>340.15</v>
      </c>
      <c r="F69" s="42" t="n">
        <v>692.6900000000001</v>
      </c>
      <c r="G69" s="42" t="n">
        <v>445.87</v>
      </c>
      <c r="H69" s="42" t="n">
        <v>442.16</v>
      </c>
      <c r="I69" s="42" t="n">
        <v>509.31</v>
      </c>
      <c r="J69" s="42" t="n">
        <v>385.24</v>
      </c>
      <c r="K69" s="42" t="n">
        <v>610.6</v>
      </c>
      <c r="L69" s="42" t="n">
        <v>741.37</v>
      </c>
      <c r="M69" s="42" t="n">
        <v>1110.6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3">
        <f>SUM(AI53:AI68)</f>
        <v/>
      </c>
      <c r="AJ69" s="124">
        <f>SUM(AJ53:AJ68)</f>
        <v/>
      </c>
      <c r="AK69" s="124">
        <f>SUM(AK53:AK68)</f>
        <v/>
      </c>
      <c r="AL69" s="124">
        <f>SUM(AL53:AL68)</f>
        <v/>
      </c>
      <c r="AM69" s="124">
        <f>SUM(AM53:AM68)</f>
        <v/>
      </c>
      <c r="AN69" s="123">
        <f>SUM(AN53:AN68)</f>
        <v/>
      </c>
      <c r="AO69" s="125">
        <f>SUM(AC69:AH69)+SUM(AI69:AN69)</f>
        <v/>
      </c>
      <c r="AP69" s="126">
        <f>IF(AB69&lt;&gt;0,(AO69-AB69)/ABS(AB69),0)</f>
        <v/>
      </c>
    </row>
    <row r="70">
      <c r="A70" s="54" t="inlineStr">
        <is>
          <t>EBITDA</t>
        </is>
      </c>
      <c r="B70" s="55" t="n">
        <v>54453.13000000001</v>
      </c>
      <c r="C70" s="55" t="n">
        <v>45737.32000000001</v>
      </c>
      <c r="D70" s="55" t="n">
        <v>51270.46</v>
      </c>
      <c r="E70" s="55" t="n">
        <v>52041.93</v>
      </c>
      <c r="F70" s="55" t="n">
        <v>45232.90000000001</v>
      </c>
      <c r="G70" s="55" t="n">
        <v>49194.22000000001</v>
      </c>
      <c r="H70" s="55" t="n">
        <v>96540.91999999998</v>
      </c>
      <c r="I70" s="55" t="n">
        <v>33958.59000000001</v>
      </c>
      <c r="J70" s="55" t="n">
        <v>38675.89999999999</v>
      </c>
      <c r="K70" s="55" t="n">
        <v>31481.03</v>
      </c>
      <c r="L70" s="55" t="n">
        <v>62841.03999999999</v>
      </c>
      <c r="M70" s="55" t="n">
        <v>82058.80999999998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0">
        <f>AI50-AI69</f>
        <v/>
      </c>
      <c r="AJ70" s="140">
        <f>AJ50-AJ69</f>
        <v/>
      </c>
      <c r="AK70" s="140">
        <f>AK50-AK69</f>
        <v/>
      </c>
      <c r="AL70" s="140">
        <f>AL50-AL69</f>
        <v/>
      </c>
      <c r="AM70" s="140">
        <f>AM50-AM69</f>
        <v/>
      </c>
      <c r="AN70" s="140">
        <f>AN50-AN69</f>
        <v/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60">
        <f>SUM(O71:T71)</f>
        <v/>
      </c>
      <c r="AB71" s="56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60">
        <f>SUM(O72:T72)</f>
        <v/>
      </c>
      <c r="AB72" s="56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60" t="inlineStr">
        <is>
          <t>Memo</t>
        </is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60">
        <f>SUM(O73:T73)</f>
        <v/>
      </c>
      <c r="AB73" s="56" t="n"/>
      <c r="AC73" s="8" t="n"/>
      <c r="AD73" s="8" t="n"/>
      <c r="AE73" s="8" t="n"/>
      <c r="AF73" s="8" t="n"/>
      <c r="AG73" s="8" t="n"/>
      <c r="AH73" s="8" t="n"/>
      <c r="AI73" s="148" t="n">
        <v>0</v>
      </c>
      <c r="AJ73" s="148" t="n">
        <v>0</v>
      </c>
      <c r="AK73" s="148" t="n">
        <v>0</v>
      </c>
      <c r="AL73" s="148" t="n">
        <v>0</v>
      </c>
      <c r="AM73" s="148" t="n">
        <v>0</v>
      </c>
      <c r="AN73" s="148" t="n">
        <v>0</v>
      </c>
      <c r="AO73" s="145">
        <f>SUM(AC73:AH73)+SUM(AI73:AN73)</f>
        <v/>
      </c>
      <c r="AP73" s="142">
        <f>IF(AB73&lt;&gt;0,(AO73-AB73)/ABS(AB73),0)</f>
        <v/>
      </c>
    </row>
    <row r="74">
      <c r="A74" s="60" t="inlineStr">
        <is>
          <t>Direct - Sales</t>
        </is>
      </c>
      <c r="B74" s="60" t="n">
        <v>99054.84000000001</v>
      </c>
      <c r="C74" s="60" t="n">
        <v>89561.96000000001</v>
      </c>
      <c r="D74" s="60" t="n">
        <v>101418.69</v>
      </c>
      <c r="E74" s="60" t="n">
        <v>105527.27</v>
      </c>
      <c r="F74" s="60" t="n">
        <v>99296.59</v>
      </c>
      <c r="G74" s="60" t="n">
        <v>96401.51000000001</v>
      </c>
      <c r="H74" s="60" t="n">
        <v>148628.21</v>
      </c>
      <c r="I74" s="60" t="n">
        <v>86681.44</v>
      </c>
      <c r="J74" s="60" t="n">
        <v>92301.73</v>
      </c>
      <c r="K74" s="60" t="n">
        <v>88792</v>
      </c>
      <c r="L74" s="60" t="n">
        <v>109322.33</v>
      </c>
      <c r="M74" s="8" t="n"/>
      <c r="N74" s="8" t="n"/>
      <c r="O74" s="60">
        <f>-SUMIF('MER TB'!$T:$T,'MER P&amp;L'!$A74,'MER TB'!C:C)</f>
        <v/>
      </c>
      <c r="P74" s="60">
        <f>-SUMIF('MER TB'!$T:$T,'MER P&amp;L'!$A74,'MER TB'!D:D)</f>
        <v/>
      </c>
      <c r="Q74" s="60">
        <f>-SUMIF('MER TB'!$T:$T,'MER P&amp;L'!$A74,'MER TB'!E:E)</f>
        <v/>
      </c>
      <c r="R74" s="60">
        <f>-SUMIF('MER TB'!$T:$T,'MER P&amp;L'!$A74,'MER TB'!F:F)</f>
        <v/>
      </c>
      <c r="S74" s="60">
        <f>-SUMIF('MER TB'!$T:$T,'MER P&amp;L'!$A74,'MER TB'!G:G)</f>
        <v/>
      </c>
      <c r="T74" s="60">
        <f>-SUMIF('MER TB'!$T:$T,'MER P&amp;L'!$A74,'MER TB'!H:H)</f>
        <v/>
      </c>
      <c r="U74" s="60">
        <f>-SUMIF('MER TB'!$T:$T,'MER P&amp;L'!$A74,'MER TB'!I:I)</f>
        <v/>
      </c>
      <c r="V74" s="60">
        <f>-SUMIF('MER TB'!$T:$T,'MER P&amp;L'!$A74,'MER TB'!J:J)</f>
        <v/>
      </c>
      <c r="W74" s="60">
        <f>-SUMIF('MER TB'!$T:$T,'MER P&amp;L'!$A74,'MER TB'!K:K)</f>
        <v/>
      </c>
      <c r="X74" s="60">
        <f>-SUMIF('MER TB'!$T:$T,'MER P&amp;L'!$A74,'MER TB'!L:L)</f>
        <v/>
      </c>
      <c r="Y74" s="60">
        <f>-SUMIF('MER TB'!$T:$T,'MER P&amp;L'!$A74,'MER TB'!M:M)</f>
        <v/>
      </c>
      <c r="Z74" s="60">
        <f>-SUMIF('MER TB'!$T:$T,'MER P&amp;L'!$A74,'MER TB'!N:N)</f>
        <v/>
      </c>
      <c r="AA74" s="60">
        <f>SUM(O74:T74)</f>
        <v/>
      </c>
      <c r="AB74" s="8" t="n"/>
      <c r="AC74" s="8" t="n"/>
      <c r="AD74" s="8" t="n"/>
      <c r="AE74" s="8" t="n"/>
      <c r="AF74" s="8" t="n"/>
      <c r="AG74" s="8" t="n"/>
      <c r="AH74" s="8" t="n"/>
      <c r="AI74" s="134" t="n">
        <v>0</v>
      </c>
      <c r="AJ74" s="134" t="n">
        <v>0</v>
      </c>
      <c r="AK74" s="134" t="n">
        <v>0</v>
      </c>
      <c r="AL74" s="134" t="n">
        <v>0</v>
      </c>
      <c r="AM74" s="134" t="n">
        <v>0</v>
      </c>
      <c r="AN74" s="134" t="n">
        <v>0</v>
      </c>
      <c r="AO74" s="145">
        <f>SUM(AC74:AH74)+SUM(AI74:AN74)</f>
        <v/>
      </c>
      <c r="AP74" s="142">
        <f>IF(AB74&lt;&gt;0,(AO74-AB74)/ABS(AB74),0)</f>
        <v/>
      </c>
    </row>
    <row r="75">
      <c r="A75" s="34" t="inlineStr">
        <is>
          <t>Direct - Staff Cost</t>
        </is>
      </c>
      <c r="B75" s="18" t="n">
        <v>-35172.41</v>
      </c>
      <c r="C75" s="18" t="n">
        <v>-35747.46999999999</v>
      </c>
      <c r="D75" s="18" t="n">
        <v>-37292.51</v>
      </c>
      <c r="E75" s="18" t="n">
        <v>-44556.27</v>
      </c>
      <c r="F75" s="18" t="n">
        <v>-44581.99999999999</v>
      </c>
      <c r="G75" s="18" t="n">
        <v>-37022.34</v>
      </c>
      <c r="H75" s="18" t="n">
        <v>-43286.82</v>
      </c>
      <c r="I75" s="18" t="n">
        <v>-43925.56</v>
      </c>
      <c r="J75" s="18" t="n">
        <v>-43620.99000000001</v>
      </c>
      <c r="K75" s="18" t="n">
        <v>-47618.67</v>
      </c>
      <c r="L75" s="18" t="n">
        <v>-37781.48</v>
      </c>
      <c r="M75" s="18" t="n"/>
      <c r="N75" s="8" t="n"/>
      <c r="O75" s="60">
        <f>-SUMIF('MER TB'!$T:$T,'MER P&amp;L'!$A75,'MER TB'!C:C)</f>
        <v/>
      </c>
      <c r="P75" s="60">
        <f>-SUMIF('MER TB'!$T:$T,'MER P&amp;L'!$A75,'MER TB'!D:D)</f>
        <v/>
      </c>
      <c r="Q75" s="60">
        <f>-SUMIF('MER TB'!$T:$T,'MER P&amp;L'!$A75,'MER TB'!E:E)</f>
        <v/>
      </c>
      <c r="R75" s="60">
        <f>-SUMIF('MER TB'!$T:$T,'MER P&amp;L'!$A75,'MER TB'!F:F)</f>
        <v/>
      </c>
      <c r="S75" s="60">
        <f>-SUMIF('MER TB'!$T:$T,'MER P&amp;L'!$A75,'MER TB'!G:G)</f>
        <v/>
      </c>
      <c r="T75" s="60">
        <f>-SUMIF('MER TB'!$T:$T,'MER P&amp;L'!$A75,'MER TB'!H:H)</f>
        <v/>
      </c>
      <c r="U75" s="60">
        <f>-SUMIF('MER TB'!$T:$T,'MER P&amp;L'!$A75,'MER TB'!I:I)</f>
        <v/>
      </c>
      <c r="V75" s="60">
        <f>-SUMIF('MER TB'!$T:$T,'MER P&amp;L'!$A75,'MER TB'!J:J)</f>
        <v/>
      </c>
      <c r="W75" s="60">
        <f>-SUMIF('MER TB'!$T:$T,'MER P&amp;L'!$A75,'MER TB'!K:K)</f>
        <v/>
      </c>
      <c r="X75" s="60">
        <f>-SUMIF('MER TB'!$T:$T,'MER P&amp;L'!$A75,'MER TB'!L:L)</f>
        <v/>
      </c>
      <c r="Y75" s="60">
        <f>-SUMIF('MER TB'!$T:$T,'MER P&amp;L'!$A75,'MER TB'!M:M)</f>
        <v/>
      </c>
      <c r="Z75" s="60">
        <f>-SUMIF('MER TB'!$T:$T,'MER P&amp;L'!$A75,'MER TB'!N:N)</f>
        <v/>
      </c>
      <c r="AA75" s="60">
        <f>SUM(O75:T75)</f>
        <v/>
      </c>
      <c r="AB75" s="8" t="n"/>
      <c r="AC75" s="8" t="n"/>
      <c r="AD75" s="8" t="n"/>
      <c r="AE75" s="8" t="n"/>
      <c r="AF75" s="8" t="n"/>
      <c r="AG75" s="8" t="n"/>
      <c r="AH75" s="8" t="n"/>
      <c r="AI75" s="134" t="n">
        <v>0</v>
      </c>
      <c r="AJ75" s="134" t="n">
        <v>0</v>
      </c>
      <c r="AK75" s="134" t="n">
        <v>0</v>
      </c>
      <c r="AL75" s="134" t="n">
        <v>0</v>
      </c>
      <c r="AM75" s="134" t="n">
        <v>0</v>
      </c>
      <c r="AN75" s="134" t="n">
        <v>0</v>
      </c>
      <c r="AO75" s="144">
        <f>SUM(AC75:AH75)+SUM(AI75:AN75)</f>
        <v/>
      </c>
      <c r="AP75" s="142">
        <f>IF(AB75&lt;&gt;0,(AO75-AB75)/ABS(AB75),0)</f>
        <v/>
      </c>
    </row>
    <row r="76">
      <c r="A76" s="60" t="inlineStr">
        <is>
          <t>Direct - Childcare Cost</t>
        </is>
      </c>
      <c r="B76" s="18" t="n">
        <v>-3313.36</v>
      </c>
      <c r="C76" s="18" t="n">
        <v>-3474.12</v>
      </c>
      <c r="D76" s="18" t="n">
        <v>-3331.34</v>
      </c>
      <c r="E76" s="18" t="n">
        <v>-3151</v>
      </c>
      <c r="F76" s="18" t="n">
        <v>-3728.13</v>
      </c>
      <c r="G76" s="18" t="n">
        <v>-3266.6</v>
      </c>
      <c r="H76" s="18" t="n">
        <v>-3401.36</v>
      </c>
      <c r="I76" s="18" t="n">
        <v>-3274.78</v>
      </c>
      <c r="J76" s="18" t="n">
        <v>-2829.13</v>
      </c>
      <c r="K76" s="18" t="n">
        <v>-4061.12</v>
      </c>
      <c r="L76" s="18" t="n">
        <v>-3326.06</v>
      </c>
      <c r="M76" s="18" t="n">
        <v>-2907.57</v>
      </c>
      <c r="N76" s="8" t="n"/>
      <c r="O76" s="60">
        <f>-SUMIF('MER TB'!$T:$T,'MER P&amp;L'!$A76,'MER TB'!C:C)</f>
        <v/>
      </c>
      <c r="P76" s="60">
        <f>-SUMIF('MER TB'!$T:$T,'MER P&amp;L'!$A76,'MER TB'!D:D)</f>
        <v/>
      </c>
      <c r="Q76" s="60">
        <f>-SUMIF('MER TB'!$T:$T,'MER P&amp;L'!$A76,'MER TB'!E:E)</f>
        <v/>
      </c>
      <c r="R76" s="60">
        <f>-SUMIF('MER TB'!$T:$T,'MER P&amp;L'!$A76,'MER TB'!F:F)</f>
        <v/>
      </c>
      <c r="S76" s="60">
        <f>-SUMIF('MER TB'!$T:$T,'MER P&amp;L'!$A76,'MER TB'!G:G)</f>
        <v/>
      </c>
      <c r="T76" s="60">
        <f>-SUMIF('MER TB'!$T:$T,'MER P&amp;L'!$A76,'MER TB'!H:H)</f>
        <v/>
      </c>
      <c r="U76" s="60">
        <f>-SUMIF('MER TB'!$T:$T,'MER P&amp;L'!$A76,'MER TB'!I:I)</f>
        <v/>
      </c>
      <c r="V76" s="60">
        <f>-SUMIF('MER TB'!$T:$T,'MER P&amp;L'!$A76,'MER TB'!J:J)</f>
        <v/>
      </c>
      <c r="W76" s="60">
        <f>-SUMIF('MER TB'!$T:$T,'MER P&amp;L'!$A76,'MER TB'!K:K)</f>
        <v/>
      </c>
      <c r="X76" s="60">
        <f>-SUMIF('MER TB'!$T:$T,'MER P&amp;L'!$A76,'MER TB'!L:L)</f>
        <v/>
      </c>
      <c r="Y76" s="60">
        <f>-SUMIF('MER TB'!$T:$T,'MER P&amp;L'!$A76,'MER TB'!M:M)</f>
        <v/>
      </c>
      <c r="Z76" s="60">
        <f>-SUMIF('MER TB'!$T:$T,'MER P&amp;L'!$A76,'MER TB'!N:N)</f>
        <v/>
      </c>
      <c r="AA76" s="60">
        <f>SUM(O76:T76)</f>
        <v/>
      </c>
      <c r="AB76" s="8" t="n"/>
      <c r="AC76" s="8" t="n"/>
      <c r="AD76" s="8" t="n"/>
      <c r="AE76" s="8" t="n"/>
      <c r="AF76" s="8" t="n"/>
      <c r="AG76" s="8" t="n"/>
      <c r="AH76" s="8" t="n"/>
      <c r="AI76" s="134" t="n">
        <v>0</v>
      </c>
      <c r="AJ76" s="134" t="n">
        <v>0</v>
      </c>
      <c r="AK76" s="134" t="n">
        <v>0</v>
      </c>
      <c r="AL76" s="134" t="n">
        <v>0</v>
      </c>
      <c r="AM76" s="134" t="n">
        <v>0</v>
      </c>
      <c r="AN76" s="134" t="n">
        <v>0</v>
      </c>
      <c r="AO76" s="144">
        <f>SUM(AC76:AH76)+SUM(AI76:AN76)</f>
        <v/>
      </c>
      <c r="AP76" s="142">
        <f>IF(AB76&lt;&gt;0,(AO76-AB76)/ABS(AB76),0)</f>
        <v/>
      </c>
    </row>
    <row r="77">
      <c r="A77" s="60" t="inlineStr">
        <is>
          <t>Direct - Premises &amp; Admin</t>
        </is>
      </c>
      <c r="B77" s="18" t="n">
        <v>-5766.190000000001</v>
      </c>
      <c r="C77" s="18" t="n">
        <v>-4270.09</v>
      </c>
      <c r="D77" s="18" t="n">
        <v>-9113.110000000001</v>
      </c>
      <c r="E77" s="18" t="n">
        <v>-5437.920000000001</v>
      </c>
      <c r="F77" s="18" t="n">
        <v>-5060.87</v>
      </c>
      <c r="G77" s="18" t="n">
        <v>-6472.48</v>
      </c>
      <c r="H77" s="18" t="n">
        <v>-4956.949999999999</v>
      </c>
      <c r="I77" s="18" t="n">
        <v>-5013.2</v>
      </c>
      <c r="J77" s="18" t="n">
        <v>-6790.469999999999</v>
      </c>
      <c r="K77" s="18" t="n">
        <v>-5020.58</v>
      </c>
      <c r="L77" s="18" t="n">
        <v>-4632.38</v>
      </c>
      <c r="M77" s="18" t="n">
        <v>-5448.130000000001</v>
      </c>
      <c r="N77" s="8" t="n"/>
      <c r="O77" s="60">
        <f>-SUMIF('MER TB'!$T:$T,'MER P&amp;L'!$A77,'MER TB'!C:C)</f>
        <v/>
      </c>
      <c r="P77" s="60">
        <f>-SUMIF('MER TB'!$T:$T,'MER P&amp;L'!$A77,'MER TB'!D:D)</f>
        <v/>
      </c>
      <c r="Q77" s="60">
        <f>-SUMIF('MER TB'!$T:$T,'MER P&amp;L'!$A77,'MER TB'!E:E)</f>
        <v/>
      </c>
      <c r="R77" s="60">
        <f>-SUMIF('MER TB'!$T:$T,'MER P&amp;L'!$A77,'MER TB'!F:F)</f>
        <v/>
      </c>
      <c r="S77" s="60">
        <f>-SUMIF('MER TB'!$T:$T,'MER P&amp;L'!$A77,'MER TB'!G:G)</f>
        <v/>
      </c>
      <c r="T77" s="60">
        <f>-SUMIF('MER TB'!$T:$T,'MER P&amp;L'!$A77,'MER TB'!H:H)</f>
        <v/>
      </c>
      <c r="U77" s="60">
        <f>-SUMIF('MER TB'!$T:$T,'MER P&amp;L'!$A77,'MER TB'!I:I)</f>
        <v/>
      </c>
      <c r="V77" s="60">
        <f>-SUMIF('MER TB'!$T:$T,'MER P&amp;L'!$A77,'MER TB'!J:J)</f>
        <v/>
      </c>
      <c r="W77" s="60">
        <f>-SUMIF('MER TB'!$T:$T,'MER P&amp;L'!$A77,'MER TB'!K:K)</f>
        <v/>
      </c>
      <c r="X77" s="60">
        <f>-SUMIF('MER TB'!$T:$T,'MER P&amp;L'!$A77,'MER TB'!L:L)</f>
        <v/>
      </c>
      <c r="Y77" s="60">
        <f>-SUMIF('MER TB'!$T:$T,'MER P&amp;L'!$A77,'MER TB'!M:M)</f>
        <v/>
      </c>
      <c r="Z77" s="60">
        <f>-SUMIF('MER TB'!$T:$T,'MER P&amp;L'!$A77,'MER TB'!N:N)</f>
        <v/>
      </c>
      <c r="AA77" s="60">
        <f>SUM(O77:T77)</f>
        <v/>
      </c>
      <c r="AB77" s="8" t="n"/>
      <c r="AC77" s="8" t="n"/>
      <c r="AD77" s="8" t="n"/>
      <c r="AE77" s="8" t="n"/>
      <c r="AF77" s="8" t="n"/>
      <c r="AG77" s="8" t="n"/>
      <c r="AH77" s="8" t="n"/>
      <c r="AI77" s="134" t="n">
        <v>0</v>
      </c>
      <c r="AJ77" s="134" t="n">
        <v>0</v>
      </c>
      <c r="AK77" s="134" t="n">
        <v>0</v>
      </c>
      <c r="AL77" s="134" t="n">
        <v>0</v>
      </c>
      <c r="AM77" s="134" t="n">
        <v>0</v>
      </c>
      <c r="AN77" s="134" t="n">
        <v>0</v>
      </c>
      <c r="AO77" s="144">
        <f>SUM(AC77:AH77)+SUM(AI77:AN77)</f>
        <v/>
      </c>
      <c r="AP77" s="142">
        <f>IF(AB77&lt;&gt;0,(AO77-AB77)/ABS(AB77),0)</f>
        <v/>
      </c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8" t="n"/>
      <c r="O78" s="60">
        <f>-SUMIF('MER TB'!$T:$T,'MER P&amp;L'!$A78,'MER TB'!C:C)</f>
        <v/>
      </c>
      <c r="P78" s="60">
        <f>-SUMIF('MER TB'!$T:$T,'MER P&amp;L'!$A78,'MER TB'!D:D)</f>
        <v/>
      </c>
      <c r="Q78" s="60">
        <f>-SUMIF('MER TB'!$T:$T,'MER P&amp;L'!$A78,'MER TB'!E:E)</f>
        <v/>
      </c>
      <c r="R78" s="60">
        <f>-SUMIF('MER TB'!$T:$T,'MER P&amp;L'!$A78,'MER TB'!F:F)</f>
        <v/>
      </c>
      <c r="S78" s="60">
        <f>-SUMIF('MER TB'!$T:$T,'MER P&amp;L'!$A78,'MER TB'!G:G)</f>
        <v/>
      </c>
      <c r="T78" s="60">
        <f>-SUMIF('MER TB'!$T:$T,'MER P&amp;L'!$A78,'MER TB'!H:H)</f>
        <v/>
      </c>
      <c r="U78" s="60">
        <f>-SUMIF('MER TB'!$T:$T,'MER P&amp;L'!$A78,'MER TB'!I:I)</f>
        <v/>
      </c>
      <c r="V78" s="60">
        <f>-SUMIF('MER TB'!$T:$T,'MER P&amp;L'!$A78,'MER TB'!J:J)</f>
        <v/>
      </c>
      <c r="W78" s="60">
        <f>-SUMIF('MER TB'!$T:$T,'MER P&amp;L'!$A78,'MER TB'!K:K)</f>
        <v/>
      </c>
      <c r="X78" s="60">
        <f>-SUMIF('MER TB'!$T:$T,'MER P&amp;L'!$A78,'MER TB'!L:L)</f>
        <v/>
      </c>
      <c r="Y78" s="60">
        <f>-SUMIF('MER TB'!$T:$T,'MER P&amp;L'!$A78,'MER TB'!M:M)</f>
        <v/>
      </c>
      <c r="Z78" s="60">
        <f>-SUMIF('MER TB'!$T:$T,'MER P&amp;L'!$A78,'MER TB'!N:N)</f>
        <v/>
      </c>
      <c r="AA78" s="60">
        <f>SUM(O78:T78)</f>
        <v/>
      </c>
      <c r="AB78" s="8" t="n"/>
      <c r="AC78" s="8" t="n"/>
      <c r="AD78" s="8" t="n"/>
      <c r="AE78" s="8" t="n"/>
      <c r="AF78" s="8" t="n"/>
      <c r="AG78" s="8" t="n"/>
      <c r="AH78" s="8" t="n"/>
      <c r="AI78" s="134" t="n">
        <v>0</v>
      </c>
      <c r="AJ78" s="134" t="n">
        <v>0</v>
      </c>
      <c r="AK78" s="134" t="n">
        <v>0</v>
      </c>
      <c r="AL78" s="134" t="n">
        <v>0</v>
      </c>
      <c r="AM78" s="134" t="n">
        <v>0</v>
      </c>
      <c r="AN78" s="134" t="n">
        <v>0</v>
      </c>
      <c r="AO78" s="144">
        <f>SUM(AC78:AH78)+SUM(AI78:AN78)</f>
        <v/>
      </c>
      <c r="AP78" s="142">
        <f>IF(AB78&lt;&gt;0,(AO78-AB78)/ABS(AB78),0)</f>
        <v/>
      </c>
    </row>
    <row r="79">
      <c r="A79" s="60" t="inlineStr">
        <is>
          <t>In-Direct - Overheads</t>
        </is>
      </c>
      <c r="B79" s="18" t="n">
        <v>-349.75</v>
      </c>
      <c r="C79" s="18" t="n">
        <v>-332.96</v>
      </c>
      <c r="D79" s="18" t="n">
        <v>-411.27</v>
      </c>
      <c r="E79" s="18" t="n">
        <v>-340.15</v>
      </c>
      <c r="F79" s="18" t="n">
        <v>-692.6900000000001</v>
      </c>
      <c r="G79" s="18" t="n">
        <v>-445.87</v>
      </c>
      <c r="H79" s="18" t="n">
        <v>-442.16</v>
      </c>
      <c r="I79" s="18" t="n">
        <v>-509.31</v>
      </c>
      <c r="J79" s="18" t="n">
        <v>-385.24</v>
      </c>
      <c r="K79" s="18" t="n">
        <v>-610.6</v>
      </c>
      <c r="L79" s="18" t="n">
        <v>-741.37</v>
      </c>
      <c r="M79" s="18" t="n">
        <v>-1110.6</v>
      </c>
      <c r="N79" s="8" t="n"/>
      <c r="O79" s="60">
        <f>-SUMIF('MER TB'!$T:$T,'MER P&amp;L'!$A79,'MER TB'!C:C)</f>
        <v/>
      </c>
      <c r="P79" s="60">
        <f>-SUMIF('MER TB'!$T:$T,'MER P&amp;L'!$A79,'MER TB'!D:D)</f>
        <v/>
      </c>
      <c r="Q79" s="60">
        <f>-SUMIF('MER TB'!$T:$T,'MER P&amp;L'!$A79,'MER TB'!E:E)</f>
        <v/>
      </c>
      <c r="R79" s="60">
        <f>-SUMIF('MER TB'!$T:$T,'MER P&amp;L'!$A79,'MER TB'!F:F)</f>
        <v/>
      </c>
      <c r="S79" s="60">
        <f>-SUMIF('MER TB'!$T:$T,'MER P&amp;L'!$A79,'MER TB'!G:G)</f>
        <v/>
      </c>
      <c r="T79" s="60">
        <f>-SUMIF('MER TB'!$T:$T,'MER P&amp;L'!$A79,'MER TB'!H:H)</f>
        <v/>
      </c>
      <c r="U79" s="60">
        <f>-SUMIF('MER TB'!$T:$T,'MER P&amp;L'!$A79,'MER TB'!I:I)</f>
        <v/>
      </c>
      <c r="V79" s="60">
        <f>-SUMIF('MER TB'!$T:$T,'MER P&amp;L'!$A79,'MER TB'!J:J)</f>
        <v/>
      </c>
      <c r="W79" s="60">
        <f>-SUMIF('MER TB'!$T:$T,'MER P&amp;L'!$A79,'MER TB'!K:K)</f>
        <v/>
      </c>
      <c r="X79" s="60">
        <f>-SUMIF('MER TB'!$T:$T,'MER P&amp;L'!$A79,'MER TB'!L:L)</f>
        <v/>
      </c>
      <c r="Y79" s="60">
        <f>-SUMIF('MER TB'!$T:$T,'MER P&amp;L'!$A79,'MER TB'!M:M)</f>
        <v/>
      </c>
      <c r="Z79" s="60">
        <f>-SUMIF('MER TB'!$T:$T,'MER P&amp;L'!$A79,'MER TB'!N:N)</f>
        <v/>
      </c>
      <c r="AA79" s="60">
        <f>SUM(O79:T79)</f>
        <v/>
      </c>
      <c r="AB79" s="8" t="n"/>
      <c r="AC79" s="8" t="n"/>
      <c r="AD79" s="8" t="n"/>
      <c r="AE79" s="8" t="n"/>
      <c r="AF79" s="8" t="n"/>
      <c r="AG79" s="8" t="n"/>
      <c r="AH79" s="8" t="n"/>
      <c r="AI79" s="134" t="n">
        <v>0</v>
      </c>
      <c r="AJ79" s="134" t="n">
        <v>0</v>
      </c>
      <c r="AK79" s="134" t="n">
        <v>0</v>
      </c>
      <c r="AL79" s="134" t="n">
        <v>0</v>
      </c>
      <c r="AM79" s="134" t="n">
        <v>0</v>
      </c>
      <c r="AN79" s="134" t="n">
        <v>0</v>
      </c>
      <c r="AO79" s="144">
        <f>SUM(AC79:AH79)+SUM(AI79:AN79)</f>
        <v/>
      </c>
      <c r="AP79" s="142">
        <f>IF(AB79&lt;&gt;0,(AO79-AB79)/ABS(AB79),0)</f>
        <v/>
      </c>
    </row>
    <row r="80" ht="15.75" customHeight="1">
      <c r="A80" s="8" t="n"/>
      <c r="B80" s="67" t="n">
        <v>54453.13000000001</v>
      </c>
      <c r="C80" s="67" t="n">
        <v>45737.32000000001</v>
      </c>
      <c r="D80" s="67" t="n">
        <v>51270.46</v>
      </c>
      <c r="E80" s="67" t="n">
        <v>52041.93</v>
      </c>
      <c r="F80" s="67" t="n">
        <v>45232.90000000001</v>
      </c>
      <c r="G80" s="67" t="n">
        <v>49194.22000000001</v>
      </c>
      <c r="H80" s="67" t="n">
        <v>96540.91999999998</v>
      </c>
      <c r="I80" s="67" t="n">
        <v>33958.59000000001</v>
      </c>
      <c r="J80" s="67" t="n">
        <v>38675.89999999999</v>
      </c>
      <c r="K80" s="67" t="n">
        <v>31481.03</v>
      </c>
      <c r="L80" s="67" t="n">
        <v>62841.03999999998</v>
      </c>
      <c r="M80" s="67" t="n">
        <v>-9466.300000000001</v>
      </c>
      <c r="N80" s="64" t="n"/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4">
        <f>SUM(V74:V79)</f>
        <v/>
      </c>
      <c r="W80" s="64">
        <f>SUM(W74:W79)</f>
        <v/>
      </c>
      <c r="X80" s="64">
        <f>SUM(X74:X79)</f>
        <v/>
      </c>
      <c r="Y80" s="64">
        <f>SUM(Y74:Y79)</f>
        <v/>
      </c>
      <c r="Z80" s="64">
        <f>SUM(Z74:Z79)</f>
        <v/>
      </c>
      <c r="AA80" s="64">
        <f>SUM(O80:T80)</f>
        <v/>
      </c>
      <c r="AB80" s="8" t="n"/>
      <c r="AC80" s="64" t="n"/>
      <c r="AD80" s="64" t="n"/>
      <c r="AE80" s="64" t="n"/>
      <c r="AF80" s="64" t="n"/>
      <c r="AG80" s="64" t="n"/>
      <c r="AH80" s="64" t="n"/>
      <c r="AI80" s="134" t="n">
        <v>0</v>
      </c>
      <c r="AJ80" s="149" t="n">
        <v>0</v>
      </c>
      <c r="AK80" s="149" t="n">
        <v>0</v>
      </c>
      <c r="AL80" s="149" t="n">
        <v>0</v>
      </c>
      <c r="AM80" s="149" t="n">
        <v>0</v>
      </c>
      <c r="AN80" s="149" t="n">
        <v>0</v>
      </c>
      <c r="AO80" s="150">
        <f>SUM(AC80:AH80)+SUM(AI80:AN80)</f>
        <v/>
      </c>
      <c r="AP80" s="151">
        <f>IF(AB80&lt;&gt;0,(AO80-AB80)/ABS(AB80),0)</f>
        <v/>
      </c>
    </row>
    <row r="81" ht="15.75" customHeight="1">
      <c r="A81" s="8" t="n"/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0</v>
      </c>
      <c r="G81" s="18" t="n">
        <v>0</v>
      </c>
      <c r="H81" s="18" t="n">
        <v>0</v>
      </c>
      <c r="I81" s="18" t="n">
        <v>0</v>
      </c>
      <c r="J81" s="18" t="n">
        <v>0</v>
      </c>
      <c r="K81" s="18" t="n">
        <v>0</v>
      </c>
      <c r="L81" s="18" t="n">
        <v>0</v>
      </c>
      <c r="M81" s="18" t="n">
        <v>91525.10999999999</v>
      </c>
      <c r="N81" s="8" t="n"/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34" t="n">
        <v>0</v>
      </c>
      <c r="AJ81" s="134" t="n">
        <v>0</v>
      </c>
      <c r="AK81" s="134" t="n">
        <v>0</v>
      </c>
      <c r="AL81" s="134" t="n">
        <v>0</v>
      </c>
      <c r="AM81" s="134" t="n">
        <v>0</v>
      </c>
      <c r="AN81" s="134" t="n">
        <v>0</v>
      </c>
      <c r="AO81" s="144">
        <f>SUM(AC81:AH81)+SUM(AI81:AN81)</f>
        <v/>
      </c>
      <c r="AP81" s="142">
        <f>IF(AB81&lt;&gt;0,(AO81-AB81)/ABS(AB81),0)</f>
        <v/>
      </c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18" t="n">
        <v>0</v>
      </c>
      <c r="C83" s="18" t="n">
        <v>0</v>
      </c>
      <c r="D83" s="18" t="n">
        <v>0</v>
      </c>
      <c r="E83" s="18" t="n">
        <v>0</v>
      </c>
      <c r="F83" s="18" t="n">
        <v>0</v>
      </c>
      <c r="G83" s="18" t="n">
        <v>0</v>
      </c>
      <c r="H83" s="18" t="n">
        <v>0</v>
      </c>
      <c r="I83" s="18" t="n">
        <v>0</v>
      </c>
      <c r="J83" s="18" t="n">
        <v>0</v>
      </c>
      <c r="K83" s="18" t="n">
        <v>0</v>
      </c>
      <c r="L83" s="18" t="n">
        <v>0</v>
      </c>
      <c r="M83" s="18" t="n">
        <v>-91525.10999999994</v>
      </c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34" t="n">
        <v>0</v>
      </c>
      <c r="AJ83" s="134" t="n">
        <v>0</v>
      </c>
      <c r="AK83" s="134" t="n">
        <v>0</v>
      </c>
      <c r="AL83" s="134" t="n">
        <v>0</v>
      </c>
      <c r="AM83" s="134" t="n">
        <v>0</v>
      </c>
      <c r="AN83" s="134" t="n">
        <v>0</v>
      </c>
      <c r="AO83" s="144">
        <f>SUM(AC83:AH83)+SUM(AI83:AN83)</f>
        <v/>
      </c>
      <c r="AP83" s="142">
        <f>IF(AB83&lt;&gt;0,(AO83-AB83)/ABS(AB83),0)</f>
        <v/>
      </c>
    </row>
    <row r="84">
      <c r="A84" s="8" t="n"/>
      <c r="B84" s="18" t="n">
        <v>-54453.13000000002</v>
      </c>
      <c r="C84" s="18" t="n">
        <v>-45737.32000000001</v>
      </c>
      <c r="D84" s="18" t="n">
        <v>-51270.45999999998</v>
      </c>
      <c r="E84" s="18" t="n">
        <v>-52041.93000000001</v>
      </c>
      <c r="F84" s="18" t="n">
        <v>-45232.90000000001</v>
      </c>
      <c r="G84" s="18" t="n">
        <v>-49194.22000000001</v>
      </c>
      <c r="H84" s="18" t="n">
        <v>-96540.91999999995</v>
      </c>
      <c r="I84" s="18" t="n">
        <v>-33958.59</v>
      </c>
      <c r="J84" s="18" t="n">
        <v>-38675.89999999999</v>
      </c>
      <c r="K84" s="18" t="n">
        <v>-31481.02999999999</v>
      </c>
      <c r="L84" s="18" t="n">
        <v>-62841.03999999997</v>
      </c>
      <c r="M84" s="18" t="n">
        <v>-82058.80999999994</v>
      </c>
      <c r="N84" s="8" t="n"/>
      <c r="O84" s="60">
        <f>SUM('MER TB'!C2:C43)</f>
        <v/>
      </c>
      <c r="P84" s="60">
        <f>SUM('MER TB'!D2:D43)</f>
        <v/>
      </c>
      <c r="Q84" s="60">
        <f>SUM('MER TB'!E2:E43)</f>
        <v/>
      </c>
      <c r="R84" s="60">
        <f>SUM('MER TB'!F2:F43)</f>
        <v/>
      </c>
      <c r="S84" s="60">
        <f>SUM('MER TB'!G2:G43)</f>
        <v/>
      </c>
      <c r="T84" s="60">
        <f>SUM('MER TB'!H2:H43)</f>
        <v/>
      </c>
      <c r="U84" s="60">
        <f>SUM('MER TB'!I2:I43)</f>
        <v/>
      </c>
      <c r="V84" s="60">
        <f>SUM('MER TB'!J2:J43)</f>
        <v/>
      </c>
      <c r="W84" s="60">
        <f>SUM('MER TB'!K2:K43)</f>
        <v/>
      </c>
      <c r="X84" s="60">
        <f>SUM('MER TB'!L2:L43)</f>
        <v/>
      </c>
      <c r="Y84" s="60">
        <f>SUM('MER TB'!M2:M43)</f>
        <v/>
      </c>
      <c r="Z84" s="60">
        <f>SUM('MER TB'!N2:N43)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134" t="n">
        <v>0</v>
      </c>
      <c r="AJ84" s="134" t="n">
        <v>0</v>
      </c>
      <c r="AK84" s="134" t="n">
        <v>0</v>
      </c>
      <c r="AL84" s="134" t="n">
        <v>0</v>
      </c>
      <c r="AM84" s="134" t="n">
        <v>0</v>
      </c>
      <c r="AN84" s="134" t="n">
        <v>0</v>
      </c>
      <c r="AO84" s="144">
        <f>SUM(AC84:AH84)+SUM(AI84:AN84)</f>
        <v/>
      </c>
      <c r="AP84" s="142">
        <f>IF(AB84&lt;&gt;0,(AO84-AB84)/ABS(AB84),0)</f>
        <v/>
      </c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</sheetData>
  <mergeCells count="1">
    <mergeCell ref="AI1:AQ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5703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Northumberland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9069.939999999999</v>
      </c>
      <c r="C8" s="35" t="n">
        <v>18430.57</v>
      </c>
      <c r="D8" s="35" t="n">
        <v>17723.33</v>
      </c>
      <c r="E8" s="35" t="n">
        <v>21760.34</v>
      </c>
      <c r="F8" s="35" t="n">
        <v>17055.59</v>
      </c>
      <c r="G8" s="35" t="n">
        <v>16125.92</v>
      </c>
      <c r="H8" s="35" t="n">
        <v>23858.59</v>
      </c>
      <c r="I8" s="35" t="n">
        <v>22339.21</v>
      </c>
      <c r="J8" s="35" t="n">
        <v>12468.85</v>
      </c>
      <c r="K8" s="35" t="n">
        <v>12041.45</v>
      </c>
      <c r="L8" s="35" t="n">
        <v>10680.4</v>
      </c>
      <c r="M8" s="35" t="n">
        <v>13644.19</v>
      </c>
      <c r="N8" s="36">
        <f>SUM(B8:M8)</f>
        <v/>
      </c>
      <c r="O8" s="37">
        <f>-SUMIF('XNDN TB'!$R:$R,'NDN P&amp;L'!$A8,'XNDN TB'!C:C)</f>
        <v/>
      </c>
      <c r="P8" s="37">
        <f>-SUMIF('XNDN TB'!$R:$R,'NDN P&amp;L'!$A8,'XNDN TB'!D:D)</f>
        <v/>
      </c>
      <c r="Q8" s="37">
        <f>-SUMIF('XNDN TB'!$R:$R,'NDN P&amp;L'!$A8,'XNDN TB'!E:E)</f>
        <v/>
      </c>
      <c r="R8" s="37">
        <f>-SUMIF('XNDN TB'!$R:$R,'NDN P&amp;L'!$A8,'XNDN TB'!F:F)</f>
        <v/>
      </c>
      <c r="S8" s="37">
        <f>-SUMIF('XNDN TB'!$R:$R,'NDN P&amp;L'!$A8,'XNDN TB'!G:G)</f>
        <v/>
      </c>
      <c r="T8" s="37">
        <f>-SUMIF('XNDN TB'!$R:$R,'NDN P&amp;L'!$A8,'XNDN TB'!H:H)</f>
        <v/>
      </c>
      <c r="U8" s="37">
        <f>-SUMIF('NDN TB'!$R:$R,'NDN P&amp;L'!$A8,'NDN TB'!I:I)</f>
        <v/>
      </c>
      <c r="V8" s="38" t="n">
        <v>18925.87</v>
      </c>
      <c r="W8" s="38" t="n">
        <v>13665</v>
      </c>
      <c r="X8" s="38" t="n">
        <v>13098</v>
      </c>
      <c r="Y8" s="38" t="n">
        <v>12480</v>
      </c>
      <c r="Z8" s="38" t="n">
        <v>17634</v>
      </c>
      <c r="AA8" s="36">
        <f>SUM(O8:U8)</f>
        <v/>
      </c>
      <c r="AB8" s="36">
        <f>SUM(O8:Z8)</f>
        <v/>
      </c>
      <c r="AC8" s="38" t="n">
        <v>34239.39</v>
      </c>
      <c r="AD8" s="38" t="n">
        <v>30110.59</v>
      </c>
      <c r="AE8" s="38" t="n">
        <v>36653.68</v>
      </c>
      <c r="AF8" s="38" t="n">
        <v>33019.73</v>
      </c>
      <c r="AG8" s="38" t="n">
        <v>38452</v>
      </c>
      <c r="AH8" s="38" t="n">
        <v>38834.29</v>
      </c>
      <c r="AI8" s="118" t="n">
        <v>38834.29</v>
      </c>
      <c r="AJ8" s="119" t="n">
        <v>38834.29</v>
      </c>
      <c r="AK8" s="119" t="n">
        <v>38834.29</v>
      </c>
      <c r="AL8" s="119" t="n">
        <v>38834.29</v>
      </c>
      <c r="AM8" s="120" t="n">
        <v>38834.29</v>
      </c>
      <c r="AN8" s="118" t="n">
        <v>38834.29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8345.08</v>
      </c>
      <c r="C9" s="35" t="n">
        <v>5508.8</v>
      </c>
      <c r="D9" s="35" t="n">
        <v>18679.4</v>
      </c>
      <c r="E9" s="35" t="n">
        <v>7516.08</v>
      </c>
      <c r="F9" s="35" t="n">
        <v>7516.08</v>
      </c>
      <c r="G9" s="35" t="n">
        <v>15698.85</v>
      </c>
      <c r="H9" s="35" t="n">
        <v>15698.85</v>
      </c>
      <c r="I9" s="35" t="n">
        <v>0</v>
      </c>
      <c r="J9" s="35" t="n">
        <v>10762.08</v>
      </c>
      <c r="K9" s="35" t="n">
        <v>10762.08</v>
      </c>
      <c r="L9" s="35" t="n">
        <v>12208.56</v>
      </c>
      <c r="M9" s="35" t="n">
        <v>12628.56</v>
      </c>
      <c r="N9" s="36">
        <f>SUM(B9:M9)</f>
        <v/>
      </c>
      <c r="O9" s="37">
        <f>-SUMIF('XNDN TB'!$R:$R,'NDN P&amp;L'!$A9,'XNDN TB'!C:C)</f>
        <v/>
      </c>
      <c r="P9" s="37">
        <f>-SUMIF('XNDN TB'!$R:$R,'NDN P&amp;L'!$A9,'XNDN TB'!D:D)</f>
        <v/>
      </c>
      <c r="Q9" s="37">
        <f>-SUMIF('XNDN TB'!$R:$R,'NDN P&amp;L'!$A9,'XNDN TB'!E:E)</f>
        <v/>
      </c>
      <c r="R9" s="37">
        <f>-SUMIF('XNDN TB'!$R:$R,'NDN P&amp;L'!$A9,'XNDN TB'!F:F)</f>
        <v/>
      </c>
      <c r="S9" s="37">
        <f>-SUMIF('XNDN TB'!$R:$R,'NDN P&amp;L'!$A9,'XNDN TB'!G:G)</f>
        <v/>
      </c>
      <c r="T9" s="37">
        <f>-SUMIF('XNDN TB'!$R:$R,'NDN P&amp;L'!$A9,'XNDN TB'!H:H)</f>
        <v/>
      </c>
      <c r="U9" s="37">
        <f>-SUMIF('NDN TB'!$R:$R,'NDN P&amp;L'!$A9,'NDN TB'!I:I)</f>
        <v/>
      </c>
      <c r="V9" s="38" t="n">
        <v>0</v>
      </c>
      <c r="W9" s="38" t="n">
        <v>17966</v>
      </c>
      <c r="X9" s="38" t="n">
        <v>21983</v>
      </c>
      <c r="Y9" s="38" t="n">
        <v>20994</v>
      </c>
      <c r="Z9" s="38" t="n">
        <v>9662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8" t="n">
        <v>0</v>
      </c>
      <c r="AJ9" s="119" t="n">
        <v>0</v>
      </c>
      <c r="AK9" s="119" t="n">
        <v>0</v>
      </c>
      <c r="AL9" s="119" t="n">
        <v>0</v>
      </c>
      <c r="AM9" s="120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1570.68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-SUMIF('XNDN TB'!$R:$R,'NDN P&amp;L'!$A10,'XNDN TB'!C:C)</f>
        <v/>
      </c>
      <c r="P10" s="37">
        <f>-SUMIF('XNDN TB'!$R:$R,'NDN P&amp;L'!$A10,'XNDN TB'!D:D)</f>
        <v/>
      </c>
      <c r="Q10" s="37">
        <f>-SUMIF('XNDN TB'!$R:$R,'NDN P&amp;L'!$A10,'XNDN TB'!E:E)</f>
        <v/>
      </c>
      <c r="R10" s="37">
        <f>-SUMIF('XNDN TB'!$R:$R,'NDN P&amp;L'!$A10,'XNDN TB'!F:F)</f>
        <v/>
      </c>
      <c r="S10" s="37">
        <f>-SUMIF('XNDN TB'!$R:$R,'NDN P&amp;L'!$A10,'XNDN TB'!G:G)</f>
        <v/>
      </c>
      <c r="T10" s="37">
        <f>-SUMIF('XNDN TB'!$R:$R,'NDN P&amp;L'!$A10,'XNDN TB'!H:H)</f>
        <v/>
      </c>
      <c r="U10" s="37">
        <f>-SUMIF('NDN TB'!$R:$R,'NDN P&amp;L'!$A10,'NDN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8" t="n">
        <v>0</v>
      </c>
      <c r="AJ10" s="119" t="n">
        <v>0</v>
      </c>
      <c r="AK10" s="119" t="n">
        <v>0</v>
      </c>
      <c r="AL10" s="119" t="n">
        <v>0</v>
      </c>
      <c r="AM10" s="120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17415.02</v>
      </c>
      <c r="C11" s="42" t="n">
        <v>23939.37</v>
      </c>
      <c r="D11" s="42" t="n">
        <v>36402.73</v>
      </c>
      <c r="E11" s="42" t="n">
        <v>29276.42</v>
      </c>
      <c r="F11" s="42" t="n">
        <v>24571.67</v>
      </c>
      <c r="G11" s="42" t="n">
        <v>31824.77</v>
      </c>
      <c r="H11" s="42" t="n">
        <v>39557.44</v>
      </c>
      <c r="I11" s="42" t="n">
        <v>23909.89</v>
      </c>
      <c r="J11" s="42" t="n">
        <v>23230.93</v>
      </c>
      <c r="K11" s="42" t="n">
        <v>22803.53</v>
      </c>
      <c r="L11" s="42" t="n">
        <v>22888.96</v>
      </c>
      <c r="M11" s="42" t="n">
        <v>26272.75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3">
        <f>SUM(AI8:AI10)</f>
        <v/>
      </c>
      <c r="AJ11" s="124">
        <f>SUM(AJ8:AJ10)</f>
        <v/>
      </c>
      <c r="AK11" s="124">
        <f>SUM(AK8:AK10)</f>
        <v/>
      </c>
      <c r="AL11" s="124">
        <f>SUM(AL8:AL10)</f>
        <v/>
      </c>
      <c r="AM11" s="124">
        <f>SUM(AM8:AM10)</f>
        <v/>
      </c>
      <c r="AN11" s="123">
        <f>SUM(AN8:AN10)</f>
        <v/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7" t="n">
        <v>0</v>
      </c>
      <c r="AJ12" s="128" t="n">
        <v>0</v>
      </c>
      <c r="AK12" s="128" t="n">
        <v>0</v>
      </c>
      <c r="AL12" s="128" t="n">
        <v>0</v>
      </c>
      <c r="AM12" s="129" t="n">
        <v>0</v>
      </c>
      <c r="AN12" s="127" t="n">
        <v>0</v>
      </c>
      <c r="AO12" s="121">
        <f>SUM(AC12:AH12)+SUM(AI12:AN12)</f>
        <v/>
      </c>
      <c r="AP12" s="122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 t="n">
        <v>0</v>
      </c>
      <c r="AJ13" s="131" t="n">
        <v>0</v>
      </c>
      <c r="AK13" s="131" t="n">
        <v>0</v>
      </c>
      <c r="AL13" s="131" t="n">
        <v>0</v>
      </c>
      <c r="AM13" s="132" t="n">
        <v>0</v>
      </c>
      <c r="AN13" s="130" t="n">
        <v>0</v>
      </c>
      <c r="AO13" s="133">
        <f>SUM(AC13:AH13)+SUM(AI13:AN13)</f>
        <v/>
      </c>
      <c r="AP13" s="122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15019.61</v>
      </c>
      <c r="C16" s="35" t="n">
        <v>16737.5</v>
      </c>
      <c r="D16" s="35" t="n">
        <v>20296.41</v>
      </c>
      <c r="E16" s="35" t="n">
        <v>19844.91</v>
      </c>
      <c r="F16" s="35" t="n">
        <v>20514.57</v>
      </c>
      <c r="G16" s="35" t="n">
        <v>18806.18</v>
      </c>
      <c r="H16" s="35" t="n">
        <v>18874.99</v>
      </c>
      <c r="I16" s="35" t="n">
        <v>15404.24</v>
      </c>
      <c r="J16" s="35" t="n">
        <v>13827.73</v>
      </c>
      <c r="K16" s="35" t="n">
        <v>12859</v>
      </c>
      <c r="L16" s="35" t="n">
        <v>12573.97</v>
      </c>
      <c r="M16" s="35" t="n">
        <v>13485.76</v>
      </c>
      <c r="N16" s="36">
        <f>SUM(B16:M16)</f>
        <v/>
      </c>
      <c r="O16" s="37">
        <f>SUMIF('XNDN TB'!$R:$R,'NDN P&amp;L'!$A16,'XNDN TB'!C:C)</f>
        <v/>
      </c>
      <c r="P16" s="37">
        <f>SUMIF('XNDN TB'!$R:$R,'NDN P&amp;L'!$A16,'XNDN TB'!D:D)</f>
        <v/>
      </c>
      <c r="Q16" s="37">
        <f>SUMIF('XNDN TB'!$R:$R,'NDN P&amp;L'!$A16,'XNDN TB'!E:E)</f>
        <v/>
      </c>
      <c r="R16" s="37">
        <f>SUMIF('XNDN TB'!$R:$R,'NDN P&amp;L'!$A16,'XNDN TB'!F:F)</f>
        <v/>
      </c>
      <c r="S16" s="37">
        <f>SUMIF('XNDN TB'!$R:$R,'NDN P&amp;L'!$A16,'XNDN TB'!G:G)</f>
        <v/>
      </c>
      <c r="T16" s="37">
        <f>SUMIF('XNDN TB'!$R:$R,'NDN P&amp;L'!$A16,'XNDN TB'!H:H)</f>
        <v/>
      </c>
      <c r="U16" s="37">
        <f>SUMIF('NDN TB'!$R:$R,'NDN P&amp;L'!$A16,'NDN TB'!I:I)</f>
        <v/>
      </c>
      <c r="V16" s="38" t="n">
        <v>20507.25</v>
      </c>
      <c r="W16" s="38" t="n">
        <v>20507.25</v>
      </c>
      <c r="X16" s="38" t="n">
        <v>20507.25</v>
      </c>
      <c r="Y16" s="38" t="n">
        <v>20507.25</v>
      </c>
      <c r="Z16" s="38" t="n">
        <v>20507.25</v>
      </c>
      <c r="AA16" s="36">
        <f>SUM(O16:U16)</f>
        <v/>
      </c>
      <c r="AB16" s="36">
        <f>SUM(O16:Z16)</f>
        <v/>
      </c>
      <c r="AC16" s="38" t="n">
        <v>20507.25</v>
      </c>
      <c r="AD16" s="38" t="n">
        <v>20507.25</v>
      </c>
      <c r="AE16" s="38" t="n">
        <v>20507.25</v>
      </c>
      <c r="AF16" s="38" t="n">
        <v>20507.25</v>
      </c>
      <c r="AG16" s="38" t="n">
        <v>20507.25</v>
      </c>
      <c r="AH16" s="38" t="n">
        <v>20507.25</v>
      </c>
      <c r="AI16" s="118" t="n">
        <v>20507.25</v>
      </c>
      <c r="AJ16" s="119" t="n">
        <v>20507.25</v>
      </c>
      <c r="AK16" s="119" t="n">
        <v>20507.25</v>
      </c>
      <c r="AL16" s="119" t="n">
        <v>20507.25</v>
      </c>
      <c r="AM16" s="120" t="n">
        <v>20507.25</v>
      </c>
      <c r="AN16" s="118" t="n">
        <v>20507.25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1126.07</v>
      </c>
      <c r="C17" s="35" t="n">
        <v>1360.14</v>
      </c>
      <c r="D17" s="35" t="n">
        <v>1404.5</v>
      </c>
      <c r="E17" s="35" t="n">
        <v>1975.71</v>
      </c>
      <c r="F17" s="35" t="n">
        <v>2049.66</v>
      </c>
      <c r="G17" s="35" t="n">
        <v>1811.17</v>
      </c>
      <c r="H17" s="35" t="n">
        <v>1985.01</v>
      </c>
      <c r="I17" s="35" t="n">
        <v>1552.22</v>
      </c>
      <c r="J17" s="35" t="n">
        <v>1459.53</v>
      </c>
      <c r="K17" s="35" t="n">
        <v>1396.13</v>
      </c>
      <c r="L17" s="35" t="n">
        <v>1362.29</v>
      </c>
      <c r="M17" s="35" t="n">
        <v>1508.86</v>
      </c>
      <c r="N17" s="36">
        <f>SUM(B17:M17)</f>
        <v/>
      </c>
      <c r="O17" s="37">
        <f>SUMIF('XNDN TB'!$R:$R,'NDN P&amp;L'!$A17,'XNDN TB'!C:C)</f>
        <v/>
      </c>
      <c r="P17" s="37">
        <f>SUMIF('XNDN TB'!$R:$R,'NDN P&amp;L'!$A17,'XNDN TB'!D:D)</f>
        <v/>
      </c>
      <c r="Q17" s="37">
        <f>SUMIF('XNDN TB'!$R:$R,'NDN P&amp;L'!$A17,'XNDN TB'!E:E)</f>
        <v/>
      </c>
      <c r="R17" s="37">
        <f>SUMIF('XNDN TB'!$R:$R,'NDN P&amp;L'!$A17,'XNDN TB'!F:F)</f>
        <v/>
      </c>
      <c r="S17" s="37">
        <f>SUMIF('XNDN TB'!$R:$R,'NDN P&amp;L'!$A17,'XNDN TB'!G:G)</f>
        <v/>
      </c>
      <c r="T17" s="37">
        <f>SUMIF('XNDN TB'!$R:$R,'NDN P&amp;L'!$A17,'XNDN TB'!H:H)</f>
        <v/>
      </c>
      <c r="U17" s="37">
        <f>SUMIF('NDN TB'!$R:$R,'NDN P&amp;L'!$A17,'NDN TB'!I:I)</f>
        <v/>
      </c>
      <c r="V17" s="38" t="n">
        <v>2095.05</v>
      </c>
      <c r="W17" s="38" t="n">
        <v>2095.05</v>
      </c>
      <c r="X17" s="38" t="n">
        <v>2095.05</v>
      </c>
      <c r="Y17" s="38" t="n">
        <v>2095.05</v>
      </c>
      <c r="Z17" s="38" t="n">
        <v>2095.05</v>
      </c>
      <c r="AA17" s="36">
        <f>SUM(O17:U17)</f>
        <v/>
      </c>
      <c r="AB17" s="36">
        <f>SUM(O17:Z17)</f>
        <v/>
      </c>
      <c r="AC17" s="38" t="n">
        <v>2095.05</v>
      </c>
      <c r="AD17" s="38" t="n">
        <v>2095.05</v>
      </c>
      <c r="AE17" s="38" t="n">
        <v>2095.05</v>
      </c>
      <c r="AF17" s="38" t="n">
        <v>2095.05</v>
      </c>
      <c r="AG17" s="38" t="n">
        <v>2095.05</v>
      </c>
      <c r="AH17" s="38" t="n">
        <v>2095.05</v>
      </c>
      <c r="AI17" s="118" t="n">
        <v>2095.05</v>
      </c>
      <c r="AJ17" s="119" t="n">
        <v>2095.05</v>
      </c>
      <c r="AK17" s="119" t="n">
        <v>2095.05</v>
      </c>
      <c r="AL17" s="119" t="n">
        <v>2095.05</v>
      </c>
      <c r="AM17" s="120" t="n">
        <v>2095.05</v>
      </c>
      <c r="AN17" s="118" t="n">
        <v>2095.05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301.87</v>
      </c>
      <c r="C18" s="35" t="n">
        <v>352.12</v>
      </c>
      <c r="D18" s="35" t="n">
        <v>362.42</v>
      </c>
      <c r="E18" s="35" t="n">
        <v>373.48</v>
      </c>
      <c r="F18" s="35" t="n">
        <v>388.28</v>
      </c>
      <c r="G18" s="35" t="n">
        <v>340.58</v>
      </c>
      <c r="H18" s="35" t="n">
        <v>375.35</v>
      </c>
      <c r="I18" s="35" t="n">
        <v>275.05</v>
      </c>
      <c r="J18" s="35" t="n">
        <v>234.69</v>
      </c>
      <c r="K18" s="35" t="n">
        <v>230.34</v>
      </c>
      <c r="L18" s="35" t="n">
        <v>251.05</v>
      </c>
      <c r="M18" s="35" t="n">
        <v>230.68</v>
      </c>
      <c r="N18" s="36">
        <f>SUM(B18:M18)</f>
        <v/>
      </c>
      <c r="O18" s="37">
        <f>SUMIF('XNDN TB'!$R:$R,'NDN P&amp;L'!$A18,'XNDN TB'!C:C)</f>
        <v/>
      </c>
      <c r="P18" s="37">
        <f>SUMIF('XNDN TB'!$R:$R,'NDN P&amp;L'!$A18,'XNDN TB'!D:D)</f>
        <v/>
      </c>
      <c r="Q18" s="37">
        <f>SUMIF('XNDN TB'!$R:$R,'NDN P&amp;L'!$A18,'XNDN TB'!E:E)</f>
        <v/>
      </c>
      <c r="R18" s="37">
        <f>SUMIF('XNDN TB'!$R:$R,'NDN P&amp;L'!$A18,'XNDN TB'!F:F)</f>
        <v/>
      </c>
      <c r="S18" s="37">
        <f>SUMIF('XNDN TB'!$R:$R,'NDN P&amp;L'!$A18,'XNDN TB'!G:G)</f>
        <v/>
      </c>
      <c r="T18" s="37">
        <f>SUMIF('XNDN TB'!$R:$R,'NDN P&amp;L'!$A18,'XNDN TB'!H:H)</f>
        <v/>
      </c>
      <c r="U18" s="37">
        <f>SUMIF('NDN TB'!$R:$R,'NDN P&amp;L'!$A18,'NDN TB'!I:I)</f>
        <v/>
      </c>
      <c r="V18" s="38" t="n">
        <v>345.35</v>
      </c>
      <c r="W18" s="38" t="n">
        <v>345.35</v>
      </c>
      <c r="X18" s="38" t="n">
        <v>345.35</v>
      </c>
      <c r="Y18" s="38" t="n">
        <v>345.35</v>
      </c>
      <c r="Z18" s="38" t="n">
        <v>345.35</v>
      </c>
      <c r="AA18" s="36">
        <f>SUM(O18:U18)</f>
        <v/>
      </c>
      <c r="AB18" s="36">
        <f>SUM(O18:Z18)</f>
        <v/>
      </c>
      <c r="AC18" s="38" t="n">
        <v>345.35</v>
      </c>
      <c r="AD18" s="38" t="n">
        <v>345.35</v>
      </c>
      <c r="AE18" s="38" t="n">
        <v>345.35</v>
      </c>
      <c r="AF18" s="38" t="n">
        <v>345.35</v>
      </c>
      <c r="AG18" s="38" t="n">
        <v>345.35</v>
      </c>
      <c r="AH18" s="38" t="n">
        <v>345.35</v>
      </c>
      <c r="AI18" s="118" t="n">
        <v>345.35</v>
      </c>
      <c r="AJ18" s="119" t="n">
        <v>345.35</v>
      </c>
      <c r="AK18" s="119" t="n">
        <v>345.35</v>
      </c>
      <c r="AL18" s="119" t="n">
        <v>345.35</v>
      </c>
      <c r="AM18" s="120" t="n">
        <v>345.35</v>
      </c>
      <c r="AN18" s="118" t="n">
        <v>345.35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244.02</v>
      </c>
      <c r="D19" s="35" t="n">
        <v>69.48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128.12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>
        <f>SUMIF('XNDN TB'!$R:$R,'NDN P&amp;L'!$A19,'XNDN TB'!C:C)</f>
        <v/>
      </c>
      <c r="P19" s="37">
        <f>SUMIF('XNDN TB'!$R:$R,'NDN P&amp;L'!$A19,'XNDN TB'!D:D)</f>
        <v/>
      </c>
      <c r="Q19" s="37">
        <f>SUMIF('XNDN TB'!$R:$R,'NDN P&amp;L'!$A19,'XNDN TB'!E:E)</f>
        <v/>
      </c>
      <c r="R19" s="37">
        <f>SUMIF('XNDN TB'!$R:$R,'NDN P&amp;L'!$A19,'XNDN TB'!F:F)</f>
        <v/>
      </c>
      <c r="S19" s="37">
        <f>SUMIF('XNDN TB'!$R:$R,'NDN P&amp;L'!$A19,'XNDN TB'!G:G)</f>
        <v/>
      </c>
      <c r="T19" s="37">
        <f>SUMIF('XNDN TB'!$R:$R,'NDN P&amp;L'!$A19,'XNDN TB'!H:H)</f>
        <v/>
      </c>
      <c r="U19" s="37">
        <f>SUMIF('NDN TB'!$R:$R,'NDN P&amp;L'!$A19,'NDN TB'!I:I)</f>
        <v/>
      </c>
      <c r="V19" s="38" t="n">
        <v>34</v>
      </c>
      <c r="W19" s="38" t="n">
        <v>34</v>
      </c>
      <c r="X19" s="38" t="n">
        <v>34</v>
      </c>
      <c r="Y19" s="38" t="n">
        <v>34</v>
      </c>
      <c r="Z19" s="38" t="n">
        <v>34</v>
      </c>
      <c r="AA19" s="36">
        <f>SUM(O19:U19)</f>
        <v/>
      </c>
      <c r="AB19" s="36">
        <f>SUM(O19:Z19)</f>
        <v/>
      </c>
      <c r="AC19" s="38" t="n">
        <v>34</v>
      </c>
      <c r="AD19" s="38" t="n">
        <v>34</v>
      </c>
      <c r="AE19" s="38" t="n">
        <v>34</v>
      </c>
      <c r="AF19" s="38" t="n">
        <v>34</v>
      </c>
      <c r="AG19" s="38" t="n">
        <v>34</v>
      </c>
      <c r="AH19" s="38" t="n">
        <v>34</v>
      </c>
      <c r="AI19" s="118" t="n">
        <v>34</v>
      </c>
      <c r="AJ19" s="119" t="n">
        <v>34</v>
      </c>
      <c r="AK19" s="119" t="n">
        <v>34</v>
      </c>
      <c r="AL19" s="119" t="n">
        <v>34</v>
      </c>
      <c r="AM19" s="120" t="n">
        <v>34</v>
      </c>
      <c r="AN19" s="118" t="n">
        <v>34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81</v>
      </c>
      <c r="C20" s="35" t="n">
        <v>0</v>
      </c>
      <c r="D20" s="35" t="n">
        <v>0</v>
      </c>
      <c r="E20" s="35" t="n">
        <v>0</v>
      </c>
      <c r="F20" s="35" t="n">
        <v>40</v>
      </c>
      <c r="G20" s="35" t="n">
        <v>0</v>
      </c>
      <c r="H20" s="35" t="n">
        <v>0</v>
      </c>
      <c r="I20" s="35" t="n">
        <v>120.3</v>
      </c>
      <c r="J20" s="35" t="n">
        <v>0</v>
      </c>
      <c r="K20" s="35" t="n">
        <v>0</v>
      </c>
      <c r="L20" s="35" t="n">
        <v>0</v>
      </c>
      <c r="M20" s="35" t="n">
        <v>0</v>
      </c>
      <c r="N20" s="36">
        <f>SUM(B20:M20)</f>
        <v/>
      </c>
      <c r="O20" s="37">
        <f>SUMIF('XNDN TB'!$R:$R,'NDN P&amp;L'!$A20,'XNDN TB'!C:C)</f>
        <v/>
      </c>
      <c r="P20" s="37">
        <f>SUMIF('XNDN TB'!$R:$R,'NDN P&amp;L'!$A20,'XNDN TB'!D:D)</f>
        <v/>
      </c>
      <c r="Q20" s="37">
        <f>SUMIF('XNDN TB'!$R:$R,'NDN P&amp;L'!$A20,'XNDN TB'!E:E)</f>
        <v/>
      </c>
      <c r="R20" s="37">
        <f>SUMIF('XNDN TB'!$R:$R,'NDN P&amp;L'!$A20,'XNDN TB'!F:F)</f>
        <v/>
      </c>
      <c r="S20" s="37">
        <f>SUMIF('XNDN TB'!$R:$R,'NDN P&amp;L'!$A20,'XNDN TB'!G:G)</f>
        <v/>
      </c>
      <c r="T20" s="37">
        <f>SUMIF('XNDN TB'!$R:$R,'NDN P&amp;L'!$A20,'XNDN TB'!H:H)</f>
        <v/>
      </c>
      <c r="U20" s="37">
        <f>SUMIF('NDN TB'!$R:$R,'NDN P&amp;L'!$A20,'NDN TB'!I:I)</f>
        <v/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118" t="n">
        <v>100</v>
      </c>
      <c r="AJ20" s="119" t="n">
        <v>100</v>
      </c>
      <c r="AK20" s="119" t="n">
        <v>100</v>
      </c>
      <c r="AL20" s="119" t="n">
        <v>100</v>
      </c>
      <c r="AM20" s="120" t="n">
        <v>100</v>
      </c>
      <c r="AN20" s="118" t="n">
        <v>100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277.83</v>
      </c>
      <c r="C21" s="35" t="n">
        <v>334.72</v>
      </c>
      <c r="D21" s="35" t="n">
        <v>322.62</v>
      </c>
      <c r="E21" s="35" t="n">
        <v>420.75</v>
      </c>
      <c r="F21" s="35" t="n">
        <v>276.6</v>
      </c>
      <c r="G21" s="35" t="n">
        <v>178.34</v>
      </c>
      <c r="H21" s="35" t="n">
        <v>238.53</v>
      </c>
      <c r="I21" s="35" t="n">
        <v>222.62</v>
      </c>
      <c r="J21" s="35" t="n">
        <v>549.52</v>
      </c>
      <c r="K21" s="35" t="n">
        <v>451.66</v>
      </c>
      <c r="L21" s="35" t="n">
        <v>61.96</v>
      </c>
      <c r="M21" s="35" t="n">
        <v>221.31</v>
      </c>
      <c r="N21" s="36">
        <f>SUM(B21:M21)</f>
        <v/>
      </c>
      <c r="O21" s="37">
        <f>SUMIF('XNDN TB'!$R:$R,'NDN P&amp;L'!$A21,'XNDN TB'!C:C)</f>
        <v/>
      </c>
      <c r="P21" s="37">
        <f>SUMIF('XNDN TB'!$R:$R,'NDN P&amp;L'!$A21,'XNDN TB'!D:D)</f>
        <v/>
      </c>
      <c r="Q21" s="37">
        <f>SUMIF('XNDN TB'!$R:$R,'NDN P&amp;L'!$A21,'XNDN TB'!E:E)</f>
        <v/>
      </c>
      <c r="R21" s="37">
        <f>SUMIF('XNDN TB'!$R:$R,'NDN P&amp;L'!$A21,'XNDN TB'!F:F)</f>
        <v/>
      </c>
      <c r="S21" s="37">
        <f>SUMIF('XNDN TB'!$R:$R,'NDN P&amp;L'!$A21,'XNDN TB'!G:G)</f>
        <v/>
      </c>
      <c r="T21" s="37">
        <f>SUMIF('XNDN TB'!$R:$R,'NDN P&amp;L'!$A21,'XNDN TB'!H:H)</f>
        <v/>
      </c>
      <c r="U21" s="37">
        <f>SUMIF('NDN TB'!$R:$R,'NDN P&amp;L'!$A21,'NDN TB'!I:I)</f>
        <v/>
      </c>
      <c r="V21" s="38" t="n">
        <v>70</v>
      </c>
      <c r="W21" s="38" t="n">
        <v>70</v>
      </c>
      <c r="X21" s="38" t="n">
        <v>70</v>
      </c>
      <c r="Y21" s="38" t="n">
        <v>70</v>
      </c>
      <c r="Z21" s="38" t="n">
        <v>70</v>
      </c>
      <c r="AA21" s="36">
        <f>SUM(O21:U21)</f>
        <v/>
      </c>
      <c r="AB21" s="36">
        <f>SUM(O21:Z21)</f>
        <v/>
      </c>
      <c r="AC21" s="38" t="n">
        <v>70</v>
      </c>
      <c r="AD21" s="38" t="n">
        <v>70</v>
      </c>
      <c r="AE21" s="38" t="n">
        <v>70</v>
      </c>
      <c r="AF21" s="38" t="n">
        <v>70</v>
      </c>
      <c r="AG21" s="38" t="n">
        <v>70</v>
      </c>
      <c r="AH21" s="38" t="n">
        <v>70</v>
      </c>
      <c r="AI21" s="118" t="n">
        <v>70</v>
      </c>
      <c r="AJ21" s="119" t="n">
        <v>70</v>
      </c>
      <c r="AK21" s="119" t="n">
        <v>70</v>
      </c>
      <c r="AL21" s="119" t="n">
        <v>70</v>
      </c>
      <c r="AM21" s="120" t="n">
        <v>70</v>
      </c>
      <c r="AN21" s="118" t="n">
        <v>70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SUMIF('XNDN TB'!$R:$R,'NDN P&amp;L'!$A22,'XNDN TB'!C:C)</f>
        <v/>
      </c>
      <c r="P22" s="37">
        <f>SUMIF('XNDN TB'!$R:$R,'NDN P&amp;L'!$A22,'XNDN TB'!D:D)</f>
        <v/>
      </c>
      <c r="Q22" s="37">
        <f>SUMIF('XNDN TB'!$R:$R,'NDN P&amp;L'!$A22,'XNDN TB'!E:E)</f>
        <v/>
      </c>
      <c r="R22" s="37">
        <f>SUMIF('XNDN TB'!$R:$R,'NDN P&amp;L'!$A22,'XNDN TB'!F:F)</f>
        <v/>
      </c>
      <c r="S22" s="37">
        <f>SUMIF('XNDN TB'!$R:$R,'NDN P&amp;L'!$A22,'XNDN TB'!G:G)</f>
        <v/>
      </c>
      <c r="T22" s="37">
        <f>SUMIF('XNDN TB'!$R:$R,'NDN P&amp;L'!$A22,'XNDN TB'!H:H)</f>
        <v/>
      </c>
      <c r="U22" s="37">
        <f>SUMIF('NDN TB'!$R:$R,'NDN P&amp;L'!$A22,'NDN TB'!I:I)</f>
        <v/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118" t="n">
        <v>0</v>
      </c>
      <c r="AJ22" s="119" t="n">
        <v>0</v>
      </c>
      <c r="AK22" s="119" t="n">
        <v>0</v>
      </c>
      <c r="AL22" s="119" t="n">
        <v>0</v>
      </c>
      <c r="AM22" s="120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94.31999999999999</v>
      </c>
      <c r="I23" s="35" t="n">
        <v>111.25</v>
      </c>
      <c r="J23" s="35" t="n">
        <v>84.98999999999999</v>
      </c>
      <c r="K23" s="35" t="n">
        <v>31.36</v>
      </c>
      <c r="L23" s="35" t="n">
        <v>91.53</v>
      </c>
      <c r="M23" s="35" t="n">
        <v>71</v>
      </c>
      <c r="N23" s="36">
        <f>SUM(B23:M23)</f>
        <v/>
      </c>
      <c r="O23" s="37">
        <f>SUMIF('XNDN TB'!$R:$R,'NDN P&amp;L'!$A23,'XNDN TB'!C:C)</f>
        <v/>
      </c>
      <c r="P23" s="37">
        <f>SUMIF('XNDN TB'!$R:$R,'NDN P&amp;L'!$A23,'XNDN TB'!D:D)</f>
        <v/>
      </c>
      <c r="Q23" s="37">
        <f>SUMIF('XNDN TB'!$R:$R,'NDN P&amp;L'!$A23,'XNDN TB'!E:E)</f>
        <v/>
      </c>
      <c r="R23" s="37">
        <f>SUMIF('XNDN TB'!$R:$R,'NDN P&amp;L'!$A23,'XNDN TB'!F:F)</f>
        <v/>
      </c>
      <c r="S23" s="37">
        <f>SUMIF('XNDN TB'!$R:$R,'NDN P&amp;L'!$A23,'XNDN TB'!G:G)</f>
        <v/>
      </c>
      <c r="T23" s="37">
        <f>SUMIF('XNDN TB'!$R:$R,'NDN P&amp;L'!$A23,'XNDN TB'!H:H)</f>
        <v/>
      </c>
      <c r="U23" s="37">
        <f>SUMIF('NDN TB'!$R:$R,'NDN P&amp;L'!$A23,'NDN TB'!I:I)</f>
        <v/>
      </c>
      <c r="V23" s="38" t="n">
        <v>29</v>
      </c>
      <c r="W23" s="38" t="n">
        <v>29</v>
      </c>
      <c r="X23" s="38" t="n">
        <v>29</v>
      </c>
      <c r="Y23" s="38" t="n">
        <v>29</v>
      </c>
      <c r="Z23" s="38" t="n">
        <v>29</v>
      </c>
      <c r="AA23" s="36">
        <f>SUM(O23:U23)</f>
        <v/>
      </c>
      <c r="AB23" s="36">
        <f>SUM(O23:Z23)</f>
        <v/>
      </c>
      <c r="AC23" s="38" t="n">
        <v>29</v>
      </c>
      <c r="AD23" s="38" t="n">
        <v>29</v>
      </c>
      <c r="AE23" s="38" t="n">
        <v>29</v>
      </c>
      <c r="AF23" s="38" t="n">
        <v>29</v>
      </c>
      <c r="AG23" s="38" t="n">
        <v>29</v>
      </c>
      <c r="AH23" s="38" t="n">
        <v>29</v>
      </c>
      <c r="AI23" s="118" t="n">
        <v>29</v>
      </c>
      <c r="AJ23" s="119" t="n">
        <v>29</v>
      </c>
      <c r="AK23" s="119" t="n">
        <v>29</v>
      </c>
      <c r="AL23" s="119" t="n">
        <v>29</v>
      </c>
      <c r="AM23" s="120" t="n">
        <v>29</v>
      </c>
      <c r="AN23" s="118" t="n">
        <v>29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662.49</v>
      </c>
      <c r="L24" s="35" t="n">
        <v>0</v>
      </c>
      <c r="M24" s="35" t="n">
        <v>0</v>
      </c>
      <c r="N24" s="36">
        <f>SUM(B24:M24)</f>
        <v/>
      </c>
      <c r="O24" s="37">
        <f>SUMIF('XNDN TB'!$R:$R,'NDN P&amp;L'!$A24,'XNDN TB'!C:C)</f>
        <v/>
      </c>
      <c r="P24" s="37">
        <f>SUMIF('XNDN TB'!$R:$R,'NDN P&amp;L'!$A24,'XNDN TB'!D:D)</f>
        <v/>
      </c>
      <c r="Q24" s="37">
        <f>SUMIF('XNDN TB'!$R:$R,'NDN P&amp;L'!$A24,'XNDN TB'!E:E)</f>
        <v/>
      </c>
      <c r="R24" s="37">
        <f>SUMIF('XNDN TB'!$R:$R,'NDN P&amp;L'!$A24,'XNDN TB'!F:F)</f>
        <v/>
      </c>
      <c r="S24" s="37">
        <f>SUMIF('XNDN TB'!$R:$R,'NDN P&amp;L'!$A24,'XNDN TB'!G:G)</f>
        <v/>
      </c>
      <c r="T24" s="37">
        <f>SUMIF('XNDN TB'!$R:$R,'NDN P&amp;L'!$A24,'XNDN TB'!H:H)</f>
        <v/>
      </c>
      <c r="U24" s="37">
        <f>SUMIF('NDN TB'!$R:$R,'NDN P&amp;L'!$A24,'NDN TB'!I:I)</f>
        <v/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118" t="n">
        <v>0</v>
      </c>
      <c r="AJ24" s="119" t="n">
        <v>0</v>
      </c>
      <c r="AK24" s="119" t="n">
        <v>0</v>
      </c>
      <c r="AL24" s="119" t="n">
        <v>0</v>
      </c>
      <c r="AM24" s="120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16806.38</v>
      </c>
      <c r="C25" s="42" t="n">
        <v>19028.5</v>
      </c>
      <c r="D25" s="42" t="n">
        <v>22455.43</v>
      </c>
      <c r="E25" s="42" t="n">
        <v>22614.85</v>
      </c>
      <c r="F25" s="42" t="n">
        <v>23269.11</v>
      </c>
      <c r="G25" s="42" t="n">
        <v>21136.27</v>
      </c>
      <c r="H25" s="42" t="n">
        <v>21568.2</v>
      </c>
      <c r="I25" s="42" t="n">
        <v>17685.68</v>
      </c>
      <c r="J25" s="42" t="n">
        <v>16284.58</v>
      </c>
      <c r="K25" s="42" t="n">
        <v>15630.98</v>
      </c>
      <c r="L25" s="42" t="n">
        <v>14340.8</v>
      </c>
      <c r="M25" s="42" t="n">
        <v>15517.61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3">
        <f>SUM(AI16:AI24)</f>
        <v/>
      </c>
      <c r="AJ25" s="124">
        <f>SUM(AJ16:AJ24)</f>
        <v/>
      </c>
      <c r="AK25" s="124">
        <f>SUM(AK16:AK24)</f>
        <v/>
      </c>
      <c r="AL25" s="124">
        <f>SUM(AL16:AL24)</f>
        <v/>
      </c>
      <c r="AM25" s="124">
        <f>SUM(AM16:AM24)</f>
        <v/>
      </c>
      <c r="AN25" s="123">
        <f>SUM(AN16:AN24)</f>
        <v/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7" t="n">
        <v>0</v>
      </c>
      <c r="AJ26" s="128" t="n">
        <v>0</v>
      </c>
      <c r="AK26" s="128" t="n">
        <v>0</v>
      </c>
      <c r="AL26" s="128" t="n">
        <v>0</v>
      </c>
      <c r="AM26" s="129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938.0799999999999</v>
      </c>
      <c r="C27" s="35" t="n">
        <v>1134.85</v>
      </c>
      <c r="D27" s="35" t="n">
        <v>993.1799999999999</v>
      </c>
      <c r="E27" s="35" t="n">
        <v>999.98</v>
      </c>
      <c r="F27" s="35" t="n">
        <v>1390.12</v>
      </c>
      <c r="G27" s="35" t="n">
        <v>1082.31</v>
      </c>
      <c r="H27" s="35" t="n">
        <v>1244.9</v>
      </c>
      <c r="I27" s="35" t="n">
        <v>1523.75</v>
      </c>
      <c r="J27" s="35" t="n">
        <v>904.37</v>
      </c>
      <c r="K27" s="35" t="n">
        <v>917.85</v>
      </c>
      <c r="L27" s="35" t="n">
        <v>1201.67</v>
      </c>
      <c r="M27" s="35" t="n">
        <v>933.79</v>
      </c>
      <c r="N27" s="36">
        <f>SUM(B27:M27)</f>
        <v/>
      </c>
      <c r="O27" s="37">
        <f>SUMIF('XNDN TB'!$R:$R,'NDN P&amp;L'!$A27,'XNDN TB'!C:C)</f>
        <v/>
      </c>
      <c r="P27" s="37">
        <f>SUMIF('XNDN TB'!$R:$R,'NDN P&amp;L'!$A27,'XNDN TB'!D:D)</f>
        <v/>
      </c>
      <c r="Q27" s="37">
        <f>SUMIF('XNDN TB'!$R:$R,'NDN P&amp;L'!$A27,'XNDN TB'!E:E)</f>
        <v/>
      </c>
      <c r="R27" s="37">
        <f>SUMIF('XNDN TB'!$R:$R,'NDN P&amp;L'!$A27,'XNDN TB'!F:F)</f>
        <v/>
      </c>
      <c r="S27" s="37">
        <f>SUMIF('XNDN TB'!$R:$R,'NDN P&amp;L'!$A27,'XNDN TB'!G:G)</f>
        <v/>
      </c>
      <c r="T27" s="37">
        <f>SUMIF('XNDN TB'!$R:$R,'NDN P&amp;L'!$A27,'XNDN TB'!H:H)</f>
        <v/>
      </c>
      <c r="U27" s="37">
        <f>SUMIF('NDN TB'!$R:$R,'NDN P&amp;L'!$A27,'NDN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18" t="n">
        <v>0</v>
      </c>
      <c r="AJ27" s="119" t="n">
        <v>0</v>
      </c>
      <c r="AK27" s="119" t="n">
        <v>0</v>
      </c>
      <c r="AL27" s="119" t="n">
        <v>0</v>
      </c>
      <c r="AM27" s="120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29.07</v>
      </c>
      <c r="C28" s="35" t="n">
        <v>176.61</v>
      </c>
      <c r="D28" s="35" t="n">
        <v>111.88</v>
      </c>
      <c r="E28" s="35" t="n">
        <v>203.06</v>
      </c>
      <c r="F28" s="35" t="n">
        <v>178.9</v>
      </c>
      <c r="G28" s="35" t="n">
        <v>67.28999999999999</v>
      </c>
      <c r="H28" s="35" t="n">
        <v>38</v>
      </c>
      <c r="I28" s="35" t="n">
        <v>105.13</v>
      </c>
      <c r="J28" s="35" t="n">
        <v>220.74</v>
      </c>
      <c r="K28" s="35" t="n">
        <v>4.23</v>
      </c>
      <c r="L28" s="35" t="n">
        <v>126.27</v>
      </c>
      <c r="M28" s="35" t="n">
        <v>48.49</v>
      </c>
      <c r="N28" s="36">
        <f>SUM(B28:M28)</f>
        <v/>
      </c>
      <c r="O28" s="37">
        <f>SUMIF('XNDN TB'!$R:$R,'NDN P&amp;L'!$A28,'XNDN TB'!C:C)</f>
        <v/>
      </c>
      <c r="P28" s="37">
        <f>SUMIF('XNDN TB'!$R:$R,'NDN P&amp;L'!$A28,'XNDN TB'!D:D)</f>
        <v/>
      </c>
      <c r="Q28" s="37">
        <f>SUMIF('XNDN TB'!$R:$R,'NDN P&amp;L'!$A28,'XNDN TB'!E:E)</f>
        <v/>
      </c>
      <c r="R28" s="37">
        <f>SUMIF('XNDN TB'!$R:$R,'NDN P&amp;L'!$A28,'XNDN TB'!F:F)</f>
        <v/>
      </c>
      <c r="S28" s="37">
        <f>SUMIF('XNDN TB'!$R:$R,'NDN P&amp;L'!$A28,'XNDN TB'!G:G)</f>
        <v/>
      </c>
      <c r="T28" s="37">
        <f>SUMIF('XNDN TB'!$R:$R,'NDN P&amp;L'!$A28,'XNDN TB'!H:H)</f>
        <v/>
      </c>
      <c r="U28" s="37">
        <f>SUMIF('NDN TB'!$R:$R,'NDN P&amp;L'!$A28,'NDN TB'!I:I)</f>
        <v/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118" t="n">
        <v>50</v>
      </c>
      <c r="AJ28" s="119" t="n">
        <v>50</v>
      </c>
      <c r="AK28" s="119" t="n">
        <v>50</v>
      </c>
      <c r="AL28" s="119" t="n">
        <v>50</v>
      </c>
      <c r="AM28" s="120" t="n">
        <v>50</v>
      </c>
      <c r="AN28" s="118" t="n">
        <v>50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93.71000000000001</v>
      </c>
      <c r="C29" s="35" t="n">
        <v>111.46</v>
      </c>
      <c r="D29" s="35" t="n">
        <v>79.33</v>
      </c>
      <c r="E29" s="35" t="n">
        <v>37.47</v>
      </c>
      <c r="F29" s="35" t="n">
        <v>54.27</v>
      </c>
      <c r="G29" s="35" t="n">
        <v>2.99</v>
      </c>
      <c r="H29" s="35" t="n">
        <v>0</v>
      </c>
      <c r="I29" s="35" t="n">
        <v>2.99</v>
      </c>
      <c r="J29" s="35" t="n">
        <v>0</v>
      </c>
      <c r="K29" s="35" t="n">
        <v>70.45999999999999</v>
      </c>
      <c r="L29" s="35" t="n">
        <v>14.45</v>
      </c>
      <c r="M29" s="35" t="n">
        <v>0</v>
      </c>
      <c r="N29" s="36">
        <f>SUM(B29:M29)</f>
        <v/>
      </c>
      <c r="O29" s="37">
        <f>SUMIF('XNDN TB'!$R:$R,'NDN P&amp;L'!$A29,'XNDN TB'!C:C)</f>
        <v/>
      </c>
      <c r="P29" s="37">
        <f>SUMIF('XNDN TB'!$R:$R,'NDN P&amp;L'!$A29,'XNDN TB'!D:D)</f>
        <v/>
      </c>
      <c r="Q29" s="37">
        <f>SUMIF('XNDN TB'!$R:$R,'NDN P&amp;L'!$A29,'XNDN TB'!E:E)</f>
        <v/>
      </c>
      <c r="R29" s="37">
        <f>SUMIF('XNDN TB'!$R:$R,'NDN P&amp;L'!$A29,'XNDN TB'!F:F)</f>
        <v/>
      </c>
      <c r="S29" s="37">
        <f>SUMIF('XNDN TB'!$R:$R,'NDN P&amp;L'!$A29,'XNDN TB'!G:G)</f>
        <v/>
      </c>
      <c r="T29" s="37">
        <f>SUMIF('XNDN TB'!$R:$R,'NDN P&amp;L'!$A29,'XNDN TB'!H:H)</f>
        <v/>
      </c>
      <c r="U29" s="37">
        <f>SUMIF('NDN TB'!$R:$R,'NDN P&amp;L'!$A29,'NDN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18" t="n">
        <v>0</v>
      </c>
      <c r="AJ29" s="119" t="n">
        <v>0</v>
      </c>
      <c r="AK29" s="119" t="n">
        <v>0</v>
      </c>
      <c r="AL29" s="119" t="n">
        <v>0</v>
      </c>
      <c r="AM29" s="120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SUMIF('XNDN TB'!$R:$R,'NDN P&amp;L'!$A30,'XNDN TB'!C:C)</f>
        <v/>
      </c>
      <c r="P30" s="37">
        <f>SUMIF('XNDN TB'!$R:$R,'NDN P&amp;L'!$A30,'XNDN TB'!D:D)</f>
        <v/>
      </c>
      <c r="Q30" s="37">
        <f>SUMIF('XNDN TB'!$R:$R,'NDN P&amp;L'!$A30,'XNDN TB'!E:E)</f>
        <v/>
      </c>
      <c r="R30" s="37">
        <f>SUMIF('XNDN TB'!$R:$R,'NDN P&amp;L'!$A30,'XNDN TB'!F:F)</f>
        <v/>
      </c>
      <c r="S30" s="37">
        <f>SUMIF('XNDN TB'!$R:$R,'NDN P&amp;L'!$A30,'XNDN TB'!G:G)</f>
        <v/>
      </c>
      <c r="T30" s="37">
        <f>SUMIF('XNDN TB'!$R:$R,'NDN P&amp;L'!$A30,'XNDN TB'!H:H)</f>
        <v/>
      </c>
      <c r="U30" s="37">
        <f>SUMIF('NDN TB'!$R:$R,'NDN P&amp;L'!$A30,'NDN TB'!I:I)</f>
        <v/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118" t="n">
        <v>100</v>
      </c>
      <c r="AJ30" s="119" t="n">
        <v>100</v>
      </c>
      <c r="AK30" s="119" t="n">
        <v>100</v>
      </c>
      <c r="AL30" s="119" t="n">
        <v>100</v>
      </c>
      <c r="AM30" s="120" t="n">
        <v>100</v>
      </c>
      <c r="AN30" s="118" t="n">
        <v>100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18.98</v>
      </c>
      <c r="C31" s="35" t="n">
        <v>117.79</v>
      </c>
      <c r="D31" s="35" t="n">
        <v>179.68</v>
      </c>
      <c r="E31" s="35" t="n">
        <v>95.60000000000001</v>
      </c>
      <c r="F31" s="35" t="n">
        <v>321.81</v>
      </c>
      <c r="G31" s="35" t="n">
        <v>0</v>
      </c>
      <c r="H31" s="35" t="n">
        <v>95.58</v>
      </c>
      <c r="I31" s="35" t="n">
        <v>134.96</v>
      </c>
      <c r="J31" s="35" t="n">
        <v>0</v>
      </c>
      <c r="K31" s="35" t="n">
        <v>81.06999999999999</v>
      </c>
      <c r="L31" s="35" t="n">
        <v>40.2</v>
      </c>
      <c r="M31" s="35" t="n">
        <v>117.6</v>
      </c>
      <c r="N31" s="36">
        <f>SUM(B31:M31)</f>
        <v/>
      </c>
      <c r="O31" s="37">
        <f>SUMIF('XNDN TB'!$R:$R,'NDN P&amp;L'!$A31,'XNDN TB'!C:C)</f>
        <v/>
      </c>
      <c r="P31" s="37">
        <f>SUMIF('XNDN TB'!$R:$R,'NDN P&amp;L'!$A31,'XNDN TB'!D:D)</f>
        <v/>
      </c>
      <c r="Q31" s="37">
        <f>SUMIF('XNDN TB'!$R:$R,'NDN P&amp;L'!$A31,'XNDN TB'!E:E)</f>
        <v/>
      </c>
      <c r="R31" s="37">
        <f>SUMIF('XNDN TB'!$R:$R,'NDN P&amp;L'!$A31,'XNDN TB'!F:F)</f>
        <v/>
      </c>
      <c r="S31" s="37">
        <f>SUMIF('XNDN TB'!$R:$R,'NDN P&amp;L'!$A31,'XNDN TB'!G:G)</f>
        <v/>
      </c>
      <c r="T31" s="37">
        <f>SUMIF('XNDN TB'!$R:$R,'NDN P&amp;L'!$A31,'XNDN TB'!H:H)</f>
        <v/>
      </c>
      <c r="U31" s="37">
        <f>SUMIF('NDN TB'!$R:$R,'NDN P&amp;L'!$A31,'NDN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8" t="n">
        <v>50</v>
      </c>
      <c r="AJ31" s="119" t="n">
        <v>50</v>
      </c>
      <c r="AK31" s="119" t="n">
        <v>50</v>
      </c>
      <c r="AL31" s="119" t="n">
        <v>50</v>
      </c>
      <c r="AM31" s="120" t="n">
        <v>50</v>
      </c>
      <c r="AN31" s="118" t="n">
        <v>50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78.04000000000001</v>
      </c>
      <c r="C32" s="35" t="n">
        <v>164.73</v>
      </c>
      <c r="D32" s="35" t="n">
        <v>79.87</v>
      </c>
      <c r="E32" s="35" t="n">
        <v>266.59</v>
      </c>
      <c r="F32" s="35" t="n">
        <v>132.46</v>
      </c>
      <c r="G32" s="35" t="n">
        <v>237.19</v>
      </c>
      <c r="H32" s="35" t="n">
        <v>188.47</v>
      </c>
      <c r="I32" s="35" t="n">
        <v>232.28</v>
      </c>
      <c r="J32" s="35" t="n">
        <v>228.68</v>
      </c>
      <c r="K32" s="35" t="n">
        <v>110.27</v>
      </c>
      <c r="L32" s="35" t="n">
        <v>16.43</v>
      </c>
      <c r="M32" s="35" t="n">
        <v>191.93</v>
      </c>
      <c r="N32" s="36">
        <f>SUM(B32:M32)</f>
        <v/>
      </c>
      <c r="O32" s="37">
        <f>SUMIF('XNDN TB'!$R:$R,'NDN P&amp;L'!$A32,'XNDN TB'!C:C)</f>
        <v/>
      </c>
      <c r="P32" s="37">
        <f>SUMIF('XNDN TB'!$R:$R,'NDN P&amp;L'!$A32,'XNDN TB'!D:D)</f>
        <v/>
      </c>
      <c r="Q32" s="37">
        <f>SUMIF('XNDN TB'!$R:$R,'NDN P&amp;L'!$A32,'XNDN TB'!E:E)</f>
        <v/>
      </c>
      <c r="R32" s="37">
        <f>SUMIF('XNDN TB'!$R:$R,'NDN P&amp;L'!$A32,'XNDN TB'!F:F)</f>
        <v/>
      </c>
      <c r="S32" s="37">
        <f>SUMIF('XNDN TB'!$R:$R,'NDN P&amp;L'!$A32,'XNDN TB'!G:G)</f>
        <v/>
      </c>
      <c r="T32" s="37">
        <f>SUMIF('XNDN TB'!$R:$R,'NDN P&amp;L'!$A32,'XNDN TB'!H:H)</f>
        <v/>
      </c>
      <c r="U32" s="37">
        <f>SUMIF('NDN TB'!$R:$R,'NDN P&amp;L'!$A32,'NDN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18" t="n">
        <v>0</v>
      </c>
      <c r="AJ32" s="119" t="n">
        <v>0</v>
      </c>
      <c r="AK32" s="119" t="n">
        <v>0</v>
      </c>
      <c r="AL32" s="119" t="n">
        <v>0</v>
      </c>
      <c r="AM32" s="120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SUMIF('XNDN TB'!$R:$R,'NDN P&amp;L'!$A33,'XNDN TB'!C:C)</f>
        <v/>
      </c>
      <c r="P33" s="37">
        <f>SUMIF('XNDN TB'!$R:$R,'NDN P&amp;L'!$A33,'XNDN TB'!D:D)</f>
        <v/>
      </c>
      <c r="Q33" s="37">
        <f>SUMIF('XNDN TB'!$R:$R,'NDN P&amp;L'!$A33,'XNDN TB'!E:E)</f>
        <v/>
      </c>
      <c r="R33" s="37">
        <f>SUMIF('XNDN TB'!$R:$R,'NDN P&amp;L'!$A33,'XNDN TB'!F:F)</f>
        <v/>
      </c>
      <c r="S33" s="37">
        <f>SUMIF('XNDN TB'!$R:$R,'NDN P&amp;L'!$A33,'XNDN TB'!G:G)</f>
        <v/>
      </c>
      <c r="T33" s="37">
        <f>SUMIF('XNDN TB'!$R:$R,'NDN P&amp;L'!$A33,'XNDN TB'!H:H)</f>
        <v/>
      </c>
      <c r="U33" s="37">
        <f>SUMIF('NDN TB'!$R:$R,'NDN P&amp;L'!$A33,'NDN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8" t="n">
        <v>0</v>
      </c>
      <c r="AJ33" s="119" t="n">
        <v>0</v>
      </c>
      <c r="AK33" s="119" t="n">
        <v>0</v>
      </c>
      <c r="AL33" s="119" t="n">
        <v>0</v>
      </c>
      <c r="AM33" s="120" t="n">
        <v>0</v>
      </c>
      <c r="AN33" s="118" t="n">
        <v>0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1157.88</v>
      </c>
      <c r="C34" s="42" t="n">
        <v>1705.44</v>
      </c>
      <c r="D34" s="42" t="n">
        <v>1443.94</v>
      </c>
      <c r="E34" s="42" t="n">
        <v>1602.7</v>
      </c>
      <c r="F34" s="42" t="n">
        <v>2077.56</v>
      </c>
      <c r="G34" s="42" t="n">
        <v>1389.78</v>
      </c>
      <c r="H34" s="42" t="n">
        <v>1566.95</v>
      </c>
      <c r="I34" s="42" t="n">
        <v>1999.11</v>
      </c>
      <c r="J34" s="42" t="n">
        <v>1353.79</v>
      </c>
      <c r="K34" s="42" t="n">
        <v>1183.88</v>
      </c>
      <c r="L34" s="42" t="n">
        <v>1399.02</v>
      </c>
      <c r="M34" s="42" t="n">
        <v>1291.81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3">
        <f>SUM(AI27:AI33)</f>
        <v/>
      </c>
      <c r="AJ34" s="124">
        <f>SUM(AJ27:AJ33)</f>
        <v/>
      </c>
      <c r="AK34" s="124">
        <f>SUM(AK27:AK33)</f>
        <v/>
      </c>
      <c r="AL34" s="124">
        <f>SUM(AL27:AL33)</f>
        <v/>
      </c>
      <c r="AM34" s="124">
        <f>SUM(AM27:AM33)</f>
        <v/>
      </c>
      <c r="AN34" s="123">
        <f>SUM(AN27:AN33)</f>
        <v/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7" t="n">
        <v>0</v>
      </c>
      <c r="AJ35" s="128" t="n">
        <v>0</v>
      </c>
      <c r="AK35" s="128" t="n">
        <v>0</v>
      </c>
      <c r="AL35" s="128" t="n">
        <v>0</v>
      </c>
      <c r="AM35" s="129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SUMIF('XNDN TB'!$R:$R,'NDN P&amp;L'!$A36,'XNDN TB'!C:C)</f>
        <v/>
      </c>
      <c r="P36" s="37">
        <f>SUMIF('XNDN TB'!$R:$R,'NDN P&amp;L'!$A36,'XNDN TB'!D:D)</f>
        <v/>
      </c>
      <c r="Q36" s="37">
        <f>SUMIF('XNDN TB'!$R:$R,'NDN P&amp;L'!$A36,'XNDN TB'!E:E)</f>
        <v/>
      </c>
      <c r="R36" s="37">
        <f>SUMIF('XNDN TB'!$R:$R,'NDN P&amp;L'!$A36,'XNDN TB'!F:F)</f>
        <v/>
      </c>
      <c r="S36" s="37">
        <f>SUMIF('XNDN TB'!$R:$R,'NDN P&amp;L'!$A36,'XNDN TB'!G:G)</f>
        <v/>
      </c>
      <c r="T36" s="37">
        <f>SUMIF('XNDN TB'!$R:$R,'NDN P&amp;L'!$A36,'XNDN TB'!H:H)</f>
        <v/>
      </c>
      <c r="U36" s="37">
        <f>SUMIF('NDN TB'!$R:$R,'NDN P&amp;L'!$A36,'NDN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8" t="n">
        <v>0</v>
      </c>
      <c r="AJ36" s="119" t="n">
        <v>0</v>
      </c>
      <c r="AK36" s="119" t="n">
        <v>0</v>
      </c>
      <c r="AL36" s="119" t="n">
        <v>0</v>
      </c>
      <c r="AM36" s="120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1101.96</v>
      </c>
      <c r="C37" s="35" t="n">
        <v>1101.96</v>
      </c>
      <c r="D37" s="35" t="n">
        <v>1101.96</v>
      </c>
      <c r="E37" s="35" t="n">
        <v>1101.96</v>
      </c>
      <c r="F37" s="35" t="n">
        <v>1101.96</v>
      </c>
      <c r="G37" s="35" t="n">
        <v>1101.96</v>
      </c>
      <c r="H37" s="35" t="n">
        <v>1101.96</v>
      </c>
      <c r="I37" s="35" t="n">
        <v>1101.96</v>
      </c>
      <c r="J37" s="35" t="n">
        <v>1101.96</v>
      </c>
      <c r="K37" s="35" t="n">
        <v>1101.96</v>
      </c>
      <c r="L37" s="35" t="n">
        <v>1101.96</v>
      </c>
      <c r="M37" s="35" t="n">
        <v>1101.96</v>
      </c>
      <c r="N37" s="36">
        <f>SUM(B37:M37)</f>
        <v/>
      </c>
      <c r="O37" s="37">
        <f>SUMIF('XNDN TB'!$R:$R,'NDN P&amp;L'!$A37,'XNDN TB'!C:C)</f>
        <v/>
      </c>
      <c r="P37" s="37">
        <f>SUMIF('XNDN TB'!$R:$R,'NDN P&amp;L'!$A37,'XNDN TB'!D:D)</f>
        <v/>
      </c>
      <c r="Q37" s="37">
        <f>SUMIF('XNDN TB'!$R:$R,'NDN P&amp;L'!$A37,'XNDN TB'!E:E)</f>
        <v/>
      </c>
      <c r="R37" s="37">
        <f>SUMIF('XNDN TB'!$R:$R,'NDN P&amp;L'!$A37,'XNDN TB'!F:F)</f>
        <v/>
      </c>
      <c r="S37" s="37">
        <f>SUMIF('XNDN TB'!$R:$R,'NDN P&amp;L'!$A37,'XNDN TB'!G:G)</f>
        <v/>
      </c>
      <c r="T37" s="37">
        <f>SUMIF('XNDN TB'!$R:$R,'NDN P&amp;L'!$A37,'XNDN TB'!H:H)</f>
        <v/>
      </c>
      <c r="U37" s="37">
        <f>SUMIF('NDN TB'!$R:$R,'NDN P&amp;L'!$A37,'NDN TB'!I:I)</f>
        <v/>
      </c>
      <c r="V37" s="38" t="n">
        <v>1267</v>
      </c>
      <c r="W37" s="38" t="n">
        <v>1267</v>
      </c>
      <c r="X37" s="38" t="n">
        <v>1267</v>
      </c>
      <c r="Y37" s="38" t="n">
        <v>1267</v>
      </c>
      <c r="Z37" s="38" t="n">
        <v>1267</v>
      </c>
      <c r="AA37" s="36">
        <f>SUM(O37:U37)</f>
        <v/>
      </c>
      <c r="AB37" s="36">
        <f>SUM(O37:Z37)</f>
        <v/>
      </c>
      <c r="AC37" s="38" t="n">
        <v>1267</v>
      </c>
      <c r="AD37" s="38" t="n">
        <v>1267</v>
      </c>
      <c r="AE37" s="38" t="n">
        <v>1267</v>
      </c>
      <c r="AF37" s="38" t="n">
        <v>1267</v>
      </c>
      <c r="AG37" s="38" t="n">
        <v>1267</v>
      </c>
      <c r="AH37" s="38" t="n">
        <v>1267</v>
      </c>
      <c r="AI37" s="118" t="n">
        <v>1267</v>
      </c>
      <c r="AJ37" s="119" t="n">
        <v>1267</v>
      </c>
      <c r="AK37" s="119" t="n">
        <v>1267</v>
      </c>
      <c r="AL37" s="119" t="n">
        <v>1267</v>
      </c>
      <c r="AM37" s="120" t="n">
        <v>1267</v>
      </c>
      <c r="AN37" s="118" t="n">
        <v>1267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3375.89</v>
      </c>
      <c r="C38" s="35" t="n">
        <v>56.38000000000182</v>
      </c>
      <c r="D38" s="35" t="n">
        <v>2478.53</v>
      </c>
      <c r="E38" s="35" t="n">
        <v>2657.12</v>
      </c>
      <c r="F38" s="35" t="n">
        <v>1738.13</v>
      </c>
      <c r="G38" s="35" t="n">
        <v>942.84</v>
      </c>
      <c r="H38" s="35" t="n">
        <v>1984.28</v>
      </c>
      <c r="I38" s="35" t="n">
        <v>159.04</v>
      </c>
      <c r="J38" s="35" t="n">
        <v>-2054.4</v>
      </c>
      <c r="K38" s="35" t="n">
        <v>2069.1</v>
      </c>
      <c r="L38" s="35" t="n">
        <v>2303.05</v>
      </c>
      <c r="M38" s="35" t="n">
        <v>1297.49</v>
      </c>
      <c r="N38" s="36">
        <f>SUM(B38:M38)</f>
        <v/>
      </c>
      <c r="O38" s="37">
        <f>SUMIF('XNDN TB'!$R:$R,'NDN P&amp;L'!$A38,'XNDN TB'!C:C)</f>
        <v/>
      </c>
      <c r="P38" s="37">
        <f>SUMIF('XNDN TB'!$R:$R,'NDN P&amp;L'!$A38,'XNDN TB'!D:D)</f>
        <v/>
      </c>
      <c r="Q38" s="37">
        <f>SUMIF('XNDN TB'!$R:$R,'NDN P&amp;L'!$A38,'XNDN TB'!E:E)</f>
        <v/>
      </c>
      <c r="R38" s="37">
        <f>SUMIF('XNDN TB'!$R:$R,'NDN P&amp;L'!$A38,'XNDN TB'!F:F)</f>
        <v/>
      </c>
      <c r="S38" s="37">
        <f>SUMIF('XNDN TB'!$R:$R,'NDN P&amp;L'!$A38,'XNDN TB'!G:G)</f>
        <v/>
      </c>
      <c r="T38" s="37">
        <f>SUMIF('XNDN TB'!$R:$R,'NDN P&amp;L'!$A38,'XNDN TB'!H:H)</f>
        <v/>
      </c>
      <c r="U38" s="37">
        <f>SUMIF('NDN TB'!$R:$R,'NDN P&amp;L'!$A38,'NDN TB'!I:I)</f>
        <v/>
      </c>
      <c r="V38" s="38" t="n">
        <v>2300</v>
      </c>
      <c r="W38" s="38" t="n">
        <v>2300</v>
      </c>
      <c r="X38" s="38" t="n">
        <v>2300</v>
      </c>
      <c r="Y38" s="38" t="n">
        <v>2300</v>
      </c>
      <c r="Z38" s="38" t="n">
        <v>2300</v>
      </c>
      <c r="AA38" s="36">
        <f>SUM(O38:U38)</f>
        <v/>
      </c>
      <c r="AB38" s="36">
        <f>SUM(O38:Z38)</f>
        <v/>
      </c>
      <c r="AC38" s="38" t="n">
        <v>2300</v>
      </c>
      <c r="AD38" s="38" t="n">
        <v>2300</v>
      </c>
      <c r="AE38" s="38" t="n">
        <v>2300</v>
      </c>
      <c r="AF38" s="38" t="n">
        <v>2300</v>
      </c>
      <c r="AG38" s="38" t="n">
        <v>2300</v>
      </c>
      <c r="AH38" s="38" t="n">
        <v>2300</v>
      </c>
      <c r="AI38" s="118" t="n">
        <v>2300</v>
      </c>
      <c r="AJ38" s="119" t="n">
        <v>2300</v>
      </c>
      <c r="AK38" s="119" t="n">
        <v>2300</v>
      </c>
      <c r="AL38" s="119" t="n">
        <v>2300</v>
      </c>
      <c r="AM38" s="120" t="n">
        <v>2300</v>
      </c>
      <c r="AN38" s="118" t="n">
        <v>2300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17.94</v>
      </c>
      <c r="C39" s="35" t="n">
        <v>37.48</v>
      </c>
      <c r="D39" s="35" t="n">
        <v>566.99</v>
      </c>
      <c r="E39" s="35" t="n">
        <v>245.93</v>
      </c>
      <c r="F39" s="35" t="n">
        <v>270.95</v>
      </c>
      <c r="G39" s="35" t="n">
        <v>671.05</v>
      </c>
      <c r="H39" s="35" t="n">
        <v>0</v>
      </c>
      <c r="I39" s="35" t="n">
        <v>0</v>
      </c>
      <c r="J39" s="35" t="n">
        <v>22.7</v>
      </c>
      <c r="K39" s="35" t="n">
        <v>192.88</v>
      </c>
      <c r="L39" s="35" t="n">
        <v>0</v>
      </c>
      <c r="M39" s="35" t="n">
        <v>125.67</v>
      </c>
      <c r="N39" s="36">
        <f>SUM(B39:M39)</f>
        <v/>
      </c>
      <c r="O39" s="37">
        <f>SUMIF('XNDN TB'!$R:$R,'NDN P&amp;L'!$A39,'XNDN TB'!C:C)</f>
        <v/>
      </c>
      <c r="P39" s="37">
        <f>SUMIF('XNDN TB'!$R:$R,'NDN P&amp;L'!$A39,'XNDN TB'!D:D)</f>
        <v/>
      </c>
      <c r="Q39" s="37">
        <f>SUMIF('XNDN TB'!$R:$R,'NDN P&amp;L'!$A39,'XNDN TB'!E:E)</f>
        <v/>
      </c>
      <c r="R39" s="37">
        <f>SUMIF('XNDN TB'!$R:$R,'NDN P&amp;L'!$A39,'XNDN TB'!F:F)</f>
        <v/>
      </c>
      <c r="S39" s="37">
        <f>SUMIF('XNDN TB'!$R:$R,'NDN P&amp;L'!$A39,'XNDN TB'!G:G)</f>
        <v/>
      </c>
      <c r="T39" s="37">
        <f>SUMIF('XNDN TB'!$R:$R,'NDN P&amp;L'!$A39,'XNDN TB'!H:H)</f>
        <v/>
      </c>
      <c r="U39" s="37">
        <f>SUMIF('NDN TB'!$R:$R,'NDN P&amp;L'!$A39,'NDN TB'!I:I)</f>
        <v/>
      </c>
      <c r="V39" s="38" t="n">
        <v>2000</v>
      </c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8" t="n">
        <v>0</v>
      </c>
      <c r="AJ39" s="119" t="n">
        <v>0</v>
      </c>
      <c r="AK39" s="119" t="n">
        <v>0</v>
      </c>
      <c r="AL39" s="119" t="n">
        <v>0</v>
      </c>
      <c r="AM39" s="120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138.22</v>
      </c>
      <c r="C40" s="35" t="n">
        <v>106.33</v>
      </c>
      <c r="D40" s="35" t="n">
        <v>113.34</v>
      </c>
      <c r="E40" s="35" t="n">
        <v>182.89</v>
      </c>
      <c r="F40" s="35" t="n">
        <v>308.21</v>
      </c>
      <c r="G40" s="35" t="n">
        <v>17.18</v>
      </c>
      <c r="H40" s="35" t="n">
        <v>311.14</v>
      </c>
      <c r="I40" s="35" t="n">
        <v>96.34999999999999</v>
      </c>
      <c r="J40" s="35" t="n">
        <v>107.78</v>
      </c>
      <c r="K40" s="35" t="n">
        <v>191.11</v>
      </c>
      <c r="L40" s="35" t="n">
        <v>142.97</v>
      </c>
      <c r="M40" s="35" t="n">
        <v>35.48</v>
      </c>
      <c r="N40" s="36">
        <f>SUM(B40:M40)</f>
        <v/>
      </c>
      <c r="O40" s="37">
        <f>SUMIF('XNDN TB'!$R:$R,'NDN P&amp;L'!$A40,'XNDN TB'!C:C)</f>
        <v/>
      </c>
      <c r="P40" s="37">
        <f>SUMIF('XNDN TB'!$R:$R,'NDN P&amp;L'!$A40,'XNDN TB'!D:D)</f>
        <v/>
      </c>
      <c r="Q40" s="37">
        <f>SUMIF('XNDN TB'!$R:$R,'NDN P&amp;L'!$A40,'XNDN TB'!E:E)</f>
        <v/>
      </c>
      <c r="R40" s="37">
        <f>SUMIF('XNDN TB'!$R:$R,'NDN P&amp;L'!$A40,'XNDN TB'!F:F)</f>
        <v/>
      </c>
      <c r="S40" s="37">
        <f>SUMIF('XNDN TB'!$R:$R,'NDN P&amp;L'!$A40,'XNDN TB'!G:G)</f>
        <v/>
      </c>
      <c r="T40" s="37">
        <f>SUMIF('XNDN TB'!$R:$R,'NDN P&amp;L'!$A40,'XNDN TB'!H:H)</f>
        <v/>
      </c>
      <c r="U40" s="37">
        <f>SUMIF('NDN TB'!$R:$R,'NDN P&amp;L'!$A40,'NDN TB'!I:I)</f>
        <v/>
      </c>
      <c r="V40" s="38" t="n">
        <v>165</v>
      </c>
      <c r="W40" s="38" t="n">
        <v>165</v>
      </c>
      <c r="X40" s="38" t="n">
        <v>165</v>
      </c>
      <c r="Y40" s="38" t="n">
        <v>165</v>
      </c>
      <c r="Z40" s="38" t="n">
        <v>165</v>
      </c>
      <c r="AA40" s="36">
        <f>SUM(O40:U40)</f>
        <v/>
      </c>
      <c r="AB40" s="36">
        <f>SUM(O40:Z40)</f>
        <v/>
      </c>
      <c r="AC40" s="38" t="n">
        <v>165</v>
      </c>
      <c r="AD40" s="38" t="n">
        <v>165</v>
      </c>
      <c r="AE40" s="38" t="n">
        <v>165</v>
      </c>
      <c r="AF40" s="38" t="n">
        <v>165</v>
      </c>
      <c r="AG40" s="38" t="n">
        <v>165</v>
      </c>
      <c r="AH40" s="38" t="n">
        <v>165</v>
      </c>
      <c r="AI40" s="118" t="n">
        <v>165</v>
      </c>
      <c r="AJ40" s="119" t="n">
        <v>165</v>
      </c>
      <c r="AK40" s="119" t="n">
        <v>165</v>
      </c>
      <c r="AL40" s="119" t="n">
        <v>165</v>
      </c>
      <c r="AM40" s="120" t="n">
        <v>165</v>
      </c>
      <c r="AN40" s="118" t="n">
        <v>165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352.3</v>
      </c>
      <c r="C41" s="35" t="n">
        <v>253.9</v>
      </c>
      <c r="D41" s="35" t="n">
        <v>403.3</v>
      </c>
      <c r="E41" s="35" t="n">
        <v>346.77</v>
      </c>
      <c r="F41" s="35" t="n">
        <v>393.52</v>
      </c>
      <c r="G41" s="35" t="n">
        <v>424.55</v>
      </c>
      <c r="H41" s="35" t="n">
        <v>328.24</v>
      </c>
      <c r="I41" s="35" t="n">
        <v>328.24</v>
      </c>
      <c r="J41" s="35" t="n">
        <v>489.35</v>
      </c>
      <c r="K41" s="35" t="n">
        <v>438.01</v>
      </c>
      <c r="L41" s="35" t="n">
        <v>355.75</v>
      </c>
      <c r="M41" s="35" t="n">
        <v>452.0599999999999</v>
      </c>
      <c r="N41" s="36">
        <f>SUM(B41:M41)</f>
        <v/>
      </c>
      <c r="O41" s="37">
        <f>SUMIF('XNDN TB'!$R:$R,'NDN P&amp;L'!$A41,'XNDN TB'!C:C)</f>
        <v/>
      </c>
      <c r="P41" s="37">
        <f>SUMIF('XNDN TB'!$R:$R,'NDN P&amp;L'!$A41,'XNDN TB'!D:D)</f>
        <v/>
      </c>
      <c r="Q41" s="37">
        <f>SUMIF('XNDN TB'!$R:$R,'NDN P&amp;L'!$A41,'XNDN TB'!E:E)</f>
        <v/>
      </c>
      <c r="R41" s="37">
        <f>SUMIF('XNDN TB'!$R:$R,'NDN P&amp;L'!$A41,'XNDN TB'!F:F)</f>
        <v/>
      </c>
      <c r="S41" s="37">
        <f>SUMIF('XNDN TB'!$R:$R,'NDN P&amp;L'!$A41,'XNDN TB'!G:G)</f>
        <v/>
      </c>
      <c r="T41" s="37">
        <f>SUMIF('XNDN TB'!$R:$R,'NDN P&amp;L'!$A41,'XNDN TB'!H:H)</f>
        <v/>
      </c>
      <c r="U41" s="37">
        <f>SUMIF('NDN TB'!$R:$R,'NDN P&amp;L'!$A41,'NDN TB'!I:I)</f>
        <v/>
      </c>
      <c r="V41" s="38" t="n">
        <v>370</v>
      </c>
      <c r="W41" s="38" t="n">
        <v>370</v>
      </c>
      <c r="X41" s="38" t="n">
        <v>370</v>
      </c>
      <c r="Y41" s="38" t="n">
        <v>370</v>
      </c>
      <c r="Z41" s="38" t="n">
        <v>370</v>
      </c>
      <c r="AA41" s="36">
        <f>SUM(O41:U41)</f>
        <v/>
      </c>
      <c r="AB41" s="36">
        <f>SUM(O41:Z41)</f>
        <v/>
      </c>
      <c r="AC41" s="38" t="n">
        <v>370</v>
      </c>
      <c r="AD41" s="38" t="n">
        <v>370</v>
      </c>
      <c r="AE41" s="38" t="n">
        <v>370</v>
      </c>
      <c r="AF41" s="38" t="n">
        <v>370</v>
      </c>
      <c r="AG41" s="38" t="n">
        <v>370</v>
      </c>
      <c r="AH41" s="38" t="n">
        <v>370</v>
      </c>
      <c r="AI41" s="118" t="n">
        <v>370</v>
      </c>
      <c r="AJ41" s="119" t="n">
        <v>370</v>
      </c>
      <c r="AK41" s="119" t="n">
        <v>370</v>
      </c>
      <c r="AL41" s="119" t="n">
        <v>370</v>
      </c>
      <c r="AM41" s="120" t="n">
        <v>370</v>
      </c>
      <c r="AN41" s="118" t="n">
        <v>370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132.08</v>
      </c>
      <c r="C42" s="35" t="n">
        <v>23.77</v>
      </c>
      <c r="D42" s="35" t="n">
        <v>72.49000000000001</v>
      </c>
      <c r="E42" s="35" t="n">
        <v>482.1900000000001</v>
      </c>
      <c r="F42" s="35" t="n">
        <v>465.37</v>
      </c>
      <c r="G42" s="35" t="n">
        <v>479.21</v>
      </c>
      <c r="H42" s="35" t="n">
        <v>-785.59</v>
      </c>
      <c r="I42" s="35" t="n">
        <v>463.76</v>
      </c>
      <c r="J42" s="35" t="n">
        <v>480.54</v>
      </c>
      <c r="K42" s="35" t="n">
        <v>434.84</v>
      </c>
      <c r="L42" s="35" t="n">
        <v>480.36</v>
      </c>
      <c r="M42" s="35" t="n">
        <v>476.84</v>
      </c>
      <c r="N42" s="36">
        <f>SUM(B42:M42)</f>
        <v/>
      </c>
      <c r="O42" s="37">
        <f>SUMIF('XNDN TB'!$R:$R,'NDN P&amp;L'!$A42,'XNDN TB'!C:C)</f>
        <v/>
      </c>
      <c r="P42" s="37">
        <f>SUMIF('XNDN TB'!$R:$R,'NDN P&amp;L'!$A42,'XNDN TB'!D:D)</f>
        <v/>
      </c>
      <c r="Q42" s="37">
        <f>SUMIF('XNDN TB'!$R:$R,'NDN P&amp;L'!$A42,'XNDN TB'!E:E)</f>
        <v/>
      </c>
      <c r="R42" s="37">
        <f>SUMIF('XNDN TB'!$R:$R,'NDN P&amp;L'!$A42,'XNDN TB'!F:F)</f>
        <v/>
      </c>
      <c r="S42" s="37">
        <f>SUMIF('XNDN TB'!$R:$R,'NDN P&amp;L'!$A42,'XNDN TB'!G:G)</f>
        <v/>
      </c>
      <c r="T42" s="37">
        <f>SUMIF('XNDN TB'!$R:$R,'NDN P&amp;L'!$A42,'XNDN TB'!H:H)</f>
        <v/>
      </c>
      <c r="U42" s="37">
        <f>SUMIF('NDN TB'!$R:$R,'NDN P&amp;L'!$A42,'NDN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8" t="n">
        <v>0</v>
      </c>
      <c r="AJ42" s="119" t="n">
        <v>0</v>
      </c>
      <c r="AK42" s="119" t="n">
        <v>0</v>
      </c>
      <c r="AL42" s="119" t="n">
        <v>0</v>
      </c>
      <c r="AM42" s="120" t="n">
        <v>0</v>
      </c>
      <c r="AN42" s="118" t="n">
        <v>0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SUMIF('XNDN TB'!$R:$R,'NDN P&amp;L'!$A43,'XNDN TB'!C:C)</f>
        <v/>
      </c>
      <c r="P43" s="37">
        <f>SUMIF('XNDN TB'!$R:$R,'NDN P&amp;L'!$A43,'XNDN TB'!D:D)</f>
        <v/>
      </c>
      <c r="Q43" s="37">
        <f>SUMIF('XNDN TB'!$R:$R,'NDN P&amp;L'!$A43,'XNDN TB'!E:E)</f>
        <v/>
      </c>
      <c r="R43" s="37">
        <f>SUMIF('XNDN TB'!$R:$R,'NDN P&amp;L'!$A43,'XNDN TB'!F:F)</f>
        <v/>
      </c>
      <c r="S43" s="37">
        <f>SUMIF('XNDN TB'!$R:$R,'NDN P&amp;L'!$A43,'XNDN TB'!G:G)</f>
        <v/>
      </c>
      <c r="T43" s="37">
        <f>SUMIF('XNDN TB'!$R:$R,'NDN P&amp;L'!$A43,'XNDN TB'!H:H)</f>
        <v/>
      </c>
      <c r="U43" s="37">
        <f>SUMIF('NDN TB'!$R:$R,'NDN P&amp;L'!$A43,'NDN TB'!I:I)</f>
        <v/>
      </c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118" t="n">
        <v>0</v>
      </c>
      <c r="AJ43" s="119" t="n">
        <v>0</v>
      </c>
      <c r="AK43" s="119" t="n">
        <v>0</v>
      </c>
      <c r="AL43" s="119" t="n">
        <v>0</v>
      </c>
      <c r="AM43" s="120" t="n">
        <v>0</v>
      </c>
      <c r="AN43" s="118" t="n">
        <v>0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SUMIF('XNDN TB'!$R:$R,'NDN P&amp;L'!$A44,'XNDN TB'!C:C)</f>
        <v/>
      </c>
      <c r="P44" s="37">
        <f>SUMIF('XNDN TB'!$R:$R,'NDN P&amp;L'!$A44,'XNDN TB'!D:D)</f>
        <v/>
      </c>
      <c r="Q44" s="37">
        <f>SUMIF('XNDN TB'!$R:$R,'NDN P&amp;L'!$A44,'XNDN TB'!E:E)</f>
        <v/>
      </c>
      <c r="R44" s="37">
        <f>SUMIF('XNDN TB'!$R:$R,'NDN P&amp;L'!$A44,'XNDN TB'!F:F)</f>
        <v/>
      </c>
      <c r="S44" s="37">
        <f>SUMIF('XNDN TB'!$R:$R,'NDN P&amp;L'!$A44,'XNDN TB'!G:G)</f>
        <v/>
      </c>
      <c r="T44" s="37">
        <f>SUMIF('XNDN TB'!$R:$R,'NDN P&amp;L'!$A44,'XNDN TB'!H:H)</f>
        <v/>
      </c>
      <c r="U44" s="37">
        <f>SUMIF('NDN TB'!$R:$R,'NDN P&amp;L'!$A44,'NDN TB'!I:I)</f>
        <v/>
      </c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118" t="n">
        <v>0</v>
      </c>
      <c r="AJ44" s="119" t="n">
        <v>0</v>
      </c>
      <c r="AK44" s="119" t="n">
        <v>0</v>
      </c>
      <c r="AL44" s="119" t="n">
        <v>0</v>
      </c>
      <c r="AM44" s="120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SUMIF('XNDN TB'!$R:$R,'NDN P&amp;L'!$A45,'XNDN TB'!C:C)</f>
        <v/>
      </c>
      <c r="P45" s="37">
        <f>SUMIF('XNDN TB'!$R:$R,'NDN P&amp;L'!$A45,'XNDN TB'!D:D)</f>
        <v/>
      </c>
      <c r="Q45" s="37">
        <f>SUMIF('XNDN TB'!$R:$R,'NDN P&amp;L'!$A45,'XNDN TB'!E:E)</f>
        <v/>
      </c>
      <c r="R45" s="37">
        <f>SUMIF('XNDN TB'!$R:$R,'NDN P&amp;L'!$A45,'XNDN TB'!F:F)</f>
        <v/>
      </c>
      <c r="S45" s="37">
        <f>SUMIF('XNDN TB'!$R:$R,'NDN P&amp;L'!$A45,'XNDN TB'!G:G)</f>
        <v/>
      </c>
      <c r="T45" s="37">
        <f>SUMIF('XNDN TB'!$R:$R,'NDN P&amp;L'!$A45,'XNDN TB'!H:H)</f>
        <v/>
      </c>
      <c r="U45" s="37">
        <f>SUMIF('NDN TB'!$R:$R,'NDN P&amp;L'!$A45,'NDN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8" t="n">
        <v>100</v>
      </c>
      <c r="AJ45" s="119" t="n">
        <v>100</v>
      </c>
      <c r="AK45" s="119" t="n">
        <v>100</v>
      </c>
      <c r="AL45" s="119" t="n">
        <v>100</v>
      </c>
      <c r="AM45" s="120" t="n">
        <v>100</v>
      </c>
      <c r="AN45" s="118" t="n">
        <v>100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SUMIF('XNDN TB'!$R:$R,'NDN P&amp;L'!$A46,'XNDN TB'!C:C)</f>
        <v/>
      </c>
      <c r="P46" s="37">
        <f>SUMIF('XNDN TB'!$R:$R,'NDN P&amp;L'!$A46,'XNDN TB'!D:D)</f>
        <v/>
      </c>
      <c r="Q46" s="37">
        <f>SUMIF('XNDN TB'!$R:$R,'NDN P&amp;L'!$A46,'XNDN TB'!E:E)</f>
        <v/>
      </c>
      <c r="R46" s="37">
        <f>SUMIF('XNDN TB'!$R:$R,'NDN P&amp;L'!$A46,'XNDN TB'!F:F)</f>
        <v/>
      </c>
      <c r="S46" s="37">
        <f>SUMIF('XNDN TB'!$R:$R,'NDN P&amp;L'!$A46,'XNDN TB'!G:G)</f>
        <v/>
      </c>
      <c r="T46" s="37">
        <f>SUMIF('XNDN TB'!$R:$R,'NDN P&amp;L'!$A46,'XNDN TB'!H:H)</f>
        <v/>
      </c>
      <c r="U46" s="37">
        <f>SUMIF('NDN TB'!$R:$R,'NDN P&amp;L'!$A46,'NDN TB'!I:I)</f>
        <v/>
      </c>
      <c r="V46" s="38" t="n"/>
      <c r="W46" s="38" t="n"/>
      <c r="X46" s="38" t="n"/>
      <c r="Y46" s="38" t="n"/>
      <c r="Z46" s="38" t="n"/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118" t="n">
        <v>0</v>
      </c>
      <c r="AJ46" s="119" t="n">
        <v>0</v>
      </c>
      <c r="AK46" s="119" t="n">
        <v>0</v>
      </c>
      <c r="AL46" s="119" t="n">
        <v>0</v>
      </c>
      <c r="AM46" s="120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5118.39</v>
      </c>
      <c r="C47" s="42" t="n">
        <v>1579.820000000002</v>
      </c>
      <c r="D47" s="42" t="n">
        <v>4736.610000000001</v>
      </c>
      <c r="E47" s="42" t="n">
        <v>5016.860000000001</v>
      </c>
      <c r="F47" s="42" t="n">
        <v>4278.14</v>
      </c>
      <c r="G47" s="42" t="n">
        <v>3636.79</v>
      </c>
      <c r="H47" s="42" t="n">
        <v>2940.03</v>
      </c>
      <c r="I47" s="42" t="n">
        <v>2149.35</v>
      </c>
      <c r="J47" s="42" t="n">
        <v>147.9299999999999</v>
      </c>
      <c r="K47" s="42" t="n">
        <v>4427.900000000001</v>
      </c>
      <c r="L47" s="42" t="n">
        <v>4384.09</v>
      </c>
      <c r="M47" s="42" t="n">
        <v>3489.5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3">
        <f>SUM(AI36:AI46)</f>
        <v/>
      </c>
      <c r="AJ47" s="124">
        <f>SUM(AJ36:AJ46)</f>
        <v/>
      </c>
      <c r="AK47" s="124">
        <f>SUM(AK36:AK46)</f>
        <v/>
      </c>
      <c r="AL47" s="124">
        <f>SUM(AL36:AL46)</f>
        <v/>
      </c>
      <c r="AM47" s="137">
        <f>SUM(AM36:AM46)</f>
        <v/>
      </c>
      <c r="AN47" s="123">
        <f>SUM(AN36:AN46)</f>
        <v/>
      </c>
      <c r="AO47" s="125">
        <f>SUM(AC47:AH47)+SUM(AI47:AN47)</f>
        <v/>
      </c>
      <c r="AP47" s="126">
        <f>IF(AB47&lt;&gt;0,(AO47-AB47)/ABS(AB47),0)</f>
        <v/>
      </c>
    </row>
    <row r="48">
      <c r="A48" s="22" t="inlineStr">
        <is>
          <t>Total Direct Costs</t>
        </is>
      </c>
      <c r="B48" s="23" t="n">
        <v>23082.65</v>
      </c>
      <c r="C48" s="23" t="n">
        <v>22313.76</v>
      </c>
      <c r="D48" s="23" t="n">
        <v>28635.98</v>
      </c>
      <c r="E48" s="23" t="n">
        <v>29234.41</v>
      </c>
      <c r="F48" s="23" t="n">
        <v>29624.81</v>
      </c>
      <c r="G48" s="23" t="n">
        <v>26162.84</v>
      </c>
      <c r="H48" s="23" t="n">
        <v>26075.18</v>
      </c>
      <c r="I48" s="23" t="n">
        <v>21834.14</v>
      </c>
      <c r="J48" s="23" t="n">
        <v>17786.3</v>
      </c>
      <c r="K48" s="23" t="n">
        <v>21242.76</v>
      </c>
      <c r="L48" s="23" t="n">
        <v>20123.91</v>
      </c>
      <c r="M48" s="23" t="n">
        <v>20298.92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3">
        <f>AI25+AI34+AI47</f>
        <v/>
      </c>
      <c r="AJ48" s="147">
        <f>AJ25+AJ34+AJ47</f>
        <v/>
      </c>
      <c r="AK48" s="147">
        <f>AK25+AK34+AK47</f>
        <v/>
      </c>
      <c r="AL48" s="147">
        <f>AL25+AL34+AL47</f>
        <v/>
      </c>
      <c r="AM48" s="147">
        <f>AM25+AM34+AM47</f>
        <v/>
      </c>
      <c r="AN48" s="123">
        <f>AN25+AN34+AN47</f>
        <v/>
      </c>
      <c r="AO48" s="121">
        <f>SUM(AC48:AH48)+SUM(AI48:AN48)</f>
        <v/>
      </c>
      <c r="AP48" s="122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-5667.630000000005</v>
      </c>
      <c r="C50" s="55" t="n">
        <v>1625.609999999997</v>
      </c>
      <c r="D50" s="55" t="n">
        <v>7766.750000000007</v>
      </c>
      <c r="E50" s="55" t="n">
        <v>42.0099999999984</v>
      </c>
      <c r="F50" s="55" t="n">
        <v>-5053.139999999999</v>
      </c>
      <c r="G50" s="55" t="n">
        <v>5661.93</v>
      </c>
      <c r="H50" s="55" t="n">
        <v>13482.26000000001</v>
      </c>
      <c r="I50" s="55" t="n">
        <v>2075.750000000004</v>
      </c>
      <c r="J50" s="55" t="n">
        <v>5444.629999999997</v>
      </c>
      <c r="K50" s="55" t="n">
        <v>1560.769999999997</v>
      </c>
      <c r="L50" s="55" t="n">
        <v>2765.050000000003</v>
      </c>
      <c r="M50" s="55" t="n">
        <v>5973.829999999998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6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0">
        <f>AI11-AI48</f>
        <v/>
      </c>
      <c r="AJ50" s="140">
        <f>AJ11-AJ48</f>
        <v/>
      </c>
      <c r="AK50" s="140">
        <f>AK11-AK48</f>
        <v/>
      </c>
      <c r="AL50" s="140">
        <f>AL11-AL48</f>
        <v/>
      </c>
      <c r="AM50" s="140">
        <f>AM11-AM48</f>
        <v/>
      </c>
      <c r="AN50" s="140">
        <f>AN11-AN48</f>
        <v/>
      </c>
      <c r="AO50" s="141">
        <f>SUM(AC50:AH50)+SUM(AI50:AN50)</f>
        <v/>
      </c>
      <c r="AP50" s="14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SUMIF('XNDN TB'!$R:$R,'NDN P&amp;L'!$A53,'XNDN TB'!C:C)</f>
        <v/>
      </c>
      <c r="P53" s="37">
        <f>SUMIF('XNDN TB'!$R:$R,'NDN P&amp;L'!$A53,'XNDN TB'!D:D)</f>
        <v/>
      </c>
      <c r="Q53" s="37">
        <f>SUMIF('XNDN TB'!$R:$R,'NDN P&amp;L'!$A53,'XNDN TB'!E:E)</f>
        <v/>
      </c>
      <c r="R53" s="37">
        <f>SUMIF('XNDN TB'!$R:$R,'NDN P&amp;L'!$A53,'XNDN TB'!F:F)</f>
        <v/>
      </c>
      <c r="S53" s="37">
        <f>SUMIF('XNDN TB'!$R:$R,'NDN P&amp;L'!$A53,'XNDN TB'!G:G)</f>
        <v/>
      </c>
      <c r="T53" s="37">
        <f>SUMIF('XNDN TB'!$R:$R,'NDN P&amp;L'!$A53,'XNDN TB'!H:H)</f>
        <v/>
      </c>
      <c r="U53" s="37">
        <f>SUMIF('NDN TB'!$R:$R,'NDN P&amp;L'!$A53,'NDN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8" t="n">
        <v>0</v>
      </c>
      <c r="AJ53" s="119" t="n">
        <v>0</v>
      </c>
      <c r="AK53" s="119" t="n">
        <v>0</v>
      </c>
      <c r="AL53" s="119" t="n">
        <v>0</v>
      </c>
      <c r="AM53" s="120" t="n">
        <v>0</v>
      </c>
      <c r="AN53" s="118" t="n">
        <v>0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SUMIF('XNDN TB'!$R:$R,'NDN P&amp;L'!$A54,'XNDN TB'!C:C)</f>
        <v/>
      </c>
      <c r="P54" s="37">
        <f>SUMIF('XNDN TB'!$R:$R,'NDN P&amp;L'!$A54,'XNDN TB'!D:D)</f>
        <v/>
      </c>
      <c r="Q54" s="37">
        <f>SUMIF('XNDN TB'!$R:$R,'NDN P&amp;L'!$A54,'XNDN TB'!E:E)</f>
        <v/>
      </c>
      <c r="R54" s="37">
        <f>SUMIF('XNDN TB'!$R:$R,'NDN P&amp;L'!$A54,'XNDN TB'!F:F)</f>
        <v/>
      </c>
      <c r="S54" s="37">
        <f>SUMIF('XNDN TB'!$R:$R,'NDN P&amp;L'!$A54,'XNDN TB'!G:G)</f>
        <v/>
      </c>
      <c r="T54" s="37">
        <f>SUMIF('XNDN TB'!$R:$R,'NDN P&amp;L'!$A54,'XNDN TB'!H:H)</f>
        <v/>
      </c>
      <c r="U54" s="37">
        <f>SUMIF('NDN TB'!$R:$R,'NDN P&amp;L'!$A54,'NDN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8" t="n">
        <v>0</v>
      </c>
      <c r="AJ54" s="119" t="n">
        <v>0</v>
      </c>
      <c r="AK54" s="119" t="n">
        <v>0</v>
      </c>
      <c r="AL54" s="119" t="n">
        <v>0</v>
      </c>
      <c r="AM54" s="120" t="n">
        <v>0</v>
      </c>
      <c r="AN54" s="118" t="n">
        <v>0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SUMIF('XNDN TB'!$R:$R,'NDN P&amp;L'!$A55,'XNDN TB'!C:C)</f>
        <v/>
      </c>
      <c r="P55" s="37">
        <f>SUMIF('XNDN TB'!$R:$R,'NDN P&amp;L'!$A55,'XNDN TB'!D:D)</f>
        <v/>
      </c>
      <c r="Q55" s="37">
        <f>SUMIF('XNDN TB'!$R:$R,'NDN P&amp;L'!$A55,'XNDN TB'!E:E)</f>
        <v/>
      </c>
      <c r="R55" s="37">
        <f>SUMIF('XNDN TB'!$R:$R,'NDN P&amp;L'!$A55,'XNDN TB'!F:F)</f>
        <v/>
      </c>
      <c r="S55" s="37">
        <f>SUMIF('XNDN TB'!$R:$R,'NDN P&amp;L'!$A55,'XNDN TB'!G:G)</f>
        <v/>
      </c>
      <c r="T55" s="37">
        <f>SUMIF('XNDN TB'!$R:$R,'NDN P&amp;L'!$A55,'XNDN TB'!H:H)</f>
        <v/>
      </c>
      <c r="U55" s="37">
        <f>SUMIF('NDN TB'!$R:$R,'NDN P&amp;L'!$A55,'NDN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8" t="n">
        <v>0</v>
      </c>
      <c r="AJ55" s="119" t="n">
        <v>0</v>
      </c>
      <c r="AK55" s="119" t="n">
        <v>0</v>
      </c>
      <c r="AL55" s="119" t="n">
        <v>0</v>
      </c>
      <c r="AM55" s="120" t="n">
        <v>0</v>
      </c>
      <c r="AN55" s="118" t="n">
        <v>0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SUMIF('XNDN TB'!$R:$R,'NDN P&amp;L'!$A56,'XNDN TB'!C:C)</f>
        <v/>
      </c>
      <c r="P56" s="37">
        <f>SUMIF('XNDN TB'!$R:$R,'NDN P&amp;L'!$A56,'XNDN TB'!D:D)</f>
        <v/>
      </c>
      <c r="Q56" s="37">
        <f>SUMIF('XNDN TB'!$R:$R,'NDN P&amp;L'!$A56,'XNDN TB'!E:E)</f>
        <v/>
      </c>
      <c r="R56" s="37">
        <f>SUMIF('XNDN TB'!$R:$R,'NDN P&amp;L'!$A56,'XNDN TB'!F:F)</f>
        <v/>
      </c>
      <c r="S56" s="37">
        <f>SUMIF('XNDN TB'!$R:$R,'NDN P&amp;L'!$A56,'XNDN TB'!G:G)</f>
        <v/>
      </c>
      <c r="T56" s="37">
        <f>SUMIF('XNDN TB'!$R:$R,'NDN P&amp;L'!$A56,'XNDN TB'!H:H)</f>
        <v/>
      </c>
      <c r="U56" s="37">
        <f>SUMIF('NDN TB'!$R:$R,'NDN P&amp;L'!$A56,'NDN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8" t="n">
        <v>0</v>
      </c>
      <c r="AJ56" s="119" t="n">
        <v>0</v>
      </c>
      <c r="AK56" s="119" t="n">
        <v>0</v>
      </c>
      <c r="AL56" s="119" t="n">
        <v>0</v>
      </c>
      <c r="AM56" s="120" t="n">
        <v>0</v>
      </c>
      <c r="AN56" s="118" t="n">
        <v>0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232.41</v>
      </c>
      <c r="M57" s="35" t="n">
        <v>89.56999999999999</v>
      </c>
      <c r="N57" s="36">
        <f>SUM(B57:M57)</f>
        <v/>
      </c>
      <c r="O57" s="37">
        <f>SUMIF('XNDN TB'!$R:$R,'NDN P&amp;L'!$A57,'XNDN TB'!C:C)</f>
        <v/>
      </c>
      <c r="P57" s="37">
        <f>SUMIF('XNDN TB'!$R:$R,'NDN P&amp;L'!$A57,'XNDN TB'!D:D)</f>
        <v/>
      </c>
      <c r="Q57" s="37">
        <f>SUMIF('XNDN TB'!$R:$R,'NDN P&amp;L'!$A57,'XNDN TB'!E:E)</f>
        <v/>
      </c>
      <c r="R57" s="37">
        <f>SUMIF('XNDN TB'!$R:$R,'NDN P&amp;L'!$A57,'XNDN TB'!F:F)</f>
        <v/>
      </c>
      <c r="S57" s="37">
        <f>SUMIF('XNDN TB'!$R:$R,'NDN P&amp;L'!$A57,'XNDN TB'!G:G)</f>
        <v/>
      </c>
      <c r="T57" s="37">
        <f>SUMIF('XNDN TB'!$R:$R,'NDN P&amp;L'!$A57,'XNDN TB'!H:H)</f>
        <v/>
      </c>
      <c r="U57" s="37">
        <f>SUMIF('NDN TB'!$R:$R,'NDN P&amp;L'!$A57,'NDN TB'!I:I)</f>
        <v/>
      </c>
      <c r="V57" s="38" t="n"/>
      <c r="W57" s="38" t="n"/>
      <c r="X57" s="38" t="n"/>
      <c r="Y57" s="38" t="n"/>
      <c r="Z57" s="38">
        <f>7*30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18" t="n">
        <v>0</v>
      </c>
      <c r="AJ57" s="119" t="n">
        <v>0</v>
      </c>
      <c r="AK57" s="119" t="n">
        <v>0</v>
      </c>
      <c r="AL57" s="119" t="n">
        <v>0</v>
      </c>
      <c r="AM57" s="120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SUMIF('XNDN TB'!$R:$R,'NDN P&amp;L'!$A58,'XNDN TB'!C:C)</f>
        <v/>
      </c>
      <c r="P58" s="37">
        <f>SUMIF('XNDN TB'!$R:$R,'NDN P&amp;L'!$A58,'XNDN TB'!D:D)</f>
        <v/>
      </c>
      <c r="Q58" s="37">
        <f>SUMIF('XNDN TB'!$R:$R,'NDN P&amp;L'!$A58,'XNDN TB'!E:E)</f>
        <v/>
      </c>
      <c r="R58" s="37">
        <f>SUMIF('XNDN TB'!$R:$R,'NDN P&amp;L'!$A58,'XNDN TB'!F:F)</f>
        <v/>
      </c>
      <c r="S58" s="37">
        <f>SUMIF('XNDN TB'!$R:$R,'NDN P&amp;L'!$A58,'XNDN TB'!G:G)</f>
        <v/>
      </c>
      <c r="T58" s="37">
        <f>SUMIF('XNDN TB'!$R:$R,'NDN P&amp;L'!$A58,'XNDN TB'!H:H)</f>
        <v/>
      </c>
      <c r="U58" s="37">
        <f>SUMIF('NDN TB'!$R:$R,'NDN P&amp;L'!$A58,'NDN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8" t="n">
        <v>0</v>
      </c>
      <c r="AJ58" s="119" t="n">
        <v>0</v>
      </c>
      <c r="AK58" s="119" t="n">
        <v>0</v>
      </c>
      <c r="AL58" s="119" t="n">
        <v>0</v>
      </c>
      <c r="AM58" s="120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201.37</v>
      </c>
      <c r="D59" s="35" t="n">
        <v>201.37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201.37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SUMIF('XNDN TB'!$R:$R,'NDN P&amp;L'!$A59,'XNDN TB'!C:C)</f>
        <v/>
      </c>
      <c r="P59" s="37">
        <f>SUMIF('XNDN TB'!$R:$R,'NDN P&amp;L'!$A59,'XNDN TB'!D:D)</f>
        <v/>
      </c>
      <c r="Q59" s="37">
        <f>SUMIF('XNDN TB'!$R:$R,'NDN P&amp;L'!$A59,'XNDN TB'!E:E)</f>
        <v/>
      </c>
      <c r="R59" s="37">
        <f>SUMIF('XNDN TB'!$R:$R,'NDN P&amp;L'!$A59,'XNDN TB'!F:F)</f>
        <v/>
      </c>
      <c r="S59" s="37">
        <f>SUMIF('XNDN TB'!$R:$R,'NDN P&amp;L'!$A59,'XNDN TB'!G:G)</f>
        <v/>
      </c>
      <c r="T59" s="37">
        <f>SUMIF('XNDN TB'!$R:$R,'NDN P&amp;L'!$A59,'XNDN TB'!H:H)</f>
        <v/>
      </c>
      <c r="U59" s="37">
        <f>SUMIF('NDN TB'!$R:$R,'NDN P&amp;L'!$A59,'NDN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18" t="n">
        <v>0</v>
      </c>
      <c r="AJ59" s="119" t="n">
        <v>0</v>
      </c>
      <c r="AK59" s="119" t="n">
        <v>0</v>
      </c>
      <c r="AL59" s="119" t="n">
        <v>0</v>
      </c>
      <c r="AM59" s="120" t="n">
        <v>0</v>
      </c>
      <c r="AN59" s="118" t="n">
        <v>0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263.0500000000001</v>
      </c>
      <c r="C60" s="35" t="n">
        <v>10.5</v>
      </c>
      <c r="D60" s="35" t="n">
        <v>145.2</v>
      </c>
      <c r="E60" s="35" t="n">
        <v>3.6</v>
      </c>
      <c r="F60" s="35" t="n">
        <v>3.6</v>
      </c>
      <c r="G60" s="35" t="n">
        <v>45</v>
      </c>
      <c r="H60" s="35" t="n">
        <v>3</v>
      </c>
      <c r="I60" s="35" t="n">
        <v>3</v>
      </c>
      <c r="J60" s="35" t="n">
        <v>3</v>
      </c>
      <c r="K60" s="35" t="n">
        <v>69.39999999999999</v>
      </c>
      <c r="L60" s="35" t="n">
        <v>1.8</v>
      </c>
      <c r="M60" s="35" t="n">
        <v>267.4</v>
      </c>
      <c r="N60" s="36">
        <f>SUM(B60:M60)</f>
        <v/>
      </c>
      <c r="O60" s="37">
        <f>SUMIF('XNDN TB'!$R:$R,'NDN P&amp;L'!$A60,'XNDN TB'!C:C)</f>
        <v/>
      </c>
      <c r="P60" s="37">
        <f>SUMIF('XNDN TB'!$R:$R,'NDN P&amp;L'!$A60,'XNDN TB'!D:D)</f>
        <v/>
      </c>
      <c r="Q60" s="37">
        <f>SUMIF('XNDN TB'!$R:$R,'NDN P&amp;L'!$A60,'XNDN TB'!E:E)</f>
        <v/>
      </c>
      <c r="R60" s="37">
        <f>SUMIF('XNDN TB'!$R:$R,'NDN P&amp;L'!$A60,'XNDN TB'!F:F)</f>
        <v/>
      </c>
      <c r="S60" s="37">
        <f>SUMIF('XNDN TB'!$R:$R,'NDN P&amp;L'!$A60,'XNDN TB'!G:G)</f>
        <v/>
      </c>
      <c r="T60" s="37">
        <f>SUMIF('XNDN TB'!$R:$R,'NDN P&amp;L'!$A60,'XNDN TB'!H:H)</f>
        <v/>
      </c>
      <c r="U60" s="37">
        <f>SUMIF('NDN TB'!$R:$R,'NDN P&amp;L'!$A60,'NDN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8" t="n">
        <v>0</v>
      </c>
      <c r="AJ60" s="119" t="n">
        <v>0</v>
      </c>
      <c r="AK60" s="119" t="n">
        <v>0</v>
      </c>
      <c r="AL60" s="119" t="n">
        <v>0</v>
      </c>
      <c r="AM60" s="120" t="n">
        <v>0</v>
      </c>
      <c r="AN60" s="118" t="n">
        <v>0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92.59999999999999</v>
      </c>
      <c r="C61" s="35" t="n">
        <v>29.62</v>
      </c>
      <c r="D61" s="35" t="n">
        <v>5.39</v>
      </c>
      <c r="E61" s="35" t="n">
        <v>0</v>
      </c>
      <c r="F61" s="35" t="n">
        <v>2.79</v>
      </c>
      <c r="G61" s="35" t="n">
        <v>84.48</v>
      </c>
      <c r="H61" s="35" t="n">
        <v>0</v>
      </c>
      <c r="I61" s="35" t="n">
        <v>0</v>
      </c>
      <c r="J61" s="35" t="n">
        <v>0</v>
      </c>
      <c r="K61" s="35" t="n">
        <v>33.48</v>
      </c>
      <c r="L61" s="35" t="n">
        <v>14.56</v>
      </c>
      <c r="M61" s="35" t="n">
        <v>0</v>
      </c>
      <c r="N61" s="36">
        <f>SUM(B61:M61)</f>
        <v/>
      </c>
      <c r="O61" s="37">
        <f>SUMIF('XNDN TB'!$R:$R,'NDN P&amp;L'!$A61,'XNDN TB'!C:C)</f>
        <v/>
      </c>
      <c r="P61" s="37">
        <f>SUMIF('XNDN TB'!$R:$R,'NDN P&amp;L'!$A61,'XNDN TB'!D:D)</f>
        <v/>
      </c>
      <c r="Q61" s="37">
        <f>SUMIF('XNDN TB'!$R:$R,'NDN P&amp;L'!$A61,'XNDN TB'!E:E)</f>
        <v/>
      </c>
      <c r="R61" s="37">
        <f>SUMIF('XNDN TB'!$R:$R,'NDN P&amp;L'!$A61,'XNDN TB'!F:F)</f>
        <v/>
      </c>
      <c r="S61" s="37">
        <f>SUMIF('XNDN TB'!$R:$R,'NDN P&amp;L'!$A61,'XNDN TB'!G:G)</f>
        <v/>
      </c>
      <c r="T61" s="37">
        <f>SUMIF('XNDN TB'!$R:$R,'NDN P&amp;L'!$A61,'XNDN TB'!H:H)</f>
        <v/>
      </c>
      <c r="U61" s="37">
        <f>SUMIF('NDN TB'!$R:$R,'NDN P&amp;L'!$A61,'NDN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8" t="n">
        <v>0</v>
      </c>
      <c r="AJ61" s="119" t="n">
        <v>0</v>
      </c>
      <c r="AK61" s="119" t="n">
        <v>0</v>
      </c>
      <c r="AL61" s="119" t="n">
        <v>0</v>
      </c>
      <c r="AM61" s="120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15</v>
      </c>
      <c r="C62" s="35" t="n">
        <v>30</v>
      </c>
      <c r="D62" s="35" t="n">
        <v>151</v>
      </c>
      <c r="E62" s="35" t="n">
        <v>0</v>
      </c>
      <c r="F62" s="35" t="n">
        <v>105</v>
      </c>
      <c r="G62" s="35" t="n">
        <v>33</v>
      </c>
      <c r="H62" s="35" t="n">
        <v>0</v>
      </c>
      <c r="I62" s="35" t="n">
        <v>0</v>
      </c>
      <c r="J62" s="35" t="n">
        <v>0</v>
      </c>
      <c r="K62" s="35" t="n">
        <v>90</v>
      </c>
      <c r="L62" s="35" t="n">
        <v>131</v>
      </c>
      <c r="M62" s="35" t="n">
        <v>-14.55</v>
      </c>
      <c r="N62" s="36">
        <f>SUM(B62:M62)</f>
        <v/>
      </c>
      <c r="O62" s="37">
        <f>SUMIF('XNDN TB'!$R:$R,'NDN P&amp;L'!$A62,'XNDN TB'!C:C)</f>
        <v/>
      </c>
      <c r="P62" s="37">
        <f>SUMIF('XNDN TB'!$R:$R,'NDN P&amp;L'!$A62,'XNDN TB'!D:D)</f>
        <v/>
      </c>
      <c r="Q62" s="37">
        <f>SUMIF('XNDN TB'!$R:$R,'NDN P&amp;L'!$A62,'XNDN TB'!E:E)</f>
        <v/>
      </c>
      <c r="R62" s="37">
        <f>SUMIF('XNDN TB'!$R:$R,'NDN P&amp;L'!$A62,'XNDN TB'!F:F)</f>
        <v/>
      </c>
      <c r="S62" s="37">
        <f>SUMIF('XNDN TB'!$R:$R,'NDN P&amp;L'!$A62,'XNDN TB'!G:G)</f>
        <v/>
      </c>
      <c r="T62" s="37">
        <f>SUMIF('XNDN TB'!$R:$R,'NDN P&amp;L'!$A62,'XNDN TB'!H:H)</f>
        <v/>
      </c>
      <c r="U62" s="37">
        <f>SUMIF('NDN TB'!$R:$R,'NDN P&amp;L'!$A62,'NDN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8" t="n">
        <v>0</v>
      </c>
      <c r="AJ62" s="119" t="n">
        <v>0</v>
      </c>
      <c r="AK62" s="119" t="n">
        <v>0</v>
      </c>
      <c r="AL62" s="119" t="n">
        <v>0</v>
      </c>
      <c r="AM62" s="120" t="n">
        <v>0</v>
      </c>
      <c r="AN62" s="118" t="n">
        <v>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SUMIF('XNDN TB'!$R:$R,'NDN P&amp;L'!$A63,'XNDN TB'!C:C)</f>
        <v/>
      </c>
      <c r="P63" s="37">
        <f>SUMIF('XNDN TB'!$R:$R,'NDN P&amp;L'!$A63,'XNDN TB'!D:D)</f>
        <v/>
      </c>
      <c r="Q63" s="37">
        <f>SUMIF('XNDN TB'!$R:$R,'NDN P&amp;L'!$A63,'XNDN TB'!E:E)</f>
        <v/>
      </c>
      <c r="R63" s="37">
        <f>SUMIF('XNDN TB'!$R:$R,'NDN P&amp;L'!$A63,'XNDN TB'!F:F)</f>
        <v/>
      </c>
      <c r="S63" s="37">
        <f>SUMIF('XNDN TB'!$R:$R,'NDN P&amp;L'!$A63,'XNDN TB'!G:G)</f>
        <v/>
      </c>
      <c r="T63" s="37">
        <f>SUMIF('XNDN TB'!$R:$R,'NDN P&amp;L'!$A63,'XNDN TB'!H:H)</f>
        <v/>
      </c>
      <c r="U63" s="37">
        <f>SUMIF('NDN TB'!$R:$R,'NDN P&amp;L'!$A63,'NDN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8" t="n">
        <v>0</v>
      </c>
      <c r="AJ63" s="119" t="n">
        <v>0</v>
      </c>
      <c r="AK63" s="119" t="n">
        <v>0</v>
      </c>
      <c r="AL63" s="119" t="n">
        <v>0</v>
      </c>
      <c r="AM63" s="120" t="n">
        <v>0</v>
      </c>
      <c r="AN63" s="118" t="n">
        <v>0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SUMIF('XNDN TB'!$R:$R,'NDN P&amp;L'!$A64,'XNDN TB'!C:C)</f>
        <v/>
      </c>
      <c r="P64" s="37">
        <f>SUMIF('XNDN TB'!$R:$R,'NDN P&amp;L'!$A64,'XNDN TB'!D:D)</f>
        <v/>
      </c>
      <c r="Q64" s="37">
        <f>SUMIF('XNDN TB'!$R:$R,'NDN P&amp;L'!$A64,'XNDN TB'!E:E)</f>
        <v/>
      </c>
      <c r="R64" s="37">
        <f>SUMIF('XNDN TB'!$R:$R,'NDN P&amp;L'!$A64,'XNDN TB'!F:F)</f>
        <v/>
      </c>
      <c r="S64" s="37">
        <f>SUMIF('XNDN TB'!$R:$R,'NDN P&amp;L'!$A64,'XNDN TB'!G:G)</f>
        <v/>
      </c>
      <c r="T64" s="37">
        <f>SUMIF('XNDN TB'!$R:$R,'NDN P&amp;L'!$A64,'XNDN TB'!H:H)</f>
        <v/>
      </c>
      <c r="U64" s="37">
        <f>SUMIF('NDN TB'!$R:$R,'NDN P&amp;L'!$A64,'NDN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8" t="n">
        <v>0</v>
      </c>
      <c r="AJ64" s="119" t="n">
        <v>0</v>
      </c>
      <c r="AK64" s="119" t="n">
        <v>0</v>
      </c>
      <c r="AL64" s="119" t="n">
        <v>0</v>
      </c>
      <c r="AM64" s="120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SUMIF('XNDN TB'!$R:$R,'NDN P&amp;L'!$A65,'XNDN TB'!C:C)</f>
        <v/>
      </c>
      <c r="P65" s="37">
        <f>SUMIF('XNDN TB'!$R:$R,'NDN P&amp;L'!$A65,'XNDN TB'!D:D)</f>
        <v/>
      </c>
      <c r="Q65" s="37">
        <f>SUMIF('XNDN TB'!$R:$R,'NDN P&amp;L'!$A65,'XNDN TB'!E:E)</f>
        <v/>
      </c>
      <c r="R65" s="37">
        <f>SUMIF('XNDN TB'!$R:$R,'NDN P&amp;L'!$A65,'XNDN TB'!F:F)</f>
        <v/>
      </c>
      <c r="S65" s="37">
        <f>SUMIF('XNDN TB'!$R:$R,'NDN P&amp;L'!$A65,'XNDN TB'!G:G)</f>
        <v/>
      </c>
      <c r="T65" s="37">
        <f>SUMIF('XNDN TB'!$R:$R,'NDN P&amp;L'!$A65,'XNDN TB'!H:H)</f>
        <v/>
      </c>
      <c r="U65" s="37">
        <f>SUMIF('NDN TB'!$R:$R,'NDN P&amp;L'!$A65,'NDN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8" t="n">
        <v>0</v>
      </c>
      <c r="AJ65" s="119" t="n">
        <v>0</v>
      </c>
      <c r="AK65" s="119" t="n">
        <v>0</v>
      </c>
      <c r="AL65" s="119" t="n">
        <v>0</v>
      </c>
      <c r="AM65" s="120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SUMIF('XNDN TB'!$R:$R,'NDN P&amp;L'!$A66,'XNDN TB'!C:C)</f>
        <v/>
      </c>
      <c r="P66" s="37">
        <f>SUMIF('XNDN TB'!$R:$R,'NDN P&amp;L'!$A66,'XNDN TB'!D:D)</f>
        <v/>
      </c>
      <c r="Q66" s="37">
        <f>SUMIF('XNDN TB'!$R:$R,'NDN P&amp;L'!$A66,'XNDN TB'!E:E)</f>
        <v/>
      </c>
      <c r="R66" s="37">
        <f>SUMIF('XNDN TB'!$R:$R,'NDN P&amp;L'!$A66,'XNDN TB'!F:F)</f>
        <v/>
      </c>
      <c r="S66" s="37">
        <f>SUMIF('XNDN TB'!$R:$R,'NDN P&amp;L'!$A66,'XNDN TB'!G:G)</f>
        <v/>
      </c>
      <c r="T66" s="37">
        <f>SUMIF('XNDN TB'!$R:$R,'NDN P&amp;L'!$A66,'XNDN TB'!H:H)</f>
        <v/>
      </c>
      <c r="U66" s="37">
        <f>SUMIF('NDN TB'!$R:$R,'NDN P&amp;L'!$A66,'NDN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8" t="n">
        <v>0</v>
      </c>
      <c r="AJ66" s="119" t="n">
        <v>0</v>
      </c>
      <c r="AK66" s="119" t="n">
        <v>0</v>
      </c>
      <c r="AL66" s="119" t="n">
        <v>0</v>
      </c>
      <c r="AM66" s="120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SUMIF('XNDN TB'!$R:$R,'NDN P&amp;L'!$A67,'XNDN TB'!C:C)</f>
        <v/>
      </c>
      <c r="P67" s="37">
        <f>SUMIF('XNDN TB'!$R:$R,'NDN P&amp;L'!$A67,'XNDN TB'!D:D)</f>
        <v/>
      </c>
      <c r="Q67" s="37">
        <f>SUMIF('XNDN TB'!$R:$R,'NDN P&amp;L'!$A67,'XNDN TB'!E:E)</f>
        <v/>
      </c>
      <c r="R67" s="37">
        <f>SUMIF('XNDN TB'!$R:$R,'NDN P&amp;L'!$A67,'XNDN TB'!F:F)</f>
        <v/>
      </c>
      <c r="S67" s="37">
        <f>SUMIF('XNDN TB'!$R:$R,'NDN P&amp;L'!$A67,'XNDN TB'!G:G)</f>
        <v/>
      </c>
      <c r="T67" s="37">
        <f>SUMIF('XNDN TB'!$R:$R,'NDN P&amp;L'!$A67,'XNDN TB'!H:H)</f>
        <v/>
      </c>
      <c r="U67" s="37">
        <f>SUMIF('NDN TB'!$R:$R,'NDN P&amp;L'!$A67,'NDN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8" t="n">
        <v>0</v>
      </c>
      <c r="AJ67" s="119" t="n">
        <v>0</v>
      </c>
      <c r="AK67" s="119" t="n">
        <v>0</v>
      </c>
      <c r="AL67" s="119" t="n">
        <v>0</v>
      </c>
      <c r="AM67" s="120" t="n">
        <v>0</v>
      </c>
      <c r="AN67" s="118" t="n">
        <v>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SUMIF('XNDN TB'!$R:$R,'NDN P&amp;L'!$A68,'XNDN TB'!C:C)</f>
        <v/>
      </c>
      <c r="P68" s="37">
        <f>SUMIF('XNDN TB'!$R:$R,'NDN P&amp;L'!$A68,'XNDN TB'!D:D)</f>
        <v/>
      </c>
      <c r="Q68" s="37">
        <f>SUMIF('XNDN TB'!$R:$R,'NDN P&amp;L'!$A68,'XNDN TB'!E:E)</f>
        <v/>
      </c>
      <c r="R68" s="37">
        <f>SUMIF('XNDN TB'!$R:$R,'NDN P&amp;L'!$A68,'XNDN TB'!F:F)</f>
        <v/>
      </c>
      <c r="S68" s="37">
        <f>SUMIF('XNDN TB'!$R:$R,'NDN P&amp;L'!$A68,'XNDN TB'!G:G)</f>
        <v/>
      </c>
      <c r="T68" s="37">
        <f>SUMIF('XNDN TB'!$R:$R,'NDN P&amp;L'!$A68,'XNDN TB'!H:H)</f>
        <v/>
      </c>
      <c r="U68" s="37">
        <f>SUMIF('NDN TB'!$R:$R,'NDN P&amp;L'!$A68,'NDN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8" t="n">
        <v>0</v>
      </c>
      <c r="AJ68" s="119" t="n">
        <v>0</v>
      </c>
      <c r="AK68" s="119" t="n">
        <v>0</v>
      </c>
      <c r="AL68" s="119" t="n">
        <v>0</v>
      </c>
      <c r="AM68" s="120" t="n">
        <v>0</v>
      </c>
      <c r="AN68" s="118" t="n">
        <v>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572.0300000000001</v>
      </c>
      <c r="C69" s="42" t="n">
        <v>271.49</v>
      </c>
      <c r="D69" s="42" t="n">
        <v>502.96</v>
      </c>
      <c r="E69" s="42" t="n">
        <v>204.98</v>
      </c>
      <c r="F69" s="42" t="n">
        <v>312.77</v>
      </c>
      <c r="G69" s="42" t="n">
        <v>363.86</v>
      </c>
      <c r="H69" s="42" t="n">
        <v>204.38</v>
      </c>
      <c r="I69" s="42" t="n">
        <v>204.38</v>
      </c>
      <c r="J69" s="42" t="n">
        <v>204.37</v>
      </c>
      <c r="K69" s="42" t="n">
        <v>407.68</v>
      </c>
      <c r="L69" s="42" t="n">
        <v>594.5700000000001</v>
      </c>
      <c r="M69" s="42" t="n">
        <v>557.22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3">
        <f>SUM(AI53:AI68)</f>
        <v/>
      </c>
      <c r="AJ69" s="124">
        <f>SUM(AJ53:AJ68)</f>
        <v/>
      </c>
      <c r="AK69" s="124">
        <f>SUM(AK53:AK68)</f>
        <v/>
      </c>
      <c r="AL69" s="124">
        <f>SUM(AL53:AL68)</f>
        <v/>
      </c>
      <c r="AM69" s="124">
        <f>SUM(AM53:AM68)</f>
        <v/>
      </c>
      <c r="AN69" s="123">
        <f>SUM(AN53:AN68)</f>
        <v/>
      </c>
      <c r="AO69" s="125">
        <f>SUM(AC69:AH69)+SUM(AI69:AN69)</f>
        <v/>
      </c>
      <c r="AP69" s="126">
        <f>IF(AB69&lt;&gt;0,(AO69-AB69)/ABS(AB69),0)</f>
        <v/>
      </c>
    </row>
    <row r="70">
      <c r="A70" s="54" t="inlineStr">
        <is>
          <t>EBITDA</t>
        </is>
      </c>
      <c r="B70" s="55" t="n">
        <v>-6239.660000000004</v>
      </c>
      <c r="C70" s="55" t="n">
        <v>1354.119999999997</v>
      </c>
      <c r="D70" s="55" t="n">
        <v>7263.790000000007</v>
      </c>
      <c r="E70" s="55" t="n">
        <v>-162.9700000000016</v>
      </c>
      <c r="F70" s="55" t="n">
        <v>-5365.91</v>
      </c>
      <c r="G70" s="55" t="n">
        <v>5298.070000000001</v>
      </c>
      <c r="H70" s="55" t="n">
        <v>13277.88000000001</v>
      </c>
      <c r="I70" s="55" t="n">
        <v>1871.370000000004</v>
      </c>
      <c r="J70" s="55" t="n">
        <v>5240.259999999997</v>
      </c>
      <c r="K70" s="55" t="n">
        <v>1153.089999999997</v>
      </c>
      <c r="L70" s="55" t="n">
        <v>2170.480000000003</v>
      </c>
      <c r="M70" s="55" t="n">
        <v>5416.609999999998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6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0">
        <f>AI50-AI69</f>
        <v/>
      </c>
      <c r="AJ70" s="140">
        <f>AJ50-AJ69</f>
        <v/>
      </c>
      <c r="AK70" s="140">
        <f>AK50-AK69</f>
        <v/>
      </c>
      <c r="AL70" s="140">
        <f>AL50-AL69</f>
        <v/>
      </c>
      <c r="AM70" s="140">
        <f>AM50-AM69</f>
        <v/>
      </c>
      <c r="AN70" s="140">
        <f>AN50-AN69</f>
        <v/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4">
        <f>SUM(AC72:AH72)+SUM(AI72:AN72)</f>
        <v/>
      </c>
      <c r="AP72" s="142">
        <f>IF(AB72&lt;&gt;0,(AO72-AB72)/ABS(AB72),0)</f>
        <v/>
      </c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118" t="n">
        <v>0</v>
      </c>
      <c r="AJ73" s="118" t="n">
        <v>0</v>
      </c>
      <c r="AK73" s="118" t="n">
        <v>0</v>
      </c>
      <c r="AL73" s="118" t="n">
        <v>0</v>
      </c>
      <c r="AM73" s="118" t="n">
        <v>0</v>
      </c>
      <c r="AN73" s="118" t="n">
        <v>0</v>
      </c>
      <c r="AO73" s="144">
        <f>SUM(AC73:AH73)+SUM(AI73:AN73)</f>
        <v/>
      </c>
      <c r="AP73" s="142">
        <f>IF(AB73&lt;&gt;0,(AO73-AB73)/ABS(AB73),0)</f>
        <v/>
      </c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118" t="n">
        <v>0</v>
      </c>
      <c r="AJ74" s="118" t="n">
        <v>0</v>
      </c>
      <c r="AK74" s="118" t="n">
        <v>0</v>
      </c>
      <c r="AL74" s="118" t="n">
        <v>0</v>
      </c>
      <c r="AM74" s="118" t="n">
        <v>0</v>
      </c>
      <c r="AN74" s="118" t="n">
        <v>0</v>
      </c>
      <c r="AO74" s="144">
        <f>SUM(AC74:AH74)+SUM(AI74:AN74)</f>
        <v/>
      </c>
      <c r="AP74" s="142">
        <f>IF(AB74&lt;&gt;0,(AO74-AB74)/ABS(AB74),0)</f>
        <v/>
      </c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118" t="n">
        <v>0</v>
      </c>
      <c r="AJ75" s="118" t="n">
        <v>0</v>
      </c>
      <c r="AK75" s="118" t="n">
        <v>0</v>
      </c>
      <c r="AL75" s="118" t="n">
        <v>0</v>
      </c>
      <c r="AM75" s="118" t="n">
        <v>0</v>
      </c>
      <c r="AN75" s="118" t="n">
        <v>0</v>
      </c>
      <c r="AO75" s="144">
        <f>SUM(AC75:AH75)+SUM(AI75:AN75)</f>
        <v/>
      </c>
      <c r="AP75" s="142">
        <f>IF(AB75&lt;&gt;0,(AO75-AB75)/ABS(AB75),0)</f>
        <v/>
      </c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118" t="n">
        <v>0</v>
      </c>
      <c r="AJ76" s="118" t="n">
        <v>0</v>
      </c>
      <c r="AK76" s="118" t="n">
        <v>0</v>
      </c>
      <c r="AL76" s="118" t="n">
        <v>0</v>
      </c>
      <c r="AM76" s="118" t="n">
        <v>0</v>
      </c>
      <c r="AN76" s="118" t="n">
        <v>0</v>
      </c>
      <c r="AO76" s="144">
        <f>SUM(AC76:AH76)+SUM(AI76:AN76)</f>
        <v/>
      </c>
      <c r="AP76" s="142">
        <f>IF(AB76&lt;&gt;0,(AO76-AB76)/ABS(AB76),0)</f>
        <v/>
      </c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118" t="n">
        <v>0</v>
      </c>
      <c r="AJ77" s="118" t="n">
        <v>0</v>
      </c>
      <c r="AK77" s="118" t="n">
        <v>0</v>
      </c>
      <c r="AL77" s="118" t="n">
        <v>0</v>
      </c>
      <c r="AM77" s="118" t="n">
        <v>0</v>
      </c>
      <c r="AN77" s="118" t="n">
        <v>0</v>
      </c>
      <c r="AO77" s="144">
        <f>SUM(AC77:AH77)+SUM(AI77:AN77)</f>
        <v/>
      </c>
      <c r="AP77" s="142">
        <f>IF(AB77&lt;&gt;0,(AO77-AB77)/ABS(AB77),0)</f>
        <v/>
      </c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-6239.660000000004</v>
      </c>
      <c r="C79" s="57" t="n">
        <v>1354.119999999997</v>
      </c>
      <c r="D79" s="57" t="n">
        <v>7263.790000000007</v>
      </c>
      <c r="E79" s="57" t="n">
        <v>-162.9700000000016</v>
      </c>
      <c r="F79" s="57" t="n">
        <v>-5365.91</v>
      </c>
      <c r="G79" s="57" t="n">
        <v>5298.070000000001</v>
      </c>
      <c r="H79" s="57" t="n">
        <v>13277.88000000001</v>
      </c>
      <c r="I79" s="57" t="n">
        <v>1871.370000000004</v>
      </c>
      <c r="J79" s="57" t="n">
        <v>5240.259999999997</v>
      </c>
      <c r="K79" s="57" t="n">
        <v>1153.089999999997</v>
      </c>
      <c r="L79" s="57" t="n">
        <v>2170.480000000003</v>
      </c>
      <c r="M79" s="57" t="n">
        <v>5416.609999999998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6" t="n"/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127" t="n">
        <v>0</v>
      </c>
      <c r="AJ79" s="127" t="n">
        <v>0</v>
      </c>
      <c r="AK79" s="127" t="n">
        <v>0</v>
      </c>
      <c r="AL79" s="127" t="n">
        <v>0</v>
      </c>
      <c r="AM79" s="127" t="n">
        <v>0</v>
      </c>
      <c r="AN79" s="127" t="n">
        <v>0</v>
      </c>
      <c r="AO79" s="144">
        <f>SUM(AC79:AH79)+SUM(AI79:AN79)</f>
        <v/>
      </c>
      <c r="AP79" s="142">
        <f>IF(AB79&lt;&gt;0,(AO79-AB79)/ABS(AB79),0)</f>
        <v/>
      </c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17415.02</v>
      </c>
      <c r="C87" s="60" t="n">
        <v>23939.37</v>
      </c>
      <c r="D87" s="60" t="n">
        <v>36402.73</v>
      </c>
      <c r="E87" s="60" t="n">
        <v>29276.42</v>
      </c>
      <c r="F87" s="60" t="n">
        <v>24571.67</v>
      </c>
      <c r="G87" s="60" t="n">
        <v>31824.77</v>
      </c>
      <c r="H87" s="60" t="n">
        <v>39557.44</v>
      </c>
      <c r="I87" s="60" t="n">
        <v>23909.89</v>
      </c>
      <c r="J87" s="60" t="n">
        <v>23230.93</v>
      </c>
      <c r="K87" s="60" t="n">
        <v>22803.53</v>
      </c>
      <c r="L87" s="60" t="n">
        <v>22888.96</v>
      </c>
      <c r="M87" s="8" t="n"/>
      <c r="N87" s="8" t="n"/>
      <c r="O87" s="60">
        <f>-SUMIF('XNDN TB'!$T:$T,'NDN P&amp;L'!$A87,'XNDN TB'!C:C)</f>
        <v/>
      </c>
      <c r="P87" s="60">
        <f>-SUMIF('XNDN TB'!$T:$T,'NDN P&amp;L'!$A87,'XNDN TB'!D:D)</f>
        <v/>
      </c>
      <c r="Q87" s="60">
        <f>-SUMIF('XNDN TB'!$T:$T,'NDN P&amp;L'!$A87,'XNDN TB'!E:E)</f>
        <v/>
      </c>
      <c r="R87" s="60">
        <f>-SUMIF('XNDN TB'!$T:$T,'NDN P&amp;L'!$A87,'XNDN TB'!F:F)</f>
        <v/>
      </c>
      <c r="S87" s="60">
        <f>-SUMIF('XNDN TB'!$T:$T,'NDN P&amp;L'!$A87,'XNDN TB'!G:G)</f>
        <v/>
      </c>
      <c r="T87" s="60">
        <f>-SUMIF('XNDN TB'!$T:$T,'NDN P&amp;L'!$A87,'XNDN TB'!H:H)</f>
        <v/>
      </c>
      <c r="U87" s="60">
        <f>-SUMIF('XNDN TB'!$T:$T,'NDN P&amp;L'!$A87,'XNDN TB'!I:I)</f>
        <v/>
      </c>
      <c r="V87" s="60">
        <f>-SUMIF('XNDN TB'!$T:$T,'NDN P&amp;L'!$A87,'XNDN TB'!J:J)</f>
        <v/>
      </c>
      <c r="W87" s="60">
        <f>-SUMIF('XNDN TB'!$T:$T,'NDN P&amp;L'!$A87,'XNDN TB'!K:K)</f>
        <v/>
      </c>
      <c r="X87" s="60">
        <f>-SUMIF('XNDN TB'!$T:$T,'NDN P&amp;L'!$A87,'XNDN TB'!L:L)</f>
        <v/>
      </c>
      <c r="Y87" s="60">
        <f>-SUMIF('XNDN TB'!$T:$T,'NDN P&amp;L'!$A87,'XNDN TB'!M:M)</f>
        <v/>
      </c>
      <c r="Z87" s="60">
        <f>-SUMIF('XNDN TB'!$T:$T,'NDN P&amp;L'!$A87,'XNDN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134" t="n">
        <v>0</v>
      </c>
      <c r="AJ87" s="134" t="n">
        <v>0</v>
      </c>
      <c r="AK87" s="134" t="n">
        <v>0</v>
      </c>
      <c r="AL87" s="134" t="n">
        <v>0</v>
      </c>
      <c r="AM87" s="134" t="n">
        <v>0</v>
      </c>
      <c r="AN87" s="134" t="n">
        <v>0</v>
      </c>
      <c r="AO87" s="145">
        <f>SUM(AC87:AH87)+SUM(AI87:AN87)</f>
        <v/>
      </c>
      <c r="AP87" s="142">
        <f>IF(AB87&lt;&gt;0,(AO87-AB87)/ABS(AB87),0)</f>
        <v/>
      </c>
    </row>
    <row r="88">
      <c r="A88" s="34" t="inlineStr">
        <is>
          <t>Direct - Staff Cost</t>
        </is>
      </c>
      <c r="B88" s="18" t="n">
        <v>-16806.38</v>
      </c>
      <c r="C88" s="18" t="n">
        <v>-19028.5</v>
      </c>
      <c r="D88" s="18" t="n">
        <v>-22455.43</v>
      </c>
      <c r="E88" s="18" t="n">
        <v>-22614.85</v>
      </c>
      <c r="F88" s="18" t="n">
        <v>-23269.11</v>
      </c>
      <c r="G88" s="18" t="n">
        <v>-21136.27</v>
      </c>
      <c r="H88" s="18" t="n">
        <v>-21568.2</v>
      </c>
      <c r="I88" s="18" t="n">
        <v>-17685.68</v>
      </c>
      <c r="J88" s="18" t="n">
        <v>-16284.58</v>
      </c>
      <c r="K88" s="18" t="n">
        <v>-15630.98</v>
      </c>
      <c r="L88" s="18" t="n">
        <v>-14340.8</v>
      </c>
      <c r="M88" s="18" t="n"/>
      <c r="N88" s="8" t="n"/>
      <c r="O88" s="60">
        <f>-SUMIF('XNDN TB'!$T:$T,'NDN P&amp;L'!$A88,'XNDN TB'!C:C)</f>
        <v/>
      </c>
      <c r="P88" s="60">
        <f>-SUMIF('XNDN TB'!$T:$T,'NDN P&amp;L'!$A88,'XNDN TB'!D:D)</f>
        <v/>
      </c>
      <c r="Q88" s="60">
        <f>-SUMIF('XNDN TB'!$T:$T,'NDN P&amp;L'!$A88,'XNDN TB'!E:E)</f>
        <v/>
      </c>
      <c r="R88" s="60">
        <f>-SUMIF('XNDN TB'!$T:$T,'NDN P&amp;L'!$A88,'XNDN TB'!F:F)</f>
        <v/>
      </c>
      <c r="S88" s="60">
        <f>-SUMIF('XNDN TB'!$T:$T,'NDN P&amp;L'!$A88,'XNDN TB'!G:G)</f>
        <v/>
      </c>
      <c r="T88" s="60">
        <f>-SUMIF('XNDN TB'!$T:$T,'NDN P&amp;L'!$A88,'XNDN TB'!H:H)</f>
        <v/>
      </c>
      <c r="U88" s="60">
        <f>-SUMIF('XNDN TB'!$T:$T,'NDN P&amp;L'!$A88,'XNDN TB'!I:I)</f>
        <v/>
      </c>
      <c r="V88" s="60">
        <f>-SUMIF('XNDN TB'!$T:$T,'NDN P&amp;L'!$A88,'XNDN TB'!J:J)</f>
        <v/>
      </c>
      <c r="W88" s="60">
        <f>-SUMIF('XNDN TB'!$T:$T,'NDN P&amp;L'!$A88,'XNDN TB'!K:K)</f>
        <v/>
      </c>
      <c r="X88" s="60">
        <f>-SUMIF('XNDN TB'!$T:$T,'NDN P&amp;L'!$A88,'XNDN TB'!L:L)</f>
        <v/>
      </c>
      <c r="Y88" s="60">
        <f>-SUMIF('XNDN TB'!$T:$T,'NDN P&amp;L'!$A88,'XNDN TB'!M:M)</f>
        <v/>
      </c>
      <c r="Z88" s="60">
        <f>-SUMIF('XNDN TB'!$T:$T,'NDN P&amp;L'!$A88,'XNDN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134" t="n">
        <v>0</v>
      </c>
      <c r="AJ88" s="134" t="n">
        <v>0</v>
      </c>
      <c r="AK88" s="134" t="n">
        <v>0</v>
      </c>
      <c r="AL88" s="134" t="n">
        <v>0</v>
      </c>
      <c r="AM88" s="134" t="n">
        <v>0</v>
      </c>
      <c r="AN88" s="134" t="n">
        <v>0</v>
      </c>
      <c r="AO88" s="144">
        <f>SUM(AC88:AH88)+SUM(AI88:AN88)</f>
        <v/>
      </c>
      <c r="AP88" s="142">
        <f>IF(AB88&lt;&gt;0,(AO88-AB88)/ABS(AB88),0)</f>
        <v/>
      </c>
    </row>
    <row r="89">
      <c r="A89" s="60" t="inlineStr">
        <is>
          <t>Direct - Childcare Cost</t>
        </is>
      </c>
      <c r="B89" s="18" t="n">
        <v>-1157.88</v>
      </c>
      <c r="C89" s="18" t="n">
        <v>-1705.44</v>
      </c>
      <c r="D89" s="18" t="n">
        <v>-1443.94</v>
      </c>
      <c r="E89" s="18" t="n">
        <v>-1602.7</v>
      </c>
      <c r="F89" s="18" t="n">
        <v>-2077.56</v>
      </c>
      <c r="G89" s="18" t="n">
        <v>-1389.78</v>
      </c>
      <c r="H89" s="18" t="n">
        <v>-1566.95</v>
      </c>
      <c r="I89" s="18" t="n">
        <v>-1999.11</v>
      </c>
      <c r="J89" s="18" t="n">
        <v>-1353.79</v>
      </c>
      <c r="K89" s="18" t="n">
        <v>-1183.88</v>
      </c>
      <c r="L89" s="18" t="n">
        <v>-1399.02</v>
      </c>
      <c r="M89" s="18" t="n">
        <v>-1291.81</v>
      </c>
      <c r="N89" s="8" t="n"/>
      <c r="O89" s="60">
        <f>-SUMIF('XNDN TB'!$T:$T,'NDN P&amp;L'!$A89,'XNDN TB'!C:C)</f>
        <v/>
      </c>
      <c r="P89" s="60">
        <f>-SUMIF('XNDN TB'!$T:$T,'NDN P&amp;L'!$A89,'XNDN TB'!D:D)</f>
        <v/>
      </c>
      <c r="Q89" s="60">
        <f>-SUMIF('XNDN TB'!$T:$T,'NDN P&amp;L'!$A89,'XNDN TB'!E:E)</f>
        <v/>
      </c>
      <c r="R89" s="60">
        <f>-SUMIF('XNDN TB'!$T:$T,'NDN P&amp;L'!$A89,'XNDN TB'!F:F)</f>
        <v/>
      </c>
      <c r="S89" s="60">
        <f>-SUMIF('XNDN TB'!$T:$T,'NDN P&amp;L'!$A89,'XNDN TB'!G:G)</f>
        <v/>
      </c>
      <c r="T89" s="60">
        <f>-SUMIF('XNDN TB'!$T:$T,'NDN P&amp;L'!$A89,'XNDN TB'!H:H)</f>
        <v/>
      </c>
      <c r="U89" s="60">
        <f>-SUMIF('XNDN TB'!$T:$T,'NDN P&amp;L'!$A89,'XNDN TB'!I:I)</f>
        <v/>
      </c>
      <c r="V89" s="60">
        <f>-SUMIF('XNDN TB'!$T:$T,'NDN P&amp;L'!$A89,'XNDN TB'!J:J)</f>
        <v/>
      </c>
      <c r="W89" s="60">
        <f>-SUMIF('XNDN TB'!$T:$T,'NDN P&amp;L'!$A89,'XNDN TB'!K:K)</f>
        <v/>
      </c>
      <c r="X89" s="60">
        <f>-SUMIF('XNDN TB'!$T:$T,'NDN P&amp;L'!$A89,'XNDN TB'!L:L)</f>
        <v/>
      </c>
      <c r="Y89" s="60">
        <f>-SUMIF('XNDN TB'!$T:$T,'NDN P&amp;L'!$A89,'XNDN TB'!M:M)</f>
        <v/>
      </c>
      <c r="Z89" s="60">
        <f>-SUMIF('XNDN TB'!$T:$T,'NDN P&amp;L'!$A89,'XNDN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34" t="n">
        <v>0</v>
      </c>
      <c r="AJ89" s="134" t="n">
        <v>0</v>
      </c>
      <c r="AK89" s="134" t="n">
        <v>0</v>
      </c>
      <c r="AL89" s="134" t="n">
        <v>0</v>
      </c>
      <c r="AM89" s="134" t="n">
        <v>0</v>
      </c>
      <c r="AN89" s="134" t="n">
        <v>0</v>
      </c>
      <c r="AO89" s="144">
        <f>SUM(AC89:AH89)+SUM(AI89:AN89)</f>
        <v/>
      </c>
      <c r="AP89" s="142">
        <f>IF(AB89&lt;&gt;0,(AO89-AB89)/ABS(AB89),0)</f>
        <v/>
      </c>
    </row>
    <row r="90">
      <c r="A90" s="60" t="inlineStr">
        <is>
          <t>Direct - Premises &amp; Admin</t>
        </is>
      </c>
      <c r="B90" s="18" t="n">
        <v>-5118.39</v>
      </c>
      <c r="C90" s="18" t="n">
        <v>-1579.820000000002</v>
      </c>
      <c r="D90" s="18" t="n">
        <v>-4736.610000000001</v>
      </c>
      <c r="E90" s="18" t="n">
        <v>-5016.860000000001</v>
      </c>
      <c r="F90" s="18" t="n">
        <v>-4278.14</v>
      </c>
      <c r="G90" s="18" t="n">
        <v>-3636.79</v>
      </c>
      <c r="H90" s="18" t="n">
        <v>-2940.029999999999</v>
      </c>
      <c r="I90" s="18" t="n">
        <v>-2149.349999999999</v>
      </c>
      <c r="J90" s="18" t="n">
        <v>-147.9299999999999</v>
      </c>
      <c r="K90" s="18" t="n">
        <v>-4427.900000000001</v>
      </c>
      <c r="L90" s="18" t="n">
        <v>-4384.09</v>
      </c>
      <c r="M90" s="18" t="n">
        <v>-3489.5</v>
      </c>
      <c r="N90" s="8" t="n"/>
      <c r="O90" s="60">
        <f>-SUMIF('XNDN TB'!$T:$T,'NDN P&amp;L'!$A90,'XNDN TB'!C:C)</f>
        <v/>
      </c>
      <c r="P90" s="60">
        <f>-SUMIF('XNDN TB'!$T:$T,'NDN P&amp;L'!$A90,'XNDN TB'!D:D)</f>
        <v/>
      </c>
      <c r="Q90" s="60">
        <f>-SUMIF('XNDN TB'!$T:$T,'NDN P&amp;L'!$A90,'XNDN TB'!E:E)</f>
        <v/>
      </c>
      <c r="R90" s="60">
        <f>-SUMIF('XNDN TB'!$T:$T,'NDN P&amp;L'!$A90,'XNDN TB'!F:F)</f>
        <v/>
      </c>
      <c r="S90" s="60">
        <f>-SUMIF('XNDN TB'!$T:$T,'NDN P&amp;L'!$A90,'XNDN TB'!G:G)</f>
        <v/>
      </c>
      <c r="T90" s="60">
        <f>-SUMIF('XNDN TB'!$T:$T,'NDN P&amp;L'!$A90,'XNDN TB'!H:H)</f>
        <v/>
      </c>
      <c r="U90" s="60">
        <f>-SUMIF('XNDN TB'!$T:$T,'NDN P&amp;L'!$A90,'XNDN TB'!I:I)</f>
        <v/>
      </c>
      <c r="V90" s="60">
        <f>-SUMIF('XNDN TB'!$T:$T,'NDN P&amp;L'!$A90,'XNDN TB'!J:J)</f>
        <v/>
      </c>
      <c r="W90" s="60">
        <f>-SUMIF('XNDN TB'!$T:$T,'NDN P&amp;L'!$A90,'XNDN TB'!K:K)</f>
        <v/>
      </c>
      <c r="X90" s="60">
        <f>-SUMIF('XNDN TB'!$T:$T,'NDN P&amp;L'!$A90,'XNDN TB'!L:L)</f>
        <v/>
      </c>
      <c r="Y90" s="60">
        <f>-SUMIF('XNDN TB'!$T:$T,'NDN P&amp;L'!$A90,'XNDN TB'!M:M)</f>
        <v/>
      </c>
      <c r="Z90" s="60">
        <f>-SUMIF('XNDN TB'!$T:$T,'NDN P&amp;L'!$A90,'XNDN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134" t="n">
        <v>0</v>
      </c>
      <c r="AJ90" s="134" t="n">
        <v>0</v>
      </c>
      <c r="AK90" s="134" t="n">
        <v>0</v>
      </c>
      <c r="AL90" s="134" t="n">
        <v>0</v>
      </c>
      <c r="AM90" s="134" t="n">
        <v>0</v>
      </c>
      <c r="AN90" s="134" t="n">
        <v>0</v>
      </c>
      <c r="AO90" s="144">
        <f>SUM(AC90:AH90)+SUM(AI90:AN90)</f>
        <v/>
      </c>
      <c r="AP90" s="142">
        <f>IF(AB90&lt;&gt;0,(AO90-AB90)/ABS(AB90),0)</f>
        <v/>
      </c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-SUMIF('XNDN TB'!$T:$T,'NDN P&amp;L'!$A91,'XNDN TB'!C:C)</f>
        <v/>
      </c>
      <c r="P91" s="60">
        <f>-SUMIF('XNDN TB'!$T:$T,'NDN P&amp;L'!$A91,'XNDN TB'!D:D)</f>
        <v/>
      </c>
      <c r="Q91" s="60">
        <f>-SUMIF('XNDN TB'!$T:$T,'NDN P&amp;L'!$A91,'XNDN TB'!E:E)</f>
        <v/>
      </c>
      <c r="R91" s="60">
        <f>-SUMIF('XNDN TB'!$T:$T,'NDN P&amp;L'!$A91,'XNDN TB'!F:F)</f>
        <v/>
      </c>
      <c r="S91" s="60">
        <f>-SUMIF('XNDN TB'!$T:$T,'NDN P&amp;L'!$A91,'XNDN TB'!G:G)</f>
        <v/>
      </c>
      <c r="T91" s="60">
        <f>-SUMIF('XNDN TB'!$T:$T,'NDN P&amp;L'!$A91,'XNDN TB'!H:H)</f>
        <v/>
      </c>
      <c r="U91" s="60">
        <f>-SUMIF('XNDN TB'!$T:$T,'NDN P&amp;L'!$A91,'XNDN TB'!I:I)</f>
        <v/>
      </c>
      <c r="V91" s="60">
        <f>-SUMIF('XNDN TB'!$T:$T,'NDN P&amp;L'!$A91,'XNDN TB'!J:J)</f>
        <v/>
      </c>
      <c r="W91" s="60">
        <f>-SUMIF('XNDN TB'!$T:$T,'NDN P&amp;L'!$A91,'XNDN TB'!K:K)</f>
        <v/>
      </c>
      <c r="X91" s="60">
        <f>-SUMIF('XNDN TB'!$T:$T,'NDN P&amp;L'!$A91,'XNDN TB'!L:L)</f>
        <v/>
      </c>
      <c r="Y91" s="60">
        <f>-SUMIF('XNDN TB'!$T:$T,'NDN P&amp;L'!$A91,'XNDN TB'!M:M)</f>
        <v/>
      </c>
      <c r="Z91" s="60">
        <f>-SUMIF('XNDN TB'!$T:$T,'NDN P&amp;L'!$A91,'XNDN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134" t="n">
        <v>0</v>
      </c>
      <c r="AJ91" s="134" t="n">
        <v>0</v>
      </c>
      <c r="AK91" s="134" t="n">
        <v>0</v>
      </c>
      <c r="AL91" s="134" t="n">
        <v>0</v>
      </c>
      <c r="AM91" s="134" t="n">
        <v>0</v>
      </c>
      <c r="AN91" s="134" t="n">
        <v>0</v>
      </c>
      <c r="AO91" s="144">
        <f>SUM(AC91:AH91)+SUM(AI91:AN91)</f>
        <v/>
      </c>
      <c r="AP91" s="142">
        <f>IF(AB91&lt;&gt;0,(AO91-AB91)/ABS(AB91),0)</f>
        <v/>
      </c>
    </row>
    <row r="92">
      <c r="A92" s="60" t="inlineStr">
        <is>
          <t>In-Direct - Overheads</t>
        </is>
      </c>
      <c r="B92" s="18" t="n">
        <v>-572.0300000000001</v>
      </c>
      <c r="C92" s="18" t="n">
        <v>-271.49</v>
      </c>
      <c r="D92" s="18" t="n">
        <v>-502.96</v>
      </c>
      <c r="E92" s="18" t="n">
        <v>-204.98</v>
      </c>
      <c r="F92" s="18" t="n">
        <v>-312.77</v>
      </c>
      <c r="G92" s="18" t="n">
        <v>-363.86</v>
      </c>
      <c r="H92" s="18" t="n">
        <v>-204.38</v>
      </c>
      <c r="I92" s="18" t="n">
        <v>-204.38</v>
      </c>
      <c r="J92" s="18" t="n">
        <v>-204.37</v>
      </c>
      <c r="K92" s="18" t="n">
        <v>-407.68</v>
      </c>
      <c r="L92" s="18" t="n">
        <v>-594.5700000000001</v>
      </c>
      <c r="M92" s="18" t="n">
        <v>-557.22</v>
      </c>
      <c r="N92" s="8" t="n"/>
      <c r="O92" s="60">
        <f>-SUMIF('XNDN TB'!$T:$T,'NDN P&amp;L'!$A92,'XNDN TB'!C:C)</f>
        <v/>
      </c>
      <c r="P92" s="60">
        <f>-SUMIF('XNDN TB'!$T:$T,'NDN P&amp;L'!$A92,'XNDN TB'!D:D)</f>
        <v/>
      </c>
      <c r="Q92" s="60">
        <f>-SUMIF('XNDN TB'!$T:$T,'NDN P&amp;L'!$A92,'XNDN TB'!E:E)</f>
        <v/>
      </c>
      <c r="R92" s="60">
        <f>-SUMIF('XNDN TB'!$T:$T,'NDN P&amp;L'!$A92,'XNDN TB'!F:F)</f>
        <v/>
      </c>
      <c r="S92" s="60">
        <f>-SUMIF('XNDN TB'!$T:$T,'NDN P&amp;L'!$A92,'XNDN TB'!G:G)</f>
        <v/>
      </c>
      <c r="T92" s="60">
        <f>-SUMIF('XNDN TB'!$T:$T,'NDN P&amp;L'!$A92,'XNDN TB'!H:H)</f>
        <v/>
      </c>
      <c r="U92" s="60">
        <f>-SUMIF('XNDN TB'!$T:$T,'NDN P&amp;L'!$A92,'XNDN TB'!I:I)</f>
        <v/>
      </c>
      <c r="V92" s="60">
        <f>-SUMIF('XNDN TB'!$T:$T,'NDN P&amp;L'!$A92,'XNDN TB'!J:J)</f>
        <v/>
      </c>
      <c r="W92" s="60">
        <f>-SUMIF('XNDN TB'!$T:$T,'NDN P&amp;L'!$A92,'XNDN TB'!K:K)</f>
        <v/>
      </c>
      <c r="X92" s="60">
        <f>-SUMIF('XNDN TB'!$T:$T,'NDN P&amp;L'!$A92,'XNDN TB'!L:L)</f>
        <v/>
      </c>
      <c r="Y92" s="60">
        <f>-SUMIF('XNDN TB'!$T:$T,'NDN P&amp;L'!$A92,'XNDN TB'!M:M)</f>
        <v/>
      </c>
      <c r="Z92" s="60">
        <f>-SUMIF('XNDN TB'!$T:$T,'NDN P&amp;L'!$A92,'XNDN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134" t="n">
        <v>0</v>
      </c>
      <c r="AJ92" s="134" t="n">
        <v>0</v>
      </c>
      <c r="AK92" s="134" t="n">
        <v>0</v>
      </c>
      <c r="AL92" s="134" t="n">
        <v>0</v>
      </c>
      <c r="AM92" s="134" t="n">
        <v>0</v>
      </c>
      <c r="AN92" s="134" t="n">
        <v>0</v>
      </c>
      <c r="AO92" s="144">
        <f>SUM(AC92:AH92)+SUM(AI92:AN92)</f>
        <v/>
      </c>
      <c r="AP92" s="142">
        <f>IF(AB92&lt;&gt;0,(AO92-AB92)/ABS(AB92),0)</f>
        <v/>
      </c>
    </row>
    <row r="93" ht="15.75" customHeight="1">
      <c r="A93" s="8" t="n"/>
      <c r="B93" s="67" t="n">
        <v>-6239.660000000004</v>
      </c>
      <c r="C93" s="67" t="n">
        <v>1354.119999999997</v>
      </c>
      <c r="D93" s="67" t="n">
        <v>7263.790000000005</v>
      </c>
      <c r="E93" s="67" t="n">
        <v>-162.9700000000007</v>
      </c>
      <c r="F93" s="67" t="n">
        <v>-5365.91</v>
      </c>
      <c r="G93" s="67" t="n">
        <v>5298.07</v>
      </c>
      <c r="H93" s="67" t="n">
        <v>13277.88000000001</v>
      </c>
      <c r="I93" s="67" t="n">
        <v>1871.370000000003</v>
      </c>
      <c r="J93" s="67" t="n">
        <v>5240.259999999998</v>
      </c>
      <c r="K93" s="67" t="n">
        <v>1153.089999999997</v>
      </c>
      <c r="L93" s="67" t="n">
        <v>2170.480000000001</v>
      </c>
      <c r="M93" s="67" t="n">
        <v>-5338.53</v>
      </c>
      <c r="N93" s="64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64" t="n"/>
      <c r="AB93" s="8" t="n"/>
      <c r="AC93" s="64" t="n"/>
      <c r="AD93" s="64" t="n"/>
      <c r="AE93" s="64" t="n"/>
      <c r="AF93" s="64" t="n"/>
      <c r="AG93" s="64" t="n"/>
      <c r="AH93" s="64" t="n"/>
      <c r="AI93" s="134" t="n">
        <v>0</v>
      </c>
      <c r="AJ93" s="149" t="n">
        <v>0</v>
      </c>
      <c r="AK93" s="149" t="n">
        <v>0</v>
      </c>
      <c r="AL93" s="149" t="n">
        <v>0</v>
      </c>
      <c r="AM93" s="149" t="n">
        <v>0</v>
      </c>
      <c r="AN93" s="149" t="n">
        <v>0</v>
      </c>
      <c r="AO93" s="150">
        <f>SUM(AC93:AH93)+SUM(AI93:AN93)</f>
        <v/>
      </c>
      <c r="AP93" s="151">
        <f>IF(AB93&lt;&gt;0,(AO93-AB93)/ABS(AB93),0)</f>
        <v/>
      </c>
    </row>
    <row r="94" ht="15.75" customHeight="1">
      <c r="A94" s="8" t="n"/>
      <c r="B94" s="18" t="n">
        <v>0</v>
      </c>
      <c r="C94" s="18" t="n">
        <v>0</v>
      </c>
      <c r="D94" s="18" t="n">
        <v>0</v>
      </c>
      <c r="E94" s="18" t="n">
        <v>-9.094947017729282e-13</v>
      </c>
      <c r="F94" s="18" t="n">
        <v>0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0</v>
      </c>
      <c r="L94" s="18" t="n">
        <v>0</v>
      </c>
      <c r="M94" s="18" t="n">
        <v>10755.14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134" t="n">
        <v>0</v>
      </c>
      <c r="AJ94" s="134" t="n">
        <v>0</v>
      </c>
      <c r="AK94" s="134" t="n">
        <v>0</v>
      </c>
      <c r="AL94" s="134" t="n">
        <v>0</v>
      </c>
      <c r="AM94" s="134" t="n">
        <v>0</v>
      </c>
      <c r="AN94" s="134" t="n">
        <v>0</v>
      </c>
      <c r="AO94" s="144">
        <f>SUM(AC94:AH94)+SUM(AI94:AN94)</f>
        <v/>
      </c>
      <c r="AP94" s="142">
        <f>IF(AB94&lt;&gt;0,(AO94-AB94)/ABS(AB94),0)</f>
        <v/>
      </c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0</v>
      </c>
      <c r="C96" s="18" t="n">
        <v>0</v>
      </c>
      <c r="D96" s="18" t="n">
        <v>0</v>
      </c>
      <c r="E96" s="18" t="n">
        <v>2.131628207280301e-12</v>
      </c>
      <c r="F96" s="18" t="n">
        <v>0</v>
      </c>
      <c r="G96" s="18" t="n">
        <v>0</v>
      </c>
      <c r="H96" s="18" t="n">
        <v>0</v>
      </c>
      <c r="I96" s="18" t="n">
        <v>3.183231456205249e-12</v>
      </c>
      <c r="J96" s="18" t="n">
        <v>0</v>
      </c>
      <c r="K96" s="18" t="n">
        <v>0</v>
      </c>
      <c r="L96" s="18" t="n">
        <v>0</v>
      </c>
      <c r="M96" s="18" t="n">
        <v>-10755.14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134" t="n">
        <v>0</v>
      </c>
      <c r="AJ96" s="134" t="n">
        <v>0</v>
      </c>
      <c r="AK96" s="134" t="n">
        <v>0</v>
      </c>
      <c r="AL96" s="134" t="n">
        <v>0</v>
      </c>
      <c r="AM96" s="134" t="n">
        <v>0</v>
      </c>
      <c r="AN96" s="134" t="n">
        <v>0</v>
      </c>
      <c r="AO96" s="144">
        <f>SUM(AC96:AH96)+SUM(AI96:AN96)</f>
        <v/>
      </c>
      <c r="AP96" s="142">
        <f>IF(AB96&lt;&gt;0,(AO96-AB96)/ABS(AB96),0)</f>
        <v/>
      </c>
    </row>
    <row r="97">
      <c r="A97" s="8" t="n"/>
      <c r="B97" s="18" t="n">
        <v>6239.660000000004</v>
      </c>
      <c r="C97" s="18" t="n">
        <v>-1354.119999999996</v>
      </c>
      <c r="D97" s="18" t="n">
        <v>-7263.790000000001</v>
      </c>
      <c r="E97" s="18" t="n">
        <v>162.9700000000028</v>
      </c>
      <c r="F97" s="18" t="n">
        <v>5365.910000000003</v>
      </c>
      <c r="G97" s="18" t="n">
        <v>-5298.069999999999</v>
      </c>
      <c r="H97" s="18" t="n">
        <v>-13277.88</v>
      </c>
      <c r="I97" s="18" t="n">
        <v>-1871.369999999999</v>
      </c>
      <c r="J97" s="18" t="n">
        <v>-5240.260000000001</v>
      </c>
      <c r="K97" s="18" t="n">
        <v>-1153.089999999998</v>
      </c>
      <c r="L97" s="18" t="n">
        <v>-2170.480000000001</v>
      </c>
      <c r="M97" s="18" t="n">
        <v>-5416.610000000001</v>
      </c>
      <c r="N97" s="8" t="n"/>
      <c r="O97" s="60">
        <f>SUM('XNDN TB'!C2:C41)</f>
        <v/>
      </c>
      <c r="P97" s="60">
        <f>SUM('XNDN TB'!D2:D41)</f>
        <v/>
      </c>
      <c r="Q97" s="60">
        <f>SUM('XNDN TB'!E2:E41)</f>
        <v/>
      </c>
      <c r="R97" s="60">
        <f>SUM('XNDN TB'!F2:F41)</f>
        <v/>
      </c>
      <c r="S97" s="60">
        <f>SUM('XNDN TB'!G2:G41)</f>
        <v/>
      </c>
      <c r="T97" s="60">
        <f>SUM('XNDN TB'!H2:H41)</f>
        <v/>
      </c>
      <c r="U97" s="60">
        <f>SUM('XNDN TB'!I2:I41)</f>
        <v/>
      </c>
      <c r="V97" s="60">
        <f>SUM('XNDN TB'!J2:J41)</f>
        <v/>
      </c>
      <c r="W97" s="60">
        <f>SUM('XNDN TB'!K2:K41)</f>
        <v/>
      </c>
      <c r="X97" s="60">
        <f>SUM('XNDN TB'!L2:L41)</f>
        <v/>
      </c>
      <c r="Y97" s="60">
        <f>SUM('XNDN TB'!M2:M41)</f>
        <v/>
      </c>
      <c r="Z97" s="60">
        <f>SUM('XNDN TB'!N2:N41)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134" t="n">
        <v>0</v>
      </c>
      <c r="AJ97" s="134" t="n">
        <v>0</v>
      </c>
      <c r="AK97" s="134" t="n">
        <v>0</v>
      </c>
      <c r="AL97" s="134" t="n">
        <v>0</v>
      </c>
      <c r="AM97" s="134" t="n">
        <v>0</v>
      </c>
      <c r="AN97" s="134" t="n">
        <v>0</v>
      </c>
      <c r="AO97" s="144">
        <f>SUM(AC97:AH97)+SUM(AI97:AN97)</f>
        <v/>
      </c>
      <c r="AP97" s="142">
        <f>IF(AB97&lt;&gt;0,(AO97-AB97)/ABS(AB97),0)</f>
        <v/>
      </c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Q94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9.28515625" customWidth="1" min="27" max="27"/>
    <col width="10.8554687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Saltway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37257.07</v>
      </c>
      <c r="C8" s="35" t="n">
        <v>33298.19</v>
      </c>
      <c r="D8" s="35" t="n">
        <v>43477.73</v>
      </c>
      <c r="E8" s="35" t="n">
        <v>53897.15</v>
      </c>
      <c r="F8" s="35" t="n">
        <v>40493.17</v>
      </c>
      <c r="G8" s="35" t="n">
        <v>40450.55</v>
      </c>
      <c r="H8" s="35" t="n">
        <v>59564.03999999999</v>
      </c>
      <c r="I8" s="35" t="n">
        <v>50501.36</v>
      </c>
      <c r="J8" s="35" t="n">
        <v>44919.97</v>
      </c>
      <c r="K8" s="35" t="n">
        <v>44608.71</v>
      </c>
      <c r="L8" s="35" t="n">
        <v>39750.3</v>
      </c>
      <c r="M8" s="35" t="n">
        <v>59286.95</v>
      </c>
      <c r="N8" s="36">
        <f>SUM(B8:M8)</f>
        <v/>
      </c>
      <c r="O8" s="37">
        <f>-SUMIF('XSALT TB'!$R:$R,'SALT P&amp;L'!$A8,'XSALT TB'!C:C)</f>
        <v/>
      </c>
      <c r="P8" s="37">
        <f>-SUMIF('XSALT TB'!$R:$R,'SALT P&amp;L'!$A8,'XSALT TB'!D:D)</f>
        <v/>
      </c>
      <c r="Q8" s="37">
        <f>-SUMIF('XSALT TB'!$R:$R,'SALT P&amp;L'!$A8,'XSALT TB'!E:E)</f>
        <v/>
      </c>
      <c r="R8" s="37">
        <f>-SUMIF('XSALT TB'!$R:$R,'SALT P&amp;L'!$A8,'XSALT TB'!F:F)</f>
        <v/>
      </c>
      <c r="S8" s="37">
        <f>-SUMIF('XSALT TB'!$R:$R,'SALT P&amp;L'!$A8,'XSALT TB'!G:G)</f>
        <v/>
      </c>
      <c r="T8" s="37">
        <f>-SUMIF('XSALT TB'!$R:$R,'SALT P&amp;L'!$A8,'XSALT TB'!H:H)</f>
        <v/>
      </c>
      <c r="U8" s="37">
        <f>-SUMIF('SALT TB'!$R:$R,'SALT P&amp;L'!$A8,'SALT TB'!I:I)</f>
        <v/>
      </c>
      <c r="V8" s="38" t="n">
        <v>62099</v>
      </c>
      <c r="W8" s="38" t="n">
        <v>44227</v>
      </c>
      <c r="X8" s="38" t="n">
        <v>40783</v>
      </c>
      <c r="Y8" s="38" t="n">
        <v>44536</v>
      </c>
      <c r="Z8" s="38" t="n">
        <v>67750</v>
      </c>
      <c r="AA8" s="36">
        <f>SUM(O8:U8)</f>
        <v/>
      </c>
      <c r="AB8" s="36">
        <f>SUM(O8:Z8)</f>
        <v/>
      </c>
      <c r="AC8" s="38" t="n">
        <v>96606.42999999999</v>
      </c>
      <c r="AD8" s="38" t="n">
        <v>91623.52</v>
      </c>
      <c r="AE8" s="38" t="n">
        <v>110145.66</v>
      </c>
      <c r="AF8" s="38" t="n">
        <v>82870.42</v>
      </c>
      <c r="AG8" s="38" t="n">
        <v>74081.52</v>
      </c>
      <c r="AH8" s="38" t="n">
        <v>83711.62</v>
      </c>
      <c r="AI8" s="118" t="n">
        <v>83711.62</v>
      </c>
      <c r="AJ8" s="119" t="n">
        <v>83711.62</v>
      </c>
      <c r="AK8" s="119" t="n">
        <v>83711.62</v>
      </c>
      <c r="AL8" s="119" t="n">
        <v>83711.62</v>
      </c>
      <c r="AM8" s="120" t="n">
        <v>83711.62</v>
      </c>
      <c r="AN8" s="118" t="n">
        <v>83711.62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15786.38</v>
      </c>
      <c r="C9" s="35" t="n">
        <v>31418.47</v>
      </c>
      <c r="D9" s="35" t="n">
        <v>31418.47</v>
      </c>
      <c r="E9" s="35" t="n">
        <v>11706.01</v>
      </c>
      <c r="F9" s="35" t="n">
        <v>11706.01</v>
      </c>
      <c r="G9" s="35" t="n">
        <v>25742.42</v>
      </c>
      <c r="H9" s="35" t="n">
        <v>26902.67</v>
      </c>
      <c r="I9" s="35" t="n">
        <v>0</v>
      </c>
      <c r="J9" s="35" t="n">
        <v>17420.26</v>
      </c>
      <c r="K9" s="35" t="n">
        <v>17420.26</v>
      </c>
      <c r="L9" s="35" t="n">
        <v>37807.82</v>
      </c>
      <c r="M9" s="35" t="n">
        <v>39399.03</v>
      </c>
      <c r="N9" s="36">
        <f>SUM(B9:M9)</f>
        <v/>
      </c>
      <c r="O9" s="37">
        <f>-SUMIF('XSALT TB'!$R:$R,'SALT P&amp;L'!$A9,'XSALT TB'!C:C)</f>
        <v/>
      </c>
      <c r="P9" s="37">
        <f>-SUMIF('XSALT TB'!$R:$R,'SALT P&amp;L'!$A9,'XSALT TB'!D:D)</f>
        <v/>
      </c>
      <c r="Q9" s="37">
        <f>-SUMIF('XSALT TB'!$R:$R,'SALT P&amp;L'!$A9,'XSALT TB'!E:E)</f>
        <v/>
      </c>
      <c r="R9" s="37">
        <f>-SUMIF('XSALT TB'!$R:$R,'SALT P&amp;L'!$A9,'XSALT TB'!F:F)</f>
        <v/>
      </c>
      <c r="S9" s="37">
        <f>-SUMIF('XSALT TB'!$R:$R,'SALT P&amp;L'!$A9,'XSALT TB'!G:G)</f>
        <v/>
      </c>
      <c r="T9" s="37">
        <f>-SUMIF('XSALT TB'!$R:$R,'SALT P&amp;L'!$A9,'XSALT TB'!H:H)</f>
        <v/>
      </c>
      <c r="U9" s="37">
        <f>-SUMIF('SALT TB'!$R:$R,'SALT P&amp;L'!$A9,'SALT TB'!I:I)</f>
        <v/>
      </c>
      <c r="V9" s="38" t="n">
        <v>0</v>
      </c>
      <c r="W9" s="38" t="n">
        <v>35410</v>
      </c>
      <c r="X9" s="38" t="n">
        <v>42553</v>
      </c>
      <c r="Y9" s="38" t="n">
        <v>42177</v>
      </c>
      <c r="Z9" s="38" t="n">
        <v>19507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8" t="n">
        <v>0</v>
      </c>
      <c r="AJ9" s="119" t="n">
        <v>0</v>
      </c>
      <c r="AK9" s="119" t="n">
        <v>0</v>
      </c>
      <c r="AL9" s="119" t="n">
        <v>0</v>
      </c>
      <c r="AM9" s="120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63</v>
      </c>
      <c r="C10" s="35" t="n">
        <v>0</v>
      </c>
      <c r="D10" s="35" t="n">
        <v>45</v>
      </c>
      <c r="E10" s="35" t="n">
        <v>424.2</v>
      </c>
      <c r="F10" s="35" t="n">
        <v>0</v>
      </c>
      <c r="G10" s="35" t="n">
        <v>-334.2</v>
      </c>
      <c r="H10" s="35" t="n">
        <v>0</v>
      </c>
      <c r="I10" s="35" t="n">
        <v>3954.91</v>
      </c>
      <c r="J10" s="35" t="n">
        <v>0</v>
      </c>
      <c r="K10" s="35" t="n">
        <v>15</v>
      </c>
      <c r="L10" s="35" t="n">
        <v>0</v>
      </c>
      <c r="M10" s="35" t="n">
        <v>4184.13</v>
      </c>
      <c r="N10" s="36">
        <f>SUM(B10:M10)</f>
        <v/>
      </c>
      <c r="O10" s="37">
        <f>-SUMIF('XSALT TB'!$R:$R,'SALT P&amp;L'!$A10,'XSALT TB'!C:C)</f>
        <v/>
      </c>
      <c r="P10" s="37">
        <f>-SUMIF('XSALT TB'!$R:$R,'SALT P&amp;L'!$A10,'XSALT TB'!D:D)</f>
        <v/>
      </c>
      <c r="Q10" s="37">
        <f>-SUMIF('XSALT TB'!$R:$R,'SALT P&amp;L'!$A10,'XSALT TB'!E:E)</f>
        <v/>
      </c>
      <c r="R10" s="37">
        <f>-SUMIF('XSALT TB'!$R:$R,'SALT P&amp;L'!$A10,'XSALT TB'!F:F)</f>
        <v/>
      </c>
      <c r="S10" s="37">
        <f>-SUMIF('XSALT TB'!$R:$R,'SALT P&amp;L'!$A10,'XSALT TB'!G:G)</f>
        <v/>
      </c>
      <c r="T10" s="37">
        <f>-SUMIF('XSALT TB'!$R:$R,'SALT P&amp;L'!$A10,'XSALT TB'!H:H)</f>
        <v/>
      </c>
      <c r="U10" s="37">
        <f>-SUMIF('SALT TB'!$R:$R,'SALT P&amp;L'!$A10,'SALT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8" t="n">
        <v>0</v>
      </c>
      <c r="AJ10" s="119" t="n">
        <v>0</v>
      </c>
      <c r="AK10" s="119" t="n">
        <v>0</v>
      </c>
      <c r="AL10" s="119" t="n">
        <v>0</v>
      </c>
      <c r="AM10" s="120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53106.45</v>
      </c>
      <c r="C11" s="42" t="n">
        <v>64716.66</v>
      </c>
      <c r="D11" s="42" t="n">
        <v>74941.20000000001</v>
      </c>
      <c r="E11" s="42" t="n">
        <v>66027.36</v>
      </c>
      <c r="F11" s="42" t="n">
        <v>52199.18</v>
      </c>
      <c r="G11" s="42" t="n">
        <v>65858.77</v>
      </c>
      <c r="H11" s="42" t="n">
        <v>86466.70999999999</v>
      </c>
      <c r="I11" s="42" t="n">
        <v>54456.27</v>
      </c>
      <c r="J11" s="42" t="n">
        <v>62340.23</v>
      </c>
      <c r="K11" s="42" t="n">
        <v>62043.97</v>
      </c>
      <c r="L11" s="42" t="n">
        <v>77558.12</v>
      </c>
      <c r="M11" s="42" t="n">
        <v>102870.11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SUM(O11:U11)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3">
        <f>SUM(AI8:AI10)</f>
        <v/>
      </c>
      <c r="AJ11" s="124">
        <f>SUM(AJ8:AJ10)</f>
        <v/>
      </c>
      <c r="AK11" s="124">
        <f>SUM(AK8:AK10)</f>
        <v/>
      </c>
      <c r="AL11" s="124">
        <f>SUM(AL8:AL10)</f>
        <v/>
      </c>
      <c r="AM11" s="124">
        <f>SUM(AM8:AM10)</f>
        <v/>
      </c>
      <c r="AN11" s="123">
        <f>SUM(AN8:AN10)</f>
        <v/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SUM(O12:U12)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7" t="n">
        <v>0</v>
      </c>
      <c r="AJ12" s="128" t="n">
        <v>0</v>
      </c>
      <c r="AK12" s="128" t="n">
        <v>0</v>
      </c>
      <c r="AL12" s="128" t="n">
        <v>0</v>
      </c>
      <c r="AM12" s="129" t="n">
        <v>0</v>
      </c>
      <c r="AN12" s="127" t="n">
        <v>0</v>
      </c>
      <c r="AO12" s="121">
        <f>SUM(AC12:AH12)+SUM(AI12:AN12)</f>
        <v/>
      </c>
      <c r="AP12" s="122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79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SUM(O13:U13)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 t="n">
        <v>0</v>
      </c>
      <c r="AJ13" s="131" t="n">
        <v>0</v>
      </c>
      <c r="AK13" s="131" t="n">
        <v>0</v>
      </c>
      <c r="AL13" s="131" t="n">
        <v>0</v>
      </c>
      <c r="AM13" s="132" t="n">
        <v>0</v>
      </c>
      <c r="AN13" s="130" t="n">
        <v>0</v>
      </c>
      <c r="AO13" s="133">
        <f>SUM(AC13:AH13)+SUM(AI13:AN13)</f>
        <v/>
      </c>
      <c r="AP13" s="122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>
        <f>SUM(O14:U14)</f>
        <v/>
      </c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SUM(O15:U15)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30393.27</v>
      </c>
      <c r="C16" s="35" t="n">
        <v>35155.93</v>
      </c>
      <c r="D16" s="35" t="n">
        <v>30489.76</v>
      </c>
      <c r="E16" s="35" t="n">
        <v>31240.36</v>
      </c>
      <c r="F16" s="35" t="n">
        <v>32288.24</v>
      </c>
      <c r="G16" s="35" t="n">
        <v>31815.08</v>
      </c>
      <c r="H16" s="35" t="n">
        <v>35596.24</v>
      </c>
      <c r="I16" s="35" t="n">
        <v>35686.29</v>
      </c>
      <c r="J16" s="35" t="n">
        <v>38903.68</v>
      </c>
      <c r="K16" s="35" t="n">
        <v>41384.71</v>
      </c>
      <c r="L16" s="35" t="n">
        <v>36944.71</v>
      </c>
      <c r="M16" s="35" t="n">
        <v>35884.94</v>
      </c>
      <c r="N16" s="36">
        <f>SUM(B16:M16)</f>
        <v/>
      </c>
      <c r="O16" s="37">
        <f>SUMIF('XSALT TB'!$R:$R,'SALT P&amp;L'!$A16,'XSALT TB'!C:C)</f>
        <v/>
      </c>
      <c r="P16" s="37">
        <f>SUMIF('XSALT TB'!$R:$R,'SALT P&amp;L'!$A16,'XSALT TB'!D:D)</f>
        <v/>
      </c>
      <c r="Q16" s="37">
        <f>SUMIF('XSALT TB'!$R:$R,'SALT P&amp;L'!$A16,'XSALT TB'!E:E)</f>
        <v/>
      </c>
      <c r="R16" s="37">
        <f>SUMIF('XSALT TB'!$R:$R,'SALT P&amp;L'!$A16,'XSALT TB'!F:F)</f>
        <v/>
      </c>
      <c r="S16" s="37">
        <f>SUMIF('XSALT TB'!$R:$R,'SALT P&amp;L'!$A16,'XSALT TB'!G:G)</f>
        <v/>
      </c>
      <c r="T16" s="37">
        <f>SUMIF('XSALT TB'!$R:$R,'SALT P&amp;L'!$A16,'XSALT TB'!H:H)</f>
        <v/>
      </c>
      <c r="U16" s="37">
        <f>SUMIF('SALT TB'!$R:$R,'SALT P&amp;L'!$A16,'SALT TB'!I:I)</f>
        <v/>
      </c>
      <c r="V16" s="38" t="n">
        <v>47153.07</v>
      </c>
      <c r="W16" s="38" t="n">
        <v>47153.07</v>
      </c>
      <c r="X16" s="38" t="n">
        <v>47153.07</v>
      </c>
      <c r="Y16" s="38" t="n">
        <v>47153.07</v>
      </c>
      <c r="Z16" s="38" t="n">
        <v>47153.07</v>
      </c>
      <c r="AA16" s="36">
        <f>SUM(O16:U16)</f>
        <v/>
      </c>
      <c r="AB16" s="36">
        <f>SUM(O16:Z16)</f>
        <v/>
      </c>
      <c r="AC16" s="38" t="n">
        <v>47153.07</v>
      </c>
      <c r="AD16" s="38" t="n">
        <v>47153.07</v>
      </c>
      <c r="AE16" s="38" t="n">
        <v>47153.07</v>
      </c>
      <c r="AF16" s="38" t="n">
        <v>47153.07</v>
      </c>
      <c r="AG16" s="38" t="n">
        <v>47153.07</v>
      </c>
      <c r="AH16" s="38" t="n">
        <v>47153.07</v>
      </c>
      <c r="AI16" s="118" t="n">
        <v>47153.07</v>
      </c>
      <c r="AJ16" s="119" t="n">
        <v>47153.07</v>
      </c>
      <c r="AK16" s="119" t="n">
        <v>47153.07</v>
      </c>
      <c r="AL16" s="119" t="n">
        <v>47153.07</v>
      </c>
      <c r="AM16" s="120" t="n">
        <v>47153.07</v>
      </c>
      <c r="AN16" s="118" t="n">
        <v>47153.07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2487.86</v>
      </c>
      <c r="C17" s="35" t="n">
        <v>2930.63</v>
      </c>
      <c r="D17" s="35" t="n">
        <v>2468.52</v>
      </c>
      <c r="E17" s="35" t="n">
        <v>3548.23</v>
      </c>
      <c r="F17" s="35" t="n">
        <v>3707.05</v>
      </c>
      <c r="G17" s="35" t="n">
        <v>3481.19</v>
      </c>
      <c r="H17" s="35" t="n">
        <v>3778.98</v>
      </c>
      <c r="I17" s="35" t="n">
        <v>3691.12</v>
      </c>
      <c r="J17" s="35" t="n">
        <v>4117.66</v>
      </c>
      <c r="K17" s="35" t="n">
        <v>4459.07</v>
      </c>
      <c r="L17" s="35" t="n">
        <v>3885.32</v>
      </c>
      <c r="M17" s="35" t="n">
        <v>3732.95</v>
      </c>
      <c r="N17" s="36">
        <f>SUM(B17:M17)</f>
        <v/>
      </c>
      <c r="O17" s="37">
        <f>SUMIF('XSALT TB'!$R:$R,'SALT P&amp;L'!$A17,'XSALT TB'!C:C)</f>
        <v/>
      </c>
      <c r="P17" s="37">
        <f>SUMIF('XSALT TB'!$R:$R,'SALT P&amp;L'!$A17,'XSALT TB'!D:D)</f>
        <v/>
      </c>
      <c r="Q17" s="37">
        <f>SUMIF('XSALT TB'!$R:$R,'SALT P&amp;L'!$A17,'XSALT TB'!E:E)</f>
        <v/>
      </c>
      <c r="R17" s="37">
        <f>SUMIF('XSALT TB'!$R:$R,'SALT P&amp;L'!$A17,'XSALT TB'!F:F)</f>
        <v/>
      </c>
      <c r="S17" s="37">
        <f>SUMIF('XSALT TB'!$R:$R,'SALT P&amp;L'!$A17,'XSALT TB'!G:G)</f>
        <v/>
      </c>
      <c r="T17" s="37">
        <f>SUMIF('XSALT TB'!$R:$R,'SALT P&amp;L'!$A17,'XSALT TB'!H:H)</f>
        <v/>
      </c>
      <c r="U17" s="37">
        <f>SUMIF('SALT TB'!$R:$R,'SALT P&amp;L'!$A17,'SALT TB'!I:I)</f>
        <v/>
      </c>
      <c r="V17" s="38" t="n">
        <v>4813.83</v>
      </c>
      <c r="W17" s="38" t="n">
        <v>4813.83</v>
      </c>
      <c r="X17" s="38" t="n">
        <v>4813.83</v>
      </c>
      <c r="Y17" s="38" t="n">
        <v>4813.83</v>
      </c>
      <c r="Z17" s="38" t="n">
        <v>4813.83</v>
      </c>
      <c r="AA17" s="36">
        <f>SUM(O17:U17)</f>
        <v/>
      </c>
      <c r="AB17" s="36">
        <f>SUM(O17:Z17)</f>
        <v/>
      </c>
      <c r="AC17" s="38" t="n">
        <v>4813.83</v>
      </c>
      <c r="AD17" s="38" t="n">
        <v>4813.83</v>
      </c>
      <c r="AE17" s="38" t="n">
        <v>4813.83</v>
      </c>
      <c r="AF17" s="38" t="n">
        <v>4813.83</v>
      </c>
      <c r="AG17" s="38" t="n">
        <v>4813.83</v>
      </c>
      <c r="AH17" s="38" t="n">
        <v>4813.83</v>
      </c>
      <c r="AI17" s="118" t="n">
        <v>4813.83</v>
      </c>
      <c r="AJ17" s="119" t="n">
        <v>4813.83</v>
      </c>
      <c r="AK17" s="119" t="n">
        <v>4813.83</v>
      </c>
      <c r="AL17" s="119" t="n">
        <v>4813.83</v>
      </c>
      <c r="AM17" s="120" t="n">
        <v>4813.83</v>
      </c>
      <c r="AN17" s="118" t="n">
        <v>4813.83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640.72</v>
      </c>
      <c r="C18" s="35" t="n">
        <v>686.54</v>
      </c>
      <c r="D18" s="35" t="n">
        <v>573.96</v>
      </c>
      <c r="E18" s="35" t="n">
        <v>601.96</v>
      </c>
      <c r="F18" s="35" t="n">
        <v>635.53</v>
      </c>
      <c r="G18" s="35" t="n">
        <v>557.1799999999999</v>
      </c>
      <c r="H18" s="35" t="n">
        <v>710.87</v>
      </c>
      <c r="I18" s="35" t="n">
        <v>676.8</v>
      </c>
      <c r="J18" s="35" t="n">
        <v>643.28</v>
      </c>
      <c r="K18" s="35" t="n">
        <v>675.99</v>
      </c>
      <c r="L18" s="35" t="n">
        <v>679.1799999999999</v>
      </c>
      <c r="M18" s="35" t="n">
        <v>701.47</v>
      </c>
      <c r="N18" s="36">
        <f>SUM(B18:M18)</f>
        <v/>
      </c>
      <c r="O18" s="37">
        <f>SUMIF('XSALT TB'!$R:$R,'SALT P&amp;L'!$A18,'XSALT TB'!C:C)</f>
        <v/>
      </c>
      <c r="P18" s="37">
        <f>SUMIF('XSALT TB'!$R:$R,'SALT P&amp;L'!$A18,'XSALT TB'!D:D)</f>
        <v/>
      </c>
      <c r="Q18" s="37">
        <f>SUMIF('XSALT TB'!$R:$R,'SALT P&amp;L'!$A18,'XSALT TB'!E:E)</f>
        <v/>
      </c>
      <c r="R18" s="37">
        <f>SUMIF('XSALT TB'!$R:$R,'SALT P&amp;L'!$A18,'XSALT TB'!F:F)</f>
        <v/>
      </c>
      <c r="S18" s="37">
        <f>SUMIF('XSALT TB'!$R:$R,'SALT P&amp;L'!$A18,'XSALT TB'!G:G)</f>
        <v/>
      </c>
      <c r="T18" s="37">
        <f>SUMIF('XSALT TB'!$R:$R,'SALT P&amp;L'!$A18,'XSALT TB'!H:H)</f>
        <v/>
      </c>
      <c r="U18" s="37">
        <f>SUMIF('SALT TB'!$R:$R,'SALT P&amp;L'!$A18,'SALT TB'!I:I)</f>
        <v/>
      </c>
      <c r="V18" s="38" t="n">
        <v>843.4</v>
      </c>
      <c r="W18" s="38" t="n">
        <v>843.4</v>
      </c>
      <c r="X18" s="38" t="n">
        <v>843.4</v>
      </c>
      <c r="Y18" s="38" t="n">
        <v>843.4</v>
      </c>
      <c r="Z18" s="38" t="n">
        <v>843.4</v>
      </c>
      <c r="AA18" s="36">
        <f>SUM(O18:U18)</f>
        <v/>
      </c>
      <c r="AB18" s="36">
        <f>SUM(O18:Z18)</f>
        <v/>
      </c>
      <c r="AC18" s="38" t="n">
        <v>843.4</v>
      </c>
      <c r="AD18" s="38" t="n">
        <v>843.4</v>
      </c>
      <c r="AE18" s="38" t="n">
        <v>843.4</v>
      </c>
      <c r="AF18" s="38" t="n">
        <v>843.4</v>
      </c>
      <c r="AG18" s="38" t="n">
        <v>843.4</v>
      </c>
      <c r="AH18" s="38" t="n">
        <v>843.4</v>
      </c>
      <c r="AI18" s="118" t="n">
        <v>843.4</v>
      </c>
      <c r="AJ18" s="119" t="n">
        <v>843.4</v>
      </c>
      <c r="AK18" s="119" t="n">
        <v>843.4</v>
      </c>
      <c r="AL18" s="119" t="n">
        <v>843.4</v>
      </c>
      <c r="AM18" s="120" t="n">
        <v>843.4</v>
      </c>
      <c r="AN18" s="118" t="n">
        <v>843.4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231.36</v>
      </c>
      <c r="C19" s="35" t="n">
        <v>161.76</v>
      </c>
      <c r="D19" s="35" t="n">
        <v>0</v>
      </c>
      <c r="E19" s="35" t="n">
        <v>0</v>
      </c>
      <c r="F19" s="35" t="n">
        <v>187.5</v>
      </c>
      <c r="G19" s="35" t="n">
        <v>0</v>
      </c>
      <c r="H19" s="35" t="n">
        <v>0</v>
      </c>
      <c r="I19" s="35" t="n">
        <v>0</v>
      </c>
      <c r="J19" s="35" t="n">
        <v>187.2</v>
      </c>
      <c r="K19" s="35" t="n">
        <v>276.84</v>
      </c>
      <c r="L19" s="35" t="n">
        <v>0</v>
      </c>
      <c r="M19" s="35" t="n">
        <v>0</v>
      </c>
      <c r="N19" s="36">
        <f>SUM(B19:M19)</f>
        <v/>
      </c>
      <c r="O19" s="37">
        <f>SUMIF('XSALT TB'!$R:$R,'SALT P&amp;L'!$A19,'XSALT TB'!C:C)</f>
        <v/>
      </c>
      <c r="P19" s="37">
        <f>SUMIF('XSALT TB'!$R:$R,'SALT P&amp;L'!$A19,'XSALT TB'!D:D)</f>
        <v/>
      </c>
      <c r="Q19" s="37">
        <f>SUMIF('XSALT TB'!$R:$R,'SALT P&amp;L'!$A19,'XSALT TB'!E:E)</f>
        <v/>
      </c>
      <c r="R19" s="37">
        <f>SUMIF('XSALT TB'!$R:$R,'SALT P&amp;L'!$A19,'XSALT TB'!F:F)</f>
        <v/>
      </c>
      <c r="S19" s="37">
        <f>SUMIF('XSALT TB'!$R:$R,'SALT P&amp;L'!$A19,'XSALT TB'!G:G)</f>
        <v/>
      </c>
      <c r="T19" s="37">
        <f>SUMIF('XSALT TB'!$R:$R,'SALT P&amp;L'!$A19,'XSALT TB'!H:H)</f>
        <v/>
      </c>
      <c r="U19" s="37">
        <f>SUMIF('SALT TB'!$R:$R,'SALT P&amp;L'!$A19,'SALT TB'!I:I)</f>
        <v/>
      </c>
      <c r="V19" s="38" t="n">
        <v>49</v>
      </c>
      <c r="W19" s="38" t="n">
        <v>49</v>
      </c>
      <c r="X19" s="38" t="n">
        <v>49</v>
      </c>
      <c r="Y19" s="38" t="n">
        <v>49</v>
      </c>
      <c r="Z19" s="38" t="n">
        <v>49</v>
      </c>
      <c r="AA19" s="36">
        <f>SUM(O19:U19)</f>
        <v/>
      </c>
      <c r="AB19" s="36">
        <f>SUM(O19:Z19)</f>
        <v/>
      </c>
      <c r="AC19" s="38" t="n">
        <v>49</v>
      </c>
      <c r="AD19" s="38" t="n">
        <v>49</v>
      </c>
      <c r="AE19" s="38" t="n">
        <v>49</v>
      </c>
      <c r="AF19" s="38" t="n">
        <v>49</v>
      </c>
      <c r="AG19" s="38" t="n">
        <v>49</v>
      </c>
      <c r="AH19" s="38" t="n">
        <v>49</v>
      </c>
      <c r="AI19" s="118" t="n">
        <v>49</v>
      </c>
      <c r="AJ19" s="119" t="n">
        <v>49</v>
      </c>
      <c r="AK19" s="119" t="n">
        <v>49</v>
      </c>
      <c r="AL19" s="119" t="n">
        <v>49</v>
      </c>
      <c r="AM19" s="120" t="n">
        <v>49</v>
      </c>
      <c r="AN19" s="118" t="n">
        <v>49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0</v>
      </c>
      <c r="C20" s="35" t="n">
        <v>50</v>
      </c>
      <c r="D20" s="35" t="n">
        <v>50</v>
      </c>
      <c r="E20" s="35" t="n">
        <v>0</v>
      </c>
      <c r="F20" s="35" t="n">
        <v>50</v>
      </c>
      <c r="G20" s="35" t="n">
        <v>0</v>
      </c>
      <c r="H20" s="35" t="n">
        <v>37.2</v>
      </c>
      <c r="I20" s="35" t="n">
        <v>0</v>
      </c>
      <c r="J20" s="35" t="n">
        <v>175</v>
      </c>
      <c r="K20" s="35" t="n">
        <v>35</v>
      </c>
      <c r="L20" s="35" t="n">
        <v>0</v>
      </c>
      <c r="M20" s="35" t="n">
        <v>0</v>
      </c>
      <c r="N20" s="36">
        <f>SUM(B20:M20)</f>
        <v/>
      </c>
      <c r="O20" s="37">
        <f>SUMIF('XSALT TB'!$R:$R,'SALT P&amp;L'!$A20,'XSALT TB'!C:C)</f>
        <v/>
      </c>
      <c r="P20" s="37">
        <f>SUMIF('XSALT TB'!$R:$R,'SALT P&amp;L'!$A20,'XSALT TB'!D:D)</f>
        <v/>
      </c>
      <c r="Q20" s="37">
        <f>SUMIF('XSALT TB'!$R:$R,'SALT P&amp;L'!$A20,'XSALT TB'!E:E)</f>
        <v/>
      </c>
      <c r="R20" s="37">
        <f>SUMIF('XSALT TB'!$R:$R,'SALT P&amp;L'!$A20,'XSALT TB'!F:F)</f>
        <v/>
      </c>
      <c r="S20" s="37">
        <f>SUMIF('XSALT TB'!$R:$R,'SALT P&amp;L'!$A20,'XSALT TB'!G:G)</f>
        <v/>
      </c>
      <c r="T20" s="37">
        <f>SUMIF('XSALT TB'!$R:$R,'SALT P&amp;L'!$A20,'XSALT TB'!H:H)</f>
        <v/>
      </c>
      <c r="U20" s="37">
        <f>SUMIF('SALT TB'!$R:$R,'SALT P&amp;L'!$A20,'SALT TB'!I:I)</f>
        <v/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118" t="n">
        <v>100</v>
      </c>
      <c r="AJ20" s="119" t="n">
        <v>100</v>
      </c>
      <c r="AK20" s="119" t="n">
        <v>100</v>
      </c>
      <c r="AL20" s="119" t="n">
        <v>100</v>
      </c>
      <c r="AM20" s="120" t="n">
        <v>100</v>
      </c>
      <c r="AN20" s="118" t="n">
        <v>100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0</v>
      </c>
      <c r="C21" s="35" t="n">
        <v>97.42</v>
      </c>
      <c r="D21" s="35" t="n">
        <v>124.67</v>
      </c>
      <c r="E21" s="35" t="n">
        <v>125.05</v>
      </c>
      <c r="F21" s="35" t="n">
        <v>146.5</v>
      </c>
      <c r="G21" s="35" t="n">
        <v>256.75</v>
      </c>
      <c r="H21" s="35" t="n">
        <v>208.36</v>
      </c>
      <c r="I21" s="35" t="n">
        <v>258.4</v>
      </c>
      <c r="J21" s="35" t="n">
        <v>178.56</v>
      </c>
      <c r="K21" s="35" t="n">
        <v>385.43</v>
      </c>
      <c r="L21" s="35" t="n">
        <v>183.22</v>
      </c>
      <c r="M21" s="35" t="n">
        <v>207.28</v>
      </c>
      <c r="N21" s="36">
        <f>SUM(B21:M21)</f>
        <v/>
      </c>
      <c r="O21" s="37">
        <f>SUMIF('XSALT TB'!$R:$R,'SALT P&amp;L'!$A21,'XSALT TB'!C:C)</f>
        <v/>
      </c>
      <c r="P21" s="37">
        <f>SUMIF('XSALT TB'!$R:$R,'SALT P&amp;L'!$A21,'XSALT TB'!D:D)</f>
        <v/>
      </c>
      <c r="Q21" s="37">
        <f>SUMIF('XSALT TB'!$R:$R,'SALT P&amp;L'!$A21,'XSALT TB'!E:E)</f>
        <v/>
      </c>
      <c r="R21" s="37">
        <f>SUMIF('XSALT TB'!$R:$R,'SALT P&amp;L'!$A21,'XSALT TB'!F:F)</f>
        <v/>
      </c>
      <c r="S21" s="37">
        <f>SUMIF('XSALT TB'!$R:$R,'SALT P&amp;L'!$A21,'XSALT TB'!G:G)</f>
        <v/>
      </c>
      <c r="T21" s="37">
        <f>SUMIF('XSALT TB'!$R:$R,'SALT P&amp;L'!$A21,'XSALT TB'!H:H)</f>
        <v/>
      </c>
      <c r="U21" s="37">
        <f>SUMIF('SALT TB'!$R:$R,'SALT P&amp;L'!$A21,'SALT TB'!I:I)</f>
        <v/>
      </c>
      <c r="V21" s="38" t="n">
        <v>100</v>
      </c>
      <c r="W21" s="38" t="n">
        <v>100</v>
      </c>
      <c r="X21" s="38" t="n">
        <v>100</v>
      </c>
      <c r="Y21" s="38" t="n">
        <v>100</v>
      </c>
      <c r="Z21" s="38" t="n">
        <v>100</v>
      </c>
      <c r="AA21" s="36">
        <f>SUM(O21:U21)</f>
        <v/>
      </c>
      <c r="AB21" s="36">
        <f>SUM(O21:Z21)</f>
        <v/>
      </c>
      <c r="AC21" s="38" t="n">
        <v>100</v>
      </c>
      <c r="AD21" s="38" t="n">
        <v>100</v>
      </c>
      <c r="AE21" s="38" t="n">
        <v>100</v>
      </c>
      <c r="AF21" s="38" t="n">
        <v>100</v>
      </c>
      <c r="AG21" s="38" t="n">
        <v>100</v>
      </c>
      <c r="AH21" s="38" t="n">
        <v>100</v>
      </c>
      <c r="AI21" s="118" t="n">
        <v>100</v>
      </c>
      <c r="AJ21" s="119" t="n">
        <v>100</v>
      </c>
      <c r="AK21" s="119" t="n">
        <v>100</v>
      </c>
      <c r="AL21" s="119" t="n">
        <v>100</v>
      </c>
      <c r="AM21" s="120" t="n">
        <v>100</v>
      </c>
      <c r="AN21" s="118" t="n">
        <v>100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SUMIF('XSALT TB'!$R:$R,'SALT P&amp;L'!$A22,'XSALT TB'!C:C)</f>
        <v/>
      </c>
      <c r="P22" s="37">
        <f>SUMIF('XSALT TB'!$R:$R,'SALT P&amp;L'!$A22,'XSALT TB'!D:D)</f>
        <v/>
      </c>
      <c r="Q22" s="37">
        <f>SUMIF('XSALT TB'!$R:$R,'SALT P&amp;L'!$A22,'XSALT TB'!E:E)</f>
        <v/>
      </c>
      <c r="R22" s="37">
        <f>SUMIF('XSALT TB'!$R:$R,'SALT P&amp;L'!$A22,'XSALT TB'!F:F)</f>
        <v/>
      </c>
      <c r="S22" s="37">
        <f>SUMIF('XSALT TB'!$R:$R,'SALT P&amp;L'!$A22,'XSALT TB'!G:G)</f>
        <v/>
      </c>
      <c r="T22" s="37">
        <f>SUMIF('XSALT TB'!$R:$R,'SALT P&amp;L'!$A22,'XSALT TB'!H:H)</f>
        <v/>
      </c>
      <c r="U22" s="37">
        <f>SUMIF('SALT TB'!$R:$R,'SALT P&amp;L'!$A22,'SALT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8" t="n">
        <v>0</v>
      </c>
      <c r="AJ22" s="119" t="n">
        <v>0</v>
      </c>
      <c r="AK22" s="119" t="n">
        <v>0</v>
      </c>
      <c r="AL22" s="119" t="n">
        <v>0</v>
      </c>
      <c r="AM22" s="120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0</v>
      </c>
      <c r="M23" s="35" t="n">
        <v>81.26000000000001</v>
      </c>
      <c r="N23" s="36">
        <f>SUM(B23:M23)</f>
        <v/>
      </c>
      <c r="O23" s="37">
        <f>SUMIF('XSALT TB'!$R:$R,'SALT P&amp;L'!$A23,'XSALT TB'!C:C)</f>
        <v/>
      </c>
      <c r="P23" s="37">
        <f>SUMIF('XSALT TB'!$R:$R,'SALT P&amp;L'!$A23,'XSALT TB'!D:D)</f>
        <v/>
      </c>
      <c r="Q23" s="37">
        <f>SUMIF('XSALT TB'!$R:$R,'SALT P&amp;L'!$A23,'XSALT TB'!E:E)</f>
        <v/>
      </c>
      <c r="R23" s="37">
        <f>SUMIF('XSALT TB'!$R:$R,'SALT P&amp;L'!$A23,'XSALT TB'!F:F)</f>
        <v/>
      </c>
      <c r="S23" s="37">
        <f>SUMIF('XSALT TB'!$R:$R,'SALT P&amp;L'!$A23,'XSALT TB'!G:G)</f>
        <v/>
      </c>
      <c r="T23" s="37">
        <f>SUMIF('XSALT TB'!$R:$R,'SALT P&amp;L'!$A23,'XSALT TB'!H:H)</f>
        <v/>
      </c>
      <c r="U23" s="37">
        <f>SUMIF('SALT TB'!$R:$R,'SALT P&amp;L'!$A23,'SALT TB'!I:I)</f>
        <v/>
      </c>
      <c r="V23" s="38" t="n">
        <v>42</v>
      </c>
      <c r="W23" s="38" t="n">
        <v>42</v>
      </c>
      <c r="X23" s="38" t="n">
        <v>42</v>
      </c>
      <c r="Y23" s="38" t="n">
        <v>42</v>
      </c>
      <c r="Z23" s="38" t="n">
        <v>42</v>
      </c>
      <c r="AA23" s="36">
        <f>SUM(O23:U23)</f>
        <v/>
      </c>
      <c r="AB23" s="36">
        <f>SUM(O23:Z23)</f>
        <v/>
      </c>
      <c r="AC23" s="38" t="n">
        <v>42</v>
      </c>
      <c r="AD23" s="38" t="n">
        <v>42</v>
      </c>
      <c r="AE23" s="38" t="n">
        <v>42</v>
      </c>
      <c r="AF23" s="38" t="n">
        <v>42</v>
      </c>
      <c r="AG23" s="38" t="n">
        <v>42</v>
      </c>
      <c r="AH23" s="38" t="n">
        <v>42</v>
      </c>
      <c r="AI23" s="118" t="n">
        <v>42</v>
      </c>
      <c r="AJ23" s="119" t="n">
        <v>42</v>
      </c>
      <c r="AK23" s="119" t="n">
        <v>42</v>
      </c>
      <c r="AL23" s="119" t="n">
        <v>42</v>
      </c>
      <c r="AM23" s="120" t="n">
        <v>42</v>
      </c>
      <c r="AN23" s="118" t="n">
        <v>42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SUMIF('XSALT TB'!$R:$R,'SALT P&amp;L'!$A24,'XSALT TB'!C:C)</f>
        <v/>
      </c>
      <c r="P24" s="37">
        <f>SUMIF('XSALT TB'!$R:$R,'SALT P&amp;L'!$A24,'XSALT TB'!D:D)</f>
        <v/>
      </c>
      <c r="Q24" s="37">
        <f>SUMIF('XSALT TB'!$R:$R,'SALT P&amp;L'!$A24,'XSALT TB'!E:E)</f>
        <v/>
      </c>
      <c r="R24" s="37">
        <f>SUMIF('XSALT TB'!$R:$R,'SALT P&amp;L'!$A24,'XSALT TB'!F:F)</f>
        <v/>
      </c>
      <c r="S24" s="37">
        <f>SUMIF('XSALT TB'!$R:$R,'SALT P&amp;L'!$A24,'XSALT TB'!G:G)</f>
        <v/>
      </c>
      <c r="T24" s="37">
        <f>SUMIF('XSALT TB'!$R:$R,'SALT P&amp;L'!$A24,'XSALT TB'!H:H)</f>
        <v/>
      </c>
      <c r="U24" s="37">
        <f>SUMIF('SALT TB'!$R:$R,'SALT P&amp;L'!$A24,'SALT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8" t="n">
        <v>0</v>
      </c>
      <c r="AJ24" s="119" t="n">
        <v>0</v>
      </c>
      <c r="AK24" s="119" t="n">
        <v>0</v>
      </c>
      <c r="AL24" s="119" t="n">
        <v>0</v>
      </c>
      <c r="AM24" s="120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33753.21</v>
      </c>
      <c r="C25" s="42" t="n">
        <v>39082.28</v>
      </c>
      <c r="D25" s="42" t="n">
        <v>33706.91</v>
      </c>
      <c r="E25" s="42" t="n">
        <v>35515.60000000001</v>
      </c>
      <c r="F25" s="42" t="n">
        <v>37014.82</v>
      </c>
      <c r="G25" s="42" t="n">
        <v>36110.2</v>
      </c>
      <c r="H25" s="42" t="n">
        <v>40331.65</v>
      </c>
      <c r="I25" s="42" t="n">
        <v>40312.61000000001</v>
      </c>
      <c r="J25" s="42" t="n">
        <v>44205.37999999999</v>
      </c>
      <c r="K25" s="42" t="n">
        <v>47217.03999999999</v>
      </c>
      <c r="L25" s="42" t="n">
        <v>41692.43</v>
      </c>
      <c r="M25" s="42" t="n">
        <v>40607.9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SUM(O25:U25)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3">
        <f>SUM(AI16:AI24)</f>
        <v/>
      </c>
      <c r="AJ25" s="124">
        <f>SUM(AJ16:AJ24)</f>
        <v/>
      </c>
      <c r="AK25" s="124">
        <f>SUM(AK16:AK24)</f>
        <v/>
      </c>
      <c r="AL25" s="124">
        <f>SUM(AL16:AL24)</f>
        <v/>
      </c>
      <c r="AM25" s="124">
        <f>SUM(AM16:AM24)</f>
        <v/>
      </c>
      <c r="AN25" s="123">
        <f>SUM(AN16:AN24)</f>
        <v/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SUM(O26:U26)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7" t="n">
        <v>0</v>
      </c>
      <c r="AJ26" s="128" t="n">
        <v>0</v>
      </c>
      <c r="AK26" s="128" t="n">
        <v>0</v>
      </c>
      <c r="AL26" s="128" t="n">
        <v>0</v>
      </c>
      <c r="AM26" s="129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1807.02</v>
      </c>
      <c r="C27" s="35" t="n">
        <v>2282.34</v>
      </c>
      <c r="D27" s="35" t="n">
        <v>1986.5</v>
      </c>
      <c r="E27" s="35" t="n">
        <v>1945.84</v>
      </c>
      <c r="F27" s="35" t="n">
        <v>2108.16</v>
      </c>
      <c r="G27" s="35" t="n">
        <v>2479.29</v>
      </c>
      <c r="H27" s="35" t="n">
        <v>2220.38</v>
      </c>
      <c r="I27" s="35" t="n">
        <v>1961.75</v>
      </c>
      <c r="J27" s="35" t="n">
        <v>2388.31</v>
      </c>
      <c r="K27" s="35" t="n">
        <v>2419.06</v>
      </c>
      <c r="L27" s="35" t="n">
        <v>2408.76</v>
      </c>
      <c r="M27" s="35" t="n">
        <v>1811.12</v>
      </c>
      <c r="N27" s="36">
        <f>SUM(B27:M27)</f>
        <v/>
      </c>
      <c r="O27" s="37">
        <f>SUMIF('XSALT TB'!$R:$R,'SALT P&amp;L'!$A27,'XSALT TB'!C:C)</f>
        <v/>
      </c>
      <c r="P27" s="37">
        <f>SUMIF('XSALT TB'!$R:$R,'SALT P&amp;L'!$A27,'XSALT TB'!D:D)</f>
        <v/>
      </c>
      <c r="Q27" s="37">
        <f>SUMIF('XSALT TB'!$R:$R,'SALT P&amp;L'!$A27,'XSALT TB'!E:E)</f>
        <v/>
      </c>
      <c r="R27" s="37">
        <f>SUMIF('XSALT TB'!$R:$R,'SALT P&amp;L'!$A27,'XSALT TB'!F:F)</f>
        <v/>
      </c>
      <c r="S27" s="37">
        <f>SUMIF('XSALT TB'!$R:$R,'SALT P&amp;L'!$A27,'XSALT TB'!G:G)</f>
        <v/>
      </c>
      <c r="T27" s="37">
        <f>SUMIF('XSALT TB'!$R:$R,'SALT P&amp;L'!$A27,'XSALT TB'!H:H)</f>
        <v/>
      </c>
      <c r="U27" s="37">
        <f>SUMIF('SALT TB'!$R:$R,'SALT P&amp;L'!$A27,'SALT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18" t="n">
        <v>0</v>
      </c>
      <c r="AJ27" s="119" t="n">
        <v>0</v>
      </c>
      <c r="AK27" s="119" t="n">
        <v>0</v>
      </c>
      <c r="AL27" s="119" t="n">
        <v>0</v>
      </c>
      <c r="AM27" s="120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68.40000000000001</v>
      </c>
      <c r="C28" s="35" t="n">
        <v>128.78</v>
      </c>
      <c r="D28" s="35" t="n">
        <v>85.5</v>
      </c>
      <c r="E28" s="35" t="n">
        <v>83.75</v>
      </c>
      <c r="F28" s="35" t="n">
        <v>195.42</v>
      </c>
      <c r="G28" s="35" t="n">
        <v>104.04</v>
      </c>
      <c r="H28" s="35" t="n">
        <v>328.45</v>
      </c>
      <c r="I28" s="35" t="n">
        <v>78.45</v>
      </c>
      <c r="J28" s="35" t="n">
        <v>37.86</v>
      </c>
      <c r="K28" s="35" t="n">
        <v>97.79000000000001</v>
      </c>
      <c r="L28" s="35" t="n">
        <v>65.98999999999999</v>
      </c>
      <c r="M28" s="35" t="n">
        <v>18.31</v>
      </c>
      <c r="N28" s="36">
        <f>SUM(B28:M28)</f>
        <v/>
      </c>
      <c r="O28" s="37">
        <f>SUMIF('XSALT TB'!$R:$R,'SALT P&amp;L'!$A28,'XSALT TB'!C:C)</f>
        <v/>
      </c>
      <c r="P28" s="37">
        <f>SUMIF('XSALT TB'!$R:$R,'SALT P&amp;L'!$A28,'XSALT TB'!D:D)</f>
        <v/>
      </c>
      <c r="Q28" s="37">
        <f>SUMIF('XSALT TB'!$R:$R,'SALT P&amp;L'!$A28,'XSALT TB'!E:E)</f>
        <v/>
      </c>
      <c r="R28" s="37">
        <f>SUMIF('XSALT TB'!$R:$R,'SALT P&amp;L'!$A28,'XSALT TB'!F:F)</f>
        <v/>
      </c>
      <c r="S28" s="37">
        <f>SUMIF('XSALT TB'!$R:$R,'SALT P&amp;L'!$A28,'XSALT TB'!G:G)</f>
        <v/>
      </c>
      <c r="T28" s="37">
        <f>SUMIF('XSALT TB'!$R:$R,'SALT P&amp;L'!$A28,'XSALT TB'!H:H)</f>
        <v/>
      </c>
      <c r="U28" s="37">
        <f>SUMIF('SALT TB'!$R:$R,'SALT P&amp;L'!$A28,'SALT TB'!I:I)</f>
        <v/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118" t="n">
        <v>50</v>
      </c>
      <c r="AJ28" s="119" t="n">
        <v>50</v>
      </c>
      <c r="AK28" s="119" t="n">
        <v>50</v>
      </c>
      <c r="AL28" s="119" t="n">
        <v>50</v>
      </c>
      <c r="AM28" s="120" t="n">
        <v>50</v>
      </c>
      <c r="AN28" s="118" t="n">
        <v>50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0</v>
      </c>
      <c r="C29" s="35" t="n">
        <v>405.96</v>
      </c>
      <c r="D29" s="35" t="n">
        <v>364.93</v>
      </c>
      <c r="E29" s="35" t="n">
        <v>434.92</v>
      </c>
      <c r="F29" s="35" t="n">
        <v>10.06</v>
      </c>
      <c r="G29" s="35" t="n">
        <v>89.75</v>
      </c>
      <c r="H29" s="35" t="n">
        <v>0</v>
      </c>
      <c r="I29" s="35" t="n">
        <v>209.61</v>
      </c>
      <c r="J29" s="35" t="n">
        <v>372.71</v>
      </c>
      <c r="K29" s="35" t="n">
        <v>227.91</v>
      </c>
      <c r="L29" s="35" t="n">
        <v>156.16</v>
      </c>
      <c r="M29" s="35" t="n">
        <v>208.44</v>
      </c>
      <c r="N29" s="36">
        <f>SUM(B29:M29)</f>
        <v/>
      </c>
      <c r="O29" s="37">
        <f>SUMIF('XSALT TB'!$R:$R,'SALT P&amp;L'!$A29,'XSALT TB'!C:C)</f>
        <v/>
      </c>
      <c r="P29" s="37">
        <f>SUMIF('XSALT TB'!$R:$R,'SALT P&amp;L'!$A29,'XSALT TB'!D:D)</f>
        <v/>
      </c>
      <c r="Q29" s="37">
        <f>SUMIF('XSALT TB'!$R:$R,'SALT P&amp;L'!$A29,'XSALT TB'!E:E)</f>
        <v/>
      </c>
      <c r="R29" s="37">
        <f>SUMIF('XSALT TB'!$R:$R,'SALT P&amp;L'!$A29,'XSALT TB'!F:F)</f>
        <v/>
      </c>
      <c r="S29" s="37">
        <f>SUMIF('XSALT TB'!$R:$R,'SALT P&amp;L'!$A29,'XSALT TB'!G:G)</f>
        <v/>
      </c>
      <c r="T29" s="37">
        <f>SUMIF('XSALT TB'!$R:$R,'SALT P&amp;L'!$A29,'XSALT TB'!H:H)</f>
        <v/>
      </c>
      <c r="U29" s="37">
        <f>SUMIF('SALT TB'!$R:$R,'SALT P&amp;L'!$A29,'SALT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18" t="n">
        <v>0</v>
      </c>
      <c r="AJ29" s="119" t="n">
        <v>0</v>
      </c>
      <c r="AK29" s="119" t="n">
        <v>0</v>
      </c>
      <c r="AL29" s="119" t="n">
        <v>0</v>
      </c>
      <c r="AM29" s="120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223.47</v>
      </c>
      <c r="C30" s="35" t="n">
        <v>58.78</v>
      </c>
      <c r="D30" s="35" t="n">
        <v>28</v>
      </c>
      <c r="E30" s="35" t="n">
        <v>9.1</v>
      </c>
      <c r="F30" s="35" t="n">
        <v>63.78</v>
      </c>
      <c r="G30" s="35" t="n">
        <v>4.3</v>
      </c>
      <c r="H30" s="35" t="n">
        <v>23.48</v>
      </c>
      <c r="I30" s="35" t="n">
        <v>45.41</v>
      </c>
      <c r="J30" s="35" t="n">
        <v>108.62</v>
      </c>
      <c r="K30" s="35" t="n">
        <v>20.82</v>
      </c>
      <c r="L30" s="35" t="n">
        <v>27.74</v>
      </c>
      <c r="M30" s="35" t="n">
        <v>0</v>
      </c>
      <c r="N30" s="36">
        <f>SUM(B30:M30)</f>
        <v/>
      </c>
      <c r="O30" s="37">
        <f>SUMIF('XSALT TB'!$R:$R,'SALT P&amp;L'!$A30,'XSALT TB'!C:C)</f>
        <v/>
      </c>
      <c r="P30" s="37">
        <f>SUMIF('XSALT TB'!$R:$R,'SALT P&amp;L'!$A30,'XSALT TB'!D:D)</f>
        <v/>
      </c>
      <c r="Q30" s="37">
        <f>SUMIF('XSALT TB'!$R:$R,'SALT P&amp;L'!$A30,'XSALT TB'!E:E)</f>
        <v/>
      </c>
      <c r="R30" s="37">
        <f>SUMIF('XSALT TB'!$R:$R,'SALT P&amp;L'!$A30,'XSALT TB'!F:F)</f>
        <v/>
      </c>
      <c r="S30" s="37">
        <f>SUMIF('XSALT TB'!$R:$R,'SALT P&amp;L'!$A30,'XSALT TB'!G:G)</f>
        <v/>
      </c>
      <c r="T30" s="37">
        <f>SUMIF('XSALT TB'!$R:$R,'SALT P&amp;L'!$A30,'XSALT TB'!H:H)</f>
        <v/>
      </c>
      <c r="U30" s="37">
        <f>SUMIF('SALT TB'!$R:$R,'SALT P&amp;L'!$A30,'SALT TB'!I:I)</f>
        <v/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118" t="n">
        <v>100</v>
      </c>
      <c r="AJ30" s="119" t="n">
        <v>100</v>
      </c>
      <c r="AK30" s="119" t="n">
        <v>100</v>
      </c>
      <c r="AL30" s="119" t="n">
        <v>100</v>
      </c>
      <c r="AM30" s="120" t="n">
        <v>100</v>
      </c>
      <c r="AN30" s="118" t="n">
        <v>100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33.38</v>
      </c>
      <c r="C31" s="35" t="n">
        <v>150.78</v>
      </c>
      <c r="D31" s="35" t="n">
        <v>0</v>
      </c>
      <c r="E31" s="35" t="n">
        <v>86.95</v>
      </c>
      <c r="F31" s="35" t="n">
        <v>197.12</v>
      </c>
      <c r="G31" s="35" t="n">
        <v>87</v>
      </c>
      <c r="H31" s="35" t="n">
        <v>188.42</v>
      </c>
      <c r="I31" s="35" t="n">
        <v>0</v>
      </c>
      <c r="J31" s="35" t="n">
        <v>117.09</v>
      </c>
      <c r="K31" s="35" t="n">
        <v>236.18</v>
      </c>
      <c r="L31" s="35" t="n">
        <v>112.16</v>
      </c>
      <c r="M31" s="35" t="n">
        <v>0</v>
      </c>
      <c r="N31" s="36">
        <f>SUM(B31:M31)</f>
        <v/>
      </c>
      <c r="O31" s="37">
        <f>SUMIF('XSALT TB'!$R:$R,'SALT P&amp;L'!$A31,'XSALT TB'!C:C)</f>
        <v/>
      </c>
      <c r="P31" s="37">
        <f>SUMIF('XSALT TB'!$R:$R,'SALT P&amp;L'!$A31,'XSALT TB'!D:D)</f>
        <v/>
      </c>
      <c r="Q31" s="37">
        <f>SUMIF('XSALT TB'!$R:$R,'SALT P&amp;L'!$A31,'XSALT TB'!E:E)</f>
        <v/>
      </c>
      <c r="R31" s="37">
        <f>SUMIF('XSALT TB'!$R:$R,'SALT P&amp;L'!$A31,'XSALT TB'!F:F)</f>
        <v/>
      </c>
      <c r="S31" s="37">
        <f>SUMIF('XSALT TB'!$R:$R,'SALT P&amp;L'!$A31,'XSALT TB'!G:G)</f>
        <v/>
      </c>
      <c r="T31" s="37">
        <f>SUMIF('XSALT TB'!$R:$R,'SALT P&amp;L'!$A31,'XSALT TB'!H:H)</f>
        <v/>
      </c>
      <c r="U31" s="37">
        <f>SUMIF('SALT TB'!$R:$R,'SALT P&amp;L'!$A31,'SALT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8" t="n">
        <v>50</v>
      </c>
      <c r="AJ31" s="119" t="n">
        <v>50</v>
      </c>
      <c r="AK31" s="119" t="n">
        <v>50</v>
      </c>
      <c r="AL31" s="119" t="n">
        <v>50</v>
      </c>
      <c r="AM31" s="120" t="n">
        <v>50</v>
      </c>
      <c r="AN31" s="118" t="n">
        <v>50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27.09</v>
      </c>
      <c r="C32" s="35" t="n">
        <v>114.5</v>
      </c>
      <c r="D32" s="35" t="n">
        <v>122.26</v>
      </c>
      <c r="E32" s="35" t="n">
        <v>110.6</v>
      </c>
      <c r="F32" s="35" t="n">
        <v>136.03</v>
      </c>
      <c r="G32" s="35" t="n">
        <v>0</v>
      </c>
      <c r="H32" s="35" t="n">
        <v>34.58</v>
      </c>
      <c r="I32" s="35" t="n">
        <v>34.26</v>
      </c>
      <c r="J32" s="35" t="n">
        <v>51.38</v>
      </c>
      <c r="K32" s="35" t="n">
        <v>184.9</v>
      </c>
      <c r="L32" s="35" t="n">
        <v>275.69</v>
      </c>
      <c r="M32" s="35" t="n">
        <v>251.97</v>
      </c>
      <c r="N32" s="36">
        <f>SUM(B32:M32)</f>
        <v/>
      </c>
      <c r="O32" s="37">
        <f>SUMIF('XSALT TB'!$R:$R,'SALT P&amp;L'!$A32,'XSALT TB'!C:C)</f>
        <v/>
      </c>
      <c r="P32" s="37">
        <f>SUMIF('XSALT TB'!$R:$R,'SALT P&amp;L'!$A32,'XSALT TB'!D:D)</f>
        <v/>
      </c>
      <c r="Q32" s="37">
        <f>SUMIF('XSALT TB'!$R:$R,'SALT P&amp;L'!$A32,'XSALT TB'!E:E)</f>
        <v/>
      </c>
      <c r="R32" s="37">
        <f>SUMIF('XSALT TB'!$R:$R,'SALT P&amp;L'!$A32,'XSALT TB'!F:F)</f>
        <v/>
      </c>
      <c r="S32" s="37">
        <f>SUMIF('XSALT TB'!$R:$R,'SALT P&amp;L'!$A32,'XSALT TB'!G:G)</f>
        <v/>
      </c>
      <c r="T32" s="37">
        <f>SUMIF('XSALT TB'!$R:$R,'SALT P&amp;L'!$A32,'XSALT TB'!H:H)</f>
        <v/>
      </c>
      <c r="U32" s="37">
        <f>SUMIF('SALT TB'!$R:$R,'SALT P&amp;L'!$A32,'SALT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18" t="n">
        <v>0</v>
      </c>
      <c r="AJ32" s="119" t="n">
        <v>0</v>
      </c>
      <c r="AK32" s="119" t="n">
        <v>0</v>
      </c>
      <c r="AL32" s="119" t="n">
        <v>0</v>
      </c>
      <c r="AM32" s="120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SUMIF('XSALT TB'!$R:$R,'SALT P&amp;L'!$A33,'XSALT TB'!C:C)</f>
        <v/>
      </c>
      <c r="P33" s="37">
        <f>SUMIF('XSALT TB'!$R:$R,'SALT P&amp;L'!$A33,'XSALT TB'!D:D)</f>
        <v/>
      </c>
      <c r="Q33" s="37">
        <f>SUMIF('XSALT TB'!$R:$R,'SALT P&amp;L'!$A33,'XSALT TB'!E:E)</f>
        <v/>
      </c>
      <c r="R33" s="37">
        <f>SUMIF('XSALT TB'!$R:$R,'SALT P&amp;L'!$A33,'XSALT TB'!F:F)</f>
        <v/>
      </c>
      <c r="S33" s="37">
        <f>SUMIF('XSALT TB'!$R:$R,'SALT P&amp;L'!$A33,'XSALT TB'!G:G)</f>
        <v/>
      </c>
      <c r="T33" s="37">
        <f>SUMIF('XSALT TB'!$R:$R,'SALT P&amp;L'!$A33,'XSALT TB'!H:H)</f>
        <v/>
      </c>
      <c r="U33" s="37">
        <f>SUMIF('SALT TB'!$R:$R,'SALT P&amp;L'!$A33,'SALT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8" t="n">
        <v>0</v>
      </c>
      <c r="AJ33" s="119" t="n">
        <v>0</v>
      </c>
      <c r="AK33" s="119" t="n">
        <v>0</v>
      </c>
      <c r="AL33" s="119" t="n">
        <v>0</v>
      </c>
      <c r="AM33" s="120" t="n">
        <v>0</v>
      </c>
      <c r="AN33" s="118" t="n">
        <v>0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2159.36</v>
      </c>
      <c r="C34" s="42" t="n">
        <v>3141.140000000001</v>
      </c>
      <c r="D34" s="42" t="n">
        <v>2587.19</v>
      </c>
      <c r="E34" s="42" t="n">
        <v>2671.159999999999</v>
      </c>
      <c r="F34" s="42" t="n">
        <v>2710.57</v>
      </c>
      <c r="G34" s="42" t="n">
        <v>2764.38</v>
      </c>
      <c r="H34" s="42" t="n">
        <v>2795.31</v>
      </c>
      <c r="I34" s="42" t="n">
        <v>2329.48</v>
      </c>
      <c r="J34" s="42" t="n">
        <v>3075.97</v>
      </c>
      <c r="K34" s="42" t="n">
        <v>3186.66</v>
      </c>
      <c r="L34" s="42" t="n">
        <v>3046.5</v>
      </c>
      <c r="M34" s="42" t="n">
        <v>2289.84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SUM(O34:U34)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3">
        <f>SUM(AI27:AI33)</f>
        <v/>
      </c>
      <c r="AJ34" s="124">
        <f>SUM(AJ27:AJ33)</f>
        <v/>
      </c>
      <c r="AK34" s="124">
        <f>SUM(AK27:AK33)</f>
        <v/>
      </c>
      <c r="AL34" s="124">
        <f>SUM(AL27:AL33)</f>
        <v/>
      </c>
      <c r="AM34" s="124">
        <f>SUM(AM27:AM33)</f>
        <v/>
      </c>
      <c r="AN34" s="123">
        <f>SUM(AN27:AN33)</f>
        <v/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SUM(O35:U35)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7" t="n">
        <v>0</v>
      </c>
      <c r="AJ35" s="128" t="n">
        <v>0</v>
      </c>
      <c r="AK35" s="128" t="n">
        <v>0</v>
      </c>
      <c r="AL35" s="128" t="n">
        <v>0</v>
      </c>
      <c r="AM35" s="129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SUMIF('XSALT TB'!$R:$R,'SALT P&amp;L'!$A36,'XSALT TB'!C:C)</f>
        <v/>
      </c>
      <c r="P36" s="37">
        <f>SUMIF('XSALT TB'!$R:$R,'SALT P&amp;L'!$A36,'XSALT TB'!D:D)</f>
        <v/>
      </c>
      <c r="Q36" s="37">
        <f>SUMIF('XSALT TB'!$R:$R,'SALT P&amp;L'!$A36,'XSALT TB'!E:E)</f>
        <v/>
      </c>
      <c r="R36" s="37">
        <f>SUMIF('XSALT TB'!$R:$R,'SALT P&amp;L'!$A36,'XSALT TB'!F:F)</f>
        <v/>
      </c>
      <c r="S36" s="37">
        <f>SUMIF('XSALT TB'!$R:$R,'SALT P&amp;L'!$A36,'XSALT TB'!G:G)</f>
        <v/>
      </c>
      <c r="T36" s="37">
        <f>SUMIF('XSALT TB'!$R:$R,'SALT P&amp;L'!$A36,'XSALT TB'!H:H)</f>
        <v/>
      </c>
      <c r="U36" s="37" t="n"/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8" t="n">
        <v>0</v>
      </c>
      <c r="AJ36" s="119" t="n">
        <v>0</v>
      </c>
      <c r="AK36" s="119" t="n">
        <v>0</v>
      </c>
      <c r="AL36" s="119" t="n">
        <v>0</v>
      </c>
      <c r="AM36" s="120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-2157.98</v>
      </c>
      <c r="C37" s="35" t="n">
        <v>721.59</v>
      </c>
      <c r="D37" s="35" t="n">
        <v>721.59</v>
      </c>
      <c r="E37" s="35" t="n">
        <v>4207.28</v>
      </c>
      <c r="F37" s="35" t="n">
        <v>758.9</v>
      </c>
      <c r="G37" s="35" t="n">
        <v>758.9</v>
      </c>
      <c r="H37" s="35" t="n">
        <v>758.9</v>
      </c>
      <c r="I37" s="35" t="n">
        <v>758.9</v>
      </c>
      <c r="J37" s="35" t="n">
        <v>758.9</v>
      </c>
      <c r="K37" s="35" t="n">
        <v>758.9</v>
      </c>
      <c r="L37" s="35" t="n">
        <v>758.9</v>
      </c>
      <c r="M37" s="35" t="n">
        <v>758.9</v>
      </c>
      <c r="N37" s="36">
        <f>SUM(B37:M37)</f>
        <v/>
      </c>
      <c r="O37" s="37">
        <f>SUMIF('XSALT TB'!$R:$R,'SALT P&amp;L'!$A37,'XSALT TB'!C:C)</f>
        <v/>
      </c>
      <c r="P37" s="37">
        <f>SUMIF('XSALT TB'!$R:$R,'SALT P&amp;L'!$A37,'XSALT TB'!D:D)</f>
        <v/>
      </c>
      <c r="Q37" s="37">
        <f>SUMIF('XSALT TB'!$R:$R,'SALT P&amp;L'!$A37,'XSALT TB'!E:E)</f>
        <v/>
      </c>
      <c r="R37" s="37">
        <f>SUMIF('XSALT TB'!$R:$R,'SALT P&amp;L'!$A37,'XSALT TB'!F:F)</f>
        <v/>
      </c>
      <c r="S37" s="37">
        <f>SUMIF('XSALT TB'!$R:$R,'SALT P&amp;L'!$A37,'XSALT TB'!G:G)</f>
        <v/>
      </c>
      <c r="T37" s="37">
        <f>SUMIF('XSALT TB'!$R:$R,'SALT P&amp;L'!$A37,'XSALT TB'!H:H)</f>
        <v/>
      </c>
      <c r="U37" s="37">
        <f>SUMIF('SALT TB'!$R:$R,'SALT P&amp;L'!$A37,'SALT TB'!I:I)</f>
        <v/>
      </c>
      <c r="V37" s="38" t="n">
        <v>873</v>
      </c>
      <c r="W37" s="38" t="n">
        <v>873</v>
      </c>
      <c r="X37" s="38" t="n">
        <v>873</v>
      </c>
      <c r="Y37" s="38" t="n">
        <v>873</v>
      </c>
      <c r="Z37" s="38" t="n">
        <v>873</v>
      </c>
      <c r="AA37" s="36">
        <f>SUM(O37:U37)</f>
        <v/>
      </c>
      <c r="AB37" s="36">
        <f>SUM(O37:Z37)</f>
        <v/>
      </c>
      <c r="AC37" s="38" t="n">
        <v>873</v>
      </c>
      <c r="AD37" s="38" t="n">
        <v>873</v>
      </c>
      <c r="AE37" s="38" t="n">
        <v>873</v>
      </c>
      <c r="AF37" s="38" t="n">
        <v>873</v>
      </c>
      <c r="AG37" s="38" t="n">
        <v>873</v>
      </c>
      <c r="AH37" s="38" t="n">
        <v>873</v>
      </c>
      <c r="AI37" s="118" t="n">
        <v>873</v>
      </c>
      <c r="AJ37" s="119" t="n">
        <v>873</v>
      </c>
      <c r="AK37" s="119" t="n">
        <v>873</v>
      </c>
      <c r="AL37" s="119" t="n">
        <v>873</v>
      </c>
      <c r="AM37" s="120" t="n">
        <v>873</v>
      </c>
      <c r="AN37" s="118" t="n">
        <v>873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1211.79</v>
      </c>
      <c r="C38" s="35" t="n">
        <v>1770.42</v>
      </c>
      <c r="D38" s="35" t="n">
        <v>1942.85</v>
      </c>
      <c r="E38" s="35" t="n">
        <v>1364.31</v>
      </c>
      <c r="F38" s="35" t="n">
        <v>837.5699999999999</v>
      </c>
      <c r="G38" s="35" t="n">
        <v>573.86</v>
      </c>
      <c r="H38" s="35" t="n">
        <v>402.07</v>
      </c>
      <c r="I38" s="35" t="n">
        <v>0</v>
      </c>
      <c r="J38" s="35" t="n">
        <v>813.2</v>
      </c>
      <c r="K38" s="35" t="n">
        <v>649.55</v>
      </c>
      <c r="L38" s="35" t="n">
        <v>605.8200000000001</v>
      </c>
      <c r="M38" s="35" t="n">
        <v>1258.8</v>
      </c>
      <c r="N38" s="36">
        <f>SUM(B38:M38)</f>
        <v/>
      </c>
      <c r="O38" s="37">
        <f>SUMIF('XSALT TB'!$R:$R,'SALT P&amp;L'!$A38,'XSALT TB'!C:C)</f>
        <v/>
      </c>
      <c r="P38" s="37">
        <f>SUMIF('XSALT TB'!$R:$R,'SALT P&amp;L'!$A38,'XSALT TB'!D:D)</f>
        <v/>
      </c>
      <c r="Q38" s="37">
        <f>SUMIF('XSALT TB'!$R:$R,'SALT P&amp;L'!$A38,'XSALT TB'!E:E)</f>
        <v/>
      </c>
      <c r="R38" s="37">
        <f>SUMIF('XSALT TB'!$R:$R,'SALT P&amp;L'!$A38,'XSALT TB'!F:F)</f>
        <v/>
      </c>
      <c r="S38" s="37">
        <f>SUMIF('XSALT TB'!$R:$R,'SALT P&amp;L'!$A38,'XSALT TB'!G:G)</f>
        <v/>
      </c>
      <c r="T38" s="37">
        <f>SUMIF('XSALT TB'!$R:$R,'SALT P&amp;L'!$A38,'XSALT TB'!H:H)</f>
        <v/>
      </c>
      <c r="U38" s="37">
        <f>SUMIF('SALT TB'!$R:$R,'SALT P&amp;L'!$A38,'SALT TB'!I:I)</f>
        <v/>
      </c>
      <c r="V38" s="38" t="n">
        <v>950</v>
      </c>
      <c r="W38" s="38" t="n">
        <v>950</v>
      </c>
      <c r="X38" s="38" t="n">
        <v>950</v>
      </c>
      <c r="Y38" s="38" t="n">
        <v>950</v>
      </c>
      <c r="Z38" s="38" t="n">
        <v>950</v>
      </c>
      <c r="AA38" s="36">
        <f>SUM(O38:U38)</f>
        <v/>
      </c>
      <c r="AB38" s="36">
        <f>SUM(O38:Z38)</f>
        <v/>
      </c>
      <c r="AC38" s="38" t="n">
        <v>950</v>
      </c>
      <c r="AD38" s="38" t="n">
        <v>950</v>
      </c>
      <c r="AE38" s="38" t="n">
        <v>950</v>
      </c>
      <c r="AF38" s="38" t="n">
        <v>950</v>
      </c>
      <c r="AG38" s="38" t="n">
        <v>950</v>
      </c>
      <c r="AH38" s="38" t="n">
        <v>950</v>
      </c>
      <c r="AI38" s="118" t="n">
        <v>950</v>
      </c>
      <c r="AJ38" s="119" t="n">
        <v>950</v>
      </c>
      <c r="AK38" s="119" t="n">
        <v>950</v>
      </c>
      <c r="AL38" s="119" t="n">
        <v>950</v>
      </c>
      <c r="AM38" s="120" t="n">
        <v>950</v>
      </c>
      <c r="AN38" s="118" t="n">
        <v>950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494.65</v>
      </c>
      <c r="C39" s="35" t="n">
        <v>0</v>
      </c>
      <c r="D39" s="35" t="n">
        <v>1927</v>
      </c>
      <c r="E39" s="35" t="n">
        <v>2375.809999999999</v>
      </c>
      <c r="F39" s="35" t="n">
        <v>1374.88</v>
      </c>
      <c r="G39" s="35" t="n">
        <v>70.98</v>
      </c>
      <c r="H39" s="35" t="n">
        <v>536.11</v>
      </c>
      <c r="I39" s="35" t="n">
        <v>185.96</v>
      </c>
      <c r="J39" s="35" t="n">
        <v>0</v>
      </c>
      <c r="K39" s="35" t="n">
        <v>37.19</v>
      </c>
      <c r="L39" s="35" t="n">
        <v>87.64</v>
      </c>
      <c r="M39" s="35" t="n">
        <v>531.6</v>
      </c>
      <c r="N39" s="36">
        <f>SUM(B39:M39)</f>
        <v/>
      </c>
      <c r="O39" s="37">
        <f>SUMIF('XSALT TB'!$R:$R,'SALT P&amp;L'!$A39,'XSALT TB'!C:C)</f>
        <v/>
      </c>
      <c r="P39" s="37">
        <f>SUMIF('XSALT TB'!$R:$R,'SALT P&amp;L'!$A39,'XSALT TB'!D:D)</f>
        <v/>
      </c>
      <c r="Q39" s="37">
        <f>SUMIF('XSALT TB'!$R:$R,'SALT P&amp;L'!$A39,'XSALT TB'!E:E)</f>
        <v/>
      </c>
      <c r="R39" s="37">
        <f>SUMIF('XSALT TB'!$R:$R,'SALT P&amp;L'!$A39,'XSALT TB'!F:F)</f>
        <v/>
      </c>
      <c r="S39" s="37">
        <f>SUMIF('XSALT TB'!$R:$R,'SALT P&amp;L'!$A39,'XSALT TB'!G:G)</f>
        <v/>
      </c>
      <c r="T39" s="37">
        <f>SUMIF('XSALT TB'!$R:$R,'SALT P&amp;L'!$A39,'XSALT TB'!H:H)</f>
        <v/>
      </c>
      <c r="U39" s="37">
        <f>SUMIF('SALT TB'!$R:$R,'SALT P&amp;L'!$A39,'SALT TB'!I:I)</f>
        <v/>
      </c>
      <c r="V39" s="38" t="n"/>
      <c r="W39" s="38" t="n"/>
      <c r="X39" s="38" t="n">
        <v>2000</v>
      </c>
      <c r="Y39" s="38" t="n">
        <v>2000</v>
      </c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8" t="n">
        <v>0</v>
      </c>
      <c r="AJ39" s="119" t="n">
        <v>0</v>
      </c>
      <c r="AK39" s="119" t="n">
        <v>0</v>
      </c>
      <c r="AL39" s="119" t="n">
        <v>0</v>
      </c>
      <c r="AM39" s="120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1242.55</v>
      </c>
      <c r="C40" s="35" t="n">
        <v>908.0699999999999</v>
      </c>
      <c r="D40" s="35" t="n">
        <v>1204.23</v>
      </c>
      <c r="E40" s="35" t="n">
        <v>1580.58</v>
      </c>
      <c r="F40" s="35" t="n">
        <v>1102.14</v>
      </c>
      <c r="G40" s="35" t="n">
        <v>1077.97</v>
      </c>
      <c r="H40" s="35" t="n">
        <v>1581.4</v>
      </c>
      <c r="I40" s="35" t="n">
        <v>1021.21</v>
      </c>
      <c r="J40" s="35" t="n">
        <v>1373.97</v>
      </c>
      <c r="K40" s="35" t="n">
        <v>1218.93</v>
      </c>
      <c r="L40" s="35" t="n">
        <v>1057.79</v>
      </c>
      <c r="M40" s="35" t="n">
        <v>930.5599999999999</v>
      </c>
      <c r="N40" s="36">
        <f>SUM(B40:M40)</f>
        <v/>
      </c>
      <c r="O40" s="37">
        <f>SUMIF('XSALT TB'!$R:$R,'SALT P&amp;L'!$A40,'XSALT TB'!C:C)</f>
        <v/>
      </c>
      <c r="P40" s="37">
        <f>SUMIF('XSALT TB'!$R:$R,'SALT P&amp;L'!$A40,'XSALT TB'!D:D)</f>
        <v/>
      </c>
      <c r="Q40" s="37">
        <f>SUMIF('XSALT TB'!$R:$R,'SALT P&amp;L'!$A40,'XSALT TB'!E:E)</f>
        <v/>
      </c>
      <c r="R40" s="37">
        <f>SUMIF('XSALT TB'!$R:$R,'SALT P&amp;L'!$A40,'XSALT TB'!F:F)</f>
        <v/>
      </c>
      <c r="S40" s="37">
        <f>SUMIF('XSALT TB'!$R:$R,'SALT P&amp;L'!$A40,'XSALT TB'!G:G)</f>
        <v/>
      </c>
      <c r="T40" s="37">
        <f>SUMIF('XSALT TB'!$R:$R,'SALT P&amp;L'!$A40,'XSALT TB'!H:H)</f>
        <v/>
      </c>
      <c r="U40" s="37">
        <f>SUMIF('SALT TB'!$R:$R,'SALT P&amp;L'!$A40,'SALT TB'!I:I)</f>
        <v/>
      </c>
      <c r="V40" s="38" t="n">
        <v>1232</v>
      </c>
      <c r="W40" s="38" t="n">
        <v>1232</v>
      </c>
      <c r="X40" s="38" t="n">
        <v>1232</v>
      </c>
      <c r="Y40" s="38" t="n">
        <v>1232</v>
      </c>
      <c r="Z40" s="38" t="n">
        <v>1232</v>
      </c>
      <c r="AA40" s="36">
        <f>SUM(O40:U40)</f>
        <v/>
      </c>
      <c r="AB40" s="36">
        <f>SUM(O40:Z40)</f>
        <v/>
      </c>
      <c r="AC40" s="38" t="n">
        <v>1232</v>
      </c>
      <c r="AD40" s="38" t="n">
        <v>1232</v>
      </c>
      <c r="AE40" s="38" t="n">
        <v>1232</v>
      </c>
      <c r="AF40" s="38" t="n">
        <v>1232</v>
      </c>
      <c r="AG40" s="38" t="n">
        <v>1232</v>
      </c>
      <c r="AH40" s="38" t="n">
        <v>1232</v>
      </c>
      <c r="AI40" s="118" t="n">
        <v>1232</v>
      </c>
      <c r="AJ40" s="119" t="n">
        <v>1232</v>
      </c>
      <c r="AK40" s="119" t="n">
        <v>1232</v>
      </c>
      <c r="AL40" s="119" t="n">
        <v>1232</v>
      </c>
      <c r="AM40" s="120" t="n">
        <v>1232</v>
      </c>
      <c r="AN40" s="118" t="n">
        <v>1232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329.95</v>
      </c>
      <c r="C41" s="35" t="n">
        <v>622.9300000000001</v>
      </c>
      <c r="D41" s="35" t="n">
        <v>236.94</v>
      </c>
      <c r="E41" s="35" t="n">
        <v>225.05</v>
      </c>
      <c r="F41" s="35" t="n">
        <v>432.79</v>
      </c>
      <c r="G41" s="35" t="n">
        <v>390.78</v>
      </c>
      <c r="H41" s="35" t="n">
        <v>429.19</v>
      </c>
      <c r="I41" s="35" t="n">
        <v>420.09</v>
      </c>
      <c r="J41" s="35" t="n">
        <v>631.8900000000001</v>
      </c>
      <c r="K41" s="35" t="n">
        <v>447.09</v>
      </c>
      <c r="L41" s="35" t="n">
        <v>405.09</v>
      </c>
      <c r="M41" s="35" t="n">
        <v>452.47</v>
      </c>
      <c r="N41" s="36">
        <f>SUM(B41:M41)</f>
        <v/>
      </c>
      <c r="O41" s="37">
        <f>SUMIF('XSALT TB'!$R:$R,'SALT P&amp;L'!$A41,'XSALT TB'!C:C)</f>
        <v/>
      </c>
      <c r="P41" s="37">
        <f>SUMIF('XSALT TB'!$R:$R,'SALT P&amp;L'!$A41,'XSALT TB'!D:D)</f>
        <v/>
      </c>
      <c r="Q41" s="37">
        <f>SUMIF('XSALT TB'!$R:$R,'SALT P&amp;L'!$A41,'XSALT TB'!E:E)</f>
        <v/>
      </c>
      <c r="R41" s="37">
        <f>SUMIF('XSALT TB'!$R:$R,'SALT P&amp;L'!$A41,'XSALT TB'!F:F)</f>
        <v/>
      </c>
      <c r="S41" s="37">
        <f>SUMIF('XSALT TB'!$R:$R,'SALT P&amp;L'!$A41,'XSALT TB'!G:G)</f>
        <v/>
      </c>
      <c r="T41" s="37">
        <f>SUMIF('XSALT TB'!$R:$R,'SALT P&amp;L'!$A41,'XSALT TB'!H:H)</f>
        <v/>
      </c>
      <c r="U41" s="37">
        <f>SUMIF('SALT TB'!$R:$R,'SALT P&amp;L'!$A41,'SALT TB'!I:I)</f>
        <v/>
      </c>
      <c r="V41" s="38" t="n">
        <v>413</v>
      </c>
      <c r="W41" s="38" t="n">
        <v>413</v>
      </c>
      <c r="X41" s="38" t="n">
        <v>413</v>
      </c>
      <c r="Y41" s="38" t="n">
        <v>413</v>
      </c>
      <c r="Z41" s="38" t="n">
        <v>413</v>
      </c>
      <c r="AA41" s="36">
        <f>SUM(O41:U41)</f>
        <v/>
      </c>
      <c r="AB41" s="36">
        <f>SUM(O41:Z41)</f>
        <v/>
      </c>
      <c r="AC41" s="38" t="n">
        <v>413</v>
      </c>
      <c r="AD41" s="38" t="n">
        <v>413</v>
      </c>
      <c r="AE41" s="38" t="n">
        <v>413</v>
      </c>
      <c r="AF41" s="38" t="n">
        <v>413</v>
      </c>
      <c r="AG41" s="38" t="n">
        <v>413</v>
      </c>
      <c r="AH41" s="38" t="n">
        <v>413</v>
      </c>
      <c r="AI41" s="118" t="n">
        <v>413</v>
      </c>
      <c r="AJ41" s="119" t="n">
        <v>413</v>
      </c>
      <c r="AK41" s="119" t="n">
        <v>413</v>
      </c>
      <c r="AL41" s="119" t="n">
        <v>413</v>
      </c>
      <c r="AM41" s="120" t="n">
        <v>413</v>
      </c>
      <c r="AN41" s="118" t="n">
        <v>413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0</v>
      </c>
      <c r="C42" s="35" t="n">
        <v>620.59</v>
      </c>
      <c r="D42" s="35" t="n">
        <v>0</v>
      </c>
      <c r="E42" s="35" t="n">
        <v>0</v>
      </c>
      <c r="F42" s="35" t="n">
        <v>689.9400000000001</v>
      </c>
      <c r="G42" s="35" t="n">
        <v>0</v>
      </c>
      <c r="H42" s="35" t="n">
        <v>20.99</v>
      </c>
      <c r="I42" s="35" t="n">
        <v>597.6</v>
      </c>
      <c r="J42" s="35" t="n">
        <v>41.97</v>
      </c>
      <c r="K42" s="35" t="n">
        <v>1007.99</v>
      </c>
      <c r="L42" s="35" t="n">
        <v>0</v>
      </c>
      <c r="M42" s="35" t="n">
        <v>786</v>
      </c>
      <c r="N42" s="36">
        <f>SUM(B42:M42)</f>
        <v/>
      </c>
      <c r="O42" s="37">
        <f>SUMIF('XSALT TB'!$R:$R,'SALT P&amp;L'!$A42,'XSALT TB'!C:C)</f>
        <v/>
      </c>
      <c r="P42" s="37">
        <f>SUMIF('XSALT TB'!$R:$R,'SALT P&amp;L'!$A42,'XSALT TB'!D:D)</f>
        <v/>
      </c>
      <c r="Q42" s="37">
        <f>SUMIF('XSALT TB'!$R:$R,'SALT P&amp;L'!$A42,'XSALT TB'!E:E)</f>
        <v/>
      </c>
      <c r="R42" s="37">
        <f>SUMIF('XSALT TB'!$R:$R,'SALT P&amp;L'!$A42,'XSALT TB'!F:F)</f>
        <v/>
      </c>
      <c r="S42" s="37">
        <f>SUMIF('XSALT TB'!$R:$R,'SALT P&amp;L'!$A42,'XSALT TB'!G:G)</f>
        <v/>
      </c>
      <c r="T42" s="37">
        <f>SUMIF('XSALT TB'!$R:$R,'SALT P&amp;L'!$A42,'XSALT TB'!H:H)</f>
        <v/>
      </c>
      <c r="U42" s="37">
        <f>SUMIF('SALT TB'!$R:$R,'SALT P&amp;L'!$A42,'SALT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8" t="n">
        <v>0</v>
      </c>
      <c r="AJ42" s="119" t="n">
        <v>0</v>
      </c>
      <c r="AK42" s="119" t="n">
        <v>0</v>
      </c>
      <c r="AL42" s="119" t="n">
        <v>0</v>
      </c>
      <c r="AM42" s="120" t="n">
        <v>0</v>
      </c>
      <c r="AN42" s="118" t="n">
        <v>0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849.3399999999999</v>
      </c>
      <c r="C43" s="35" t="n">
        <v>136.41</v>
      </c>
      <c r="D43" s="35" t="n">
        <v>136.41</v>
      </c>
      <c r="E43" s="35" t="n">
        <v>140.14</v>
      </c>
      <c r="F43" s="35" t="n">
        <v>140.14</v>
      </c>
      <c r="G43" s="35" t="n">
        <v>140.14</v>
      </c>
      <c r="H43" s="35" t="n">
        <v>140.14</v>
      </c>
      <c r="I43" s="35" t="n">
        <v>152.77</v>
      </c>
      <c r="J43" s="35" t="n">
        <v>152.77</v>
      </c>
      <c r="K43" s="35" t="n">
        <v>152.77</v>
      </c>
      <c r="L43" s="35" t="n">
        <v>152.77</v>
      </c>
      <c r="M43" s="35" t="n">
        <v>152.77</v>
      </c>
      <c r="N43" s="36">
        <f>SUM(B43:M43)</f>
        <v/>
      </c>
      <c r="O43" s="37">
        <f>SUMIF('XSALT TB'!$R:$R,'SALT P&amp;L'!$A43,'XSALT TB'!C:C)</f>
        <v/>
      </c>
      <c r="P43" s="37">
        <f>SUMIF('XSALT TB'!$R:$R,'SALT P&amp;L'!$A43,'XSALT TB'!D:D)</f>
        <v/>
      </c>
      <c r="Q43" s="37">
        <f>SUMIF('XSALT TB'!$R:$R,'SALT P&amp;L'!$A43,'XSALT TB'!E:E)</f>
        <v/>
      </c>
      <c r="R43" s="37">
        <f>SUMIF('XSALT TB'!$R:$R,'SALT P&amp;L'!$A43,'XSALT TB'!F:F)</f>
        <v/>
      </c>
      <c r="S43" s="37">
        <f>SUMIF('XSALT TB'!$R:$R,'SALT P&amp;L'!$A43,'XSALT TB'!G:G)</f>
        <v/>
      </c>
      <c r="T43" s="37">
        <f>SUMIF('XSALT TB'!$R:$R,'SALT P&amp;L'!$A43,'XSALT TB'!H:H)</f>
        <v/>
      </c>
      <c r="U43" s="37">
        <f>SUMIF('SALT TB'!$R:$R,'SALT P&amp;L'!$A43,'SALT TB'!I:I)</f>
        <v/>
      </c>
      <c r="V43" s="38" t="n">
        <v>153</v>
      </c>
      <c r="W43" s="38" t="n">
        <v>153</v>
      </c>
      <c r="X43" s="38" t="n">
        <v>153</v>
      </c>
      <c r="Y43" s="38" t="n">
        <v>153</v>
      </c>
      <c r="Z43" s="38" t="n">
        <v>153</v>
      </c>
      <c r="AA43" s="36">
        <f>SUM(O43:U43)</f>
        <v/>
      </c>
      <c r="AB43" s="36">
        <f>SUM(O43:Z43)</f>
        <v/>
      </c>
      <c r="AC43" s="38" t="n">
        <v>153</v>
      </c>
      <c r="AD43" s="38" t="n">
        <v>153</v>
      </c>
      <c r="AE43" s="38" t="n">
        <v>153</v>
      </c>
      <c r="AF43" s="38" t="n">
        <v>153</v>
      </c>
      <c r="AG43" s="38" t="n">
        <v>153</v>
      </c>
      <c r="AH43" s="38" t="n">
        <v>153</v>
      </c>
      <c r="AI43" s="118" t="n">
        <v>153</v>
      </c>
      <c r="AJ43" s="119" t="n">
        <v>153</v>
      </c>
      <c r="AK43" s="119" t="n">
        <v>153</v>
      </c>
      <c r="AL43" s="119" t="n">
        <v>153</v>
      </c>
      <c r="AM43" s="120" t="n">
        <v>153</v>
      </c>
      <c r="AN43" s="118" t="n">
        <v>153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SUMIF('XSALT TB'!$R:$R,'SALT P&amp;L'!$A44,'XSALT TB'!C:C)</f>
        <v/>
      </c>
      <c r="P44" s="37">
        <f>SUMIF('XSALT TB'!$R:$R,'SALT P&amp;L'!$A44,'XSALT TB'!D:D)</f>
        <v/>
      </c>
      <c r="Q44" s="37">
        <f>SUMIF('XSALT TB'!$R:$R,'SALT P&amp;L'!$A44,'XSALT TB'!E:E)</f>
        <v/>
      </c>
      <c r="R44" s="37">
        <f>SUMIF('XSALT TB'!$R:$R,'SALT P&amp;L'!$A44,'XSALT TB'!F:F)</f>
        <v/>
      </c>
      <c r="S44" s="37">
        <f>SUMIF('XSALT TB'!$R:$R,'SALT P&amp;L'!$A44,'XSALT TB'!G:G)</f>
        <v/>
      </c>
      <c r="T44" s="37">
        <f>SUMIF('XSALT TB'!$R:$R,'SALT P&amp;L'!$A44,'XSALT TB'!H:H)</f>
        <v/>
      </c>
      <c r="U44" s="37">
        <f>SUMIF('SALT TB'!$R:$R,'SALT P&amp;L'!$A44,'SALT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8" t="n">
        <v>0</v>
      </c>
      <c r="AJ44" s="119" t="n">
        <v>0</v>
      </c>
      <c r="AK44" s="119" t="n">
        <v>0</v>
      </c>
      <c r="AL44" s="119" t="n">
        <v>0</v>
      </c>
      <c r="AM44" s="120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SUMIF('XSALT TB'!$R:$R,'SALT P&amp;L'!$A45,'XSALT TB'!C:C)</f>
        <v/>
      </c>
      <c r="P45" s="37">
        <f>SUMIF('XSALT TB'!$R:$R,'SALT P&amp;L'!$A45,'XSALT TB'!D:D)</f>
        <v/>
      </c>
      <c r="Q45" s="37">
        <f>SUMIF('XSALT TB'!$R:$R,'SALT P&amp;L'!$A45,'XSALT TB'!E:E)</f>
        <v/>
      </c>
      <c r="R45" s="37">
        <f>SUMIF('XSALT TB'!$R:$R,'SALT P&amp;L'!$A45,'XSALT TB'!F:F)</f>
        <v/>
      </c>
      <c r="S45" s="37">
        <f>SUMIF('XSALT TB'!$R:$R,'SALT P&amp;L'!$A45,'XSALT TB'!G:G)</f>
        <v/>
      </c>
      <c r="T45" s="37">
        <f>SUMIF('XSALT TB'!$R:$R,'SALT P&amp;L'!$A45,'XSALT TB'!H:H)</f>
        <v/>
      </c>
      <c r="U45" s="37">
        <f>SUMIF('SALT TB'!$R:$R,'SALT P&amp;L'!$A45,'SALT TB'!I:I)</f>
        <v/>
      </c>
      <c r="V45" s="38" t="n">
        <v>0</v>
      </c>
      <c r="W45" s="38" t="n">
        <v>0</v>
      </c>
      <c r="X45" s="38" t="n">
        <v>0</v>
      </c>
      <c r="Y45" s="38" t="n">
        <v>0</v>
      </c>
      <c r="Z45" s="38" t="n">
        <v>0</v>
      </c>
      <c r="AA45" s="36">
        <f>SUM(O45:U45)</f>
        <v/>
      </c>
      <c r="AB45" s="36">
        <f>SUM(O45:Z45)</f>
        <v/>
      </c>
      <c r="AC45" s="38" t="n">
        <v>0</v>
      </c>
      <c r="AD45" s="38" t="n">
        <v>0</v>
      </c>
      <c r="AE45" s="38" t="n">
        <v>0</v>
      </c>
      <c r="AF45" s="38" t="n">
        <v>0</v>
      </c>
      <c r="AG45" s="38" t="n">
        <v>0</v>
      </c>
      <c r="AH45" s="38" t="n">
        <v>0</v>
      </c>
      <c r="AI45" s="118" t="n">
        <v>0</v>
      </c>
      <c r="AJ45" s="119" t="n">
        <v>0</v>
      </c>
      <c r="AK45" s="119" t="n">
        <v>0</v>
      </c>
      <c r="AL45" s="119" t="n">
        <v>0</v>
      </c>
      <c r="AM45" s="120" t="n">
        <v>0</v>
      </c>
      <c r="AN45" s="118" t="n">
        <v>0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SUMIF('XSALT TB'!$R:$R,'SALT P&amp;L'!$A46,'XSALT TB'!C:C)</f>
        <v/>
      </c>
      <c r="P46" s="37">
        <f>SUMIF('XSALT TB'!$R:$R,'SALT P&amp;L'!$A46,'XSALT TB'!D:D)</f>
        <v/>
      </c>
      <c r="Q46" s="37">
        <f>SUMIF('XSALT TB'!$R:$R,'SALT P&amp;L'!$A46,'XSALT TB'!E:E)</f>
        <v/>
      </c>
      <c r="R46" s="37">
        <f>SUMIF('XSALT TB'!$R:$R,'SALT P&amp;L'!$A46,'XSALT TB'!F:F)</f>
        <v/>
      </c>
      <c r="S46" s="37">
        <f>SUMIF('XSALT TB'!$R:$R,'SALT P&amp;L'!$A46,'XSALT TB'!G:G)</f>
        <v/>
      </c>
      <c r="T46" s="37">
        <f>SUMIF('XSALT TB'!$R:$R,'SALT P&amp;L'!$A46,'XSALT TB'!H:H)</f>
        <v/>
      </c>
      <c r="U46" s="37">
        <f>SUMIF('SALT TB'!$R:$R,'SALT P&amp;L'!$A46,'SALT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8" t="n">
        <v>0</v>
      </c>
      <c r="AJ46" s="119" t="n">
        <v>0</v>
      </c>
      <c r="AK46" s="119" t="n">
        <v>0</v>
      </c>
      <c r="AL46" s="119" t="n">
        <v>0</v>
      </c>
      <c r="AM46" s="120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1970.299999999999</v>
      </c>
      <c r="C47" s="42" t="n">
        <v>4780.01</v>
      </c>
      <c r="D47" s="42" t="n">
        <v>6169.02</v>
      </c>
      <c r="E47" s="42" t="n">
        <v>9893.169999999998</v>
      </c>
      <c r="F47" s="42" t="n">
        <v>5336.36</v>
      </c>
      <c r="G47" s="42" t="n">
        <v>3012.63</v>
      </c>
      <c r="H47" s="42" t="n">
        <v>3868.8</v>
      </c>
      <c r="I47" s="42" t="n">
        <v>3136.53</v>
      </c>
      <c r="J47" s="42" t="n">
        <v>3772.7</v>
      </c>
      <c r="K47" s="42" t="n">
        <v>4272.42</v>
      </c>
      <c r="L47" s="42" t="n">
        <v>3068.01</v>
      </c>
      <c r="M47" s="42" t="n">
        <v>4871.1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3">
        <f>SUM(AI36:AI46)</f>
        <v/>
      </c>
      <c r="AJ47" s="124">
        <f>SUM(AJ36:AJ46)</f>
        <v/>
      </c>
      <c r="AK47" s="124">
        <f>SUM(AK36:AK46)</f>
        <v/>
      </c>
      <c r="AL47" s="124">
        <f>SUM(AL36:AL46)</f>
        <v/>
      </c>
      <c r="AM47" s="137">
        <f>SUM(AM36:AM46)</f>
        <v/>
      </c>
      <c r="AN47" s="123">
        <f>SUM(AN36:AN46)</f>
        <v/>
      </c>
      <c r="AO47" s="125">
        <f>SUM(AC47:AH47)+SUM(AI47:AN47)</f>
        <v/>
      </c>
      <c r="AP47" s="126">
        <f>IF(AB47&lt;&gt;0,(AO47-AB47)/ABS(AB47),0)</f>
        <v/>
      </c>
    </row>
    <row r="48">
      <c r="A48" s="22" t="inlineStr">
        <is>
          <t>Total Direct Costs</t>
        </is>
      </c>
      <c r="B48" s="23" t="n">
        <v>37882.87</v>
      </c>
      <c r="C48" s="23" t="n">
        <v>47003.43</v>
      </c>
      <c r="D48" s="23" t="n">
        <v>42463.12</v>
      </c>
      <c r="E48" s="23" t="n">
        <v>48079.93</v>
      </c>
      <c r="F48" s="23" t="n">
        <v>45061.75</v>
      </c>
      <c r="G48" s="23" t="n">
        <v>41887.21</v>
      </c>
      <c r="H48" s="23" t="n">
        <v>46995.76</v>
      </c>
      <c r="I48" s="23" t="n">
        <v>45778.62000000001</v>
      </c>
      <c r="J48" s="23" t="n">
        <v>51054.04999999999</v>
      </c>
      <c r="K48" s="23" t="n">
        <v>54676.12</v>
      </c>
      <c r="L48" s="23" t="n">
        <v>47806.94</v>
      </c>
      <c r="M48" s="23" t="n">
        <v>47768.84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>U25+U34+U47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SUM(O48:U48)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3">
        <f>AI25+AI34+AI47</f>
        <v/>
      </c>
      <c r="AJ48" s="147">
        <f>AJ25+AJ34+AJ47</f>
        <v/>
      </c>
      <c r="AK48" s="147">
        <f>AK25+AK34+AK47</f>
        <v/>
      </c>
      <c r="AL48" s="147">
        <f>AL25+AL34+AL47</f>
        <v/>
      </c>
      <c r="AM48" s="147">
        <f>AM25+AM34+AM47</f>
        <v/>
      </c>
      <c r="AN48" s="123">
        <f>AN25+AN34+AN47</f>
        <v/>
      </c>
      <c r="AO48" s="121">
        <f>SUM(AC48:AH48)+SUM(AI48:AN48)</f>
        <v/>
      </c>
      <c r="AP48" s="122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SUM(O49:U49)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15223.57999999999</v>
      </c>
      <c r="C50" s="55" t="n">
        <v>17713.23</v>
      </c>
      <c r="D50" s="55" t="n">
        <v>32478.08000000002</v>
      </c>
      <c r="E50" s="55" t="n">
        <v>17947.43</v>
      </c>
      <c r="F50" s="55" t="n">
        <v>7137.43</v>
      </c>
      <c r="G50" s="55" t="n">
        <v>23971.56</v>
      </c>
      <c r="H50" s="55" t="n">
        <v>39470.94999999999</v>
      </c>
      <c r="I50" s="55" t="n">
        <v>8677.649999999994</v>
      </c>
      <c r="J50" s="55" t="n">
        <v>11286.18000000001</v>
      </c>
      <c r="K50" s="55" t="n">
        <v>7367.850000000006</v>
      </c>
      <c r="L50" s="55" t="n">
        <v>29751.17999999999</v>
      </c>
      <c r="M50" s="55" t="n">
        <v>55101.27000000001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6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0">
        <f>AI11-AI48</f>
        <v/>
      </c>
      <c r="AJ50" s="140">
        <f>AJ11-AJ48</f>
        <v/>
      </c>
      <c r="AK50" s="140">
        <f>AK11-AK48</f>
        <v/>
      </c>
      <c r="AL50" s="140">
        <f>AL11-AL48</f>
        <v/>
      </c>
      <c r="AM50" s="140">
        <f>AM11-AM48</f>
        <v/>
      </c>
      <c r="AN50" s="140">
        <f>AN11-AN48</f>
        <v/>
      </c>
      <c r="AO50" s="141">
        <f>SUM(AC50:AH50)+SUM(AI50:AN50)</f>
        <v/>
      </c>
      <c r="AP50" s="14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SUM(O51:U51)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SUM(O52:U52)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SUMIF('XSALT TB'!$R:$R,'SALT P&amp;L'!$A53,'XSALT TB'!C:C)</f>
        <v/>
      </c>
      <c r="P53" s="37">
        <f>SUMIF('XSALT TB'!$R:$R,'SALT P&amp;L'!$A53,'XSALT TB'!D:D)</f>
        <v/>
      </c>
      <c r="Q53" s="37">
        <f>SUMIF('XSALT TB'!$R:$R,'SALT P&amp;L'!$A53,'XSALT TB'!E:E)</f>
        <v/>
      </c>
      <c r="R53" s="37">
        <f>SUMIF('XSALT TB'!$R:$R,'SALT P&amp;L'!$A53,'XSALT TB'!F:F)</f>
        <v/>
      </c>
      <c r="S53" s="37">
        <f>SUMIF('XSALT TB'!$R:$R,'SALT P&amp;L'!$A53,'XSALT TB'!G:G)</f>
        <v/>
      </c>
      <c r="T53" s="37">
        <f>SUMIF('XSALT TB'!$R:$R,'SALT P&amp;L'!$A53,'XSALT TB'!H:H)</f>
        <v/>
      </c>
      <c r="U53" s="37">
        <f>SUMIF('SALT TB'!$R:$R,'SALT P&amp;L'!$A53,'SALT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8" t="n">
        <v>0</v>
      </c>
      <c r="AJ53" s="119" t="n">
        <v>0</v>
      </c>
      <c r="AK53" s="119" t="n">
        <v>0</v>
      </c>
      <c r="AL53" s="119" t="n">
        <v>0</v>
      </c>
      <c r="AM53" s="120" t="n">
        <v>0</v>
      </c>
      <c r="AN53" s="118" t="n">
        <v>0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SUMIF('XSALT TB'!$R:$R,'SALT P&amp;L'!$A54,'XSALT TB'!C:C)</f>
        <v/>
      </c>
      <c r="P54" s="37">
        <f>SUMIF('XSALT TB'!$R:$R,'SALT P&amp;L'!$A54,'XSALT TB'!D:D)</f>
        <v/>
      </c>
      <c r="Q54" s="37">
        <f>SUMIF('XSALT TB'!$R:$R,'SALT P&amp;L'!$A54,'XSALT TB'!E:E)</f>
        <v/>
      </c>
      <c r="R54" s="37">
        <f>SUMIF('XSALT TB'!$R:$R,'SALT P&amp;L'!$A54,'XSALT TB'!F:F)</f>
        <v/>
      </c>
      <c r="S54" s="37">
        <f>SUMIF('XSALT TB'!$R:$R,'SALT P&amp;L'!$A54,'XSALT TB'!G:G)</f>
        <v/>
      </c>
      <c r="T54" s="37">
        <f>SUMIF('XSALT TB'!$R:$R,'SALT P&amp;L'!$A54,'XSALT TB'!H:H)</f>
        <v/>
      </c>
      <c r="U54" s="37">
        <f>SUMIF('SALT TB'!$R:$R,'SALT P&amp;L'!$A54,'SALT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8" t="n">
        <v>0</v>
      </c>
      <c r="AJ54" s="119" t="n">
        <v>0</v>
      </c>
      <c r="AK54" s="119" t="n">
        <v>0</v>
      </c>
      <c r="AL54" s="119" t="n">
        <v>0</v>
      </c>
      <c r="AM54" s="120" t="n">
        <v>0</v>
      </c>
      <c r="AN54" s="118" t="n">
        <v>0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SUMIF('XSALT TB'!$R:$R,'SALT P&amp;L'!$A55,'XSALT TB'!C:C)</f>
        <v/>
      </c>
      <c r="P55" s="37">
        <f>SUMIF('XSALT TB'!$R:$R,'SALT P&amp;L'!$A55,'XSALT TB'!D:D)</f>
        <v/>
      </c>
      <c r="Q55" s="37">
        <f>SUMIF('XSALT TB'!$R:$R,'SALT P&amp;L'!$A55,'XSALT TB'!E:E)</f>
        <v/>
      </c>
      <c r="R55" s="37">
        <f>SUMIF('XSALT TB'!$R:$R,'SALT P&amp;L'!$A55,'XSALT TB'!F:F)</f>
        <v/>
      </c>
      <c r="S55" s="37">
        <f>SUMIF('XSALT TB'!$R:$R,'SALT P&amp;L'!$A55,'XSALT TB'!G:G)</f>
        <v/>
      </c>
      <c r="T55" s="37">
        <f>SUMIF('XSALT TB'!$R:$R,'SALT P&amp;L'!$A55,'XSALT TB'!H:H)</f>
        <v/>
      </c>
      <c r="U55" s="37">
        <f>SUMIF('SALT TB'!$R:$R,'SALT P&amp;L'!$A55,'SALT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8" t="n">
        <v>0</v>
      </c>
      <c r="AJ55" s="119" t="n">
        <v>0</v>
      </c>
      <c r="AK55" s="119" t="n">
        <v>0</v>
      </c>
      <c r="AL55" s="119" t="n">
        <v>0</v>
      </c>
      <c r="AM55" s="120" t="n">
        <v>0</v>
      </c>
      <c r="AN55" s="118" t="n">
        <v>0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SUMIF('XSALT TB'!$R:$R,'SALT P&amp;L'!$A56,'XSALT TB'!C:C)</f>
        <v/>
      </c>
      <c r="P56" s="37">
        <f>SUMIF('XSALT TB'!$R:$R,'SALT P&amp;L'!$A56,'XSALT TB'!D:D)</f>
        <v/>
      </c>
      <c r="Q56" s="37">
        <f>SUMIF('XSALT TB'!$R:$R,'SALT P&amp;L'!$A56,'XSALT TB'!E:E)</f>
        <v/>
      </c>
      <c r="R56" s="37">
        <f>SUMIF('XSALT TB'!$R:$R,'SALT P&amp;L'!$A56,'XSALT TB'!F:F)</f>
        <v/>
      </c>
      <c r="S56" s="37">
        <f>SUMIF('XSALT TB'!$R:$R,'SALT P&amp;L'!$A56,'XSALT TB'!G:G)</f>
        <v/>
      </c>
      <c r="T56" s="37">
        <f>SUMIF('XSALT TB'!$R:$R,'SALT P&amp;L'!$A56,'XSALT TB'!H:H)</f>
        <v/>
      </c>
      <c r="U56" s="37">
        <f>SUMIF('SALT TB'!$R:$R,'SALT P&amp;L'!$A56,'SALT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8" t="n">
        <v>0</v>
      </c>
      <c r="AJ56" s="119" t="n">
        <v>0</v>
      </c>
      <c r="AK56" s="119" t="n">
        <v>0</v>
      </c>
      <c r="AL56" s="119" t="n">
        <v>0</v>
      </c>
      <c r="AM56" s="120" t="n">
        <v>0</v>
      </c>
      <c r="AN56" s="118" t="n">
        <v>0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190</v>
      </c>
      <c r="L57" s="35" t="n">
        <v>0</v>
      </c>
      <c r="M57" s="35" t="n">
        <v>476.11</v>
      </c>
      <c r="N57" s="36">
        <f>SUM(B57:M57)</f>
        <v/>
      </c>
      <c r="O57" s="37">
        <f>SUMIF('XSALT TB'!$R:$R,'SALT P&amp;L'!$A57,'XSALT TB'!C:C)</f>
        <v/>
      </c>
      <c r="P57" s="37">
        <f>SUMIF('XSALT TB'!$R:$R,'SALT P&amp;L'!$A57,'XSALT TB'!D:D)</f>
        <v/>
      </c>
      <c r="Q57" s="37">
        <f>SUMIF('XSALT TB'!$R:$R,'SALT P&amp;L'!$A57,'XSALT TB'!E:E)</f>
        <v/>
      </c>
      <c r="R57" s="37">
        <f>SUMIF('XSALT TB'!$R:$R,'SALT P&amp;L'!$A57,'XSALT TB'!F:F)</f>
        <v/>
      </c>
      <c r="S57" s="37">
        <f>SUMIF('XSALT TB'!$R:$R,'SALT P&amp;L'!$A57,'XSALT TB'!G:G)</f>
        <v/>
      </c>
      <c r="T57" s="37">
        <f>SUMIF('XSALT TB'!$R:$R,'SALT P&amp;L'!$A57,'XSALT TB'!H:H)</f>
        <v/>
      </c>
      <c r="U57" s="37">
        <f>SUMIF('SALT TB'!$R:$R,'SALT P&amp;L'!$A57,'SALT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18" t="n">
        <v>0</v>
      </c>
      <c r="AJ57" s="119" t="n">
        <v>0</v>
      </c>
      <c r="AK57" s="119" t="n">
        <v>0</v>
      </c>
      <c r="AL57" s="119" t="n">
        <v>0</v>
      </c>
      <c r="AM57" s="120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SUMIF('XSALT TB'!$R:$R,'SALT P&amp;L'!$A58,'XSALT TB'!C:C)</f>
        <v/>
      </c>
      <c r="P58" s="37">
        <f>SUMIF('XSALT TB'!$R:$R,'SALT P&amp;L'!$A58,'XSALT TB'!D:D)</f>
        <v/>
      </c>
      <c r="Q58" s="37">
        <f>SUMIF('XSALT TB'!$R:$R,'SALT P&amp;L'!$A58,'XSALT TB'!E:E)</f>
        <v/>
      </c>
      <c r="R58" s="37">
        <f>SUMIF('XSALT TB'!$R:$R,'SALT P&amp;L'!$A58,'XSALT TB'!F:F)</f>
        <v/>
      </c>
      <c r="S58" s="37">
        <f>SUMIF('XSALT TB'!$R:$R,'SALT P&amp;L'!$A58,'XSALT TB'!G:G)</f>
        <v/>
      </c>
      <c r="T58" s="37">
        <f>SUMIF('XSALT TB'!$R:$R,'SALT P&amp;L'!$A58,'XSALT TB'!H:H)</f>
        <v/>
      </c>
      <c r="U58" s="37">
        <f>SUMIF('SALT TB'!$R:$R,'SALT P&amp;L'!$A58,'SALT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8" t="n">
        <v>0</v>
      </c>
      <c r="AJ58" s="119" t="n">
        <v>0</v>
      </c>
      <c r="AK58" s="119" t="n">
        <v>0</v>
      </c>
      <c r="AL58" s="119" t="n">
        <v>0</v>
      </c>
      <c r="AM58" s="120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201.37</v>
      </c>
      <c r="G59" s="35" t="n">
        <v>201.38</v>
      </c>
      <c r="H59" s="35" t="n">
        <v>201.38</v>
      </c>
      <c r="I59" s="35" t="n">
        <v>201.37</v>
      </c>
      <c r="J59" s="35" t="n">
        <v>201.37</v>
      </c>
      <c r="K59" s="35" t="n">
        <v>214.8</v>
      </c>
      <c r="L59" s="35" t="n">
        <v>214.8</v>
      </c>
      <c r="M59" s="35" t="n">
        <v>244.7</v>
      </c>
      <c r="N59" s="36">
        <f>SUM(B59:M59)</f>
        <v/>
      </c>
      <c r="O59" s="37">
        <f>SUMIF('XSALT TB'!$R:$R,'SALT P&amp;L'!$A59,'XSALT TB'!C:C)</f>
        <v/>
      </c>
      <c r="P59" s="37">
        <f>SUMIF('XSALT TB'!$R:$R,'SALT P&amp;L'!$A59,'XSALT TB'!D:D)</f>
        <v/>
      </c>
      <c r="Q59" s="37">
        <f>SUMIF('XSALT TB'!$R:$R,'SALT P&amp;L'!$A59,'XSALT TB'!E:E)</f>
        <v/>
      </c>
      <c r="R59" s="37">
        <f>SUMIF('XSALT TB'!$R:$R,'SALT P&amp;L'!$A59,'XSALT TB'!F:F)</f>
        <v/>
      </c>
      <c r="S59" s="37">
        <f>SUMIF('XSALT TB'!$R:$R,'SALT P&amp;L'!$A59,'XSALT TB'!G:G)</f>
        <v/>
      </c>
      <c r="T59" s="37">
        <f>SUMIF('XSALT TB'!$R:$R,'SALT P&amp;L'!$A59,'XSALT TB'!H:H)</f>
        <v/>
      </c>
      <c r="U59" s="37">
        <f>SUMIF('SALT TB'!$R:$R,'SALT P&amp;L'!$A59,'SALT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18" t="n">
        <v>0</v>
      </c>
      <c r="AJ59" s="119" t="n">
        <v>0</v>
      </c>
      <c r="AK59" s="119" t="n">
        <v>0</v>
      </c>
      <c r="AL59" s="119" t="n">
        <v>0</v>
      </c>
      <c r="AM59" s="120" t="n">
        <v>0</v>
      </c>
      <c r="AN59" s="118" t="n">
        <v>0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2.4</v>
      </c>
      <c r="C60" s="35" t="n">
        <v>1.8</v>
      </c>
      <c r="D60" s="35" t="n">
        <v>2.4</v>
      </c>
      <c r="E60" s="35" t="n">
        <v>2.4</v>
      </c>
      <c r="F60" s="35" t="n">
        <v>3</v>
      </c>
      <c r="G60" s="35" t="n">
        <v>48</v>
      </c>
      <c r="H60" s="35" t="n">
        <v>3.6</v>
      </c>
      <c r="I60" s="35" t="n">
        <v>3</v>
      </c>
      <c r="J60" s="35" t="n">
        <v>293.66</v>
      </c>
      <c r="K60" s="35" t="n">
        <v>1.8</v>
      </c>
      <c r="L60" s="35" t="n">
        <v>2.4</v>
      </c>
      <c r="M60" s="35" t="n">
        <v>47.40000000000001</v>
      </c>
      <c r="N60" s="36">
        <f>SUM(B60:M60)</f>
        <v/>
      </c>
      <c r="O60" s="37">
        <f>SUMIF('XSALT TB'!$R:$R,'SALT P&amp;L'!$A60,'XSALT TB'!C:C)</f>
        <v/>
      </c>
      <c r="P60" s="37">
        <f>SUMIF('XSALT TB'!$R:$R,'SALT P&amp;L'!$A60,'XSALT TB'!D:D)</f>
        <v/>
      </c>
      <c r="Q60" s="37">
        <f>SUMIF('XSALT TB'!$R:$R,'SALT P&amp;L'!$A60,'XSALT TB'!E:E)</f>
        <v/>
      </c>
      <c r="R60" s="37">
        <f>SUMIF('XSALT TB'!$R:$R,'SALT P&amp;L'!$A60,'XSALT TB'!F:F)</f>
        <v/>
      </c>
      <c r="S60" s="37">
        <f>SUMIF('XSALT TB'!$R:$R,'SALT P&amp;L'!$A60,'XSALT TB'!G:G)</f>
        <v/>
      </c>
      <c r="T60" s="37">
        <f>SUMIF('XSALT TB'!$R:$R,'SALT P&amp;L'!$A60,'XSALT TB'!H:H)</f>
        <v/>
      </c>
      <c r="U60" s="37">
        <f>SUMIF('SALT TB'!$R:$R,'SALT P&amp;L'!$A60,'SALT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8" t="n">
        <v>0</v>
      </c>
      <c r="AJ60" s="119" t="n">
        <v>0</v>
      </c>
      <c r="AK60" s="119" t="n">
        <v>0</v>
      </c>
      <c r="AL60" s="119" t="n">
        <v>0</v>
      </c>
      <c r="AM60" s="120" t="n">
        <v>0</v>
      </c>
      <c r="AN60" s="118" t="n">
        <v>0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90</v>
      </c>
      <c r="C61" s="35" t="n">
        <v>47.93000000000001</v>
      </c>
      <c r="D61" s="35" t="n">
        <v>9.98</v>
      </c>
      <c r="E61" s="35" t="n">
        <v>51.04</v>
      </c>
      <c r="F61" s="35" t="n">
        <v>0</v>
      </c>
      <c r="G61" s="35" t="n">
        <v>0</v>
      </c>
      <c r="H61" s="35" t="n">
        <v>392.16</v>
      </c>
      <c r="I61" s="35" t="n">
        <v>0</v>
      </c>
      <c r="J61" s="35" t="n">
        <v>0</v>
      </c>
      <c r="K61" s="35" t="n">
        <v>24.95</v>
      </c>
      <c r="L61" s="35" t="n">
        <v>5.69</v>
      </c>
      <c r="M61" s="35" t="n">
        <v>0</v>
      </c>
      <c r="N61" s="36">
        <f>SUM(B61:M61)</f>
        <v/>
      </c>
      <c r="O61" s="37">
        <f>SUMIF('XSALT TB'!$R:$R,'SALT P&amp;L'!$A61,'XSALT TB'!C:C)</f>
        <v/>
      </c>
      <c r="P61" s="37">
        <f>SUMIF('XSALT TB'!$R:$R,'SALT P&amp;L'!$A61,'XSALT TB'!D:D)</f>
        <v/>
      </c>
      <c r="Q61" s="37">
        <f>SUMIF('XSALT TB'!$R:$R,'SALT P&amp;L'!$A61,'XSALT TB'!E:E)</f>
        <v/>
      </c>
      <c r="R61" s="37">
        <f>SUMIF('XSALT TB'!$R:$R,'SALT P&amp;L'!$A61,'XSALT TB'!F:F)</f>
        <v/>
      </c>
      <c r="S61" s="37">
        <f>SUMIF('XSALT TB'!$R:$R,'SALT P&amp;L'!$A61,'XSALT TB'!G:G)</f>
        <v/>
      </c>
      <c r="T61" s="37">
        <f>SUMIF('XSALT TB'!$R:$R,'SALT P&amp;L'!$A61,'XSALT TB'!H:H)</f>
        <v/>
      </c>
      <c r="U61" s="37">
        <f>SUMIF('SALT TB'!$R:$R,'SALT P&amp;L'!$A61,'SALT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8" t="n">
        <v>0</v>
      </c>
      <c r="AJ61" s="119" t="n">
        <v>0</v>
      </c>
      <c r="AK61" s="119" t="n">
        <v>0</v>
      </c>
      <c r="AL61" s="119" t="n">
        <v>0</v>
      </c>
      <c r="AM61" s="120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8.4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7.2</v>
      </c>
      <c r="J62" s="35" t="n">
        <v>0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>
        <f>SUMIF('XSALT TB'!$R:$R,'SALT P&amp;L'!$A62,'XSALT TB'!C:C)</f>
        <v/>
      </c>
      <c r="P62" s="37">
        <f>SUMIF('XSALT TB'!$R:$R,'SALT P&amp;L'!$A62,'XSALT TB'!D:D)</f>
        <v/>
      </c>
      <c r="Q62" s="37">
        <f>SUMIF('XSALT TB'!$R:$R,'SALT P&amp;L'!$A62,'XSALT TB'!E:E)</f>
        <v/>
      </c>
      <c r="R62" s="37">
        <f>SUMIF('XSALT TB'!$R:$R,'SALT P&amp;L'!$A62,'XSALT TB'!F:F)</f>
        <v/>
      </c>
      <c r="S62" s="37">
        <f>SUMIF('XSALT TB'!$R:$R,'SALT P&amp;L'!$A62,'XSALT TB'!G:G)</f>
        <v/>
      </c>
      <c r="T62" s="37">
        <f>SUMIF('XSALT TB'!$R:$R,'SALT P&amp;L'!$A62,'XSALT TB'!H:H)</f>
        <v/>
      </c>
      <c r="U62" s="37">
        <f>SUMIF('SALT TB'!$R:$R,'SALT P&amp;L'!$A62,'SALT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8" t="n">
        <v>0</v>
      </c>
      <c r="AJ62" s="119" t="n">
        <v>0</v>
      </c>
      <c r="AK62" s="119" t="n">
        <v>0</v>
      </c>
      <c r="AL62" s="119" t="n">
        <v>0</v>
      </c>
      <c r="AM62" s="120" t="n">
        <v>0</v>
      </c>
      <c r="AN62" s="118" t="n">
        <v>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SUMIF('XSALT TB'!$R:$R,'SALT P&amp;L'!$A63,'XSALT TB'!C:C)</f>
        <v/>
      </c>
      <c r="P63" s="37">
        <f>SUMIF('XSALT TB'!$R:$R,'SALT P&amp;L'!$A63,'XSALT TB'!D:D)</f>
        <v/>
      </c>
      <c r="Q63" s="37">
        <f>SUMIF('XSALT TB'!$R:$R,'SALT P&amp;L'!$A63,'XSALT TB'!E:E)</f>
        <v/>
      </c>
      <c r="R63" s="37">
        <f>SUMIF('XSALT TB'!$R:$R,'SALT P&amp;L'!$A63,'XSALT TB'!F:F)</f>
        <v/>
      </c>
      <c r="S63" s="37">
        <f>SUMIF('XSALT TB'!$R:$R,'SALT P&amp;L'!$A63,'XSALT TB'!G:G)</f>
        <v/>
      </c>
      <c r="T63" s="37">
        <f>SUMIF('XSALT TB'!$R:$R,'SALT P&amp;L'!$A63,'XSALT TB'!H:H)</f>
        <v/>
      </c>
      <c r="U63" s="37">
        <f>SUMIF('SALT TB'!$R:$R,'SALT P&amp;L'!$A63,'SALT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8" t="n">
        <v>0</v>
      </c>
      <c r="AJ63" s="119" t="n">
        <v>0</v>
      </c>
      <c r="AK63" s="119" t="n">
        <v>0</v>
      </c>
      <c r="AL63" s="119" t="n">
        <v>0</v>
      </c>
      <c r="AM63" s="120" t="n">
        <v>0</v>
      </c>
      <c r="AN63" s="118" t="n">
        <v>0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SUMIF('XSALT TB'!$R:$R,'SALT P&amp;L'!$A64,'XSALT TB'!C:C)</f>
        <v/>
      </c>
      <c r="P64" s="37">
        <f>SUMIF('XSALT TB'!$R:$R,'SALT P&amp;L'!$A64,'XSALT TB'!D:D)</f>
        <v/>
      </c>
      <c r="Q64" s="37">
        <f>SUMIF('XSALT TB'!$R:$R,'SALT P&amp;L'!$A64,'XSALT TB'!E:E)</f>
        <v/>
      </c>
      <c r="R64" s="37">
        <f>SUMIF('XSALT TB'!$R:$R,'SALT P&amp;L'!$A64,'XSALT TB'!F:F)</f>
        <v/>
      </c>
      <c r="S64" s="37">
        <f>SUMIF('XSALT TB'!$R:$R,'SALT P&amp;L'!$A64,'XSALT TB'!G:G)</f>
        <v/>
      </c>
      <c r="T64" s="37">
        <f>SUMIF('XSALT TB'!$R:$R,'SALT P&amp;L'!$A64,'XSALT TB'!H:H)</f>
        <v/>
      </c>
      <c r="U64" s="37">
        <f>SUMIF('SALT TB'!$R:$R,'SALT P&amp;L'!$A64,'SALT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8" t="n">
        <v>0</v>
      </c>
      <c r="AJ64" s="119" t="n">
        <v>0</v>
      </c>
      <c r="AK64" s="119" t="n">
        <v>0</v>
      </c>
      <c r="AL64" s="119" t="n">
        <v>0</v>
      </c>
      <c r="AM64" s="120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SUMIF('XSALT TB'!$R:$R,'SALT P&amp;L'!$A65,'XSALT TB'!C:C)</f>
        <v/>
      </c>
      <c r="P65" s="37">
        <f>SUMIF('XSALT TB'!$R:$R,'SALT P&amp;L'!$A65,'XSALT TB'!D:D)</f>
        <v/>
      </c>
      <c r="Q65" s="37">
        <f>SUMIF('XSALT TB'!$R:$R,'SALT P&amp;L'!$A65,'XSALT TB'!E:E)</f>
        <v/>
      </c>
      <c r="R65" s="37">
        <f>SUMIF('XSALT TB'!$R:$R,'SALT P&amp;L'!$A65,'XSALT TB'!F:F)</f>
        <v/>
      </c>
      <c r="S65" s="37">
        <f>SUMIF('XSALT TB'!$R:$R,'SALT P&amp;L'!$A65,'XSALT TB'!G:G)</f>
        <v/>
      </c>
      <c r="T65" s="37">
        <f>SUMIF('XSALT TB'!$R:$R,'SALT P&amp;L'!$A65,'XSALT TB'!H:H)</f>
        <v/>
      </c>
      <c r="U65" s="37">
        <f>SUMIF('SALT TB'!$R:$R,'SALT P&amp;L'!$A65,'SALT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8" t="n">
        <v>0</v>
      </c>
      <c r="AJ65" s="119" t="n">
        <v>0</v>
      </c>
      <c r="AK65" s="119" t="n">
        <v>0</v>
      </c>
      <c r="AL65" s="119" t="n">
        <v>0</v>
      </c>
      <c r="AM65" s="120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SUMIF('XSALT TB'!$R:$R,'SALT P&amp;L'!$A66,'XSALT TB'!C:C)</f>
        <v/>
      </c>
      <c r="P66" s="37">
        <f>SUMIF('XSALT TB'!$R:$R,'SALT P&amp;L'!$A66,'XSALT TB'!D:D)</f>
        <v/>
      </c>
      <c r="Q66" s="37">
        <f>SUMIF('XSALT TB'!$R:$R,'SALT P&amp;L'!$A66,'XSALT TB'!E:E)</f>
        <v/>
      </c>
      <c r="R66" s="37">
        <f>SUMIF('XSALT TB'!$R:$R,'SALT P&amp;L'!$A66,'XSALT TB'!F:F)</f>
        <v/>
      </c>
      <c r="S66" s="37">
        <f>SUMIF('XSALT TB'!$R:$R,'SALT P&amp;L'!$A66,'XSALT TB'!G:G)</f>
        <v/>
      </c>
      <c r="T66" s="37">
        <f>SUMIF('XSALT TB'!$R:$R,'SALT P&amp;L'!$A66,'XSALT TB'!H:H)</f>
        <v/>
      </c>
      <c r="U66" s="37">
        <f>SUMIF('SALT TB'!$R:$R,'SALT P&amp;L'!$A66,'SALT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8" t="n">
        <v>0</v>
      </c>
      <c r="AJ66" s="119" t="n">
        <v>0</v>
      </c>
      <c r="AK66" s="119" t="n">
        <v>0</v>
      </c>
      <c r="AL66" s="119" t="n">
        <v>0</v>
      </c>
      <c r="AM66" s="120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1800</v>
      </c>
      <c r="C67" s="35" t="n">
        <v>0</v>
      </c>
      <c r="D67" s="35" t="n">
        <v>0</v>
      </c>
      <c r="E67" s="35" t="n">
        <v>1084.8</v>
      </c>
      <c r="F67" s="35" t="n">
        <v>0</v>
      </c>
      <c r="G67" s="35" t="n">
        <v>179.4</v>
      </c>
      <c r="H67" s="35" t="n">
        <v>42.75</v>
      </c>
      <c r="I67" s="35" t="n">
        <v>42.75</v>
      </c>
      <c r="J67" s="35" t="n">
        <v>42.75</v>
      </c>
      <c r="K67" s="35" t="n">
        <v>42.75</v>
      </c>
      <c r="L67" s="35" t="n">
        <v>89.75</v>
      </c>
      <c r="M67" s="35" t="n">
        <v>877.95</v>
      </c>
      <c r="N67" s="36">
        <f>SUM(B67:M67)</f>
        <v/>
      </c>
      <c r="O67" s="37">
        <f>SUMIF('XSALT TB'!$R:$R,'SALT P&amp;L'!$A67,'XSALT TB'!C:C)</f>
        <v/>
      </c>
      <c r="P67" s="37">
        <f>SUMIF('XSALT TB'!$R:$R,'SALT P&amp;L'!$A67,'XSALT TB'!D:D)</f>
        <v/>
      </c>
      <c r="Q67" s="37">
        <f>SUMIF('XSALT TB'!$R:$R,'SALT P&amp;L'!$A67,'XSALT TB'!E:E)</f>
        <v/>
      </c>
      <c r="R67" s="37">
        <f>SUMIF('XSALT TB'!$R:$R,'SALT P&amp;L'!$A67,'XSALT TB'!F:F)</f>
        <v/>
      </c>
      <c r="S67" s="37">
        <f>SUMIF('XSALT TB'!$R:$R,'SALT P&amp;L'!$A67,'XSALT TB'!G:G)</f>
        <v/>
      </c>
      <c r="T67" s="37">
        <f>SUMIF('XSALT TB'!$R:$R,'SALT P&amp;L'!$A67,'XSALT TB'!H:H)</f>
        <v/>
      </c>
      <c r="U67" s="37">
        <f>SUMIF('SALT TB'!$R:$R,'SALT P&amp;L'!$A67,'SALT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8" t="n">
        <v>0</v>
      </c>
      <c r="AJ67" s="119" t="n">
        <v>0</v>
      </c>
      <c r="AK67" s="119" t="n">
        <v>0</v>
      </c>
      <c r="AL67" s="119" t="n">
        <v>0</v>
      </c>
      <c r="AM67" s="120" t="n">
        <v>0</v>
      </c>
      <c r="AN67" s="118" t="n">
        <v>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7.5</v>
      </c>
      <c r="C68" s="35" t="n">
        <v>7.5</v>
      </c>
      <c r="D68" s="35" t="n">
        <v>7.5</v>
      </c>
      <c r="E68" s="35" t="n">
        <v>7.5</v>
      </c>
      <c r="F68" s="35" t="n">
        <v>7.5</v>
      </c>
      <c r="G68" s="35" t="n">
        <v>7.5</v>
      </c>
      <c r="H68" s="35" t="n">
        <v>7.5</v>
      </c>
      <c r="I68" s="35" t="n">
        <v>7.5</v>
      </c>
      <c r="J68" s="35" t="n">
        <v>7.5</v>
      </c>
      <c r="K68" s="35" t="n">
        <v>7.5</v>
      </c>
      <c r="L68" s="35" t="n">
        <v>7.5</v>
      </c>
      <c r="M68" s="35" t="n">
        <v>9.99</v>
      </c>
      <c r="N68" s="36">
        <f>SUM(B68:M68)</f>
        <v/>
      </c>
      <c r="O68" s="37">
        <f>SUMIF('XSALT TB'!$R:$R,'SALT P&amp;L'!$A68,'XSALT TB'!C:C)</f>
        <v/>
      </c>
      <c r="P68" s="37">
        <f>SUMIF('XSALT TB'!$R:$R,'SALT P&amp;L'!$A68,'XSALT TB'!D:D)</f>
        <v/>
      </c>
      <c r="Q68" s="37">
        <f>SUMIF('XSALT TB'!$R:$R,'SALT P&amp;L'!$A68,'XSALT TB'!E:E)</f>
        <v/>
      </c>
      <c r="R68" s="37">
        <f>SUMIF('XSALT TB'!$R:$R,'SALT P&amp;L'!$A68,'XSALT TB'!F:F)</f>
        <v/>
      </c>
      <c r="S68" s="37">
        <f>SUMIF('XSALT TB'!$R:$R,'SALT P&amp;L'!$A68,'XSALT TB'!G:G)</f>
        <v/>
      </c>
      <c r="T68" s="37">
        <f>SUMIF('XSALT TB'!$R:$R,'SALT P&amp;L'!$A68,'XSALT TB'!H:H)</f>
        <v/>
      </c>
      <c r="U68" s="37">
        <f>SUMIF('SALT TB'!$R:$R,'SALT P&amp;L'!$A68,'SALT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8" t="n">
        <v>0</v>
      </c>
      <c r="AJ68" s="119" t="n">
        <v>0</v>
      </c>
      <c r="AK68" s="119" t="n">
        <v>0</v>
      </c>
      <c r="AL68" s="119" t="n">
        <v>0</v>
      </c>
      <c r="AM68" s="120" t="n">
        <v>0</v>
      </c>
      <c r="AN68" s="118" t="n">
        <v>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2101.28</v>
      </c>
      <c r="C69" s="42" t="n">
        <v>258.61</v>
      </c>
      <c r="D69" s="42" t="n">
        <v>229.66</v>
      </c>
      <c r="E69" s="42" t="n">
        <v>1347.12</v>
      </c>
      <c r="F69" s="42" t="n">
        <v>211.87</v>
      </c>
      <c r="G69" s="42" t="n">
        <v>436.28</v>
      </c>
      <c r="H69" s="42" t="n">
        <v>647.39</v>
      </c>
      <c r="I69" s="42" t="n">
        <v>261.82</v>
      </c>
      <c r="J69" s="42" t="n">
        <v>545.28</v>
      </c>
      <c r="K69" s="42" t="n">
        <v>481.8</v>
      </c>
      <c r="L69" s="42" t="n">
        <v>320.14</v>
      </c>
      <c r="M69" s="42" t="n">
        <v>1656.15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SUM(O69:U69)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3">
        <f>SUM(AI53:AI68)</f>
        <v/>
      </c>
      <c r="AJ69" s="124">
        <f>SUM(AJ53:AJ68)</f>
        <v/>
      </c>
      <c r="AK69" s="124">
        <f>SUM(AK53:AK68)</f>
        <v/>
      </c>
      <c r="AL69" s="124">
        <f>SUM(AL53:AL68)</f>
        <v/>
      </c>
      <c r="AM69" s="124">
        <f>SUM(AM53:AM68)</f>
        <v/>
      </c>
      <c r="AN69" s="123">
        <f>SUM(AN53:AN68)</f>
        <v/>
      </c>
      <c r="AO69" s="125">
        <f>SUM(AC69:AH69)+SUM(AI69:AN69)</f>
        <v/>
      </c>
      <c r="AP69" s="126">
        <f>IF(AB69&lt;&gt;0,(AO69-AB69)/ABS(AB69),0)</f>
        <v/>
      </c>
    </row>
    <row r="70">
      <c r="A70" s="54" t="inlineStr">
        <is>
          <t>EBITDA</t>
        </is>
      </c>
      <c r="B70" s="55" t="n">
        <v>13122.3</v>
      </c>
      <c r="C70" s="55" t="n">
        <v>17454.62</v>
      </c>
      <c r="D70" s="55" t="n">
        <v>32248.42000000002</v>
      </c>
      <c r="E70" s="55" t="n">
        <v>16600.31</v>
      </c>
      <c r="F70" s="55" t="n">
        <v>6925.56</v>
      </c>
      <c r="G70" s="55" t="n">
        <v>23535.28000000001</v>
      </c>
      <c r="H70" s="55" t="n">
        <v>38823.55999999999</v>
      </c>
      <c r="I70" s="55" t="n">
        <v>8415.829999999994</v>
      </c>
      <c r="J70" s="55" t="n">
        <v>10740.90000000001</v>
      </c>
      <c r="K70" s="55" t="n">
        <v>6886.050000000006</v>
      </c>
      <c r="L70" s="55" t="n">
        <v>29431.03999999999</v>
      </c>
      <c r="M70" s="55" t="n">
        <v>53445.12000000001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6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0">
        <f>AI50-AI69</f>
        <v/>
      </c>
      <c r="AJ70" s="140">
        <f>AJ50-AJ69</f>
        <v/>
      </c>
      <c r="AK70" s="140">
        <f>AK50-AK69</f>
        <v/>
      </c>
      <c r="AL70" s="140">
        <f>AL50-AL69</f>
        <v/>
      </c>
      <c r="AM70" s="140">
        <f>AM50-AM69</f>
        <v/>
      </c>
      <c r="AN70" s="140">
        <f>AN50-AN69</f>
        <v/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22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60">
        <f>SUM(O71:T71)</f>
        <v/>
      </c>
      <c r="AB71" s="56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2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56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34" t="inlineStr">
        <is>
          <t>Borrowing Costs</t>
        </is>
      </c>
      <c r="B73" s="8" t="n"/>
      <c r="C73" s="8" t="n"/>
      <c r="D73" s="8" t="n"/>
      <c r="E73" s="8" t="n"/>
      <c r="F73" s="8" t="n"/>
      <c r="G73" s="8" t="n"/>
      <c r="H73" s="8" t="n"/>
      <c r="I73" s="56" t="n"/>
      <c r="J73" s="56" t="n"/>
      <c r="K73" s="56" t="n"/>
      <c r="L73" s="56" t="n"/>
      <c r="M73" s="56" t="n"/>
      <c r="N73" s="56" t="n"/>
      <c r="O73" s="60" t="n">
        <v>0</v>
      </c>
      <c r="P73" s="60" t="n">
        <v>0</v>
      </c>
      <c r="Q73" s="60" t="n">
        <v>0</v>
      </c>
      <c r="R73" s="60" t="n">
        <v>0</v>
      </c>
      <c r="S73" s="60" t="n">
        <v>0</v>
      </c>
      <c r="T73" s="60" t="n">
        <v>0</v>
      </c>
      <c r="U73" s="60" t="n">
        <v>0</v>
      </c>
      <c r="V73" s="60" t="n">
        <v>0</v>
      </c>
      <c r="W73" s="60" t="n">
        <v>0</v>
      </c>
      <c r="X73" s="60" t="n">
        <v>0</v>
      </c>
      <c r="Y73" s="60" t="n">
        <v>0</v>
      </c>
      <c r="Z73" s="60" t="n">
        <v>0</v>
      </c>
      <c r="AA73" s="8" t="n"/>
      <c r="AB73" s="60">
        <f>SUM(O73:Z73)</f>
        <v/>
      </c>
      <c r="AC73" s="8" t="n"/>
      <c r="AD73" s="8" t="n"/>
      <c r="AE73" s="8" t="n"/>
      <c r="AF73" s="8" t="n"/>
      <c r="AG73" s="8" t="n"/>
      <c r="AH73" s="8" t="n"/>
      <c r="AI73" s="148" t="n">
        <v>0</v>
      </c>
      <c r="AJ73" s="148" t="n">
        <v>0</v>
      </c>
      <c r="AK73" s="148" t="n">
        <v>0</v>
      </c>
      <c r="AL73" s="148" t="n">
        <v>0</v>
      </c>
      <c r="AM73" s="148" t="n">
        <v>0</v>
      </c>
      <c r="AN73" s="148" t="n">
        <v>0</v>
      </c>
      <c r="AO73" s="145">
        <f>SUM(AC73:AH73)+SUM(AI73:AN73)</f>
        <v/>
      </c>
      <c r="AP73" s="142">
        <f>IF(AB73&lt;&gt;0,(AO73-AB73)/ABS(AB73),0)</f>
        <v/>
      </c>
    </row>
    <row r="74">
      <c r="A74" s="34" t="inlineStr">
        <is>
          <t>Depreciation</t>
        </is>
      </c>
      <c r="B74" s="8" t="n"/>
      <c r="C74" s="8" t="n"/>
      <c r="D74" s="8" t="n"/>
      <c r="E74" s="8" t="n"/>
      <c r="F74" s="8" t="n"/>
      <c r="G74" s="8" t="n"/>
      <c r="H74" s="8" t="n"/>
      <c r="I74" s="56" t="n"/>
      <c r="J74" s="56" t="n"/>
      <c r="K74" s="56" t="n"/>
      <c r="L74" s="56" t="n"/>
      <c r="M74" s="56" t="n"/>
      <c r="N74" s="56" t="n"/>
      <c r="O74" s="60" t="n">
        <v>1214.634947916667</v>
      </c>
      <c r="P74" s="60" t="n">
        <v>1214.634947916667</v>
      </c>
      <c r="Q74" s="60" t="n">
        <v>1214.634947916667</v>
      </c>
      <c r="R74" s="60" t="n">
        <v>1214.634947916667</v>
      </c>
      <c r="S74" s="60" t="n">
        <v>1214.634947916667</v>
      </c>
      <c r="T74" s="60" t="n">
        <v>1214.634947916667</v>
      </c>
      <c r="U74" s="60" t="n">
        <v>1241.90578125</v>
      </c>
      <c r="V74" s="60" t="n">
        <v>1241.90578125</v>
      </c>
      <c r="W74" s="60" t="n">
        <v>1241.90578125</v>
      </c>
      <c r="X74" s="60" t="n">
        <v>1241.90578125</v>
      </c>
      <c r="Y74" s="60" t="n">
        <v>1241.90578125</v>
      </c>
      <c r="Z74" s="60" t="n">
        <v>1241.90578125</v>
      </c>
      <c r="AA74" s="8" t="n"/>
      <c r="AB74" s="60">
        <f>SUM(O74:Z74)</f>
        <v/>
      </c>
      <c r="AC74" s="8" t="n"/>
      <c r="AD74" s="8" t="n"/>
      <c r="AE74" s="8" t="n"/>
      <c r="AF74" s="8" t="n"/>
      <c r="AG74" s="8" t="n"/>
      <c r="AH74" s="8" t="n"/>
      <c r="AI74" s="148" t="n">
        <v>0</v>
      </c>
      <c r="AJ74" s="148" t="n">
        <v>0</v>
      </c>
      <c r="AK74" s="148" t="n">
        <v>0</v>
      </c>
      <c r="AL74" s="148" t="n">
        <v>0</v>
      </c>
      <c r="AM74" s="148" t="n">
        <v>0</v>
      </c>
      <c r="AN74" s="148" t="n">
        <v>0</v>
      </c>
      <c r="AO74" s="145">
        <f>SUM(AC74:AH74)+SUM(AI74:AN74)</f>
        <v/>
      </c>
      <c r="AP74" s="142">
        <f>IF(AB74&lt;&gt;0,(AO74-AB74)/ABS(AB74),0)</f>
        <v/>
      </c>
    </row>
    <row r="75">
      <c r="A75" s="34" t="inlineStr">
        <is>
          <t>Amortisation</t>
        </is>
      </c>
      <c r="B75" s="8" t="n"/>
      <c r="C75" s="8" t="n"/>
      <c r="D75" s="8" t="n"/>
      <c r="E75" s="8" t="n"/>
      <c r="F75" s="8" t="n"/>
      <c r="G75" s="8" t="n"/>
      <c r="H75" s="8" t="n"/>
      <c r="I75" s="56" t="n"/>
      <c r="J75" s="56" t="n"/>
      <c r="K75" s="56" t="n"/>
      <c r="L75" s="56" t="n"/>
      <c r="M75" s="56" t="n"/>
      <c r="N75" s="56" t="n"/>
      <c r="O75" s="60">
        <f>8000/12</f>
        <v/>
      </c>
      <c r="P75" s="60">
        <f>8000/12</f>
        <v/>
      </c>
      <c r="Q75" s="60">
        <f>8000/12</f>
        <v/>
      </c>
      <c r="R75" s="60">
        <f>8000/12</f>
        <v/>
      </c>
      <c r="S75" s="60">
        <f>8000/12</f>
        <v/>
      </c>
      <c r="T75" s="60">
        <f>8000/12</f>
        <v/>
      </c>
      <c r="U75" s="60">
        <f>8000/12</f>
        <v/>
      </c>
      <c r="V75" s="60">
        <f>8000/12</f>
        <v/>
      </c>
      <c r="W75" s="60">
        <f>8000/12</f>
        <v/>
      </c>
      <c r="X75" s="60">
        <f>8000/12</f>
        <v/>
      </c>
      <c r="Y75" s="60">
        <f>8000/12</f>
        <v/>
      </c>
      <c r="Z75" s="60">
        <f>8000/12</f>
        <v/>
      </c>
      <c r="AA75" s="8" t="n"/>
      <c r="AB75" s="60">
        <f>SUM(O75:Z75)</f>
        <v/>
      </c>
      <c r="AC75" s="8" t="n"/>
      <c r="AD75" s="8" t="n"/>
      <c r="AE75" s="8" t="n"/>
      <c r="AF75" s="8" t="n"/>
      <c r="AG75" s="8" t="n"/>
      <c r="AH75" s="8" t="n"/>
      <c r="AI75" s="148" t="n">
        <v>0</v>
      </c>
      <c r="AJ75" s="148" t="n">
        <v>0</v>
      </c>
      <c r="AK75" s="148" t="n">
        <v>0</v>
      </c>
      <c r="AL75" s="148" t="n">
        <v>0</v>
      </c>
      <c r="AM75" s="148" t="n">
        <v>0</v>
      </c>
      <c r="AN75" s="148" t="n">
        <v>0</v>
      </c>
      <c r="AO75" s="145">
        <f>SUM(AC75:AH75)+SUM(AI75:AN75)</f>
        <v/>
      </c>
      <c r="AP75" s="142">
        <f>IF(AB75&lt;&gt;0,(AO75-AB75)/ABS(AB75),0)</f>
        <v/>
      </c>
    </row>
    <row r="76">
      <c r="A76" s="70" t="inlineStr">
        <is>
          <t>Profit Before Tax</t>
        </is>
      </c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>
        <f>O70-SUM(O73:O75)</f>
        <v/>
      </c>
      <c r="P76" s="56">
        <f>P70-SUM(P73:P75)</f>
        <v/>
      </c>
      <c r="Q76" s="56">
        <f>Q70-SUM(Q73:Q75)</f>
        <v/>
      </c>
      <c r="R76" s="56">
        <f>R70-SUM(R73:R75)</f>
        <v/>
      </c>
      <c r="S76" s="56">
        <f>S70-SUM(S73:S75)</f>
        <v/>
      </c>
      <c r="T76" s="56">
        <f>T70-SUM(T73:T75)</f>
        <v/>
      </c>
      <c r="U76" s="56">
        <f>U70-SUM(U73:U75)</f>
        <v/>
      </c>
      <c r="V76" s="56">
        <f>V70-SUM(V73:V75)</f>
        <v/>
      </c>
      <c r="W76" s="56">
        <f>W70-SUM(W73:W75)</f>
        <v/>
      </c>
      <c r="X76" s="56">
        <f>X70-SUM(X73:X75)</f>
        <v/>
      </c>
      <c r="Y76" s="56">
        <f>Y70-SUM(Y73:Y75)</f>
        <v/>
      </c>
      <c r="Z76" s="56">
        <f>Z70-SUM(Z73:Z75)</f>
        <v/>
      </c>
      <c r="AA76" s="56" t="n"/>
      <c r="AB76" s="56">
        <f>AB70-SUM(AB73:AB75)</f>
        <v/>
      </c>
      <c r="AC76" s="56" t="n"/>
      <c r="AD76" s="56" t="n"/>
      <c r="AE76" s="56" t="n"/>
      <c r="AF76" s="56" t="n"/>
      <c r="AG76" s="56" t="n"/>
      <c r="AH76" s="56" t="n"/>
      <c r="AI76" s="127" t="n">
        <v>0</v>
      </c>
      <c r="AJ76" s="127" t="n">
        <v>0</v>
      </c>
      <c r="AK76" s="127" t="n">
        <v>0</v>
      </c>
      <c r="AL76" s="127" t="n">
        <v>0</v>
      </c>
      <c r="AM76" s="127" t="n">
        <v>0</v>
      </c>
      <c r="AN76" s="127" t="n">
        <v>0</v>
      </c>
      <c r="AO76" s="145">
        <f>SUM(AC76:AH76)+SUM(AI76:AN76)</f>
        <v/>
      </c>
      <c r="AP76" s="142">
        <f>IF(AB76&lt;&gt;0,(AO76-AB76)/ABS(AB76),0)</f>
        <v/>
      </c>
    </row>
    <row r="77" ht="15.75" customHeight="1">
      <c r="A77" s="71" t="inlineStr">
        <is>
          <t>Corp Tax Due</t>
        </is>
      </c>
      <c r="B77" s="64" t="n"/>
      <c r="C77" s="64" t="n"/>
      <c r="D77" s="64" t="n"/>
      <c r="E77" s="64" t="n"/>
      <c r="F77" s="64" t="n"/>
      <c r="G77" s="64" t="n"/>
      <c r="H77" s="64" t="n"/>
      <c r="I77" s="72" t="n"/>
      <c r="J77" s="72" t="n"/>
      <c r="K77" s="72" t="n"/>
      <c r="L77" s="72" t="n"/>
      <c r="M77" s="72" t="n"/>
      <c r="N77" s="72" t="n"/>
      <c r="O77" s="72">
        <f>(O76*0.25)</f>
        <v/>
      </c>
      <c r="P77" s="72">
        <f>(P76*0.25)</f>
        <v/>
      </c>
      <c r="Q77" s="72">
        <f>(Q76*0.25)</f>
        <v/>
      </c>
      <c r="R77" s="72">
        <f>(R76*0.25)</f>
        <v/>
      </c>
      <c r="S77" s="72">
        <f>(S76*0.25)</f>
        <v/>
      </c>
      <c r="T77" s="72">
        <f>(T76*0.25)</f>
        <v/>
      </c>
      <c r="U77" s="72">
        <f>(U76*0.25)</f>
        <v/>
      </c>
      <c r="V77" s="72">
        <f>(V76*0.25)</f>
        <v/>
      </c>
      <c r="W77" s="72">
        <f>(W76*0.25)</f>
        <v/>
      </c>
      <c r="X77" s="72">
        <f>(X76*0.25)</f>
        <v/>
      </c>
      <c r="Y77" s="72">
        <f>(Y76*0.25)</f>
        <v/>
      </c>
      <c r="Z77" s="72">
        <f>(Z76*0.25)</f>
        <v/>
      </c>
      <c r="AA77" s="72" t="n"/>
      <c r="AB77" s="72">
        <f>(AB76*0.25)</f>
        <v/>
      </c>
      <c r="AC77" s="72" t="n"/>
      <c r="AD77" s="72" t="n"/>
      <c r="AE77" s="72" t="n"/>
      <c r="AF77" s="72" t="n"/>
      <c r="AG77" s="72" t="n"/>
      <c r="AH77" s="72" t="n"/>
      <c r="AI77" s="134" t="n">
        <v>0</v>
      </c>
      <c r="AJ77" s="134" t="n">
        <v>0</v>
      </c>
      <c r="AK77" s="134" t="n">
        <v>0</v>
      </c>
      <c r="AL77" s="134" t="n">
        <v>0</v>
      </c>
      <c r="AM77" s="134" t="n">
        <v>0</v>
      </c>
      <c r="AN77" s="134" t="n">
        <v>0</v>
      </c>
      <c r="AO77" s="145">
        <f>SUM(AC77:AH77)+SUM(AI77:AN77)</f>
        <v/>
      </c>
      <c r="AP77" s="142">
        <f>IF(AB77&lt;&gt;0,(AO77-AB77)/ABS(AB77),0)</f>
        <v/>
      </c>
    </row>
    <row r="78" ht="15.75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60" t="inlineStr">
        <is>
          <t>Memo</t>
        </is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60" t="inlineStr">
        <is>
          <t>Direct - Sales</t>
        </is>
      </c>
      <c r="B82" s="60" t="n">
        <v>53106.45</v>
      </c>
      <c r="C82" s="60" t="n">
        <v>64716.66</v>
      </c>
      <c r="D82" s="60" t="n">
        <v>74941.20000000001</v>
      </c>
      <c r="E82" s="60" t="n">
        <v>66027.36</v>
      </c>
      <c r="F82" s="60" t="n">
        <v>52199.18</v>
      </c>
      <c r="G82" s="60" t="n">
        <v>65858.77</v>
      </c>
      <c r="H82" s="60" t="n">
        <v>86466.70999999999</v>
      </c>
      <c r="I82" s="60" t="n">
        <v>54456.27</v>
      </c>
      <c r="J82" s="60" t="n">
        <v>62340.23</v>
      </c>
      <c r="K82" s="60" t="n">
        <v>62043.97</v>
      </c>
      <c r="L82" s="60" t="n">
        <v>77558.12</v>
      </c>
      <c r="M82" s="8" t="n"/>
      <c r="N82" s="8" t="n"/>
      <c r="O82" s="60">
        <f>-SUMIF('XSALT TB'!$T:$T,'SALT P&amp;L'!$A82,'XSALT TB'!C:C)</f>
        <v/>
      </c>
      <c r="P82" s="60">
        <f>-SUMIF('XSALT TB'!$T:$T,'SALT P&amp;L'!$A82,'XSALT TB'!D:D)</f>
        <v/>
      </c>
      <c r="Q82" s="60">
        <f>-SUMIF('XSALT TB'!$T:$T,'SALT P&amp;L'!$A82,'XSALT TB'!E:E)</f>
        <v/>
      </c>
      <c r="R82" s="60">
        <f>-SUMIF('XSALT TB'!$T:$T,'SALT P&amp;L'!$A82,'XSALT TB'!F:F)</f>
        <v/>
      </c>
      <c r="S82" s="60">
        <f>-SUMIF('XSALT TB'!$T:$T,'SALT P&amp;L'!$A82,'XSALT TB'!G:G)</f>
        <v/>
      </c>
      <c r="T82" s="60">
        <f>-SUMIF('XSALT TB'!$T:$T,'SALT P&amp;L'!$A82,'XSALT TB'!H:H)</f>
        <v/>
      </c>
      <c r="U82" s="60">
        <f>-SUMIF('XSALT TB'!$T:$T,'SALT P&amp;L'!$A82,'XSALT TB'!I:I)</f>
        <v/>
      </c>
      <c r="V82" s="60">
        <f>-SUMIF('XSALT TB'!$T:$T,'SALT P&amp;L'!$A82,'XSALT TB'!J:J)</f>
        <v/>
      </c>
      <c r="W82" s="60">
        <f>-SUMIF('XSALT TB'!$T:$T,'SALT P&amp;L'!$A82,'XSALT TB'!K:K)</f>
        <v/>
      </c>
      <c r="X82" s="60">
        <f>-SUMIF('XSALT TB'!$T:$T,'SALT P&amp;L'!$A82,'XSALT TB'!L:L)</f>
        <v/>
      </c>
      <c r="Y82" s="60">
        <f>-SUMIF('XSALT TB'!$T:$T,'SALT P&amp;L'!$A82,'XSALT TB'!M:M)</f>
        <v/>
      </c>
      <c r="Z82" s="60">
        <f>-SUMIF('XSALT TB'!$T:$T,'SALT P&amp;L'!$A82,'XSALT TB'!N:N)</f>
        <v/>
      </c>
      <c r="AA82" s="8" t="n"/>
      <c r="AB82" s="8" t="n"/>
      <c r="AC82" s="8" t="n"/>
      <c r="AD82" s="8" t="n"/>
      <c r="AE82" s="8" t="n"/>
      <c r="AF82" s="8" t="n"/>
      <c r="AG82" s="8" t="n"/>
      <c r="AH82" s="8" t="n"/>
      <c r="AI82" s="134" t="n">
        <v>0</v>
      </c>
      <c r="AJ82" s="134" t="n">
        <v>0</v>
      </c>
      <c r="AK82" s="134" t="n">
        <v>0</v>
      </c>
      <c r="AL82" s="134" t="n">
        <v>0</v>
      </c>
      <c r="AM82" s="134" t="n">
        <v>0</v>
      </c>
      <c r="AN82" s="134" t="n">
        <v>0</v>
      </c>
      <c r="AO82" s="145">
        <f>SUM(AC82:AH82)+SUM(AI82:AN82)</f>
        <v/>
      </c>
      <c r="AP82" s="142">
        <f>IF(AB82&lt;&gt;0,(AO82-AB82)/ABS(AB82),0)</f>
        <v/>
      </c>
    </row>
    <row r="83">
      <c r="A83" s="34" t="inlineStr">
        <is>
          <t>Direct - Staff Cost</t>
        </is>
      </c>
      <c r="B83" s="18" t="n">
        <v>-33753.21</v>
      </c>
      <c r="C83" s="18" t="n">
        <v>-39082.28</v>
      </c>
      <c r="D83" s="18" t="n">
        <v>-33706.91</v>
      </c>
      <c r="E83" s="18" t="n">
        <v>-35515.60000000001</v>
      </c>
      <c r="F83" s="18" t="n">
        <v>-37014.82</v>
      </c>
      <c r="G83" s="18" t="n">
        <v>-36110.2</v>
      </c>
      <c r="H83" s="18" t="n">
        <v>-40331.65</v>
      </c>
      <c r="I83" s="18" t="n">
        <v>-40312.61000000001</v>
      </c>
      <c r="J83" s="18" t="n">
        <v>-44205.37999999999</v>
      </c>
      <c r="K83" s="18" t="n">
        <v>-47217.03999999999</v>
      </c>
      <c r="L83" s="18" t="n">
        <v>-41692.43</v>
      </c>
      <c r="M83" s="18" t="n"/>
      <c r="N83" s="8" t="n"/>
      <c r="O83" s="60">
        <f>-SUMIF('XSALT TB'!$T:$T,'SALT P&amp;L'!$A83,'XSALT TB'!C:C)</f>
        <v/>
      </c>
      <c r="P83" s="60">
        <f>-SUMIF('XSALT TB'!$T:$T,'SALT P&amp;L'!$A83,'XSALT TB'!D:D)</f>
        <v/>
      </c>
      <c r="Q83" s="60">
        <f>-SUMIF('XSALT TB'!$T:$T,'SALT P&amp;L'!$A83,'XSALT TB'!E:E)</f>
        <v/>
      </c>
      <c r="R83" s="60">
        <f>-SUMIF('XSALT TB'!$T:$T,'SALT P&amp;L'!$A83,'XSALT TB'!F:F)</f>
        <v/>
      </c>
      <c r="S83" s="60">
        <f>-SUMIF('XSALT TB'!$T:$T,'SALT P&amp;L'!$A83,'XSALT TB'!G:G)</f>
        <v/>
      </c>
      <c r="T83" s="60">
        <f>-SUMIF('XSALT TB'!$T:$T,'SALT P&amp;L'!$A83,'XSALT TB'!H:H)</f>
        <v/>
      </c>
      <c r="U83" s="60">
        <f>-SUMIF('XSALT TB'!$T:$T,'SALT P&amp;L'!$A83,'XSALT TB'!I:I)</f>
        <v/>
      </c>
      <c r="V83" s="60">
        <f>-SUMIF('XSALT TB'!$T:$T,'SALT P&amp;L'!$A83,'XSALT TB'!J:J)</f>
        <v/>
      </c>
      <c r="W83" s="60">
        <f>-SUMIF('XSALT TB'!$T:$T,'SALT P&amp;L'!$A83,'XSALT TB'!K:K)</f>
        <v/>
      </c>
      <c r="X83" s="60">
        <f>-SUMIF('XSALT TB'!$T:$T,'SALT P&amp;L'!$A83,'XSALT TB'!L:L)</f>
        <v/>
      </c>
      <c r="Y83" s="60">
        <f>-SUMIF('XSALT TB'!$T:$T,'SALT P&amp;L'!$A83,'XSALT TB'!M:M)</f>
        <v/>
      </c>
      <c r="Z83" s="60">
        <f>-SUMIF('XSALT TB'!$T:$T,'SALT P&amp;L'!$A83,'XSALT TB'!N:N)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34" t="n">
        <v>0</v>
      </c>
      <c r="AJ83" s="134" t="n">
        <v>0</v>
      </c>
      <c r="AK83" s="134" t="n">
        <v>0</v>
      </c>
      <c r="AL83" s="134" t="n">
        <v>0</v>
      </c>
      <c r="AM83" s="134" t="n">
        <v>0</v>
      </c>
      <c r="AN83" s="134" t="n">
        <v>0</v>
      </c>
      <c r="AO83" s="144">
        <f>SUM(AC83:AH83)+SUM(AI83:AN83)</f>
        <v/>
      </c>
      <c r="AP83" s="142">
        <f>IF(AB83&lt;&gt;0,(AO83-AB83)/ABS(AB83),0)</f>
        <v/>
      </c>
    </row>
    <row r="84">
      <c r="A84" s="60" t="inlineStr">
        <is>
          <t>Direct - Childcare Cost</t>
        </is>
      </c>
      <c r="B84" s="18" t="n">
        <v>-2159.36</v>
      </c>
      <c r="C84" s="18" t="n">
        <v>-3141.140000000001</v>
      </c>
      <c r="D84" s="18" t="n">
        <v>-2587.19</v>
      </c>
      <c r="E84" s="18" t="n">
        <v>-2671.159999999999</v>
      </c>
      <c r="F84" s="18" t="n">
        <v>-2710.57</v>
      </c>
      <c r="G84" s="18" t="n">
        <v>-2764.38</v>
      </c>
      <c r="H84" s="18" t="n">
        <v>-2795.31</v>
      </c>
      <c r="I84" s="18" t="n">
        <v>-2329.48</v>
      </c>
      <c r="J84" s="18" t="n">
        <v>-3075.97</v>
      </c>
      <c r="K84" s="18" t="n">
        <v>-3186.66</v>
      </c>
      <c r="L84" s="18" t="n">
        <v>-3046.5</v>
      </c>
      <c r="M84" s="18" t="n">
        <v>-2289.84</v>
      </c>
      <c r="N84" s="8" t="n"/>
      <c r="O84" s="60">
        <f>-SUMIF('XSALT TB'!$T:$T,'SALT P&amp;L'!$A84,'XSALT TB'!C:C)</f>
        <v/>
      </c>
      <c r="P84" s="60">
        <f>-SUMIF('XSALT TB'!$T:$T,'SALT P&amp;L'!$A84,'XSALT TB'!D:D)</f>
        <v/>
      </c>
      <c r="Q84" s="60">
        <f>-SUMIF('XSALT TB'!$T:$T,'SALT P&amp;L'!$A84,'XSALT TB'!E:E)</f>
        <v/>
      </c>
      <c r="R84" s="60">
        <f>-SUMIF('XSALT TB'!$T:$T,'SALT P&amp;L'!$A84,'XSALT TB'!F:F)</f>
        <v/>
      </c>
      <c r="S84" s="60">
        <f>-SUMIF('XSALT TB'!$T:$T,'SALT P&amp;L'!$A84,'XSALT TB'!G:G)</f>
        <v/>
      </c>
      <c r="T84" s="60">
        <f>-SUMIF('XSALT TB'!$T:$T,'SALT P&amp;L'!$A84,'XSALT TB'!H:H)</f>
        <v/>
      </c>
      <c r="U84" s="60">
        <f>-SUMIF('XSALT TB'!$T:$T,'SALT P&amp;L'!$A84,'XSALT TB'!I:I)</f>
        <v/>
      </c>
      <c r="V84" s="60">
        <f>-SUMIF('XSALT TB'!$T:$T,'SALT P&amp;L'!$A84,'XSALT TB'!J:J)</f>
        <v/>
      </c>
      <c r="W84" s="60">
        <f>-SUMIF('XSALT TB'!$T:$T,'SALT P&amp;L'!$A84,'XSALT TB'!K:K)</f>
        <v/>
      </c>
      <c r="X84" s="60">
        <f>-SUMIF('XSALT TB'!$T:$T,'SALT P&amp;L'!$A84,'XSALT TB'!L:L)</f>
        <v/>
      </c>
      <c r="Y84" s="60">
        <f>-SUMIF('XSALT TB'!$T:$T,'SALT P&amp;L'!$A84,'XSALT TB'!M:M)</f>
        <v/>
      </c>
      <c r="Z84" s="60">
        <f>-SUMIF('XSALT TB'!$T:$T,'SALT P&amp;L'!$A84,'XSALT TB'!N:N)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134" t="n">
        <v>0</v>
      </c>
      <c r="AJ84" s="134" t="n">
        <v>0</v>
      </c>
      <c r="AK84" s="134" t="n">
        <v>0</v>
      </c>
      <c r="AL84" s="134" t="n">
        <v>0</v>
      </c>
      <c r="AM84" s="134" t="n">
        <v>0</v>
      </c>
      <c r="AN84" s="134" t="n">
        <v>0</v>
      </c>
      <c r="AO84" s="144">
        <f>SUM(AC84:AH84)+SUM(AI84:AN84)</f>
        <v/>
      </c>
      <c r="AP84" s="142">
        <f>IF(AB84&lt;&gt;0,(AO84-AB84)/ABS(AB84),0)</f>
        <v/>
      </c>
    </row>
    <row r="85">
      <c r="A85" s="60" t="inlineStr">
        <is>
          <t>Direct - Premises &amp; Admin</t>
        </is>
      </c>
      <c r="B85" s="18" t="n">
        <v>-1970.299999999999</v>
      </c>
      <c r="C85" s="18" t="n">
        <v>-4780.01</v>
      </c>
      <c r="D85" s="18" t="n">
        <v>-6169.02</v>
      </c>
      <c r="E85" s="18" t="n">
        <v>-9893.169999999998</v>
      </c>
      <c r="F85" s="18" t="n">
        <v>-5336.360000000001</v>
      </c>
      <c r="G85" s="18" t="n">
        <v>-3012.63</v>
      </c>
      <c r="H85" s="18" t="n">
        <v>-3868.8</v>
      </c>
      <c r="I85" s="18" t="n">
        <v>-3136.53</v>
      </c>
      <c r="J85" s="18" t="n">
        <v>-3772.7</v>
      </c>
      <c r="K85" s="18" t="n">
        <v>-4272.42</v>
      </c>
      <c r="L85" s="18" t="n">
        <v>-3068.01</v>
      </c>
      <c r="M85" s="18" t="n">
        <v>-4871.1</v>
      </c>
      <c r="N85" s="8" t="n"/>
      <c r="O85" s="60">
        <f>-SUMIF('XSALT TB'!$T:$T,'SALT P&amp;L'!$A85,'XSALT TB'!C:C)</f>
        <v/>
      </c>
      <c r="P85" s="60">
        <f>-SUMIF('XSALT TB'!$T:$T,'SALT P&amp;L'!$A85,'XSALT TB'!D:D)</f>
        <v/>
      </c>
      <c r="Q85" s="60">
        <f>-SUMIF('XSALT TB'!$T:$T,'SALT P&amp;L'!$A85,'XSALT TB'!E:E)</f>
        <v/>
      </c>
      <c r="R85" s="60">
        <f>-SUMIF('XSALT TB'!$T:$T,'SALT P&amp;L'!$A85,'XSALT TB'!F:F)</f>
        <v/>
      </c>
      <c r="S85" s="60">
        <f>-SUMIF('XSALT TB'!$T:$T,'SALT P&amp;L'!$A85,'XSALT TB'!G:G)</f>
        <v/>
      </c>
      <c r="T85" s="60">
        <f>-SUMIF('XSALT TB'!$T:$T,'SALT P&amp;L'!$A85,'XSALT TB'!H:H)</f>
        <v/>
      </c>
      <c r="U85" s="60">
        <f>-SUMIF('XSALT TB'!$T:$T,'SALT P&amp;L'!$A85,'XSALT TB'!I:I)</f>
        <v/>
      </c>
      <c r="V85" s="60">
        <f>-SUMIF('XSALT TB'!$T:$T,'SALT P&amp;L'!$A85,'XSALT TB'!J:J)</f>
        <v/>
      </c>
      <c r="W85" s="60">
        <f>-SUMIF('XSALT TB'!$T:$T,'SALT P&amp;L'!$A85,'XSALT TB'!K:K)</f>
        <v/>
      </c>
      <c r="X85" s="60">
        <f>-SUMIF('XSALT TB'!$T:$T,'SALT P&amp;L'!$A85,'XSALT TB'!L:L)</f>
        <v/>
      </c>
      <c r="Y85" s="60">
        <f>-SUMIF('XSALT TB'!$T:$T,'SALT P&amp;L'!$A85,'XSALT TB'!M:M)</f>
        <v/>
      </c>
      <c r="Z85" s="60">
        <f>-SUMIF('XSALT TB'!$T:$T,'SALT P&amp;L'!$A85,'XSALT TB'!N:N)</f>
        <v/>
      </c>
      <c r="AA85" s="8" t="n"/>
      <c r="AB85" s="8" t="n"/>
      <c r="AC85" s="8" t="n"/>
      <c r="AD85" s="8" t="n"/>
      <c r="AE85" s="8" t="n"/>
      <c r="AF85" s="8" t="n"/>
      <c r="AG85" s="8" t="n"/>
      <c r="AH85" s="8" t="n"/>
      <c r="AI85" s="134" t="n">
        <v>0</v>
      </c>
      <c r="AJ85" s="134" t="n">
        <v>0</v>
      </c>
      <c r="AK85" s="134" t="n">
        <v>0</v>
      </c>
      <c r="AL85" s="134" t="n">
        <v>0</v>
      </c>
      <c r="AM85" s="134" t="n">
        <v>0</v>
      </c>
      <c r="AN85" s="134" t="n">
        <v>0</v>
      </c>
      <c r="AO85" s="144">
        <f>SUM(AC85:AH85)+SUM(AI85:AN85)</f>
        <v/>
      </c>
      <c r="AP85" s="142">
        <f>IF(AB85&lt;&gt;0,(AO85-AB85)/ABS(AB85),0)</f>
        <v/>
      </c>
    </row>
    <row r="86">
      <c r="A86" s="60" t="inlineStr">
        <is>
          <t>In-Direct - Staff Cost</t>
        </is>
      </c>
      <c r="B86" s="18" t="n">
        <v>0</v>
      </c>
      <c r="C86" s="18" t="n">
        <v>0</v>
      </c>
      <c r="D86" s="18" t="n">
        <v>0</v>
      </c>
      <c r="E86" s="18" t="n">
        <v>0</v>
      </c>
      <c r="F86" s="18" t="n">
        <v>0</v>
      </c>
      <c r="G86" s="18" t="n">
        <v>0</v>
      </c>
      <c r="H86" s="18" t="n">
        <v>0</v>
      </c>
      <c r="I86" s="18" t="n">
        <v>0</v>
      </c>
      <c r="J86" s="18" t="n">
        <v>0</v>
      </c>
      <c r="K86" s="18" t="n">
        <v>0</v>
      </c>
      <c r="L86" s="18" t="n">
        <v>0</v>
      </c>
      <c r="M86" s="18" t="n">
        <v>0</v>
      </c>
      <c r="N86" s="8" t="n"/>
      <c r="O86" s="60">
        <f>-SUMIF('XSALT TB'!$T:$T,'SALT P&amp;L'!$A86,'XSALT TB'!C:C)</f>
        <v/>
      </c>
      <c r="P86" s="60">
        <f>-SUMIF('XSALT TB'!$T:$T,'SALT P&amp;L'!$A86,'XSALT TB'!D:D)</f>
        <v/>
      </c>
      <c r="Q86" s="60">
        <f>-SUMIF('XSALT TB'!$T:$T,'SALT P&amp;L'!$A86,'XSALT TB'!E:E)</f>
        <v/>
      </c>
      <c r="R86" s="60">
        <f>-SUMIF('XSALT TB'!$T:$T,'SALT P&amp;L'!$A86,'XSALT TB'!F:F)</f>
        <v/>
      </c>
      <c r="S86" s="60">
        <f>-SUMIF('XSALT TB'!$T:$T,'SALT P&amp;L'!$A86,'XSALT TB'!G:G)</f>
        <v/>
      </c>
      <c r="T86" s="60">
        <f>-SUMIF('XSALT TB'!$T:$T,'SALT P&amp;L'!$A86,'XSALT TB'!H:H)</f>
        <v/>
      </c>
      <c r="U86" s="60">
        <f>-SUMIF('XSALT TB'!$T:$T,'SALT P&amp;L'!$A86,'XSALT TB'!I:I)</f>
        <v/>
      </c>
      <c r="V86" s="60">
        <f>-SUMIF('XSALT TB'!$T:$T,'SALT P&amp;L'!$A86,'XSALT TB'!J:J)</f>
        <v/>
      </c>
      <c r="W86" s="60">
        <f>-SUMIF('XSALT TB'!$T:$T,'SALT P&amp;L'!$A86,'XSALT TB'!K:K)</f>
        <v/>
      </c>
      <c r="X86" s="60">
        <f>-SUMIF('XSALT TB'!$T:$T,'SALT P&amp;L'!$A86,'XSALT TB'!L:L)</f>
        <v/>
      </c>
      <c r="Y86" s="60">
        <f>-SUMIF('XSALT TB'!$T:$T,'SALT P&amp;L'!$A86,'XSALT TB'!M:M)</f>
        <v/>
      </c>
      <c r="Z86" s="60">
        <f>-SUMIF('XSALT TB'!$T:$T,'SALT P&amp;L'!$A86,'XSALT TB'!N:N)</f>
        <v/>
      </c>
      <c r="AA86" s="8" t="n"/>
      <c r="AB86" s="8" t="n"/>
      <c r="AC86" s="8" t="n"/>
      <c r="AD86" s="8" t="n"/>
      <c r="AE86" s="8" t="n"/>
      <c r="AF86" s="8" t="n"/>
      <c r="AG86" s="8" t="n"/>
      <c r="AH86" s="8" t="n"/>
      <c r="AI86" s="134" t="n">
        <v>0</v>
      </c>
      <c r="AJ86" s="134" t="n">
        <v>0</v>
      </c>
      <c r="AK86" s="134" t="n">
        <v>0</v>
      </c>
      <c r="AL86" s="134" t="n">
        <v>0</v>
      </c>
      <c r="AM86" s="134" t="n">
        <v>0</v>
      </c>
      <c r="AN86" s="134" t="n">
        <v>0</v>
      </c>
      <c r="AO86" s="144">
        <f>SUM(AC86:AH86)+SUM(AI86:AN86)</f>
        <v/>
      </c>
      <c r="AP86" s="142">
        <f>IF(AB86&lt;&gt;0,(AO86-AB86)/ABS(AB86),0)</f>
        <v/>
      </c>
    </row>
    <row r="87">
      <c r="A87" s="60" t="inlineStr">
        <is>
          <t>In-Direct - Overheads</t>
        </is>
      </c>
      <c r="B87" s="18" t="n">
        <v>-2101.28</v>
      </c>
      <c r="C87" s="18" t="n">
        <v>-258.61</v>
      </c>
      <c r="D87" s="18" t="n">
        <v>-229.66</v>
      </c>
      <c r="E87" s="18" t="n">
        <v>-1347.12</v>
      </c>
      <c r="F87" s="18" t="n">
        <v>-211.87</v>
      </c>
      <c r="G87" s="18" t="n">
        <v>-436.28</v>
      </c>
      <c r="H87" s="18" t="n">
        <v>-647.39</v>
      </c>
      <c r="I87" s="18" t="n">
        <v>-261.82</v>
      </c>
      <c r="J87" s="18" t="n">
        <v>-545.28</v>
      </c>
      <c r="K87" s="18" t="n">
        <v>-481.8</v>
      </c>
      <c r="L87" s="18" t="n">
        <v>-320.14</v>
      </c>
      <c r="M87" s="18" t="n">
        <v>-1656.15</v>
      </c>
      <c r="N87" s="8" t="n"/>
      <c r="O87" s="60">
        <f>-SUMIF('XSALT TB'!$T:$T,'SALT P&amp;L'!$A87,'XSALT TB'!C:C)</f>
        <v/>
      </c>
      <c r="P87" s="60">
        <f>-SUMIF('XSALT TB'!$T:$T,'SALT P&amp;L'!$A87,'XSALT TB'!D:D)</f>
        <v/>
      </c>
      <c r="Q87" s="60">
        <f>-SUMIF('XSALT TB'!$T:$T,'SALT P&amp;L'!$A87,'XSALT TB'!E:E)</f>
        <v/>
      </c>
      <c r="R87" s="60">
        <f>-SUMIF('XSALT TB'!$T:$T,'SALT P&amp;L'!$A87,'XSALT TB'!F:F)</f>
        <v/>
      </c>
      <c r="S87" s="60">
        <f>-SUMIF('XSALT TB'!$T:$T,'SALT P&amp;L'!$A87,'XSALT TB'!G:G)</f>
        <v/>
      </c>
      <c r="T87" s="60">
        <f>-SUMIF('XSALT TB'!$T:$T,'SALT P&amp;L'!$A87,'XSALT TB'!H:H)</f>
        <v/>
      </c>
      <c r="U87" s="60">
        <f>-SUMIF('XSALT TB'!$T:$T,'SALT P&amp;L'!$A87,'XSALT TB'!I:I)</f>
        <v/>
      </c>
      <c r="V87" s="60">
        <f>-SUMIF('XSALT TB'!$T:$T,'SALT P&amp;L'!$A87,'XSALT TB'!J:J)</f>
        <v/>
      </c>
      <c r="W87" s="60">
        <f>-SUMIF('XSALT TB'!$T:$T,'SALT P&amp;L'!$A87,'XSALT TB'!K:K)</f>
        <v/>
      </c>
      <c r="X87" s="60">
        <f>-SUMIF('XSALT TB'!$T:$T,'SALT P&amp;L'!$A87,'XSALT TB'!L:L)</f>
        <v/>
      </c>
      <c r="Y87" s="60">
        <f>-SUMIF('XSALT TB'!$T:$T,'SALT P&amp;L'!$A87,'XSALT TB'!M:M)</f>
        <v/>
      </c>
      <c r="Z87" s="60">
        <f>-SUMIF('XSALT TB'!$T:$T,'SALT P&amp;L'!$A87,'XSALT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134" t="n">
        <v>0</v>
      </c>
      <c r="AJ87" s="134" t="n">
        <v>0</v>
      </c>
      <c r="AK87" s="134" t="n">
        <v>0</v>
      </c>
      <c r="AL87" s="134" t="n">
        <v>0</v>
      </c>
      <c r="AM87" s="134" t="n">
        <v>0</v>
      </c>
      <c r="AN87" s="134" t="n">
        <v>0</v>
      </c>
      <c r="AO87" s="144">
        <f>SUM(AC87:AH87)+SUM(AI87:AN87)</f>
        <v/>
      </c>
      <c r="AP87" s="142">
        <f>IF(AB87&lt;&gt;0,(AO87-AB87)/ABS(AB87),0)</f>
        <v/>
      </c>
    </row>
    <row r="88" ht="15.75" customHeight="1">
      <c r="A88" s="8" t="n"/>
      <c r="B88" s="67" t="n">
        <v>13122.3</v>
      </c>
      <c r="C88" s="67" t="n">
        <v>17454.62</v>
      </c>
      <c r="D88" s="67" t="n">
        <v>32248.42000000001</v>
      </c>
      <c r="E88" s="67" t="n">
        <v>16600.31</v>
      </c>
      <c r="F88" s="67" t="n">
        <v>6925.559999999999</v>
      </c>
      <c r="G88" s="67" t="n">
        <v>23535.28</v>
      </c>
      <c r="H88" s="67" t="n">
        <v>38823.55999999999</v>
      </c>
      <c r="I88" s="67" t="n">
        <v>8415.829999999996</v>
      </c>
      <c r="J88" s="67" t="n">
        <v>10740.9</v>
      </c>
      <c r="K88" s="67" t="n">
        <v>6886.050000000007</v>
      </c>
      <c r="L88" s="67" t="n">
        <v>29431.03999999999</v>
      </c>
      <c r="M88" s="67" t="n">
        <v>-8817.09</v>
      </c>
      <c r="N88" s="8" t="n"/>
      <c r="O88" s="64">
        <f>SUM(O82:O87)</f>
        <v/>
      </c>
      <c r="P88" s="64">
        <f>SUM(P82:P87)</f>
        <v/>
      </c>
      <c r="Q88" s="64">
        <f>SUM(Q82:Q87)</f>
        <v/>
      </c>
      <c r="R88" s="64">
        <f>SUM(R82:R87)</f>
        <v/>
      </c>
      <c r="S88" s="64">
        <f>SUM(S82:S87)</f>
        <v/>
      </c>
      <c r="T88" s="64">
        <f>SUM(T82:T87)</f>
        <v/>
      </c>
      <c r="U88" s="64">
        <f>SUM(U82:U87)</f>
        <v/>
      </c>
      <c r="V88" s="64">
        <f>SUM(V82:V87)</f>
        <v/>
      </c>
      <c r="W88" s="64">
        <f>SUM(W82:W87)</f>
        <v/>
      </c>
      <c r="X88" s="64">
        <f>SUM(X82:X87)</f>
        <v/>
      </c>
      <c r="Y88" s="64">
        <f>SUM(Y82:Y87)</f>
        <v/>
      </c>
      <c r="Z88" s="64">
        <f>SUM(Z82:Z87)</f>
        <v/>
      </c>
      <c r="AA88" s="8" t="n"/>
      <c r="AB88" s="8" t="n"/>
      <c r="AC88" s="64" t="n"/>
      <c r="AD88" s="64" t="n"/>
      <c r="AE88" s="64" t="n"/>
      <c r="AF88" s="64" t="n"/>
      <c r="AG88" s="64" t="n"/>
      <c r="AH88" s="64" t="n"/>
      <c r="AI88" s="134" t="n">
        <v>0</v>
      </c>
      <c r="AJ88" s="134" t="n">
        <v>0</v>
      </c>
      <c r="AK88" s="134" t="n">
        <v>0</v>
      </c>
      <c r="AL88" s="134" t="n">
        <v>0</v>
      </c>
      <c r="AM88" s="134" t="n">
        <v>0</v>
      </c>
      <c r="AN88" s="134" t="n">
        <v>0</v>
      </c>
      <c r="AO88" s="144">
        <f>SUM(AC88:AH88)+SUM(AI88:AN88)</f>
        <v/>
      </c>
      <c r="AP88" s="142">
        <f>IF(AB88&lt;&gt;0,(AO88-AB88)/ABS(AB88),0)</f>
        <v/>
      </c>
    </row>
    <row r="89" ht="15.75" customHeight="1">
      <c r="A89" s="8" t="n"/>
      <c r="B89" s="18" t="n">
        <v>0</v>
      </c>
      <c r="C89" s="18" t="n">
        <v>0</v>
      </c>
      <c r="D89" s="18" t="n">
        <v>0</v>
      </c>
      <c r="E89" s="18" t="n">
        <v>0</v>
      </c>
      <c r="F89" s="18" t="n">
        <v>0</v>
      </c>
      <c r="G89" s="18" t="n">
        <v>0</v>
      </c>
      <c r="H89" s="18" t="n">
        <v>0</v>
      </c>
      <c r="I89" s="18" t="n">
        <v>0</v>
      </c>
      <c r="J89" s="18" t="n">
        <v>0</v>
      </c>
      <c r="K89" s="18" t="n">
        <v>0</v>
      </c>
      <c r="L89" s="18" t="n">
        <v>0</v>
      </c>
      <c r="M89" s="18" t="n">
        <v>0</v>
      </c>
      <c r="N89" s="8" t="n"/>
      <c r="O89" s="60">
        <f>+O70-O88</f>
        <v/>
      </c>
      <c r="P89" s="60">
        <f>+P70-P88</f>
        <v/>
      </c>
      <c r="Q89" s="60">
        <f>+Q70-Q88</f>
        <v/>
      </c>
      <c r="R89" s="60">
        <f>+R70-R88</f>
        <v/>
      </c>
      <c r="S89" s="60">
        <f>+S70-S88</f>
        <v/>
      </c>
      <c r="T89" s="60">
        <f>+T70-T88</f>
        <v/>
      </c>
      <c r="U89" s="60">
        <f>+U70-U88</f>
        <v/>
      </c>
      <c r="V89" s="60">
        <f>+V70-V88</f>
        <v/>
      </c>
      <c r="W89" s="60">
        <f>+W70-W88</f>
        <v/>
      </c>
      <c r="X89" s="60">
        <f>+X70-X88</f>
        <v/>
      </c>
      <c r="Y89" s="60">
        <f>+Y70-Y88</f>
        <v/>
      </c>
      <c r="Z89" s="60">
        <f>+Z70-Z88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34" t="n">
        <v>0</v>
      </c>
      <c r="AJ89" s="134" t="n">
        <v>0</v>
      </c>
      <c r="AK89" s="134" t="n">
        <v>0</v>
      </c>
      <c r="AL89" s="134" t="n">
        <v>0</v>
      </c>
      <c r="AM89" s="134" t="n">
        <v>0</v>
      </c>
      <c r="AN89" s="134" t="n">
        <v>0</v>
      </c>
      <c r="AO89" s="144">
        <f>SUM(AC89:AH89)+SUM(AI89:AN89)</f>
        <v/>
      </c>
      <c r="AP89" s="142">
        <f>IF(AB89&lt;&gt;0,(AO89-AB89)/ABS(AB89),0)</f>
        <v/>
      </c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>
        <v>-1807.499999999989</v>
      </c>
      <c r="C91" s="18" t="n">
        <v>-7.500000000003638</v>
      </c>
      <c r="D91" s="18" t="n">
        <v>-7.500000000007276</v>
      </c>
      <c r="E91" s="18" t="n">
        <v>-1092.300000000003</v>
      </c>
      <c r="F91" s="18" t="n">
        <v>-7.499999999999091</v>
      </c>
      <c r="G91" s="18" t="n">
        <v>-186.9000000000015</v>
      </c>
      <c r="H91" s="18" t="n">
        <v>-50.25</v>
      </c>
      <c r="I91" s="18" t="n">
        <v>-50.25000000000546</v>
      </c>
      <c r="J91" s="18" t="n">
        <v>-50.24999999999272</v>
      </c>
      <c r="K91" s="18" t="n">
        <v>-50.24999999999454</v>
      </c>
      <c r="L91" s="18" t="n">
        <v>-97.24999999999272</v>
      </c>
      <c r="M91" s="18" t="n">
        <v>-63150.15000000001</v>
      </c>
      <c r="N91" s="8" t="n"/>
      <c r="O91" s="60">
        <f>O88+O92</f>
        <v/>
      </c>
      <c r="P91" s="60">
        <f>P88+P92</f>
        <v/>
      </c>
      <c r="Q91" s="60">
        <f>Q88+Q92</f>
        <v/>
      </c>
      <c r="R91" s="60">
        <f>R88+R92</f>
        <v/>
      </c>
      <c r="S91" s="60">
        <f>S88+S92</f>
        <v/>
      </c>
      <c r="T91" s="60">
        <f>T88+T92</f>
        <v/>
      </c>
      <c r="U91" s="60">
        <f>U88+U92</f>
        <v/>
      </c>
      <c r="V91" s="60">
        <f>V88+V92</f>
        <v/>
      </c>
      <c r="W91" s="60">
        <f>W88+W92</f>
        <v/>
      </c>
      <c r="X91" s="60">
        <f>X88+X92</f>
        <v/>
      </c>
      <c r="Y91" s="60">
        <f>Y88+Y92</f>
        <v/>
      </c>
      <c r="Z91" s="60">
        <f>Z88+Z92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134" t="n">
        <v>0</v>
      </c>
      <c r="AJ91" s="134" t="n">
        <v>0</v>
      </c>
      <c r="AK91" s="134" t="n">
        <v>0</v>
      </c>
      <c r="AL91" s="134" t="n">
        <v>0</v>
      </c>
      <c r="AM91" s="134" t="n">
        <v>0</v>
      </c>
      <c r="AN91" s="134" t="n">
        <v>0</v>
      </c>
      <c r="AO91" s="144">
        <f>SUM(AC91:AH91)+SUM(AI91:AN91)</f>
        <v/>
      </c>
      <c r="AP91" s="142">
        <f>IF(AB91&lt;&gt;0,(AO91-AB91)/ABS(AB91),0)</f>
        <v/>
      </c>
    </row>
    <row r="92">
      <c r="A92" s="8" t="n"/>
      <c r="B92" s="18" t="n">
        <v>-14929.79999999999</v>
      </c>
      <c r="C92" s="18" t="n">
        <v>-17462.12000000001</v>
      </c>
      <c r="D92" s="18" t="n">
        <v>-32255.92000000002</v>
      </c>
      <c r="E92" s="18" t="n">
        <v>-17692.61</v>
      </c>
      <c r="F92" s="18" t="n">
        <v>-6933.059999999999</v>
      </c>
      <c r="G92" s="18" t="n">
        <v>-23722.18</v>
      </c>
      <c r="H92" s="18" t="n">
        <v>-38873.80999999999</v>
      </c>
      <c r="I92" s="18" t="n">
        <v>-8466.080000000002</v>
      </c>
      <c r="J92" s="18" t="n">
        <v>-10791.15</v>
      </c>
      <c r="K92" s="18" t="n">
        <v>-6936.300000000002</v>
      </c>
      <c r="L92" s="18" t="n">
        <v>-29528.28999999999</v>
      </c>
      <c r="M92" s="18" t="n">
        <v>-54333.06000000001</v>
      </c>
      <c r="N92" s="8" t="n"/>
      <c r="O92" s="60">
        <f>SUM('XSALT TB'!C2:C36)</f>
        <v/>
      </c>
      <c r="P92" s="60">
        <f>SUM('XSALT TB'!D2:D36)</f>
        <v/>
      </c>
      <c r="Q92" s="60">
        <f>SUM('XSALT TB'!E2:E36)</f>
        <v/>
      </c>
      <c r="R92" s="60">
        <f>SUM('XSALT TB'!F2:F36)</f>
        <v/>
      </c>
      <c r="S92" s="60">
        <f>SUM('XSALT TB'!G2:G36)</f>
        <v/>
      </c>
      <c r="T92" s="60">
        <f>SUM('XSALT TB'!H2:H36)</f>
        <v/>
      </c>
      <c r="U92" s="60">
        <f>SUM('XSALT TB'!I2:I36)</f>
        <v/>
      </c>
      <c r="V92" s="60">
        <f>SUM('XSALT TB'!J2:J36)</f>
        <v/>
      </c>
      <c r="W92" s="60">
        <f>SUM('XSALT TB'!K2:K36)</f>
        <v/>
      </c>
      <c r="X92" s="60">
        <f>SUM('XSALT TB'!L2:L36)</f>
        <v/>
      </c>
      <c r="Y92" s="60">
        <f>SUM('XSALT TB'!M2:M36)</f>
        <v/>
      </c>
      <c r="Z92" s="60">
        <f>SUM('XSALT TB'!N2:N36)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134" t="n">
        <v>0</v>
      </c>
      <c r="AJ92" s="134" t="n">
        <v>0</v>
      </c>
      <c r="AK92" s="134" t="n">
        <v>0</v>
      </c>
      <c r="AL92" s="134" t="n">
        <v>0</v>
      </c>
      <c r="AM92" s="134" t="n">
        <v>0</v>
      </c>
      <c r="AN92" s="134" t="n">
        <v>0</v>
      </c>
      <c r="AO92" s="144">
        <f>SUM(AC92:AH92)+SUM(AI92:AN92)</f>
        <v/>
      </c>
      <c r="AP92" s="142">
        <f>IF(AB92&lt;&gt;0,(AO92-AB92)/ABS(AB92),0)</f>
        <v/>
      </c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</sheetData>
  <mergeCells count="1">
    <mergeCell ref="AI1:AQ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Smart 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35136.66</v>
      </c>
      <c r="C8" s="35" t="n">
        <v>31904.12</v>
      </c>
      <c r="D8" s="35" t="n">
        <v>37428.88</v>
      </c>
      <c r="E8" s="35" t="n">
        <v>44109.71</v>
      </c>
      <c r="F8" s="35" t="n">
        <v>35175.74</v>
      </c>
      <c r="G8" s="35" t="n">
        <v>35630.7</v>
      </c>
      <c r="H8" s="35" t="n">
        <v>48545.23</v>
      </c>
      <c r="I8" s="35" t="n">
        <v>36978.69</v>
      </c>
      <c r="J8" s="35" t="n">
        <v>23539.81</v>
      </c>
      <c r="K8" s="35" t="n">
        <v>21638.64</v>
      </c>
      <c r="L8" s="35" t="n">
        <v>21476.5</v>
      </c>
      <c r="M8" s="35" t="n">
        <v>29823.68</v>
      </c>
      <c r="N8" s="36">
        <f>SUM(B8:M8)</f>
        <v/>
      </c>
      <c r="O8" s="37">
        <f>-SUMIF('XSDN TB'!$R:$R,'SDN P&amp;L'!$A8,'XSDN TB'!C:C)</f>
        <v/>
      </c>
      <c r="P8" s="37">
        <f>-SUMIF('XSDN TB'!$R:$R,'SDN P&amp;L'!$A8,'XSDN TB'!D:D)</f>
        <v/>
      </c>
      <c r="Q8" s="37">
        <f>-SUMIF('XSDN TB'!$R:$R,'SDN P&amp;L'!$A8,'XSDN TB'!E:E)</f>
        <v/>
      </c>
      <c r="R8" s="37">
        <f>-SUMIF('XSDN TB'!$R:$R,'SDN P&amp;L'!$A8,'XSDN TB'!F:F)</f>
        <v/>
      </c>
      <c r="S8" s="37">
        <f>-SUMIF('XSDN TB'!$R:$R,'SDN P&amp;L'!$A8,'XSDN TB'!G:G)</f>
        <v/>
      </c>
      <c r="T8" s="37">
        <f>-SUMIF('XSDN TB'!$R:$R,'SDN P&amp;L'!$A8,'XSDN TB'!H:H)</f>
        <v/>
      </c>
      <c r="U8" s="37">
        <f>-SUMIF('SDN TB'!$R:$R,'SDN P&amp;L'!$A8,'SDN TB'!I:I)</f>
        <v/>
      </c>
      <c r="V8" s="38" t="n">
        <v>41496.99</v>
      </c>
      <c r="W8" s="38" t="n">
        <v>28979</v>
      </c>
      <c r="X8" s="38" t="n">
        <v>26354</v>
      </c>
      <c r="Y8" s="38" t="n">
        <v>25152</v>
      </c>
      <c r="Z8" s="38" t="n">
        <v>34880</v>
      </c>
      <c r="AA8" s="36">
        <f>SUM(O8:U8)</f>
        <v/>
      </c>
      <c r="AB8" s="36">
        <f>SUM(O8:Z8)</f>
        <v/>
      </c>
      <c r="AC8" s="38" t="n">
        <v>51523.8</v>
      </c>
      <c r="AD8" s="38" t="n">
        <v>47675.55</v>
      </c>
      <c r="AE8" s="38" t="n">
        <v>57134.76</v>
      </c>
      <c r="AF8" s="38" t="n">
        <v>48560.52</v>
      </c>
      <c r="AG8" s="38" t="n">
        <v>49676.32</v>
      </c>
      <c r="AH8" s="38" t="n">
        <v>51026.35</v>
      </c>
      <c r="AI8" s="118" t="n">
        <v>51026.35</v>
      </c>
      <c r="AJ8" s="119" t="n">
        <v>51026.35</v>
      </c>
      <c r="AK8" s="119" t="n">
        <v>51026.35</v>
      </c>
      <c r="AL8" s="119" t="n">
        <v>51026.35</v>
      </c>
      <c r="AM8" s="120" t="n">
        <v>51026.35</v>
      </c>
      <c r="AN8" s="118" t="n">
        <v>51026.35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13402.32</v>
      </c>
      <c r="C9" s="35" t="n">
        <v>26714.04</v>
      </c>
      <c r="D9" s="35" t="n">
        <v>26714.04</v>
      </c>
      <c r="E9" s="35" t="n">
        <v>8615.389999999999</v>
      </c>
      <c r="F9" s="35" t="n">
        <v>8615.389999999999</v>
      </c>
      <c r="G9" s="35" t="n">
        <v>22603.64</v>
      </c>
      <c r="H9" s="35" t="n">
        <v>22603.63</v>
      </c>
      <c r="I9" s="35" t="n">
        <v>0</v>
      </c>
      <c r="J9" s="35" t="n">
        <v>9695.389999999999</v>
      </c>
      <c r="K9" s="35" t="n">
        <v>9695.379999999999</v>
      </c>
      <c r="L9" s="35" t="n">
        <v>23858.64</v>
      </c>
      <c r="M9" s="35" t="n">
        <v>23858.64</v>
      </c>
      <c r="N9" s="36">
        <f>SUM(B9:M9)</f>
        <v/>
      </c>
      <c r="O9" s="37">
        <f>-SUMIF('XSDN TB'!$R:$R,'SDN P&amp;L'!$A9,'XSDN TB'!C:C)</f>
        <v/>
      </c>
      <c r="P9" s="37">
        <f>-SUMIF('XSDN TB'!$R:$R,'SDN P&amp;L'!$A9,'XSDN TB'!D:D)</f>
        <v/>
      </c>
      <c r="Q9" s="37">
        <f>-SUMIF('XSDN TB'!$R:$R,'SDN P&amp;L'!$A9,'XSDN TB'!E:E)</f>
        <v/>
      </c>
      <c r="R9" s="37">
        <f>-SUMIF('XSDN TB'!$R:$R,'SDN P&amp;L'!$A9,'XSDN TB'!F:F)</f>
        <v/>
      </c>
      <c r="S9" s="37">
        <f>-SUMIF('XSDN TB'!$R:$R,'SDN P&amp;L'!$A9,'XSDN TB'!G:G)</f>
        <v/>
      </c>
      <c r="T9" s="37">
        <f>-SUMIF('XSDN TB'!$R:$R,'SDN P&amp;L'!$A9,'XSDN TB'!H:H)</f>
        <v/>
      </c>
      <c r="U9" s="37">
        <f>-SUMIF('SDN TB'!$R:$R,'SDN P&amp;L'!$A9,'SDN TB'!I:I)</f>
        <v/>
      </c>
      <c r="V9" s="38" t="n"/>
      <c r="W9" s="38" t="n">
        <v>24059</v>
      </c>
      <c r="X9" s="38" t="n">
        <v>27704</v>
      </c>
      <c r="Y9" s="38" t="n">
        <v>26479</v>
      </c>
      <c r="Z9" s="38" t="n">
        <v>11439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8" t="n">
        <v>0</v>
      </c>
      <c r="AJ9" s="119" t="n">
        <v>0</v>
      </c>
      <c r="AK9" s="119" t="n">
        <v>0</v>
      </c>
      <c r="AL9" s="119" t="n">
        <v>0</v>
      </c>
      <c r="AM9" s="120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193.25</v>
      </c>
      <c r="C10" s="35" t="n">
        <v>100</v>
      </c>
      <c r="D10" s="35" t="n">
        <v>240</v>
      </c>
      <c r="E10" s="35" t="n">
        <v>150</v>
      </c>
      <c r="F10" s="35" t="n">
        <v>150</v>
      </c>
      <c r="G10" s="35" t="n">
        <v>180</v>
      </c>
      <c r="H10" s="35" t="n">
        <v>722.6900000000001</v>
      </c>
      <c r="I10" s="35" t="n">
        <v>3954.91</v>
      </c>
      <c r="J10" s="35" t="n">
        <v>0</v>
      </c>
      <c r="K10" s="35" t="n">
        <v>30</v>
      </c>
      <c r="L10" s="35" t="n">
        <v>0</v>
      </c>
      <c r="M10" s="35" t="n">
        <v>90</v>
      </c>
      <c r="N10" s="36">
        <f>SUM(B10:M10)</f>
        <v/>
      </c>
      <c r="O10" s="37">
        <f>-SUMIF('XSDN TB'!$R:$R,'SDN P&amp;L'!$A10,'XSDN TB'!C:C)</f>
        <v/>
      </c>
      <c r="P10" s="37">
        <f>-SUMIF('XSDN TB'!$R:$R,'SDN P&amp;L'!$A10,'XSDN TB'!D:D)</f>
        <v/>
      </c>
      <c r="Q10" s="37">
        <f>-SUMIF('XSDN TB'!$R:$R,'SDN P&amp;L'!$A10,'XSDN TB'!E:E)</f>
        <v/>
      </c>
      <c r="R10" s="37">
        <f>-SUMIF('XSDN TB'!$R:$R,'SDN P&amp;L'!$A10,'XSDN TB'!F:F)</f>
        <v/>
      </c>
      <c r="S10" s="37">
        <f>-SUMIF('XSDN TB'!$R:$R,'SDN P&amp;L'!$A10,'XSDN TB'!G:G)</f>
        <v/>
      </c>
      <c r="T10" s="37">
        <f>-SUMIF('XSDN TB'!$R:$R,'SDN P&amp;L'!$A10,'XSDN TB'!H:H)</f>
        <v/>
      </c>
      <c r="U10" s="37">
        <f>-SUMIF('SDN TB'!$R:$R,'SDN P&amp;L'!$A10,'SDN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8" t="n">
        <v>0</v>
      </c>
      <c r="AJ10" s="119" t="n">
        <v>0</v>
      </c>
      <c r="AK10" s="119" t="n">
        <v>0</v>
      </c>
      <c r="AL10" s="119" t="n">
        <v>0</v>
      </c>
      <c r="AM10" s="120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48732.23</v>
      </c>
      <c r="C11" s="42" t="n">
        <v>58718.16</v>
      </c>
      <c r="D11" s="42" t="n">
        <v>64382.92</v>
      </c>
      <c r="E11" s="42" t="n">
        <v>52875.1</v>
      </c>
      <c r="F11" s="42" t="n">
        <v>43941.13</v>
      </c>
      <c r="G11" s="42" t="n">
        <v>58414.34</v>
      </c>
      <c r="H11" s="42" t="n">
        <v>71871.55</v>
      </c>
      <c r="I11" s="42" t="n">
        <v>40933.60000000001</v>
      </c>
      <c r="J11" s="42" t="n">
        <v>33235.2</v>
      </c>
      <c r="K11" s="42" t="n">
        <v>31364.02</v>
      </c>
      <c r="L11" s="42" t="n">
        <v>45335.14</v>
      </c>
      <c r="M11" s="42" t="n">
        <v>53772.32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3">
        <f>SUM(AI8:AI10)</f>
        <v/>
      </c>
      <c r="AJ11" s="124">
        <f>SUM(AJ8:AJ10)</f>
        <v/>
      </c>
      <c r="AK11" s="124">
        <f>SUM(AK8:AK10)</f>
        <v/>
      </c>
      <c r="AL11" s="124">
        <f>SUM(AL8:AL10)</f>
        <v/>
      </c>
      <c r="AM11" s="124">
        <f>SUM(AM8:AM10)</f>
        <v/>
      </c>
      <c r="AN11" s="123">
        <f>SUM(AN8:AN10)</f>
        <v/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7" t="n">
        <v>0</v>
      </c>
      <c r="AJ12" s="128" t="n">
        <v>0</v>
      </c>
      <c r="AK12" s="128" t="n">
        <v>0</v>
      </c>
      <c r="AL12" s="128" t="n">
        <v>0</v>
      </c>
      <c r="AM12" s="129" t="n">
        <v>0</v>
      </c>
      <c r="AN12" s="127" t="n">
        <v>0</v>
      </c>
      <c r="AO12" s="121">
        <f>SUM(AC12:AH12)+SUM(AI12:AN12)</f>
        <v/>
      </c>
      <c r="AP12" s="122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79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 t="n">
        <v>0</v>
      </c>
      <c r="AJ13" s="131" t="n">
        <v>0</v>
      </c>
      <c r="AK13" s="131" t="n">
        <v>0</v>
      </c>
      <c r="AL13" s="131" t="n">
        <v>0</v>
      </c>
      <c r="AM13" s="132" t="n">
        <v>0</v>
      </c>
      <c r="AN13" s="130" t="n">
        <v>0</v>
      </c>
      <c r="AO13" s="133">
        <f>SUM(AC13:AH13)+SUM(AI13:AN13)</f>
        <v/>
      </c>
      <c r="AP13" s="122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30287.19</v>
      </c>
      <c r="C16" s="35" t="n">
        <v>28161.92</v>
      </c>
      <c r="D16" s="35" t="n">
        <v>25110.5</v>
      </c>
      <c r="E16" s="35" t="n">
        <v>28269.59</v>
      </c>
      <c r="F16" s="35" t="n">
        <v>32973.91</v>
      </c>
      <c r="G16" s="35" t="n">
        <v>26527.48</v>
      </c>
      <c r="H16" s="35" t="n">
        <v>26525.69</v>
      </c>
      <c r="I16" s="35" t="n">
        <v>24730.92</v>
      </c>
      <c r="J16" s="35" t="n">
        <v>23058.19</v>
      </c>
      <c r="K16" s="35" t="n">
        <v>26098.63</v>
      </c>
      <c r="L16" s="35" t="n">
        <v>25153.72</v>
      </c>
      <c r="M16" s="35" t="n">
        <v>28256.28</v>
      </c>
      <c r="N16" s="36">
        <f>SUM(B16:M16)</f>
        <v/>
      </c>
      <c r="O16" s="37">
        <f>SUMIF('XSDN TB'!$R:$R,'SDN P&amp;L'!$A16,'XSDN TB'!C:C)</f>
        <v/>
      </c>
      <c r="P16" s="37">
        <f>SUMIF('XSDN TB'!$R:$R,'SDN P&amp;L'!$A16,'XSDN TB'!D:D)</f>
        <v/>
      </c>
      <c r="Q16" s="37">
        <f>SUMIF('XSDN TB'!$R:$R,'SDN P&amp;L'!$A16,'XSDN TB'!E:E)</f>
        <v/>
      </c>
      <c r="R16" s="37">
        <f>SUMIF('XSDN TB'!$R:$R,'SDN P&amp;L'!$A16,'XSDN TB'!F:F)</f>
        <v/>
      </c>
      <c r="S16" s="37">
        <f>SUMIF('XSDN TB'!$R:$R,'SDN P&amp;L'!$A16,'XSDN TB'!G:G)</f>
        <v/>
      </c>
      <c r="T16" s="37">
        <f>SUMIF('XSDN TB'!$R:$R,'SDN P&amp;L'!$A16,'XSDN TB'!H:H)</f>
        <v/>
      </c>
      <c r="U16" s="37">
        <f>SUMIF('SDN TB'!$R:$R,'SDN P&amp;L'!$A16,'SDN TB'!I:I)</f>
        <v/>
      </c>
      <c r="V16" s="38" t="n">
        <v>36454.3</v>
      </c>
      <c r="W16" s="38" t="n">
        <v>36454.3</v>
      </c>
      <c r="X16" s="38" t="n">
        <v>36454.3</v>
      </c>
      <c r="Y16" s="38" t="n">
        <v>36454.3</v>
      </c>
      <c r="Z16" s="38" t="n">
        <v>36454.3</v>
      </c>
      <c r="AA16" s="36">
        <f>SUM(O16:U16)</f>
        <v/>
      </c>
      <c r="AB16" s="36">
        <f>SUM(O16:Z16)</f>
        <v/>
      </c>
      <c r="AC16" s="38" t="n">
        <v>36454.3</v>
      </c>
      <c r="AD16" s="38" t="n">
        <v>36454.3</v>
      </c>
      <c r="AE16" s="38" t="n">
        <v>36454.3</v>
      </c>
      <c r="AF16" s="38" t="n">
        <v>36454.3</v>
      </c>
      <c r="AG16" s="38" t="n">
        <v>36454.3</v>
      </c>
      <c r="AH16" s="38" t="n">
        <v>36454.3</v>
      </c>
      <c r="AI16" s="118" t="n">
        <v>36454.3</v>
      </c>
      <c r="AJ16" s="119" t="n">
        <v>36454.3</v>
      </c>
      <c r="AK16" s="119" t="n">
        <v>36454.3</v>
      </c>
      <c r="AL16" s="119" t="n">
        <v>36454.3</v>
      </c>
      <c r="AM16" s="120" t="n">
        <v>36454.3</v>
      </c>
      <c r="AN16" s="118" t="n">
        <v>36454.3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2317.34</v>
      </c>
      <c r="C17" s="35" t="n">
        <v>2017.92</v>
      </c>
      <c r="D17" s="35" t="n">
        <v>1979.38</v>
      </c>
      <c r="E17" s="35" t="n">
        <v>2908.34</v>
      </c>
      <c r="F17" s="35" t="n">
        <v>3305.33</v>
      </c>
      <c r="G17" s="35" t="n">
        <v>2920.15</v>
      </c>
      <c r="H17" s="35" t="n">
        <v>3181.89</v>
      </c>
      <c r="I17" s="35" t="n">
        <v>2824.01</v>
      </c>
      <c r="J17" s="35" t="n">
        <v>2565.3</v>
      </c>
      <c r="K17" s="35" t="n">
        <v>2981.29</v>
      </c>
      <c r="L17" s="35" t="n">
        <v>2854.93</v>
      </c>
      <c r="M17" s="35" t="n">
        <v>3162.72</v>
      </c>
      <c r="N17" s="36">
        <f>SUM(B17:M17)</f>
        <v/>
      </c>
      <c r="O17" s="37">
        <f>SUMIF('XSDN TB'!$R:$R,'SDN P&amp;L'!$A17,'XSDN TB'!C:C)</f>
        <v/>
      </c>
      <c r="P17" s="37">
        <f>SUMIF('XSDN TB'!$R:$R,'SDN P&amp;L'!$A17,'XSDN TB'!D:D)</f>
        <v/>
      </c>
      <c r="Q17" s="37">
        <f>SUMIF('XSDN TB'!$R:$R,'SDN P&amp;L'!$A17,'XSDN TB'!E:E)</f>
        <v/>
      </c>
      <c r="R17" s="37">
        <f>SUMIF('XSDN TB'!$R:$R,'SDN P&amp;L'!$A17,'XSDN TB'!F:F)</f>
        <v/>
      </c>
      <c r="S17" s="37">
        <f>SUMIF('XSDN TB'!$R:$R,'SDN P&amp;L'!$A17,'XSDN TB'!G:G)</f>
        <v/>
      </c>
      <c r="T17" s="37">
        <f>SUMIF('XSDN TB'!$R:$R,'SDN P&amp;L'!$A17,'XSDN TB'!H:H)</f>
        <v/>
      </c>
      <c r="U17" s="37">
        <f>SUMIF('SDN TB'!$R:$R,'SDN P&amp;L'!$A17,'SDN TB'!I:I)</f>
        <v/>
      </c>
      <c r="V17" s="38" t="n">
        <v>4331.47</v>
      </c>
      <c r="W17" s="38" t="n">
        <v>4331.47</v>
      </c>
      <c r="X17" s="38" t="n">
        <v>4331.47</v>
      </c>
      <c r="Y17" s="38" t="n">
        <v>4331.47</v>
      </c>
      <c r="Z17" s="38" t="n">
        <v>4331.47</v>
      </c>
      <c r="AA17" s="36">
        <f>SUM(O17:U17)</f>
        <v/>
      </c>
      <c r="AB17" s="36">
        <f>SUM(O17:Z17)</f>
        <v/>
      </c>
      <c r="AC17" s="38" t="n">
        <v>4331.47</v>
      </c>
      <c r="AD17" s="38" t="n">
        <v>4331.47</v>
      </c>
      <c r="AE17" s="38" t="n">
        <v>4331.47</v>
      </c>
      <c r="AF17" s="38" t="n">
        <v>4331.47</v>
      </c>
      <c r="AG17" s="38" t="n">
        <v>4331.47</v>
      </c>
      <c r="AH17" s="38" t="n">
        <v>4331.47</v>
      </c>
      <c r="AI17" s="118" t="n">
        <v>4331.47</v>
      </c>
      <c r="AJ17" s="119" t="n">
        <v>4331.47</v>
      </c>
      <c r="AK17" s="119" t="n">
        <v>4331.47</v>
      </c>
      <c r="AL17" s="119" t="n">
        <v>4331.47</v>
      </c>
      <c r="AM17" s="120" t="n">
        <v>4331.47</v>
      </c>
      <c r="AN17" s="118" t="n">
        <v>4331.47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544.37</v>
      </c>
      <c r="C18" s="35" t="n">
        <v>517.16</v>
      </c>
      <c r="D18" s="35" t="n">
        <v>508.79</v>
      </c>
      <c r="E18" s="35" t="n">
        <v>544.54</v>
      </c>
      <c r="F18" s="35" t="n">
        <v>503.06</v>
      </c>
      <c r="G18" s="35" t="n">
        <v>476.9</v>
      </c>
      <c r="H18" s="35" t="n">
        <v>596.13</v>
      </c>
      <c r="I18" s="35" t="n">
        <v>527.66</v>
      </c>
      <c r="J18" s="35" t="n">
        <v>475.92</v>
      </c>
      <c r="K18" s="35" t="n">
        <v>557.97</v>
      </c>
      <c r="L18" s="35" t="n">
        <v>531.24</v>
      </c>
      <c r="M18" s="35" t="n">
        <v>587.5599999999999</v>
      </c>
      <c r="N18" s="36">
        <f>SUM(B18:M18)</f>
        <v/>
      </c>
      <c r="O18" s="37">
        <f>SUMIF('XSDN TB'!$R:$R,'SDN P&amp;L'!$A18,'XSDN TB'!C:C)</f>
        <v/>
      </c>
      <c r="P18" s="37">
        <f>SUMIF('XSDN TB'!$R:$R,'SDN P&amp;L'!$A18,'XSDN TB'!D:D)</f>
        <v/>
      </c>
      <c r="Q18" s="37">
        <f>SUMIF('XSDN TB'!$R:$R,'SDN P&amp;L'!$A18,'XSDN TB'!E:E)</f>
        <v/>
      </c>
      <c r="R18" s="37">
        <f>SUMIF('XSDN TB'!$R:$R,'SDN P&amp;L'!$A18,'XSDN TB'!F:F)</f>
        <v/>
      </c>
      <c r="S18" s="37">
        <f>SUMIF('XSDN TB'!$R:$R,'SDN P&amp;L'!$A18,'XSDN TB'!G:G)</f>
        <v/>
      </c>
      <c r="T18" s="37">
        <f>SUMIF('XSDN TB'!$R:$R,'SDN P&amp;L'!$A18,'XSDN TB'!H:H)</f>
        <v/>
      </c>
      <c r="U18" s="37">
        <f>SUMIF('SDN TB'!$R:$R,'SDN P&amp;L'!$A18,'SDN TB'!I:I)</f>
        <v/>
      </c>
      <c r="V18" s="38" t="n">
        <v>650.65</v>
      </c>
      <c r="W18" s="38" t="n">
        <v>650.65</v>
      </c>
      <c r="X18" s="38" t="n">
        <v>650.65</v>
      </c>
      <c r="Y18" s="38" t="n">
        <v>650.65</v>
      </c>
      <c r="Z18" s="38" t="n">
        <v>650.65</v>
      </c>
      <c r="AA18" s="36">
        <f>SUM(O18:U18)</f>
        <v/>
      </c>
      <c r="AB18" s="36">
        <f>SUM(O18:Z18)</f>
        <v/>
      </c>
      <c r="AC18" s="38" t="n">
        <v>650.65</v>
      </c>
      <c r="AD18" s="38" t="n">
        <v>650.65</v>
      </c>
      <c r="AE18" s="38" t="n">
        <v>650.65</v>
      </c>
      <c r="AF18" s="38" t="n">
        <v>650.65</v>
      </c>
      <c r="AG18" s="38" t="n">
        <v>650.65</v>
      </c>
      <c r="AH18" s="38" t="n">
        <v>650.65</v>
      </c>
      <c r="AI18" s="118" t="n">
        <v>650.65</v>
      </c>
      <c r="AJ18" s="119" t="n">
        <v>650.65</v>
      </c>
      <c r="AK18" s="119" t="n">
        <v>650.65</v>
      </c>
      <c r="AL18" s="119" t="n">
        <v>650.65</v>
      </c>
      <c r="AM18" s="120" t="n">
        <v>650.65</v>
      </c>
      <c r="AN18" s="118" t="n">
        <v>650.65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47.28</v>
      </c>
      <c r="E19" s="35" t="n">
        <v>0</v>
      </c>
      <c r="F19" s="35" t="n">
        <v>0</v>
      </c>
      <c r="G19" s="35" t="n">
        <v>0</v>
      </c>
      <c r="H19" s="35" t="n">
        <v>91.14</v>
      </c>
      <c r="I19" s="35" t="n">
        <v>100.14</v>
      </c>
      <c r="J19" s="35" t="n">
        <v>0</v>
      </c>
      <c r="K19" s="35" t="n">
        <v>0</v>
      </c>
      <c r="L19" s="35" t="n">
        <v>39.54</v>
      </c>
      <c r="M19" s="35" t="n">
        <v>24.98</v>
      </c>
      <c r="N19" s="36">
        <f>SUM(B19:M19)</f>
        <v/>
      </c>
      <c r="O19" s="37">
        <f>SUMIF('XSDN TB'!$R:$R,'SDN P&amp;L'!$A19,'XSDN TB'!C:C)</f>
        <v/>
      </c>
      <c r="P19" s="37">
        <f>SUMIF('XSDN TB'!$R:$R,'SDN P&amp;L'!$A19,'XSDN TB'!D:D)</f>
        <v/>
      </c>
      <c r="Q19" s="37">
        <f>SUMIF('XSDN TB'!$R:$R,'SDN P&amp;L'!$A19,'XSDN TB'!E:E)</f>
        <v/>
      </c>
      <c r="R19" s="37">
        <f>SUMIF('XSDN TB'!$R:$R,'SDN P&amp;L'!$A19,'XSDN TB'!F:F)</f>
        <v/>
      </c>
      <c r="S19" s="37">
        <f>SUMIF('XSDN TB'!$R:$R,'SDN P&amp;L'!$A19,'XSDN TB'!G:G)</f>
        <v/>
      </c>
      <c r="T19" s="37">
        <f>SUMIF('XSDN TB'!$R:$R,'SDN P&amp;L'!$A19,'XSDN TB'!H:H)</f>
        <v/>
      </c>
      <c r="U19" s="37">
        <f>SUMIF('SDN TB'!$R:$R,'SDN P&amp;L'!$A19,'SDN TB'!I:I)</f>
        <v/>
      </c>
      <c r="V19" s="38" t="n">
        <v>73.35000000000001</v>
      </c>
      <c r="W19" s="38" t="n">
        <v>73.35000000000001</v>
      </c>
      <c r="X19" s="38" t="n">
        <v>73.35000000000001</v>
      </c>
      <c r="Y19" s="38" t="n">
        <v>73.35000000000001</v>
      </c>
      <c r="Z19" s="38" t="n">
        <v>73.35000000000001</v>
      </c>
      <c r="AA19" s="36">
        <f>SUM(O19:U19)</f>
        <v/>
      </c>
      <c r="AB19" s="36">
        <f>SUM(O19:Z19)</f>
        <v/>
      </c>
      <c r="AC19" s="38" t="n">
        <v>73.35000000000001</v>
      </c>
      <c r="AD19" s="38" t="n">
        <v>73.35000000000001</v>
      </c>
      <c r="AE19" s="38" t="n">
        <v>73.35000000000001</v>
      </c>
      <c r="AF19" s="38" t="n">
        <v>73.35000000000001</v>
      </c>
      <c r="AG19" s="38" t="n">
        <v>73.35000000000001</v>
      </c>
      <c r="AH19" s="38" t="n">
        <v>73.35000000000001</v>
      </c>
      <c r="AI19" s="118" t="n">
        <v>73.35000000000001</v>
      </c>
      <c r="AJ19" s="119" t="n">
        <v>73.35000000000001</v>
      </c>
      <c r="AK19" s="119" t="n">
        <v>73.35000000000001</v>
      </c>
      <c r="AL19" s="119" t="n">
        <v>73.35000000000001</v>
      </c>
      <c r="AM19" s="120" t="n">
        <v>73.35000000000001</v>
      </c>
      <c r="AN19" s="118" t="n">
        <v>73.35000000000001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0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0</v>
      </c>
      <c r="H20" s="35" t="n">
        <v>162</v>
      </c>
      <c r="I20" s="35" t="n">
        <v>0</v>
      </c>
      <c r="J20" s="35" t="n">
        <v>180.76</v>
      </c>
      <c r="K20" s="35" t="n">
        <v>37.2</v>
      </c>
      <c r="L20" s="35" t="n">
        <v>0</v>
      </c>
      <c r="M20" s="35" t="n">
        <v>13</v>
      </c>
      <c r="N20" s="36">
        <f>SUM(B20:M20)</f>
        <v/>
      </c>
      <c r="O20" s="37">
        <f>SUMIF('XSDN TB'!$R:$R,'SDN P&amp;L'!$A20,'XSDN TB'!C:C)</f>
        <v/>
      </c>
      <c r="P20" s="37">
        <f>SUMIF('XSDN TB'!$R:$R,'SDN P&amp;L'!$A20,'XSDN TB'!D:D)</f>
        <v/>
      </c>
      <c r="Q20" s="37">
        <f>SUMIF('XSDN TB'!$R:$R,'SDN P&amp;L'!$A20,'XSDN TB'!E:E)</f>
        <v/>
      </c>
      <c r="R20" s="37">
        <f>SUMIF('XSDN TB'!$R:$R,'SDN P&amp;L'!$A20,'XSDN TB'!F:F)</f>
        <v/>
      </c>
      <c r="S20" s="37">
        <f>SUMIF('XSDN TB'!$R:$R,'SDN P&amp;L'!$A20,'XSDN TB'!G:G)</f>
        <v/>
      </c>
      <c r="T20" s="37">
        <f>SUMIF('XSDN TB'!$R:$R,'SDN P&amp;L'!$A20,'XSDN TB'!H:H)</f>
        <v/>
      </c>
      <c r="U20" s="37">
        <f>SUMIF('SDN TB'!$R:$R,'SDN P&amp;L'!$A20,'SDN TB'!I:I)</f>
        <v/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118" t="n">
        <v>100</v>
      </c>
      <c r="AJ20" s="119" t="n">
        <v>100</v>
      </c>
      <c r="AK20" s="119" t="n">
        <v>100</v>
      </c>
      <c r="AL20" s="119" t="n">
        <v>100</v>
      </c>
      <c r="AM20" s="120" t="n">
        <v>100</v>
      </c>
      <c r="AN20" s="118" t="n">
        <v>100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113.59</v>
      </c>
      <c r="C21" s="35" t="n">
        <v>168.36</v>
      </c>
      <c r="D21" s="35" t="n">
        <v>51.79</v>
      </c>
      <c r="E21" s="35" t="n">
        <v>150.6</v>
      </c>
      <c r="F21" s="35" t="n">
        <v>120.41</v>
      </c>
      <c r="G21" s="35" t="n">
        <v>113.1</v>
      </c>
      <c r="H21" s="35" t="n">
        <v>47.23</v>
      </c>
      <c r="I21" s="35" t="n">
        <v>145.53</v>
      </c>
      <c r="J21" s="35" t="n">
        <v>0</v>
      </c>
      <c r="K21" s="35" t="n">
        <v>110.87</v>
      </c>
      <c r="L21" s="35" t="n">
        <v>175.33</v>
      </c>
      <c r="M21" s="35" t="n">
        <v>89.36</v>
      </c>
      <c r="N21" s="36">
        <f>SUM(B21:M21)</f>
        <v/>
      </c>
      <c r="O21" s="37">
        <f>SUMIF('XSDN TB'!$R:$R,'SDN P&amp;L'!$A21,'XSDN TB'!C:C)</f>
        <v/>
      </c>
      <c r="P21" s="37">
        <f>SUMIF('XSDN TB'!$R:$R,'SDN P&amp;L'!$A21,'XSDN TB'!D:D)</f>
        <v/>
      </c>
      <c r="Q21" s="37">
        <f>SUMIF('XSDN TB'!$R:$R,'SDN P&amp;L'!$A21,'XSDN TB'!E:E)</f>
        <v/>
      </c>
      <c r="R21" s="37">
        <f>SUMIF('XSDN TB'!$R:$R,'SDN P&amp;L'!$A21,'XSDN TB'!F:F)</f>
        <v/>
      </c>
      <c r="S21" s="37">
        <f>SUMIF('XSDN TB'!$R:$R,'SDN P&amp;L'!$A21,'XSDN TB'!G:G)</f>
        <v/>
      </c>
      <c r="T21" s="37">
        <f>SUMIF('XSDN TB'!$R:$R,'SDN P&amp;L'!$A21,'XSDN TB'!H:H)</f>
        <v/>
      </c>
      <c r="U21" s="37">
        <f>SUMIF('SDN TB'!$R:$R,'SDN P&amp;L'!$A21,'SDN TB'!I:I)</f>
        <v/>
      </c>
      <c r="V21" s="38" t="n">
        <v>150</v>
      </c>
      <c r="W21" s="38" t="n">
        <v>150</v>
      </c>
      <c r="X21" s="38" t="n">
        <v>150</v>
      </c>
      <c r="Y21" s="38" t="n">
        <v>150</v>
      </c>
      <c r="Z21" s="38" t="n">
        <v>150</v>
      </c>
      <c r="AA21" s="36">
        <f>SUM(O21:U21)</f>
        <v/>
      </c>
      <c r="AB21" s="36">
        <f>SUM(O21:Z21)</f>
        <v/>
      </c>
      <c r="AC21" s="38" t="n">
        <v>150</v>
      </c>
      <c r="AD21" s="38" t="n">
        <v>150</v>
      </c>
      <c r="AE21" s="38" t="n">
        <v>150</v>
      </c>
      <c r="AF21" s="38" t="n">
        <v>150</v>
      </c>
      <c r="AG21" s="38" t="n">
        <v>150</v>
      </c>
      <c r="AH21" s="38" t="n">
        <v>150</v>
      </c>
      <c r="AI21" s="118" t="n">
        <v>150</v>
      </c>
      <c r="AJ21" s="119" t="n">
        <v>150</v>
      </c>
      <c r="AK21" s="119" t="n">
        <v>150</v>
      </c>
      <c r="AL21" s="119" t="n">
        <v>150</v>
      </c>
      <c r="AM21" s="120" t="n">
        <v>150</v>
      </c>
      <c r="AN21" s="118" t="n">
        <v>150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SUMIF('XSDN TB'!$R:$R,'SDN P&amp;L'!$A22,'XSDN TB'!C:C)</f>
        <v/>
      </c>
      <c r="P22" s="37">
        <f>SUMIF('XSDN TB'!$R:$R,'SDN P&amp;L'!$A22,'XSDN TB'!D:D)</f>
        <v/>
      </c>
      <c r="Q22" s="37">
        <f>SUMIF('XSDN TB'!$R:$R,'SDN P&amp;L'!$A22,'XSDN TB'!E:E)</f>
        <v/>
      </c>
      <c r="R22" s="37">
        <f>SUMIF('XSDN TB'!$R:$R,'SDN P&amp;L'!$A22,'XSDN TB'!F:F)</f>
        <v/>
      </c>
      <c r="S22" s="37">
        <f>SUMIF('XSDN TB'!$R:$R,'SDN P&amp;L'!$A22,'XSDN TB'!G:G)</f>
        <v/>
      </c>
      <c r="T22" s="37">
        <f>SUMIF('XSDN TB'!$R:$R,'SDN P&amp;L'!$A22,'XSDN TB'!H:H)</f>
        <v/>
      </c>
      <c r="U22" s="37">
        <f>SUMIF('SDN TB'!$R:$R,'SDN P&amp;L'!$A22,'SDN TB'!I:I)</f>
        <v/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118" t="n">
        <v>0</v>
      </c>
      <c r="AJ22" s="119" t="n">
        <v>0</v>
      </c>
      <c r="AK22" s="119" t="n">
        <v>0</v>
      </c>
      <c r="AL22" s="119" t="n">
        <v>0</v>
      </c>
      <c r="AM22" s="120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51</v>
      </c>
      <c r="L23" s="35" t="n">
        <v>0</v>
      </c>
      <c r="M23" s="35" t="n">
        <v>0</v>
      </c>
      <c r="N23" s="36">
        <f>SUM(B23:M23)</f>
        <v/>
      </c>
      <c r="O23" s="37">
        <f>SUMIF('XSDN TB'!$R:$R,'SDN P&amp;L'!$A23,'XSDN TB'!C:C)</f>
        <v/>
      </c>
      <c r="P23" s="37">
        <f>SUMIF('XSDN TB'!$R:$R,'SDN P&amp;L'!$A23,'XSDN TB'!D:D)</f>
        <v/>
      </c>
      <c r="Q23" s="37">
        <f>SUMIF('XSDN TB'!$R:$R,'SDN P&amp;L'!$A23,'XSDN TB'!E:E)</f>
        <v/>
      </c>
      <c r="R23" s="37">
        <f>SUMIF('XSDN TB'!$R:$R,'SDN P&amp;L'!$A23,'XSDN TB'!F:F)</f>
        <v/>
      </c>
      <c r="S23" s="37">
        <f>SUMIF('XSDN TB'!$R:$R,'SDN P&amp;L'!$A23,'XSDN TB'!G:G)</f>
        <v/>
      </c>
      <c r="T23" s="37">
        <f>SUMIF('XSDN TB'!$R:$R,'SDN P&amp;L'!$A23,'XSDN TB'!H:H)</f>
        <v/>
      </c>
      <c r="U23" s="37">
        <f>SUMIF('SDN TB'!$R:$R,'SDN P&amp;L'!$A23,'SDN TB'!I:I)</f>
        <v/>
      </c>
      <c r="V23" s="38" t="n">
        <v>63</v>
      </c>
      <c r="W23" s="38" t="n">
        <v>63</v>
      </c>
      <c r="X23" s="38" t="n">
        <v>63</v>
      </c>
      <c r="Y23" s="38" t="n">
        <v>63</v>
      </c>
      <c r="Z23" s="38" t="n">
        <v>63</v>
      </c>
      <c r="AA23" s="36">
        <f>SUM(O23:U23)</f>
        <v/>
      </c>
      <c r="AB23" s="36">
        <f>SUM(O23:Z23)</f>
        <v/>
      </c>
      <c r="AC23" s="38" t="n">
        <v>63</v>
      </c>
      <c r="AD23" s="38" t="n">
        <v>63</v>
      </c>
      <c r="AE23" s="38" t="n">
        <v>63</v>
      </c>
      <c r="AF23" s="38" t="n">
        <v>63</v>
      </c>
      <c r="AG23" s="38" t="n">
        <v>63</v>
      </c>
      <c r="AH23" s="38" t="n">
        <v>63</v>
      </c>
      <c r="AI23" s="118" t="n">
        <v>63</v>
      </c>
      <c r="AJ23" s="119" t="n">
        <v>63</v>
      </c>
      <c r="AK23" s="119" t="n">
        <v>63</v>
      </c>
      <c r="AL23" s="119" t="n">
        <v>63</v>
      </c>
      <c r="AM23" s="120" t="n">
        <v>63</v>
      </c>
      <c r="AN23" s="118" t="n">
        <v>63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SUMIF('XSDN TB'!$R:$R,'SDN P&amp;L'!$A24,'XSDN TB'!C:C)</f>
        <v/>
      </c>
      <c r="P24" s="37">
        <f>SUMIF('XSDN TB'!$R:$R,'SDN P&amp;L'!$A24,'XSDN TB'!D:D)</f>
        <v/>
      </c>
      <c r="Q24" s="37">
        <f>SUMIF('XSDN TB'!$R:$R,'SDN P&amp;L'!$A24,'XSDN TB'!E:E)</f>
        <v/>
      </c>
      <c r="R24" s="37">
        <f>SUMIF('XSDN TB'!$R:$R,'SDN P&amp;L'!$A24,'XSDN TB'!F:F)</f>
        <v/>
      </c>
      <c r="S24" s="37">
        <f>SUMIF('XSDN TB'!$R:$R,'SDN P&amp;L'!$A24,'XSDN TB'!G:G)</f>
        <v/>
      </c>
      <c r="T24" s="37">
        <f>SUMIF('XSDN TB'!$R:$R,'SDN P&amp;L'!$A24,'XSDN TB'!H:H)</f>
        <v/>
      </c>
      <c r="U24" s="37">
        <f>SUMIF('SDN TB'!$R:$R,'SDN P&amp;L'!$A24,'SDN TB'!I:I)</f>
        <v/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118" t="n">
        <v>0</v>
      </c>
      <c r="AJ24" s="119" t="n">
        <v>0</v>
      </c>
      <c r="AK24" s="119" t="n">
        <v>0</v>
      </c>
      <c r="AL24" s="119" t="n">
        <v>0</v>
      </c>
      <c r="AM24" s="120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33262.49</v>
      </c>
      <c r="C25" s="42" t="n">
        <v>30865.36</v>
      </c>
      <c r="D25" s="42" t="n">
        <v>27697.74</v>
      </c>
      <c r="E25" s="42" t="n">
        <v>31873.07</v>
      </c>
      <c r="F25" s="42" t="n">
        <v>36902.71000000001</v>
      </c>
      <c r="G25" s="42" t="n">
        <v>30037.63</v>
      </c>
      <c r="H25" s="42" t="n">
        <v>30604.08</v>
      </c>
      <c r="I25" s="42" t="n">
        <v>28328.26</v>
      </c>
      <c r="J25" s="42" t="n">
        <v>26280.16999999999</v>
      </c>
      <c r="K25" s="42" t="n">
        <v>29836.96</v>
      </c>
      <c r="L25" s="42" t="n">
        <v>28754.76000000001</v>
      </c>
      <c r="M25" s="42" t="n">
        <v>32133.9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3">
        <f>SUM(AI16:AI24)</f>
        <v/>
      </c>
      <c r="AJ25" s="124">
        <f>SUM(AJ16:AJ24)</f>
        <v/>
      </c>
      <c r="AK25" s="124">
        <f>SUM(AK16:AK24)</f>
        <v/>
      </c>
      <c r="AL25" s="124">
        <f>SUM(AL16:AL24)</f>
        <v/>
      </c>
      <c r="AM25" s="124">
        <f>SUM(AM16:AM24)</f>
        <v/>
      </c>
      <c r="AN25" s="123">
        <f>SUM(AN16:AN24)</f>
        <v/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7" t="n">
        <v>0</v>
      </c>
      <c r="AJ26" s="128" t="n">
        <v>0</v>
      </c>
      <c r="AK26" s="128" t="n">
        <v>0</v>
      </c>
      <c r="AL26" s="128" t="n">
        <v>0</v>
      </c>
      <c r="AM26" s="129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1567.44</v>
      </c>
      <c r="C27" s="35" t="n">
        <v>1984.79</v>
      </c>
      <c r="D27" s="35" t="n">
        <v>1532.82</v>
      </c>
      <c r="E27" s="35" t="n">
        <v>1541.61</v>
      </c>
      <c r="F27" s="35" t="n">
        <v>1710.34</v>
      </c>
      <c r="G27" s="35" t="n">
        <v>1913.82</v>
      </c>
      <c r="H27" s="35" t="n">
        <v>1900.36</v>
      </c>
      <c r="I27" s="35" t="n">
        <v>1513.73</v>
      </c>
      <c r="J27" s="35" t="n">
        <v>1347.69</v>
      </c>
      <c r="K27" s="35" t="n">
        <v>1248.11</v>
      </c>
      <c r="L27" s="35" t="n">
        <v>1303.32</v>
      </c>
      <c r="M27" s="35" t="n">
        <v>1021.02</v>
      </c>
      <c r="N27" s="36">
        <f>SUM(B27:M27)</f>
        <v/>
      </c>
      <c r="O27" s="37">
        <f>SUMIF('XSDN TB'!$R:$R,'SDN P&amp;L'!$A27,'XSDN TB'!C:C)</f>
        <v/>
      </c>
      <c r="P27" s="37">
        <f>SUMIF('XSDN TB'!$R:$R,'SDN P&amp;L'!$A27,'XSDN TB'!D:D)</f>
        <v/>
      </c>
      <c r="Q27" s="37">
        <f>SUMIF('XSDN TB'!$R:$R,'SDN P&amp;L'!$A27,'XSDN TB'!E:E)</f>
        <v/>
      </c>
      <c r="R27" s="37">
        <f>SUMIF('XSDN TB'!$R:$R,'SDN P&amp;L'!$A27,'XSDN TB'!F:F)</f>
        <v/>
      </c>
      <c r="S27" s="37">
        <f>SUMIF('XSDN TB'!$R:$R,'SDN P&amp;L'!$A27,'XSDN TB'!G:G)</f>
        <v/>
      </c>
      <c r="T27" s="37">
        <f>SUMIF('XSDN TB'!$R:$R,'SDN P&amp;L'!$A27,'XSDN TB'!H:H)</f>
        <v/>
      </c>
      <c r="U27" s="37">
        <f>SUMIF('SDN TB'!$R:$R,'SDN P&amp;L'!$A27,'SDN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18" t="n">
        <v>0</v>
      </c>
      <c r="AJ27" s="119" t="n">
        <v>0</v>
      </c>
      <c r="AK27" s="119" t="n">
        <v>0</v>
      </c>
      <c r="AL27" s="119" t="n">
        <v>0</v>
      </c>
      <c r="AM27" s="120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222.62</v>
      </c>
      <c r="C28" s="35" t="n">
        <v>59.73999999999999</v>
      </c>
      <c r="D28" s="35" t="n">
        <v>73.67999999999999</v>
      </c>
      <c r="E28" s="35" t="n">
        <v>488.16</v>
      </c>
      <c r="F28" s="35" t="n">
        <v>415.09</v>
      </c>
      <c r="G28" s="35" t="n">
        <v>429.36</v>
      </c>
      <c r="H28" s="35" t="n">
        <v>221.83</v>
      </c>
      <c r="I28" s="35" t="n">
        <v>213.52</v>
      </c>
      <c r="J28" s="35" t="n">
        <v>155</v>
      </c>
      <c r="K28" s="35" t="n">
        <v>76.69</v>
      </c>
      <c r="L28" s="35" t="n">
        <v>104.83</v>
      </c>
      <c r="M28" s="35" t="n">
        <v>51.49</v>
      </c>
      <c r="N28" s="36">
        <f>SUM(B28:M28)</f>
        <v/>
      </c>
      <c r="O28" s="37">
        <f>SUMIF('XSDN TB'!$R:$R,'SDN P&amp;L'!$A28,'XSDN TB'!C:C)</f>
        <v/>
      </c>
      <c r="P28" s="37">
        <f>SUMIF('XSDN TB'!$R:$R,'SDN P&amp;L'!$A28,'XSDN TB'!D:D)</f>
        <v/>
      </c>
      <c r="Q28" s="37">
        <f>SUMIF('XSDN TB'!$R:$R,'SDN P&amp;L'!$A28,'XSDN TB'!E:E)</f>
        <v/>
      </c>
      <c r="R28" s="37">
        <f>SUMIF('XSDN TB'!$R:$R,'SDN P&amp;L'!$A28,'XSDN TB'!F:F)</f>
        <v/>
      </c>
      <c r="S28" s="37">
        <f>SUMIF('XSDN TB'!$R:$R,'SDN P&amp;L'!$A28,'XSDN TB'!G:G)</f>
        <v/>
      </c>
      <c r="T28" s="37">
        <f>SUMIF('XSDN TB'!$R:$R,'SDN P&amp;L'!$A28,'XSDN TB'!H:H)</f>
        <v/>
      </c>
      <c r="U28" s="37">
        <f>SUMIF('SDN TB'!$R:$R,'SDN P&amp;L'!$A28,'SDN TB'!I:I)</f>
        <v/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118" t="n">
        <v>50</v>
      </c>
      <c r="AJ28" s="119" t="n">
        <v>50</v>
      </c>
      <c r="AK28" s="119" t="n">
        <v>50</v>
      </c>
      <c r="AL28" s="119" t="n">
        <v>50</v>
      </c>
      <c r="AM28" s="120" t="n">
        <v>50</v>
      </c>
      <c r="AN28" s="118" t="n">
        <v>50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199.22</v>
      </c>
      <c r="C29" s="35" t="n">
        <v>495.7599999999999</v>
      </c>
      <c r="D29" s="35" t="n">
        <v>33.84</v>
      </c>
      <c r="E29" s="35" t="n">
        <v>86.84</v>
      </c>
      <c r="F29" s="35" t="n">
        <v>145.97</v>
      </c>
      <c r="G29" s="35" t="n">
        <v>167.57</v>
      </c>
      <c r="H29" s="35" t="n">
        <v>170.99</v>
      </c>
      <c r="I29" s="35" t="n">
        <v>238.61</v>
      </c>
      <c r="J29" s="35" t="n">
        <v>137.82</v>
      </c>
      <c r="K29" s="35" t="n">
        <v>292.09</v>
      </c>
      <c r="L29" s="35" t="n">
        <v>282.84</v>
      </c>
      <c r="M29" s="35" t="n">
        <v>212.34</v>
      </c>
      <c r="N29" s="36">
        <f>SUM(B29:M29)</f>
        <v/>
      </c>
      <c r="O29" s="37">
        <f>SUMIF('XSDN TB'!$R:$R,'SDN P&amp;L'!$A29,'XSDN TB'!C:C)</f>
        <v/>
      </c>
      <c r="P29" s="37">
        <f>SUMIF('XSDN TB'!$R:$R,'SDN P&amp;L'!$A29,'XSDN TB'!D:D)</f>
        <v/>
      </c>
      <c r="Q29" s="37">
        <f>SUMIF('XSDN TB'!$R:$R,'SDN P&amp;L'!$A29,'XSDN TB'!E:E)</f>
        <v/>
      </c>
      <c r="R29" s="37">
        <f>SUMIF('XSDN TB'!$R:$R,'SDN P&amp;L'!$A29,'XSDN TB'!F:F)</f>
        <v/>
      </c>
      <c r="S29" s="37">
        <f>SUMIF('XSDN TB'!$R:$R,'SDN P&amp;L'!$A29,'XSDN TB'!G:G)</f>
        <v/>
      </c>
      <c r="T29" s="37">
        <f>SUMIF('XSDN TB'!$R:$R,'SDN P&amp;L'!$A29,'XSDN TB'!H:H)</f>
        <v/>
      </c>
      <c r="U29" s="37">
        <f>SUMIF('SDN TB'!$R:$R,'SDN P&amp;L'!$A29,'SDN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18" t="n">
        <v>0</v>
      </c>
      <c r="AJ29" s="119" t="n">
        <v>0</v>
      </c>
      <c r="AK29" s="119" t="n">
        <v>0</v>
      </c>
      <c r="AL29" s="119" t="n">
        <v>0</v>
      </c>
      <c r="AM29" s="120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SUMIF('XSDN TB'!$R:$R,'SDN P&amp;L'!$A30,'XSDN TB'!C:C)</f>
        <v/>
      </c>
      <c r="P30" s="37">
        <f>SUMIF('XSDN TB'!$R:$R,'SDN P&amp;L'!$A30,'XSDN TB'!D:D)</f>
        <v/>
      </c>
      <c r="Q30" s="37">
        <f>SUMIF('XSDN TB'!$R:$R,'SDN P&amp;L'!$A30,'XSDN TB'!E:E)</f>
        <v/>
      </c>
      <c r="R30" s="37">
        <f>SUMIF('XSDN TB'!$R:$R,'SDN P&amp;L'!$A30,'XSDN TB'!F:F)</f>
        <v/>
      </c>
      <c r="S30" s="37">
        <f>SUMIF('XSDN TB'!$R:$R,'SDN P&amp;L'!$A30,'XSDN TB'!G:G)</f>
        <v/>
      </c>
      <c r="T30" s="37">
        <f>SUMIF('XSDN TB'!$R:$R,'SDN P&amp;L'!$A30,'XSDN TB'!H:H)</f>
        <v/>
      </c>
      <c r="U30" s="37">
        <f>SUMIF('SDN TB'!$R:$R,'SDN P&amp;L'!$A30,'SDN TB'!I:I)</f>
        <v/>
      </c>
      <c r="V30" s="38" t="n">
        <v>100</v>
      </c>
      <c r="W30" s="38" t="n">
        <v>100</v>
      </c>
      <c r="X30" s="38" t="n">
        <v>100</v>
      </c>
      <c r="Y30" s="38" t="n">
        <v>100</v>
      </c>
      <c r="Z30" s="38" t="n">
        <v>100</v>
      </c>
      <c r="AA30" s="36">
        <f>SUM(O30:U30)</f>
        <v/>
      </c>
      <c r="AB30" s="36">
        <f>SUM(O30:Z30)</f>
        <v/>
      </c>
      <c r="AC30" s="38" t="n">
        <v>100</v>
      </c>
      <c r="AD30" s="38" t="n">
        <v>100</v>
      </c>
      <c r="AE30" s="38" t="n">
        <v>100</v>
      </c>
      <c r="AF30" s="38" t="n">
        <v>100</v>
      </c>
      <c r="AG30" s="38" t="n">
        <v>100</v>
      </c>
      <c r="AH30" s="38" t="n">
        <v>100</v>
      </c>
      <c r="AI30" s="118" t="n">
        <v>100</v>
      </c>
      <c r="AJ30" s="119" t="n">
        <v>100</v>
      </c>
      <c r="AK30" s="119" t="n">
        <v>100</v>
      </c>
      <c r="AL30" s="119" t="n">
        <v>100</v>
      </c>
      <c r="AM30" s="120" t="n">
        <v>100</v>
      </c>
      <c r="AN30" s="118" t="n">
        <v>100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0</v>
      </c>
      <c r="C31" s="35" t="n">
        <v>306.01</v>
      </c>
      <c r="D31" s="35" t="n">
        <v>335.76</v>
      </c>
      <c r="E31" s="35" t="n">
        <v>5.49</v>
      </c>
      <c r="F31" s="35" t="n">
        <v>344.88</v>
      </c>
      <c r="G31" s="35" t="n">
        <v>0</v>
      </c>
      <c r="H31" s="35" t="n">
        <v>159.56</v>
      </c>
      <c r="I31" s="35" t="n">
        <v>34.84999999999999</v>
      </c>
      <c r="J31" s="35" t="n">
        <v>146.99</v>
      </c>
      <c r="K31" s="35" t="n">
        <v>99.87</v>
      </c>
      <c r="L31" s="35" t="n">
        <v>14.99</v>
      </c>
      <c r="M31" s="35" t="n">
        <v>49.87</v>
      </c>
      <c r="N31" s="36">
        <f>SUM(B31:M31)</f>
        <v/>
      </c>
      <c r="O31" s="37">
        <f>SUMIF('XSDN TB'!$R:$R,'SDN P&amp;L'!$A31,'XSDN TB'!C:C)</f>
        <v/>
      </c>
      <c r="P31" s="37">
        <f>SUMIF('XSDN TB'!$R:$R,'SDN P&amp;L'!$A31,'XSDN TB'!D:D)</f>
        <v/>
      </c>
      <c r="Q31" s="37">
        <f>SUMIF('XSDN TB'!$R:$R,'SDN P&amp;L'!$A31,'XSDN TB'!E:E)</f>
        <v/>
      </c>
      <c r="R31" s="37">
        <f>SUMIF('XSDN TB'!$R:$R,'SDN P&amp;L'!$A31,'XSDN TB'!F:F)</f>
        <v/>
      </c>
      <c r="S31" s="37">
        <f>SUMIF('XSDN TB'!$R:$R,'SDN P&amp;L'!$A31,'XSDN TB'!G:G)</f>
        <v/>
      </c>
      <c r="T31" s="37">
        <f>SUMIF('XSDN TB'!$R:$R,'SDN P&amp;L'!$A31,'XSDN TB'!H:H)</f>
        <v/>
      </c>
      <c r="U31" s="37">
        <f>SUMIF('SDN TB'!$R:$R,'SDN P&amp;L'!$A31,'SDN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8" t="n">
        <v>50</v>
      </c>
      <c r="AJ31" s="119" t="n">
        <v>50</v>
      </c>
      <c r="AK31" s="119" t="n">
        <v>50</v>
      </c>
      <c r="AL31" s="119" t="n">
        <v>50</v>
      </c>
      <c r="AM31" s="120" t="n">
        <v>50</v>
      </c>
      <c r="AN31" s="118" t="n">
        <v>50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18.87</v>
      </c>
      <c r="C32" s="35" t="n">
        <v>114.9</v>
      </c>
      <c r="D32" s="35" t="n">
        <v>135.47</v>
      </c>
      <c r="E32" s="35" t="n">
        <v>17.31</v>
      </c>
      <c r="F32" s="35" t="n">
        <v>112.19</v>
      </c>
      <c r="G32" s="35" t="n">
        <v>0</v>
      </c>
      <c r="H32" s="35" t="n">
        <v>13.89</v>
      </c>
      <c r="I32" s="35" t="n">
        <v>233.47</v>
      </c>
      <c r="J32" s="35" t="n">
        <v>59.64</v>
      </c>
      <c r="K32" s="35" t="n">
        <v>170.31</v>
      </c>
      <c r="L32" s="35" t="n">
        <v>206.26</v>
      </c>
      <c r="M32" s="35" t="n">
        <v>171.28</v>
      </c>
      <c r="N32" s="36">
        <f>SUM(B32:M32)</f>
        <v/>
      </c>
      <c r="O32" s="37">
        <f>SUMIF('XSDN TB'!$R:$R,'SDN P&amp;L'!$A32,'XSDN TB'!C:C)</f>
        <v/>
      </c>
      <c r="P32" s="37">
        <f>SUMIF('XSDN TB'!$R:$R,'SDN P&amp;L'!$A32,'XSDN TB'!D:D)</f>
        <v/>
      </c>
      <c r="Q32" s="37">
        <f>SUMIF('XSDN TB'!$R:$R,'SDN P&amp;L'!$A32,'XSDN TB'!E:E)</f>
        <v/>
      </c>
      <c r="R32" s="37">
        <f>SUMIF('XSDN TB'!$R:$R,'SDN P&amp;L'!$A32,'XSDN TB'!F:F)</f>
        <v/>
      </c>
      <c r="S32" s="37">
        <f>SUMIF('XSDN TB'!$R:$R,'SDN P&amp;L'!$A32,'XSDN TB'!G:G)</f>
        <v/>
      </c>
      <c r="T32" s="37">
        <f>SUMIF('XSDN TB'!$R:$R,'SDN P&amp;L'!$A32,'XSDN TB'!H:H)</f>
        <v/>
      </c>
      <c r="U32" s="37">
        <f>SUMIF('SDN TB'!$R:$R,'SDN P&amp;L'!$A32,'SDN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18" t="n">
        <v>0</v>
      </c>
      <c r="AJ32" s="119" t="n">
        <v>0</v>
      </c>
      <c r="AK32" s="119" t="n">
        <v>0</v>
      </c>
      <c r="AL32" s="119" t="n">
        <v>0</v>
      </c>
      <c r="AM32" s="120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SUMIF('XSDN TB'!$R:$R,'SDN P&amp;L'!$A33,'XSDN TB'!C:C)</f>
        <v/>
      </c>
      <c r="P33" s="37">
        <f>SUMIF('XSDN TB'!$R:$R,'SDN P&amp;L'!$A33,'XSDN TB'!D:D)</f>
        <v/>
      </c>
      <c r="Q33" s="37">
        <f>SUMIF('XSDN TB'!$R:$R,'SDN P&amp;L'!$A33,'XSDN TB'!E:E)</f>
        <v/>
      </c>
      <c r="R33" s="37">
        <f>SUMIF('XSDN TB'!$R:$R,'SDN P&amp;L'!$A33,'XSDN TB'!F:F)</f>
        <v/>
      </c>
      <c r="S33" s="37">
        <f>SUMIF('XSDN TB'!$R:$R,'SDN P&amp;L'!$A33,'XSDN TB'!G:G)</f>
        <v/>
      </c>
      <c r="T33" s="37">
        <f>SUMIF('XSDN TB'!$R:$R,'SDN P&amp;L'!$A33,'XSDN TB'!H:H)</f>
        <v/>
      </c>
      <c r="U33" s="37">
        <f>SUMIF('SDN TB'!$R:$R,'SDN P&amp;L'!$A33,'SDN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8" t="n">
        <v>0</v>
      </c>
      <c r="AJ33" s="119" t="n">
        <v>0</v>
      </c>
      <c r="AK33" s="119" t="n">
        <v>0</v>
      </c>
      <c r="AL33" s="119" t="n">
        <v>0</v>
      </c>
      <c r="AM33" s="120" t="n">
        <v>0</v>
      </c>
      <c r="AN33" s="118" t="n">
        <v>0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2008.15</v>
      </c>
      <c r="C34" s="42" t="n">
        <v>2961.2</v>
      </c>
      <c r="D34" s="42" t="n">
        <v>2111.57</v>
      </c>
      <c r="E34" s="42" t="n">
        <v>2139.41</v>
      </c>
      <c r="F34" s="42" t="n">
        <v>2728.47</v>
      </c>
      <c r="G34" s="42" t="n">
        <v>2510.75</v>
      </c>
      <c r="H34" s="42" t="n">
        <v>2466.63</v>
      </c>
      <c r="I34" s="42" t="n">
        <v>2234.18</v>
      </c>
      <c r="J34" s="42" t="n">
        <v>1847.14</v>
      </c>
      <c r="K34" s="42" t="n">
        <v>1887.07</v>
      </c>
      <c r="L34" s="42" t="n">
        <v>1912.24</v>
      </c>
      <c r="M34" s="42" t="n">
        <v>1506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3">
        <f>SUM(AI27:AI33)</f>
        <v/>
      </c>
      <c r="AJ34" s="124">
        <f>SUM(AJ27:AJ33)</f>
        <v/>
      </c>
      <c r="AK34" s="124">
        <f>SUM(AK27:AK33)</f>
        <v/>
      </c>
      <c r="AL34" s="124">
        <f>SUM(AL27:AL33)</f>
        <v/>
      </c>
      <c r="AM34" s="124">
        <f>SUM(AM27:AM33)</f>
        <v/>
      </c>
      <c r="AN34" s="123">
        <f>SUM(AN27:AN33)</f>
        <v/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7" t="n">
        <v>0</v>
      </c>
      <c r="AJ35" s="128" t="n">
        <v>0</v>
      </c>
      <c r="AK35" s="128" t="n">
        <v>0</v>
      </c>
      <c r="AL35" s="128" t="n">
        <v>0</v>
      </c>
      <c r="AM35" s="129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SUMIF('XSDN TB'!$R:$R,'SDN P&amp;L'!$A36,'XSDN TB'!C:C)</f>
        <v/>
      </c>
      <c r="P36" s="37">
        <f>SUMIF('XSDN TB'!$R:$R,'SDN P&amp;L'!$A36,'XSDN TB'!D:D)</f>
        <v/>
      </c>
      <c r="Q36" s="37">
        <f>SUMIF('XSDN TB'!$R:$R,'SDN P&amp;L'!$A36,'XSDN TB'!E:E)</f>
        <v/>
      </c>
      <c r="R36" s="37">
        <f>SUMIF('XSDN TB'!$R:$R,'SDN P&amp;L'!$A36,'XSDN TB'!F:F)</f>
        <v/>
      </c>
      <c r="S36" s="37">
        <f>SUMIF('XSDN TB'!$R:$R,'SDN P&amp;L'!$A36,'XSDN TB'!G:G)</f>
        <v/>
      </c>
      <c r="T36" s="37">
        <f>SUMIF('XSDN TB'!$R:$R,'SDN P&amp;L'!$A36,'XSDN TB'!H:H)</f>
        <v/>
      </c>
      <c r="U36" s="37" t="n"/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8" t="n">
        <v>0</v>
      </c>
      <c r="AJ36" s="119" t="n">
        <v>0</v>
      </c>
      <c r="AK36" s="119" t="n">
        <v>0</v>
      </c>
      <c r="AL36" s="119" t="n">
        <v>0</v>
      </c>
      <c r="AM36" s="120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1263.58</v>
      </c>
      <c r="C37" s="35" t="n">
        <v>1263.58</v>
      </c>
      <c r="D37" s="35" t="n">
        <v>1300.46</v>
      </c>
      <c r="E37" s="35" t="n">
        <v>1263.58</v>
      </c>
      <c r="F37" s="35" t="n">
        <v>1263.59</v>
      </c>
      <c r="G37" s="35" t="n">
        <v>1263.58</v>
      </c>
      <c r="H37" s="35" t="n">
        <v>1263.58</v>
      </c>
      <c r="I37" s="35" t="n">
        <v>1263.58</v>
      </c>
      <c r="J37" s="35" t="n">
        <v>1263.58</v>
      </c>
      <c r="K37" s="35" t="n">
        <v>1263.58</v>
      </c>
      <c r="L37" s="35" t="n">
        <v>1263.58</v>
      </c>
      <c r="M37" s="35" t="n">
        <v>1263.58</v>
      </c>
      <c r="N37" s="36">
        <f>SUM(B37:M37)</f>
        <v/>
      </c>
      <c r="O37" s="37">
        <f>SUMIF('XSDN TB'!$R:$R,'SDN P&amp;L'!$A37,'XSDN TB'!C:C)</f>
        <v/>
      </c>
      <c r="P37" s="37">
        <f>SUMIF('XSDN TB'!$R:$R,'SDN P&amp;L'!$A37,'XSDN TB'!D:D)</f>
        <v/>
      </c>
      <c r="Q37" s="37">
        <f>SUMIF('XSDN TB'!$R:$R,'SDN P&amp;L'!$A37,'XSDN TB'!E:E)</f>
        <v/>
      </c>
      <c r="R37" s="37">
        <f>SUMIF('XSDN TB'!$R:$R,'SDN P&amp;L'!$A37,'XSDN TB'!F:F)</f>
        <v/>
      </c>
      <c r="S37" s="37">
        <f>SUMIF('XSDN TB'!$R:$R,'SDN P&amp;L'!$A37,'XSDN TB'!G:G)</f>
        <v/>
      </c>
      <c r="T37" s="37">
        <f>SUMIF('XSDN TB'!$R:$R,'SDN P&amp;L'!$A37,'XSDN TB'!H:H)</f>
        <v/>
      </c>
      <c r="U37" s="37">
        <f>SUMIF('SDN TB'!$R:$R,'SDN P&amp;L'!$A37,'SDN TB'!I:I)</f>
        <v/>
      </c>
      <c r="V37" s="38" t="n">
        <v>1503</v>
      </c>
      <c r="W37" s="38" t="n">
        <v>1503</v>
      </c>
      <c r="X37" s="38" t="n">
        <v>1503</v>
      </c>
      <c r="Y37" s="38" t="n">
        <v>1503</v>
      </c>
      <c r="Z37" s="38" t="n">
        <v>1503</v>
      </c>
      <c r="AA37" s="36">
        <f>SUM(O37:U37)</f>
        <v/>
      </c>
      <c r="AB37" s="36">
        <f>SUM(O37:Z37)</f>
        <v/>
      </c>
      <c r="AC37" s="38" t="n">
        <v>1503</v>
      </c>
      <c r="AD37" s="38" t="n">
        <v>1503</v>
      </c>
      <c r="AE37" s="38" t="n">
        <v>1503</v>
      </c>
      <c r="AF37" s="38" t="n">
        <v>1503</v>
      </c>
      <c r="AG37" s="38" t="n">
        <v>1503</v>
      </c>
      <c r="AH37" s="38" t="n">
        <v>1503</v>
      </c>
      <c r="AI37" s="118" t="n">
        <v>1503</v>
      </c>
      <c r="AJ37" s="119" t="n">
        <v>1503</v>
      </c>
      <c r="AK37" s="119" t="n">
        <v>1503</v>
      </c>
      <c r="AL37" s="119" t="n">
        <v>1503</v>
      </c>
      <c r="AM37" s="120" t="n">
        <v>1503</v>
      </c>
      <c r="AN37" s="118" t="n">
        <v>1503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1548.48</v>
      </c>
      <c r="C38" s="35" t="n">
        <v>1795.97</v>
      </c>
      <c r="D38" s="35" t="n">
        <v>1775.8</v>
      </c>
      <c r="E38" s="35" t="n">
        <v>1821.43</v>
      </c>
      <c r="F38" s="35" t="n">
        <v>994.7900000000001</v>
      </c>
      <c r="G38" s="35" t="n">
        <v>965.26</v>
      </c>
      <c r="H38" s="35" t="n">
        <v>867.74</v>
      </c>
      <c r="I38" s="35" t="n">
        <v>930.28</v>
      </c>
      <c r="J38" s="35" t="n">
        <v>882.15</v>
      </c>
      <c r="K38" s="35" t="n">
        <v>955.24</v>
      </c>
      <c r="L38" s="35" t="n">
        <v>1003.91</v>
      </c>
      <c r="M38" s="35" t="n">
        <v>347.26</v>
      </c>
      <c r="N38" s="36">
        <f>SUM(B38:M38)</f>
        <v/>
      </c>
      <c r="O38" s="37">
        <f>SUMIF('XSDN TB'!$R:$R,'SDN P&amp;L'!$A38,'XSDN TB'!C:C)</f>
        <v/>
      </c>
      <c r="P38" s="37">
        <f>SUMIF('XSDN TB'!$R:$R,'SDN P&amp;L'!$A38,'XSDN TB'!D:D)</f>
        <v/>
      </c>
      <c r="Q38" s="37">
        <f>SUMIF('XSDN TB'!$R:$R,'SDN P&amp;L'!$A38,'XSDN TB'!E:E)</f>
        <v/>
      </c>
      <c r="R38" s="37">
        <f>SUMIF('XSDN TB'!$R:$R,'SDN P&amp;L'!$A38,'XSDN TB'!F:F)</f>
        <v/>
      </c>
      <c r="S38" s="37">
        <f>SUMIF('XSDN TB'!$R:$R,'SDN P&amp;L'!$A38,'XSDN TB'!G:G)</f>
        <v/>
      </c>
      <c r="T38" s="37">
        <f>SUMIF('XSDN TB'!$R:$R,'SDN P&amp;L'!$A38,'XSDN TB'!H:H)</f>
        <v/>
      </c>
      <c r="U38" s="37">
        <f>SUMIF('SDN TB'!$R:$R,'SDN P&amp;L'!$A38,'SDN TB'!I:I)</f>
        <v/>
      </c>
      <c r="V38" s="38" t="n">
        <v>840</v>
      </c>
      <c r="W38" s="38" t="n">
        <v>840</v>
      </c>
      <c r="X38" s="38" t="n">
        <v>840</v>
      </c>
      <c r="Y38" s="38" t="n">
        <v>840</v>
      </c>
      <c r="Z38" s="38" t="n">
        <v>840</v>
      </c>
      <c r="AA38" s="36">
        <f>SUM(O38:U38)</f>
        <v/>
      </c>
      <c r="AB38" s="36">
        <f>SUM(O38:Z38)</f>
        <v/>
      </c>
      <c r="AC38" s="38" t="n">
        <v>840</v>
      </c>
      <c r="AD38" s="38" t="n">
        <v>840</v>
      </c>
      <c r="AE38" s="38" t="n">
        <v>840</v>
      </c>
      <c r="AF38" s="38" t="n">
        <v>840</v>
      </c>
      <c r="AG38" s="38" t="n">
        <v>840</v>
      </c>
      <c r="AH38" s="38" t="n">
        <v>840</v>
      </c>
      <c r="AI38" s="118" t="n">
        <v>840</v>
      </c>
      <c r="AJ38" s="119" t="n">
        <v>840</v>
      </c>
      <c r="AK38" s="119" t="n">
        <v>840</v>
      </c>
      <c r="AL38" s="119" t="n">
        <v>840</v>
      </c>
      <c r="AM38" s="120" t="n">
        <v>840</v>
      </c>
      <c r="AN38" s="118" t="n">
        <v>840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524.33</v>
      </c>
      <c r="C39" s="35" t="n">
        <v>390.5599999999999</v>
      </c>
      <c r="D39" s="35" t="n">
        <v>512.22</v>
      </c>
      <c r="E39" s="35" t="n">
        <v>57.92</v>
      </c>
      <c r="F39" s="35" t="n">
        <v>489.11</v>
      </c>
      <c r="G39" s="35" t="n">
        <v>201.13</v>
      </c>
      <c r="H39" s="35" t="n">
        <v>134.13</v>
      </c>
      <c r="I39" s="35" t="n">
        <v>373.59</v>
      </c>
      <c r="J39" s="35" t="n">
        <v>106.35</v>
      </c>
      <c r="K39" s="35" t="n">
        <v>161.51</v>
      </c>
      <c r="L39" s="35" t="n">
        <v>300.59</v>
      </c>
      <c r="M39" s="35" t="n">
        <v>430.6</v>
      </c>
      <c r="N39" s="36">
        <f>SUM(B39:M39)</f>
        <v/>
      </c>
      <c r="O39" s="37">
        <f>SUMIF('XSDN TB'!$R:$R,'SDN P&amp;L'!$A39,'XSDN TB'!C:C)</f>
        <v/>
      </c>
      <c r="P39" s="37">
        <f>SUMIF('XSDN TB'!$R:$R,'SDN P&amp;L'!$A39,'XSDN TB'!D:D)</f>
        <v/>
      </c>
      <c r="Q39" s="37">
        <f>SUMIF('XSDN TB'!$R:$R,'SDN P&amp;L'!$A39,'XSDN TB'!E:E)</f>
        <v/>
      </c>
      <c r="R39" s="37">
        <f>SUMIF('XSDN TB'!$R:$R,'SDN P&amp;L'!$A39,'XSDN TB'!F:F)</f>
        <v/>
      </c>
      <c r="S39" s="37">
        <f>SUMIF('XSDN TB'!$R:$R,'SDN P&amp;L'!$A39,'XSDN TB'!G:G)</f>
        <v/>
      </c>
      <c r="T39" s="37">
        <f>SUMIF('XSDN TB'!$R:$R,'SDN P&amp;L'!$A39,'XSDN TB'!H:H)</f>
        <v/>
      </c>
      <c r="U39" s="37">
        <f>SUMIF('SDN TB'!$R:$R,'SDN P&amp;L'!$A39,'SDN TB'!I:I)</f>
        <v/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8" t="n">
        <v>0</v>
      </c>
      <c r="AJ39" s="119" t="n">
        <v>0</v>
      </c>
      <c r="AK39" s="119" t="n">
        <v>0</v>
      </c>
      <c r="AL39" s="119" t="n">
        <v>0</v>
      </c>
      <c r="AM39" s="120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396.5600000000001</v>
      </c>
      <c r="C40" s="35" t="n">
        <v>271</v>
      </c>
      <c r="D40" s="35" t="n">
        <v>270.02</v>
      </c>
      <c r="E40" s="35" t="n">
        <v>362.36</v>
      </c>
      <c r="F40" s="35" t="n">
        <v>392.06</v>
      </c>
      <c r="G40" s="35" t="n">
        <v>280.72</v>
      </c>
      <c r="H40" s="35" t="n">
        <v>264.16</v>
      </c>
      <c r="I40" s="35" t="n">
        <v>300.25</v>
      </c>
      <c r="J40" s="35" t="n">
        <v>193.25</v>
      </c>
      <c r="K40" s="35" t="n">
        <v>369.08</v>
      </c>
      <c r="L40" s="35" t="n">
        <v>339.99</v>
      </c>
      <c r="M40" s="35" t="n">
        <v>119.65</v>
      </c>
      <c r="N40" s="36">
        <f>SUM(B40:M40)</f>
        <v/>
      </c>
      <c r="O40" s="37">
        <f>SUMIF('XSDN TB'!$R:$R,'SDN P&amp;L'!$A40,'XSDN TB'!C:C)</f>
        <v/>
      </c>
      <c r="P40" s="37">
        <f>SUMIF('XSDN TB'!$R:$R,'SDN P&amp;L'!$A40,'XSDN TB'!D:D)</f>
        <v/>
      </c>
      <c r="Q40" s="37">
        <f>SUMIF('XSDN TB'!$R:$R,'SDN P&amp;L'!$A40,'XSDN TB'!E:E)</f>
        <v/>
      </c>
      <c r="R40" s="37">
        <f>SUMIF('XSDN TB'!$R:$R,'SDN P&amp;L'!$A40,'XSDN TB'!F:F)</f>
        <v/>
      </c>
      <c r="S40" s="37">
        <f>SUMIF('XSDN TB'!$R:$R,'SDN P&amp;L'!$A40,'XSDN TB'!G:G)</f>
        <v/>
      </c>
      <c r="T40" s="37">
        <f>SUMIF('XSDN TB'!$R:$R,'SDN P&amp;L'!$A40,'XSDN TB'!H:H)</f>
        <v/>
      </c>
      <c r="U40" s="37">
        <f>SUMIF('SDN TB'!$R:$R,'SDN P&amp;L'!$A40,'SDN TB'!I:I)</f>
        <v/>
      </c>
      <c r="V40" s="38" t="n">
        <v>242</v>
      </c>
      <c r="W40" s="38" t="n">
        <v>242</v>
      </c>
      <c r="X40" s="38" t="n">
        <v>242</v>
      </c>
      <c r="Y40" s="38" t="n">
        <v>242</v>
      </c>
      <c r="Z40" s="38" t="n">
        <v>242</v>
      </c>
      <c r="AA40" s="36">
        <f>SUM(O40:U40)</f>
        <v/>
      </c>
      <c r="AB40" s="36">
        <f>SUM(O40:Z40)</f>
        <v/>
      </c>
      <c r="AC40" s="38" t="n">
        <v>242</v>
      </c>
      <c r="AD40" s="38" t="n">
        <v>242</v>
      </c>
      <c r="AE40" s="38" t="n">
        <v>242</v>
      </c>
      <c r="AF40" s="38" t="n">
        <v>242</v>
      </c>
      <c r="AG40" s="38" t="n">
        <v>242</v>
      </c>
      <c r="AH40" s="38" t="n">
        <v>242</v>
      </c>
      <c r="AI40" s="118" t="n">
        <v>242</v>
      </c>
      <c r="AJ40" s="119" t="n">
        <v>242</v>
      </c>
      <c r="AK40" s="119" t="n">
        <v>242</v>
      </c>
      <c r="AL40" s="119" t="n">
        <v>242</v>
      </c>
      <c r="AM40" s="120" t="n">
        <v>242</v>
      </c>
      <c r="AN40" s="118" t="n">
        <v>242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308.93</v>
      </c>
      <c r="C41" s="35" t="n">
        <v>362.03</v>
      </c>
      <c r="D41" s="35" t="n">
        <v>281.93</v>
      </c>
      <c r="E41" s="35" t="n">
        <v>329.99</v>
      </c>
      <c r="F41" s="35" t="n">
        <v>314.02</v>
      </c>
      <c r="G41" s="35" t="n">
        <v>314.02</v>
      </c>
      <c r="H41" s="35" t="n">
        <v>389.84</v>
      </c>
      <c r="I41" s="35" t="n">
        <v>314.02</v>
      </c>
      <c r="J41" s="35" t="n">
        <v>540.8200000000001</v>
      </c>
      <c r="K41" s="35" t="n">
        <v>341.02</v>
      </c>
      <c r="L41" s="35" t="n">
        <v>314.02</v>
      </c>
      <c r="M41" s="35" t="n">
        <v>361.42</v>
      </c>
      <c r="N41" s="36">
        <f>SUM(B41:M41)</f>
        <v/>
      </c>
      <c r="O41" s="37">
        <f>SUMIF('XSDN TB'!$R:$R,'SDN P&amp;L'!$A41,'XSDN TB'!C:C)</f>
        <v/>
      </c>
      <c r="P41" s="37">
        <f>SUMIF('XSDN TB'!$R:$R,'SDN P&amp;L'!$A41,'XSDN TB'!D:D)</f>
        <v/>
      </c>
      <c r="Q41" s="37">
        <f>SUMIF('XSDN TB'!$R:$R,'SDN P&amp;L'!$A41,'XSDN TB'!E:E)</f>
        <v/>
      </c>
      <c r="R41" s="37">
        <f>SUMIF('XSDN TB'!$R:$R,'SDN P&amp;L'!$A41,'XSDN TB'!F:F)</f>
        <v/>
      </c>
      <c r="S41" s="37">
        <f>SUMIF('XSDN TB'!$R:$R,'SDN P&amp;L'!$A41,'XSDN TB'!G:G)</f>
        <v/>
      </c>
      <c r="T41" s="37">
        <f>SUMIF('XSDN TB'!$R:$R,'SDN P&amp;L'!$A41,'XSDN TB'!H:H)</f>
        <v/>
      </c>
      <c r="U41" s="37">
        <f>SUMIF('SDN TB'!$R:$R,'SDN P&amp;L'!$A41,'SDN TB'!I:I)</f>
        <v/>
      </c>
      <c r="V41" s="38" t="n">
        <v>298</v>
      </c>
      <c r="W41" s="38" t="n">
        <v>298</v>
      </c>
      <c r="X41" s="38" t="n">
        <v>298</v>
      </c>
      <c r="Y41" s="38" t="n">
        <v>298</v>
      </c>
      <c r="Z41" s="38" t="n">
        <v>298</v>
      </c>
      <c r="AA41" s="36">
        <f>SUM(O41:U41)</f>
        <v/>
      </c>
      <c r="AB41" s="36">
        <f>SUM(O41:Z41)</f>
        <v/>
      </c>
      <c r="AC41" s="38" t="n">
        <v>298</v>
      </c>
      <c r="AD41" s="38" t="n">
        <v>298</v>
      </c>
      <c r="AE41" s="38" t="n">
        <v>298</v>
      </c>
      <c r="AF41" s="38" t="n">
        <v>298</v>
      </c>
      <c r="AG41" s="38" t="n">
        <v>298</v>
      </c>
      <c r="AH41" s="38" t="n">
        <v>298</v>
      </c>
      <c r="AI41" s="118" t="n">
        <v>298</v>
      </c>
      <c r="AJ41" s="119" t="n">
        <v>298</v>
      </c>
      <c r="AK41" s="119" t="n">
        <v>298</v>
      </c>
      <c r="AL41" s="119" t="n">
        <v>298</v>
      </c>
      <c r="AM41" s="120" t="n">
        <v>298</v>
      </c>
      <c r="AN41" s="118" t="n">
        <v>298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557.6900000000001</v>
      </c>
      <c r="C42" s="35" t="n">
        <v>106.55</v>
      </c>
      <c r="D42" s="35" t="n">
        <v>240.41</v>
      </c>
      <c r="E42" s="35" t="n">
        <v>125.88</v>
      </c>
      <c r="F42" s="35" t="n">
        <v>167.31</v>
      </c>
      <c r="G42" s="35" t="n">
        <v>183.93</v>
      </c>
      <c r="H42" s="35" t="n">
        <v>95.75999999999999</v>
      </c>
      <c r="I42" s="35" t="n">
        <v>90.22</v>
      </c>
      <c r="J42" s="35" t="n">
        <v>53.93000000000001</v>
      </c>
      <c r="K42" s="35" t="n">
        <v>168.56</v>
      </c>
      <c r="L42" s="35" t="n">
        <v>112.62</v>
      </c>
      <c r="M42" s="35" t="n">
        <v>144.07</v>
      </c>
      <c r="N42" s="36">
        <f>SUM(B42:M42)</f>
        <v/>
      </c>
      <c r="O42" s="37">
        <f>SUMIF('XSDN TB'!$R:$R,'SDN P&amp;L'!$A42,'XSDN TB'!C:C)</f>
        <v/>
      </c>
      <c r="P42" s="37">
        <f>SUMIF('XSDN TB'!$R:$R,'SDN P&amp;L'!$A42,'XSDN TB'!D:D)</f>
        <v/>
      </c>
      <c r="Q42" s="37">
        <f>SUMIF('XSDN TB'!$R:$R,'SDN P&amp;L'!$A42,'XSDN TB'!E:E)</f>
        <v/>
      </c>
      <c r="R42" s="37">
        <f>SUMIF('XSDN TB'!$R:$R,'SDN P&amp;L'!$A42,'XSDN TB'!F:F)</f>
        <v/>
      </c>
      <c r="S42" s="37">
        <f>SUMIF('XSDN TB'!$R:$R,'SDN P&amp;L'!$A42,'XSDN TB'!G:G)</f>
        <v/>
      </c>
      <c r="T42" s="37">
        <f>SUMIF('XSDN TB'!$R:$R,'SDN P&amp;L'!$A42,'XSDN TB'!H:H)</f>
        <v/>
      </c>
      <c r="U42" s="37">
        <f>SUMIF('SDN TB'!$R:$R,'SDN P&amp;L'!$A42,'SDN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8" t="n">
        <v>0</v>
      </c>
      <c r="AJ42" s="119" t="n">
        <v>0</v>
      </c>
      <c r="AK42" s="119" t="n">
        <v>0</v>
      </c>
      <c r="AL42" s="119" t="n">
        <v>0</v>
      </c>
      <c r="AM42" s="120" t="n">
        <v>0</v>
      </c>
      <c r="AN42" s="118" t="n">
        <v>0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SUMIF('XSDN TB'!$R:$R,'SDN P&amp;L'!$A43,'XSDN TB'!C:C)</f>
        <v/>
      </c>
      <c r="P43" s="37">
        <f>SUMIF('XSDN TB'!$R:$R,'SDN P&amp;L'!$A43,'XSDN TB'!D:D)</f>
        <v/>
      </c>
      <c r="Q43" s="37">
        <f>SUMIF('XSDN TB'!$R:$R,'SDN P&amp;L'!$A43,'XSDN TB'!E:E)</f>
        <v/>
      </c>
      <c r="R43" s="37">
        <f>SUMIF('XSDN TB'!$R:$R,'SDN P&amp;L'!$A43,'XSDN TB'!F:F)</f>
        <v/>
      </c>
      <c r="S43" s="37">
        <f>SUMIF('XSDN TB'!$R:$R,'SDN P&amp;L'!$A43,'XSDN TB'!G:G)</f>
        <v/>
      </c>
      <c r="T43" s="37">
        <f>SUMIF('XSDN TB'!$R:$R,'SDN P&amp;L'!$A43,'XSDN TB'!H:H)</f>
        <v/>
      </c>
      <c r="U43" s="37">
        <f>SUMIF('SDN TB'!$R:$R,'SDN P&amp;L'!$A43,'SDN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8" t="n">
        <v>0</v>
      </c>
      <c r="AJ43" s="119" t="n">
        <v>0</v>
      </c>
      <c r="AK43" s="119" t="n">
        <v>0</v>
      </c>
      <c r="AL43" s="119" t="n">
        <v>0</v>
      </c>
      <c r="AM43" s="120" t="n">
        <v>0</v>
      </c>
      <c r="AN43" s="118" t="n">
        <v>0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SUMIF('XSDN TB'!$R:$R,'SDN P&amp;L'!$A44,'XSDN TB'!C:C)</f>
        <v/>
      </c>
      <c r="P44" s="37">
        <f>SUMIF('XSDN TB'!$R:$R,'SDN P&amp;L'!$A44,'XSDN TB'!D:D)</f>
        <v/>
      </c>
      <c r="Q44" s="37">
        <f>SUMIF('XSDN TB'!$R:$R,'SDN P&amp;L'!$A44,'XSDN TB'!E:E)</f>
        <v/>
      </c>
      <c r="R44" s="37">
        <f>SUMIF('XSDN TB'!$R:$R,'SDN P&amp;L'!$A44,'XSDN TB'!F:F)</f>
        <v/>
      </c>
      <c r="S44" s="37">
        <f>SUMIF('XSDN TB'!$R:$R,'SDN P&amp;L'!$A44,'XSDN TB'!G:G)</f>
        <v/>
      </c>
      <c r="T44" s="37">
        <f>SUMIF('XSDN TB'!$R:$R,'SDN P&amp;L'!$A44,'XSDN TB'!H:H)</f>
        <v/>
      </c>
      <c r="U44" s="37">
        <f>SUMIF('SDN TB'!$R:$R,'SDN P&amp;L'!$A44,'SDN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8" t="n">
        <v>0</v>
      </c>
      <c r="AJ44" s="119" t="n">
        <v>0</v>
      </c>
      <c r="AK44" s="119" t="n">
        <v>0</v>
      </c>
      <c r="AL44" s="119" t="n">
        <v>0</v>
      </c>
      <c r="AM44" s="120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57</v>
      </c>
      <c r="K45" s="35" t="n">
        <v>324.79</v>
      </c>
      <c r="L45" s="35" t="n">
        <v>0</v>
      </c>
      <c r="M45" s="35" t="n">
        <v>0</v>
      </c>
      <c r="N45" s="36">
        <f>SUM(B45:M45)</f>
        <v/>
      </c>
      <c r="O45" s="37">
        <f>SUMIF('XSDN TB'!$R:$R,'SDN P&amp;L'!$A45,'XSDN TB'!C:C)</f>
        <v/>
      </c>
      <c r="P45" s="37">
        <f>SUMIF('XSDN TB'!$R:$R,'SDN P&amp;L'!$A45,'XSDN TB'!D:D)</f>
        <v/>
      </c>
      <c r="Q45" s="37">
        <f>SUMIF('XSDN TB'!$R:$R,'SDN P&amp;L'!$A45,'XSDN TB'!E:E)</f>
        <v/>
      </c>
      <c r="R45" s="37">
        <f>SUMIF('XSDN TB'!$R:$R,'SDN P&amp;L'!$A45,'XSDN TB'!F:F)</f>
        <v/>
      </c>
      <c r="S45" s="37">
        <f>SUMIF('XSDN TB'!$R:$R,'SDN P&amp;L'!$A45,'XSDN TB'!G:G)</f>
        <v/>
      </c>
      <c r="T45" s="37">
        <f>SUMIF('XSDN TB'!$R:$R,'SDN P&amp;L'!$A45,'XSDN TB'!H:H)</f>
        <v/>
      </c>
      <c r="U45" s="37">
        <f>SUMIF('SDN TB'!$R:$R,'SDN P&amp;L'!$A45,'SDN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8" t="n">
        <v>100</v>
      </c>
      <c r="AJ45" s="119" t="n">
        <v>100</v>
      </c>
      <c r="AK45" s="119" t="n">
        <v>100</v>
      </c>
      <c r="AL45" s="119" t="n">
        <v>100</v>
      </c>
      <c r="AM45" s="120" t="n">
        <v>100</v>
      </c>
      <c r="AN45" s="118" t="n">
        <v>100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SUMIF('XSDN TB'!$R:$R,'SDN P&amp;L'!$A46,'XSDN TB'!C:C)</f>
        <v/>
      </c>
      <c r="P46" s="37">
        <f>SUMIF('XSDN TB'!$R:$R,'SDN P&amp;L'!$A46,'XSDN TB'!D:D)</f>
        <v/>
      </c>
      <c r="Q46" s="37">
        <f>SUMIF('XSDN TB'!$R:$R,'SDN P&amp;L'!$A46,'XSDN TB'!E:E)</f>
        <v/>
      </c>
      <c r="R46" s="37">
        <f>SUMIF('XSDN TB'!$R:$R,'SDN P&amp;L'!$A46,'XSDN TB'!F:F)</f>
        <v/>
      </c>
      <c r="S46" s="37">
        <f>SUMIF('XSDN TB'!$R:$R,'SDN P&amp;L'!$A46,'XSDN TB'!G:G)</f>
        <v/>
      </c>
      <c r="T46" s="37">
        <f>SUMIF('XSDN TB'!$R:$R,'SDN P&amp;L'!$A46,'XSDN TB'!H:H)</f>
        <v/>
      </c>
      <c r="U46" s="37">
        <f>SUMIF('SDN TB'!$R:$R,'SDN P&amp;L'!$A46,'SDN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8" t="n">
        <v>0</v>
      </c>
      <c r="AJ46" s="119" t="n">
        <v>0</v>
      </c>
      <c r="AK46" s="119" t="n">
        <v>0</v>
      </c>
      <c r="AL46" s="119" t="n">
        <v>0</v>
      </c>
      <c r="AM46" s="120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4599.57</v>
      </c>
      <c r="C47" s="42" t="n">
        <v>4189.690000000001</v>
      </c>
      <c r="D47" s="42" t="n">
        <v>4380.84</v>
      </c>
      <c r="E47" s="42" t="n">
        <v>3961.160000000001</v>
      </c>
      <c r="F47" s="42" t="n">
        <v>3620.88</v>
      </c>
      <c r="G47" s="42" t="n">
        <v>3208.64</v>
      </c>
      <c r="H47" s="42" t="n">
        <v>3015.21</v>
      </c>
      <c r="I47" s="42" t="n">
        <v>3271.94</v>
      </c>
      <c r="J47" s="42" t="n">
        <v>3097.08</v>
      </c>
      <c r="K47" s="42" t="n">
        <v>3583.78</v>
      </c>
      <c r="L47" s="42" t="n">
        <v>3334.71</v>
      </c>
      <c r="M47" s="42" t="n">
        <v>2666.58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3">
        <f>SUM(AI36:AI46)</f>
        <v/>
      </c>
      <c r="AJ47" s="124">
        <f>SUM(AJ36:AJ46)</f>
        <v/>
      </c>
      <c r="AK47" s="124">
        <f>SUM(AK36:AK46)</f>
        <v/>
      </c>
      <c r="AL47" s="124">
        <f>SUM(AL36:AL46)</f>
        <v/>
      </c>
      <c r="AM47" s="137">
        <f>SUM(AM36:AM46)</f>
        <v/>
      </c>
      <c r="AN47" s="123">
        <f>SUM(AN36:AN46)</f>
        <v/>
      </c>
      <c r="AO47" s="125">
        <f>SUM(AC47:AH47)+SUM(AI47:AN47)</f>
        <v/>
      </c>
      <c r="AP47" s="126">
        <f>IF(AB47&lt;&gt;0,(AO47-AB47)/ABS(AB47),0)</f>
        <v/>
      </c>
    </row>
    <row r="48">
      <c r="A48" s="22" t="inlineStr">
        <is>
          <t>Total Direct Costs</t>
        </is>
      </c>
      <c r="B48" s="23" t="n">
        <v>39870.21</v>
      </c>
      <c r="C48" s="23" t="n">
        <v>38016.25</v>
      </c>
      <c r="D48" s="23" t="n">
        <v>34190.15</v>
      </c>
      <c r="E48" s="23" t="n">
        <v>37973.64</v>
      </c>
      <c r="F48" s="23" t="n">
        <v>43252.06</v>
      </c>
      <c r="G48" s="23" t="n">
        <v>35757.02</v>
      </c>
      <c r="H48" s="23" t="n">
        <v>36085.92</v>
      </c>
      <c r="I48" s="23" t="n">
        <v>33834.38</v>
      </c>
      <c r="J48" s="23" t="n">
        <v>31224.38999999999</v>
      </c>
      <c r="K48" s="23" t="n">
        <v>35307.81</v>
      </c>
      <c r="L48" s="23" t="n">
        <v>34001.71000000001</v>
      </c>
      <c r="M48" s="23" t="n">
        <v>36306.48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>U25+U34+U47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3">
        <f>AI25+AI34+AI47</f>
        <v/>
      </c>
      <c r="AJ48" s="147">
        <f>AJ25+AJ34+AJ47</f>
        <v/>
      </c>
      <c r="AK48" s="147">
        <f>AK25+AK34+AK47</f>
        <v/>
      </c>
      <c r="AL48" s="147">
        <f>AL25+AL34+AL47</f>
        <v/>
      </c>
      <c r="AM48" s="147">
        <f>AM25+AM34+AM47</f>
        <v/>
      </c>
      <c r="AN48" s="123">
        <f>AN25+AN34+AN47</f>
        <v/>
      </c>
      <c r="AO48" s="121">
        <f>SUM(AC48:AH48)+SUM(AI48:AN48)</f>
        <v/>
      </c>
      <c r="AP48" s="122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8862.019999999997</v>
      </c>
      <c r="C50" s="55" t="n">
        <v>20701.91</v>
      </c>
      <c r="D50" s="55" t="n">
        <v>30192.77</v>
      </c>
      <c r="E50" s="55" t="n">
        <v>14901.46</v>
      </c>
      <c r="F50" s="55" t="n">
        <v>689.0699999999924</v>
      </c>
      <c r="G50" s="55" t="n">
        <v>22657.31999999999</v>
      </c>
      <c r="H50" s="55" t="n">
        <v>35785.63</v>
      </c>
      <c r="I50" s="55" t="n">
        <v>7099.220000000008</v>
      </c>
      <c r="J50" s="55" t="n">
        <v>2010.810000000005</v>
      </c>
      <c r="K50" s="55" t="n">
        <v>-3943.790000000008</v>
      </c>
      <c r="L50" s="55" t="n">
        <v>11333.42999999999</v>
      </c>
      <c r="M50" s="55" t="n">
        <v>17465.84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6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0">
        <f>AI11-AI48</f>
        <v/>
      </c>
      <c r="AJ50" s="140">
        <f>AJ11-AJ48</f>
        <v/>
      </c>
      <c r="AK50" s="140">
        <f>AK11-AK48</f>
        <v/>
      </c>
      <c r="AL50" s="140">
        <f>AL11-AL48</f>
        <v/>
      </c>
      <c r="AM50" s="140">
        <f>AM11-AM48</f>
        <v/>
      </c>
      <c r="AN50" s="140">
        <f>AN11-AN48</f>
        <v/>
      </c>
      <c r="AO50" s="141">
        <f>SUM(AC50:AH50)+SUM(AI50:AN50)</f>
        <v/>
      </c>
      <c r="AP50" s="14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SUMIF('XSDN TB'!$R:$R,'SDN P&amp;L'!$A53,'XSDN TB'!C:C)</f>
        <v/>
      </c>
      <c r="P53" s="37">
        <f>SUMIF('XSDN TB'!$R:$R,'SDN P&amp;L'!$A53,'XSDN TB'!D:D)</f>
        <v/>
      </c>
      <c r="Q53" s="37">
        <f>SUMIF('XSDN TB'!$R:$R,'SDN P&amp;L'!$A53,'XSDN TB'!E:E)</f>
        <v/>
      </c>
      <c r="R53" s="37">
        <f>SUMIF('XSDN TB'!$R:$R,'SDN P&amp;L'!$A53,'XSDN TB'!F:F)</f>
        <v/>
      </c>
      <c r="S53" s="37">
        <f>SUMIF('XSDN TB'!$R:$R,'SDN P&amp;L'!$A53,'XSDN TB'!G:G)</f>
        <v/>
      </c>
      <c r="T53" s="37">
        <f>SUMIF('XSDN TB'!$R:$R,'SDN P&amp;L'!$A53,'XSDN TB'!H:H)</f>
        <v/>
      </c>
      <c r="U53" s="37">
        <f>SUMIF('SDN TB'!$R:$R,'SDN P&amp;L'!$A53,'SDN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8" t="n">
        <v>0</v>
      </c>
      <c r="AJ53" s="119" t="n">
        <v>0</v>
      </c>
      <c r="AK53" s="119" t="n">
        <v>0</v>
      </c>
      <c r="AL53" s="119" t="n">
        <v>0</v>
      </c>
      <c r="AM53" s="120" t="n">
        <v>0</v>
      </c>
      <c r="AN53" s="118" t="n">
        <v>0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SUMIF('XSDN TB'!$R:$R,'SDN P&amp;L'!$A54,'XSDN TB'!C:C)</f>
        <v/>
      </c>
      <c r="P54" s="37">
        <f>SUMIF('XSDN TB'!$R:$R,'SDN P&amp;L'!$A54,'XSDN TB'!D:D)</f>
        <v/>
      </c>
      <c r="Q54" s="37">
        <f>SUMIF('XSDN TB'!$R:$R,'SDN P&amp;L'!$A54,'XSDN TB'!E:E)</f>
        <v/>
      </c>
      <c r="R54" s="37">
        <f>SUMIF('XSDN TB'!$R:$R,'SDN P&amp;L'!$A54,'XSDN TB'!F:F)</f>
        <v/>
      </c>
      <c r="S54" s="37">
        <f>SUMIF('XSDN TB'!$R:$R,'SDN P&amp;L'!$A54,'XSDN TB'!G:G)</f>
        <v/>
      </c>
      <c r="T54" s="37">
        <f>SUMIF('XSDN TB'!$R:$R,'SDN P&amp;L'!$A54,'XSDN TB'!H:H)</f>
        <v/>
      </c>
      <c r="U54" s="37">
        <f>SUMIF('SDN TB'!$R:$R,'SDN P&amp;L'!$A54,'SDN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8" t="n">
        <v>0</v>
      </c>
      <c r="AJ54" s="119" t="n">
        <v>0</v>
      </c>
      <c r="AK54" s="119" t="n">
        <v>0</v>
      </c>
      <c r="AL54" s="119" t="n">
        <v>0</v>
      </c>
      <c r="AM54" s="120" t="n">
        <v>0</v>
      </c>
      <c r="AN54" s="118" t="n">
        <v>0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SUMIF('XSDN TB'!$R:$R,'SDN P&amp;L'!$A55,'XSDN TB'!C:C)</f>
        <v/>
      </c>
      <c r="P55" s="37">
        <f>SUMIF('XSDN TB'!$R:$R,'SDN P&amp;L'!$A55,'XSDN TB'!D:D)</f>
        <v/>
      </c>
      <c r="Q55" s="37">
        <f>SUMIF('XSDN TB'!$R:$R,'SDN P&amp;L'!$A55,'XSDN TB'!E:E)</f>
        <v/>
      </c>
      <c r="R55" s="37">
        <f>SUMIF('XSDN TB'!$R:$R,'SDN P&amp;L'!$A55,'XSDN TB'!F:F)</f>
        <v/>
      </c>
      <c r="S55" s="37">
        <f>SUMIF('XSDN TB'!$R:$R,'SDN P&amp;L'!$A55,'XSDN TB'!G:G)</f>
        <v/>
      </c>
      <c r="T55" s="37">
        <f>SUMIF('XSDN TB'!$R:$R,'SDN P&amp;L'!$A55,'XSDN TB'!H:H)</f>
        <v/>
      </c>
      <c r="U55" s="37">
        <f>SUMIF('SDN TB'!$R:$R,'SDN P&amp;L'!$A55,'SDN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8" t="n">
        <v>0</v>
      </c>
      <c r="AJ55" s="119" t="n">
        <v>0</v>
      </c>
      <c r="AK55" s="119" t="n">
        <v>0</v>
      </c>
      <c r="AL55" s="119" t="n">
        <v>0</v>
      </c>
      <c r="AM55" s="120" t="n">
        <v>0</v>
      </c>
      <c r="AN55" s="118" t="n">
        <v>0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SUMIF('XSDN TB'!$R:$R,'SDN P&amp;L'!$A56,'XSDN TB'!C:C)</f>
        <v/>
      </c>
      <c r="P56" s="37">
        <f>SUMIF('XSDN TB'!$R:$R,'SDN P&amp;L'!$A56,'XSDN TB'!D:D)</f>
        <v/>
      </c>
      <c r="Q56" s="37">
        <f>SUMIF('XSDN TB'!$R:$R,'SDN P&amp;L'!$A56,'XSDN TB'!E:E)</f>
        <v/>
      </c>
      <c r="R56" s="37">
        <f>SUMIF('XSDN TB'!$R:$R,'SDN P&amp;L'!$A56,'XSDN TB'!F:F)</f>
        <v/>
      </c>
      <c r="S56" s="37">
        <f>SUMIF('XSDN TB'!$R:$R,'SDN P&amp;L'!$A56,'XSDN TB'!G:G)</f>
        <v/>
      </c>
      <c r="T56" s="37">
        <f>SUMIF('XSDN TB'!$R:$R,'SDN P&amp;L'!$A56,'XSDN TB'!H:H)</f>
        <v/>
      </c>
      <c r="U56" s="37">
        <f>SUMIF('SDN TB'!$R:$R,'SDN P&amp;L'!$A56,'SDN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8" t="n">
        <v>0</v>
      </c>
      <c r="AJ56" s="119" t="n">
        <v>0</v>
      </c>
      <c r="AK56" s="119" t="n">
        <v>0</v>
      </c>
      <c r="AL56" s="119" t="n">
        <v>0</v>
      </c>
      <c r="AM56" s="120" t="n">
        <v>0</v>
      </c>
      <c r="AN56" s="118" t="n">
        <v>0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348.87</v>
      </c>
      <c r="N57" s="36">
        <f>SUM(B57:M57)</f>
        <v/>
      </c>
      <c r="O57" s="37">
        <f>SUMIF('XSDN TB'!$R:$R,'SDN P&amp;L'!$A57,'XSDN TB'!C:C)</f>
        <v/>
      </c>
      <c r="P57" s="37">
        <f>SUMIF('XSDN TB'!$R:$R,'SDN P&amp;L'!$A57,'XSDN TB'!D:D)</f>
        <v/>
      </c>
      <c r="Q57" s="37">
        <f>SUMIF('XSDN TB'!$R:$R,'SDN P&amp;L'!$A57,'XSDN TB'!E:E)</f>
        <v/>
      </c>
      <c r="R57" s="37">
        <f>SUMIF('XSDN TB'!$R:$R,'SDN P&amp;L'!$A57,'XSDN TB'!F:F)</f>
        <v/>
      </c>
      <c r="S57" s="37">
        <f>SUMIF('XSDN TB'!$R:$R,'SDN P&amp;L'!$A57,'XSDN TB'!G:G)</f>
        <v/>
      </c>
      <c r="T57" s="37">
        <f>SUMIF('XSDN TB'!$R:$R,'SDN P&amp;L'!$A57,'XSDN TB'!H:H)</f>
        <v/>
      </c>
      <c r="U57" s="37">
        <f>SUMIF('SDN TB'!$R:$R,'SDN P&amp;L'!$A57,'SDN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18" t="n">
        <v>0</v>
      </c>
      <c r="AJ57" s="119" t="n">
        <v>0</v>
      </c>
      <c r="AK57" s="119" t="n">
        <v>0</v>
      </c>
      <c r="AL57" s="119" t="n">
        <v>0</v>
      </c>
      <c r="AM57" s="120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SUMIF('XSDN TB'!$R:$R,'SDN P&amp;L'!$A58,'XSDN TB'!C:C)</f>
        <v/>
      </c>
      <c r="P58" s="37">
        <f>SUMIF('XSDN TB'!$R:$R,'SDN P&amp;L'!$A58,'XSDN TB'!D:D)</f>
        <v/>
      </c>
      <c r="Q58" s="37">
        <f>SUMIF('XSDN TB'!$R:$R,'SDN P&amp;L'!$A58,'XSDN TB'!E:E)</f>
        <v/>
      </c>
      <c r="R58" s="37">
        <f>SUMIF('XSDN TB'!$R:$R,'SDN P&amp;L'!$A58,'XSDN TB'!F:F)</f>
        <v/>
      </c>
      <c r="S58" s="37">
        <f>SUMIF('XSDN TB'!$R:$R,'SDN P&amp;L'!$A58,'XSDN TB'!G:G)</f>
        <v/>
      </c>
      <c r="T58" s="37">
        <f>SUMIF('XSDN TB'!$R:$R,'SDN P&amp;L'!$A58,'XSDN TB'!H:H)</f>
        <v/>
      </c>
      <c r="U58" s="37">
        <f>SUMIF('SDN TB'!$R:$R,'SDN P&amp;L'!$A58,'SDN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8" t="n">
        <v>0</v>
      </c>
      <c r="AJ58" s="119" t="n">
        <v>0</v>
      </c>
      <c r="AK58" s="119" t="n">
        <v>0</v>
      </c>
      <c r="AL58" s="119" t="n">
        <v>0</v>
      </c>
      <c r="AM58" s="120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201.37</v>
      </c>
      <c r="D59" s="35" t="n">
        <v>201.37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201.37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SUMIF('XSDN TB'!$R:$R,'SDN P&amp;L'!$A59,'XSDN TB'!C:C)</f>
        <v/>
      </c>
      <c r="P59" s="37">
        <f>SUMIF('XSDN TB'!$R:$R,'SDN P&amp;L'!$A59,'XSDN TB'!D:D)</f>
        <v/>
      </c>
      <c r="Q59" s="37">
        <f>SUMIF('XSDN TB'!$R:$R,'SDN P&amp;L'!$A59,'XSDN TB'!E:E)</f>
        <v/>
      </c>
      <c r="R59" s="37">
        <f>SUMIF('XSDN TB'!$R:$R,'SDN P&amp;L'!$A59,'XSDN TB'!F:F)</f>
        <v/>
      </c>
      <c r="S59" s="37">
        <f>SUMIF('XSDN TB'!$R:$R,'SDN P&amp;L'!$A59,'XSDN TB'!G:G)</f>
        <v/>
      </c>
      <c r="T59" s="37">
        <f>SUMIF('XSDN TB'!$R:$R,'SDN P&amp;L'!$A59,'XSDN TB'!H:H)</f>
        <v/>
      </c>
      <c r="U59" s="37">
        <f>SUMIF('SDN TB'!$R:$R,'SDN P&amp;L'!$A59,'SDN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18" t="n">
        <v>0</v>
      </c>
      <c r="AJ59" s="119" t="n">
        <v>0</v>
      </c>
      <c r="AK59" s="119" t="n">
        <v>0</v>
      </c>
      <c r="AL59" s="119" t="n">
        <v>0</v>
      </c>
      <c r="AM59" s="120" t="n">
        <v>0</v>
      </c>
      <c r="AN59" s="118" t="n">
        <v>0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8.58</v>
      </c>
      <c r="C60" s="35" t="n">
        <v>0</v>
      </c>
      <c r="D60" s="35" t="n">
        <v>362.21</v>
      </c>
      <c r="E60" s="35" t="n">
        <v>2.4</v>
      </c>
      <c r="F60" s="35" t="n">
        <v>1.8</v>
      </c>
      <c r="G60" s="35" t="n">
        <v>45</v>
      </c>
      <c r="H60" s="35" t="n">
        <v>20.55</v>
      </c>
      <c r="I60" s="35" t="n">
        <v>1.2</v>
      </c>
      <c r="J60" s="35" t="n">
        <v>2.4</v>
      </c>
      <c r="K60" s="35" t="n">
        <v>68.19999999999999</v>
      </c>
      <c r="L60" s="35" t="n">
        <v>2.4</v>
      </c>
      <c r="M60" s="35" t="n">
        <v>47.40000000000001</v>
      </c>
      <c r="N60" s="36">
        <f>SUM(B60:M60)</f>
        <v/>
      </c>
      <c r="O60" s="37">
        <f>SUMIF('XSDN TB'!$R:$R,'SDN P&amp;L'!$A60,'XSDN TB'!C:C)</f>
        <v/>
      </c>
      <c r="P60" s="37">
        <f>SUMIF('XSDN TB'!$R:$R,'SDN P&amp;L'!$A60,'XSDN TB'!D:D)</f>
        <v/>
      </c>
      <c r="Q60" s="37">
        <f>SUMIF('XSDN TB'!$R:$R,'SDN P&amp;L'!$A60,'XSDN TB'!E:E)</f>
        <v/>
      </c>
      <c r="R60" s="37">
        <f>SUMIF('XSDN TB'!$R:$R,'SDN P&amp;L'!$A60,'XSDN TB'!F:F)</f>
        <v/>
      </c>
      <c r="S60" s="37">
        <f>SUMIF('XSDN TB'!$R:$R,'SDN P&amp;L'!$A60,'XSDN TB'!G:G)</f>
        <v/>
      </c>
      <c r="T60" s="37">
        <f>SUMIF('XSDN TB'!$R:$R,'SDN P&amp;L'!$A60,'XSDN TB'!H:H)</f>
        <v/>
      </c>
      <c r="U60" s="37">
        <f>SUMIF('SDN TB'!$R:$R,'SDN P&amp;L'!$A60,'SDN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8" t="n">
        <v>0</v>
      </c>
      <c r="AJ60" s="119" t="n">
        <v>0</v>
      </c>
      <c r="AK60" s="119" t="n">
        <v>0</v>
      </c>
      <c r="AL60" s="119" t="n">
        <v>0</v>
      </c>
      <c r="AM60" s="120" t="n">
        <v>0</v>
      </c>
      <c r="AN60" s="118" t="n">
        <v>0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43.2</v>
      </c>
      <c r="C61" s="35" t="n">
        <v>48.88</v>
      </c>
      <c r="D61" s="35" t="n">
        <v>27.94</v>
      </c>
      <c r="E61" s="35" t="n">
        <v>5.81</v>
      </c>
      <c r="F61" s="35" t="n">
        <v>27.4</v>
      </c>
      <c r="G61" s="35" t="n">
        <v>0</v>
      </c>
      <c r="H61" s="35" t="n">
        <v>31.57</v>
      </c>
      <c r="I61" s="35" t="n">
        <v>0</v>
      </c>
      <c r="J61" s="35" t="n">
        <v>0</v>
      </c>
      <c r="K61" s="35" t="n">
        <v>18.94</v>
      </c>
      <c r="L61" s="35" t="n">
        <v>11.74</v>
      </c>
      <c r="M61" s="35" t="n">
        <v>20.97</v>
      </c>
      <c r="N61" s="36">
        <f>SUM(B61:M61)</f>
        <v/>
      </c>
      <c r="O61" s="37">
        <f>SUMIF('XSDN TB'!$R:$R,'SDN P&amp;L'!$A61,'XSDN TB'!C:C)</f>
        <v/>
      </c>
      <c r="P61" s="37">
        <f>SUMIF('XSDN TB'!$R:$R,'SDN P&amp;L'!$A61,'XSDN TB'!D:D)</f>
        <v/>
      </c>
      <c r="Q61" s="37">
        <f>SUMIF('XSDN TB'!$R:$R,'SDN P&amp;L'!$A61,'XSDN TB'!E:E)</f>
        <v/>
      </c>
      <c r="R61" s="37">
        <f>SUMIF('XSDN TB'!$R:$R,'SDN P&amp;L'!$A61,'XSDN TB'!F:F)</f>
        <v/>
      </c>
      <c r="S61" s="37">
        <f>SUMIF('XSDN TB'!$R:$R,'SDN P&amp;L'!$A61,'XSDN TB'!G:G)</f>
        <v/>
      </c>
      <c r="T61" s="37">
        <f>SUMIF('XSDN TB'!$R:$R,'SDN P&amp;L'!$A61,'XSDN TB'!H:H)</f>
        <v/>
      </c>
      <c r="U61" s="37">
        <f>SUMIF('SDN TB'!$R:$R,'SDN P&amp;L'!$A61,'SDN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8" t="n">
        <v>0</v>
      </c>
      <c r="AJ61" s="119" t="n">
        <v>0</v>
      </c>
      <c r="AK61" s="119" t="n">
        <v>0</v>
      </c>
      <c r="AL61" s="119" t="n">
        <v>0</v>
      </c>
      <c r="AM61" s="120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61.95</v>
      </c>
      <c r="D62" s="35" t="n">
        <v>0</v>
      </c>
      <c r="E62" s="35" t="n">
        <v>12.1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0</v>
      </c>
      <c r="L62" s="35" t="n">
        <v>0</v>
      </c>
      <c r="M62" s="35" t="n">
        <v>21.7</v>
      </c>
      <c r="N62" s="36">
        <f>SUM(B62:M62)</f>
        <v/>
      </c>
      <c r="O62" s="37">
        <f>SUMIF('XSDN TB'!$R:$R,'SDN P&amp;L'!$A62,'XSDN TB'!C:C)</f>
        <v/>
      </c>
      <c r="P62" s="37">
        <f>SUMIF('XSDN TB'!$R:$R,'SDN P&amp;L'!$A62,'XSDN TB'!D:D)</f>
        <v/>
      </c>
      <c r="Q62" s="37">
        <f>SUMIF('XSDN TB'!$R:$R,'SDN P&amp;L'!$A62,'XSDN TB'!E:E)</f>
        <v/>
      </c>
      <c r="R62" s="37">
        <f>SUMIF('XSDN TB'!$R:$R,'SDN P&amp;L'!$A62,'XSDN TB'!F:F)</f>
        <v/>
      </c>
      <c r="S62" s="37">
        <f>SUMIF('XSDN TB'!$R:$R,'SDN P&amp;L'!$A62,'XSDN TB'!G:G)</f>
        <v/>
      </c>
      <c r="T62" s="37">
        <f>SUMIF('XSDN TB'!$R:$R,'SDN P&amp;L'!$A62,'XSDN TB'!H:H)</f>
        <v/>
      </c>
      <c r="U62" s="37">
        <f>SUMIF('SDN TB'!$R:$R,'SDN P&amp;L'!$A62,'SDN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8" t="n">
        <v>0</v>
      </c>
      <c r="AJ62" s="119" t="n">
        <v>0</v>
      </c>
      <c r="AK62" s="119" t="n">
        <v>0</v>
      </c>
      <c r="AL62" s="119" t="n">
        <v>0</v>
      </c>
      <c r="AM62" s="120" t="n">
        <v>0</v>
      </c>
      <c r="AN62" s="118" t="n">
        <v>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SUMIF('XSDN TB'!$R:$R,'SDN P&amp;L'!$A63,'XSDN TB'!C:C)</f>
        <v/>
      </c>
      <c r="P63" s="37">
        <f>SUMIF('XSDN TB'!$R:$R,'SDN P&amp;L'!$A63,'XSDN TB'!D:D)</f>
        <v/>
      </c>
      <c r="Q63" s="37">
        <f>SUMIF('XSDN TB'!$R:$R,'SDN P&amp;L'!$A63,'XSDN TB'!E:E)</f>
        <v/>
      </c>
      <c r="R63" s="37">
        <f>SUMIF('XSDN TB'!$R:$R,'SDN P&amp;L'!$A63,'XSDN TB'!F:F)</f>
        <v/>
      </c>
      <c r="S63" s="37">
        <f>SUMIF('XSDN TB'!$R:$R,'SDN P&amp;L'!$A63,'XSDN TB'!G:G)</f>
        <v/>
      </c>
      <c r="T63" s="37">
        <f>SUMIF('XSDN TB'!$R:$R,'SDN P&amp;L'!$A63,'XSDN TB'!H:H)</f>
        <v/>
      </c>
      <c r="U63" s="37">
        <f>SUMIF('SDN TB'!$R:$R,'SDN P&amp;L'!$A63,'SDN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8" t="n">
        <v>0</v>
      </c>
      <c r="AJ63" s="119" t="n">
        <v>0</v>
      </c>
      <c r="AK63" s="119" t="n">
        <v>0</v>
      </c>
      <c r="AL63" s="119" t="n">
        <v>0</v>
      </c>
      <c r="AM63" s="120" t="n">
        <v>0</v>
      </c>
      <c r="AN63" s="118" t="n">
        <v>0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SUMIF('XSDN TB'!$R:$R,'SDN P&amp;L'!$A64,'XSDN TB'!C:C)</f>
        <v/>
      </c>
      <c r="P64" s="37">
        <f>SUMIF('XSDN TB'!$R:$R,'SDN P&amp;L'!$A64,'XSDN TB'!D:D)</f>
        <v/>
      </c>
      <c r="Q64" s="37">
        <f>SUMIF('XSDN TB'!$R:$R,'SDN P&amp;L'!$A64,'XSDN TB'!E:E)</f>
        <v/>
      </c>
      <c r="R64" s="37">
        <f>SUMIF('XSDN TB'!$R:$R,'SDN P&amp;L'!$A64,'XSDN TB'!F:F)</f>
        <v/>
      </c>
      <c r="S64" s="37">
        <f>SUMIF('XSDN TB'!$R:$R,'SDN P&amp;L'!$A64,'XSDN TB'!G:G)</f>
        <v/>
      </c>
      <c r="T64" s="37">
        <f>SUMIF('XSDN TB'!$R:$R,'SDN P&amp;L'!$A64,'XSDN TB'!H:H)</f>
        <v/>
      </c>
      <c r="U64" s="37">
        <f>SUMIF('SDN TB'!$R:$R,'SDN P&amp;L'!$A64,'SDN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8" t="n">
        <v>0</v>
      </c>
      <c r="AJ64" s="119" t="n">
        <v>0</v>
      </c>
      <c r="AK64" s="119" t="n">
        <v>0</v>
      </c>
      <c r="AL64" s="119" t="n">
        <v>0</v>
      </c>
      <c r="AM64" s="120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SUMIF('XSDN TB'!$R:$R,'SDN P&amp;L'!$A65,'XSDN TB'!C:C)</f>
        <v/>
      </c>
      <c r="P65" s="37">
        <f>SUMIF('XSDN TB'!$R:$R,'SDN P&amp;L'!$A65,'XSDN TB'!D:D)</f>
        <v/>
      </c>
      <c r="Q65" s="37">
        <f>SUMIF('XSDN TB'!$R:$R,'SDN P&amp;L'!$A65,'XSDN TB'!E:E)</f>
        <v/>
      </c>
      <c r="R65" s="37">
        <f>SUMIF('XSDN TB'!$R:$R,'SDN P&amp;L'!$A65,'XSDN TB'!F:F)</f>
        <v/>
      </c>
      <c r="S65" s="37">
        <f>SUMIF('XSDN TB'!$R:$R,'SDN P&amp;L'!$A65,'XSDN TB'!G:G)</f>
        <v/>
      </c>
      <c r="T65" s="37">
        <f>SUMIF('XSDN TB'!$R:$R,'SDN P&amp;L'!$A65,'XSDN TB'!H:H)</f>
        <v/>
      </c>
      <c r="U65" s="37">
        <f>SUMIF('SDN TB'!$R:$R,'SDN P&amp;L'!$A65,'SDN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8" t="n">
        <v>0</v>
      </c>
      <c r="AJ65" s="119" t="n">
        <v>0</v>
      </c>
      <c r="AK65" s="119" t="n">
        <v>0</v>
      </c>
      <c r="AL65" s="119" t="n">
        <v>0</v>
      </c>
      <c r="AM65" s="120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SUMIF('XSDN TB'!$R:$R,'SDN P&amp;L'!$A66,'XSDN TB'!C:C)</f>
        <v/>
      </c>
      <c r="P66" s="37">
        <f>SUMIF('XSDN TB'!$R:$R,'SDN P&amp;L'!$A66,'XSDN TB'!D:D)</f>
        <v/>
      </c>
      <c r="Q66" s="37">
        <f>SUMIF('XSDN TB'!$R:$R,'SDN P&amp;L'!$A66,'XSDN TB'!E:E)</f>
        <v/>
      </c>
      <c r="R66" s="37">
        <f>SUMIF('XSDN TB'!$R:$R,'SDN P&amp;L'!$A66,'XSDN TB'!F:F)</f>
        <v/>
      </c>
      <c r="S66" s="37">
        <f>SUMIF('XSDN TB'!$R:$R,'SDN P&amp;L'!$A66,'XSDN TB'!G:G)</f>
        <v/>
      </c>
      <c r="T66" s="37">
        <f>SUMIF('XSDN TB'!$R:$R,'SDN P&amp;L'!$A66,'XSDN TB'!H:H)</f>
        <v/>
      </c>
      <c r="U66" s="37">
        <f>SUMIF('SDN TB'!$R:$R,'SDN P&amp;L'!$A66,'SDN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8" t="n">
        <v>0</v>
      </c>
      <c r="AJ66" s="119" t="n">
        <v>0</v>
      </c>
      <c r="AK66" s="119" t="n">
        <v>0</v>
      </c>
      <c r="AL66" s="119" t="n">
        <v>0</v>
      </c>
      <c r="AM66" s="120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SUMIF('XSDN TB'!$R:$R,'SDN P&amp;L'!$A67,'XSDN TB'!C:C)</f>
        <v/>
      </c>
      <c r="P67" s="37">
        <f>SUMIF('XSDN TB'!$R:$R,'SDN P&amp;L'!$A67,'XSDN TB'!D:D)</f>
        <v/>
      </c>
      <c r="Q67" s="37">
        <f>SUMIF('XSDN TB'!$R:$R,'SDN P&amp;L'!$A67,'XSDN TB'!E:E)</f>
        <v/>
      </c>
      <c r="R67" s="37">
        <f>SUMIF('XSDN TB'!$R:$R,'SDN P&amp;L'!$A67,'XSDN TB'!F:F)</f>
        <v/>
      </c>
      <c r="S67" s="37">
        <f>SUMIF('XSDN TB'!$R:$R,'SDN P&amp;L'!$A67,'XSDN TB'!G:G)</f>
        <v/>
      </c>
      <c r="T67" s="37">
        <f>SUMIF('XSDN TB'!$R:$R,'SDN P&amp;L'!$A67,'XSDN TB'!H:H)</f>
        <v/>
      </c>
      <c r="U67" s="37">
        <f>SUMIF('SDN TB'!$R:$R,'SDN P&amp;L'!$A67,'SDN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8" t="n">
        <v>0</v>
      </c>
      <c r="AJ67" s="119" t="n">
        <v>0</v>
      </c>
      <c r="AK67" s="119" t="n">
        <v>0</v>
      </c>
      <c r="AL67" s="119" t="n">
        <v>0</v>
      </c>
      <c r="AM67" s="120" t="n">
        <v>0</v>
      </c>
      <c r="AN67" s="118" t="n">
        <v>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SUMIF('XSDN TB'!$R:$R,'SDN P&amp;L'!$A68,'XSDN TB'!C:C)</f>
        <v/>
      </c>
      <c r="P68" s="37">
        <f>SUMIF('XSDN TB'!$R:$R,'SDN P&amp;L'!$A68,'XSDN TB'!D:D)</f>
        <v/>
      </c>
      <c r="Q68" s="37">
        <f>SUMIF('XSDN TB'!$R:$R,'SDN P&amp;L'!$A68,'XSDN TB'!E:E)</f>
        <v/>
      </c>
      <c r="R68" s="37">
        <f>SUMIF('XSDN TB'!$R:$R,'SDN P&amp;L'!$A68,'XSDN TB'!F:F)</f>
        <v/>
      </c>
      <c r="S68" s="37">
        <f>SUMIF('XSDN TB'!$R:$R,'SDN P&amp;L'!$A68,'XSDN TB'!G:G)</f>
        <v/>
      </c>
      <c r="T68" s="37">
        <f>SUMIF('XSDN TB'!$R:$R,'SDN P&amp;L'!$A68,'XSDN TB'!H:H)</f>
        <v/>
      </c>
      <c r="U68" s="37">
        <f>SUMIF('SDN TB'!$R:$R,'SDN P&amp;L'!$A68,'SDN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8" t="n">
        <v>0</v>
      </c>
      <c r="AJ68" s="119" t="n">
        <v>0</v>
      </c>
      <c r="AK68" s="119" t="n">
        <v>0</v>
      </c>
      <c r="AL68" s="119" t="n">
        <v>0</v>
      </c>
      <c r="AM68" s="120" t="n">
        <v>0</v>
      </c>
      <c r="AN68" s="118" t="n">
        <v>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253.16</v>
      </c>
      <c r="C69" s="42" t="n">
        <v>312.2</v>
      </c>
      <c r="D69" s="42" t="n">
        <v>591.52</v>
      </c>
      <c r="E69" s="42" t="n">
        <v>221.69</v>
      </c>
      <c r="F69" s="42" t="n">
        <v>230.58</v>
      </c>
      <c r="G69" s="42" t="n">
        <v>246.38</v>
      </c>
      <c r="H69" s="42" t="n">
        <v>253.5</v>
      </c>
      <c r="I69" s="42" t="n">
        <v>202.58</v>
      </c>
      <c r="J69" s="42" t="n">
        <v>203.77</v>
      </c>
      <c r="K69" s="42" t="n">
        <v>301.94</v>
      </c>
      <c r="L69" s="42" t="n">
        <v>228.94</v>
      </c>
      <c r="M69" s="42" t="n">
        <v>653.7400000000001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3">
        <f>SUM(AI53:AI68)</f>
        <v/>
      </c>
      <c r="AJ69" s="124">
        <f>SUM(AJ53:AJ68)</f>
        <v/>
      </c>
      <c r="AK69" s="124">
        <f>SUM(AK53:AK68)</f>
        <v/>
      </c>
      <c r="AL69" s="124">
        <f>SUM(AL53:AL68)</f>
        <v/>
      </c>
      <c r="AM69" s="124">
        <f>SUM(AM53:AM68)</f>
        <v/>
      </c>
      <c r="AN69" s="123">
        <f>SUM(AN53:AN68)</f>
        <v/>
      </c>
      <c r="AO69" s="125">
        <f>SUM(AC69:AH69)+SUM(AI69:AN69)</f>
        <v/>
      </c>
      <c r="AP69" s="126">
        <f>IF(AB69&lt;&gt;0,(AO69-AB69)/ABS(AB69),0)</f>
        <v/>
      </c>
    </row>
    <row r="70">
      <c r="A70" s="54" t="inlineStr">
        <is>
          <t>EBITDA</t>
        </is>
      </c>
      <c r="B70" s="55" t="n">
        <v>8608.859999999997</v>
      </c>
      <c r="C70" s="55" t="n">
        <v>20389.71</v>
      </c>
      <c r="D70" s="55" t="n">
        <v>29601.25</v>
      </c>
      <c r="E70" s="55" t="n">
        <v>14679.77</v>
      </c>
      <c r="F70" s="55" t="n">
        <v>458.4899999999924</v>
      </c>
      <c r="G70" s="55" t="n">
        <v>22410.93999999999</v>
      </c>
      <c r="H70" s="55" t="n">
        <v>35532.13</v>
      </c>
      <c r="I70" s="55" t="n">
        <v>6896.640000000009</v>
      </c>
      <c r="J70" s="55" t="n">
        <v>1807.040000000005</v>
      </c>
      <c r="K70" s="55" t="n">
        <v>-4245.730000000008</v>
      </c>
      <c r="L70" s="55" t="n">
        <v>11104.48999999999</v>
      </c>
      <c r="M70" s="55" t="n">
        <v>16812.09999999999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6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0">
        <f>AI50-AI69</f>
        <v/>
      </c>
      <c r="AJ70" s="140">
        <f>AJ50-AJ69</f>
        <v/>
      </c>
      <c r="AK70" s="140">
        <f>AK50-AK69</f>
        <v/>
      </c>
      <c r="AL70" s="140">
        <f>AL50-AL69</f>
        <v/>
      </c>
      <c r="AM70" s="140">
        <f>AM50-AM69</f>
        <v/>
      </c>
      <c r="AN70" s="140">
        <f>AN50-AN69</f>
        <v/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2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8" t="n"/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60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60" t="inlineStr">
        <is>
          <t>Memo</t>
        </is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60">
        <f>SUM(O73:T73)</f>
        <v/>
      </c>
      <c r="AB73" s="56" t="n"/>
      <c r="AC73" s="8" t="n"/>
      <c r="AD73" s="8" t="n"/>
      <c r="AE73" s="8" t="n"/>
      <c r="AF73" s="8" t="n"/>
      <c r="AG73" s="8" t="n"/>
      <c r="AH73" s="8" t="n"/>
      <c r="AI73" s="148" t="n">
        <v>0</v>
      </c>
      <c r="AJ73" s="148" t="n">
        <v>0</v>
      </c>
      <c r="AK73" s="148" t="n">
        <v>0</v>
      </c>
      <c r="AL73" s="148" t="n">
        <v>0</v>
      </c>
      <c r="AM73" s="148" t="n">
        <v>0</v>
      </c>
      <c r="AN73" s="148" t="n">
        <v>0</v>
      </c>
      <c r="AO73" s="145">
        <f>SUM(AC73:AH73)+SUM(AI73:AN73)</f>
        <v/>
      </c>
      <c r="AP73" s="142">
        <f>IF(AB73&lt;&gt;0,(AO73-AB73)/ABS(AB73),0)</f>
        <v/>
      </c>
    </row>
    <row r="74">
      <c r="A74" s="60" t="inlineStr">
        <is>
          <t>Direct - Sales</t>
        </is>
      </c>
      <c r="B74" s="60" t="n">
        <v>48732.23</v>
      </c>
      <c r="C74" s="60" t="n">
        <v>58718.16</v>
      </c>
      <c r="D74" s="60" t="n">
        <v>64382.92</v>
      </c>
      <c r="E74" s="60" t="n">
        <v>52875.1</v>
      </c>
      <c r="F74" s="60" t="n">
        <v>43941.13</v>
      </c>
      <c r="G74" s="60" t="n">
        <v>58414.34</v>
      </c>
      <c r="H74" s="60" t="n">
        <v>71871.55</v>
      </c>
      <c r="I74" s="60" t="n">
        <v>40933.60000000001</v>
      </c>
      <c r="J74" s="60" t="n">
        <v>33235.2</v>
      </c>
      <c r="K74" s="60" t="n">
        <v>31364.02</v>
      </c>
      <c r="L74" s="60" t="n">
        <v>45335.14</v>
      </c>
      <c r="M74" s="8" t="n"/>
      <c r="N74" s="8" t="n"/>
      <c r="O74" s="60">
        <f>-SUMIF('XSDN TB'!$T:$T,'SDN P&amp;L'!$A74,'XSDN TB'!C:C)</f>
        <v/>
      </c>
      <c r="P74" s="60">
        <f>-SUMIF('XSDN TB'!$T:$T,'SDN P&amp;L'!$A74,'XSDN TB'!D:D)</f>
        <v/>
      </c>
      <c r="Q74" s="60">
        <f>-SUMIF('XSDN TB'!$T:$T,'SDN P&amp;L'!$A74,'XSDN TB'!E:E)</f>
        <v/>
      </c>
      <c r="R74" s="60">
        <f>-SUMIF('XSDN TB'!$T:$T,'SDN P&amp;L'!$A74,'XSDN TB'!F:F)</f>
        <v/>
      </c>
      <c r="S74" s="60">
        <f>-SUMIF('XSDN TB'!$T:$T,'SDN P&amp;L'!$A74,'XSDN TB'!G:G)</f>
        <v/>
      </c>
      <c r="T74" s="60">
        <f>-SUMIF('XSDN TB'!$T:$T,'SDN P&amp;L'!$A74,'XSDN TB'!H:H)</f>
        <v/>
      </c>
      <c r="U74" s="60">
        <f>-SUMIF('XSDN TB'!$T:$T,'SDN P&amp;L'!$A74,'XSDN TB'!I:I)</f>
        <v/>
      </c>
      <c r="V74" s="60">
        <f>-SUMIF('XSDN TB'!$T:$T,'SDN P&amp;L'!$A74,'XSDN TB'!J:J)</f>
        <v/>
      </c>
      <c r="W74" s="60">
        <f>-SUMIF('XSDN TB'!$T:$T,'SDN P&amp;L'!$A74,'XSDN TB'!K:K)</f>
        <v/>
      </c>
      <c r="X74" s="60">
        <f>-SUMIF('XSDN TB'!$T:$T,'SDN P&amp;L'!$A74,'XSDN TB'!L:L)</f>
        <v/>
      </c>
      <c r="Y74" s="60">
        <f>-SUMIF('XSDN TB'!$T:$T,'SDN P&amp;L'!$A74,'XSDN TB'!M:M)</f>
        <v/>
      </c>
      <c r="Z74" s="60">
        <f>-SUMIF('XSDN TB'!$T:$T,'SDN P&amp;L'!$A74,'XSDN TB'!N:N)</f>
        <v/>
      </c>
      <c r="AA74" s="60">
        <f>SUM(O74:T74)</f>
        <v/>
      </c>
      <c r="AB74" s="8" t="n"/>
      <c r="AC74" s="8" t="n"/>
      <c r="AD74" s="8" t="n"/>
      <c r="AE74" s="8" t="n"/>
      <c r="AF74" s="8" t="n"/>
      <c r="AG74" s="8" t="n"/>
      <c r="AH74" s="8" t="n"/>
      <c r="AI74" s="134" t="n">
        <v>0</v>
      </c>
      <c r="AJ74" s="134" t="n">
        <v>0</v>
      </c>
      <c r="AK74" s="134" t="n">
        <v>0</v>
      </c>
      <c r="AL74" s="134" t="n">
        <v>0</v>
      </c>
      <c r="AM74" s="134" t="n">
        <v>0</v>
      </c>
      <c r="AN74" s="134" t="n">
        <v>0</v>
      </c>
      <c r="AO74" s="145">
        <f>SUM(AC74:AH74)+SUM(AI74:AN74)</f>
        <v/>
      </c>
      <c r="AP74" s="142">
        <f>IF(AB74&lt;&gt;0,(AO74-AB74)/ABS(AB74),0)</f>
        <v/>
      </c>
    </row>
    <row r="75">
      <c r="A75" s="34" t="inlineStr">
        <is>
          <t>Direct - Staff Cost</t>
        </is>
      </c>
      <c r="B75" s="18" t="n">
        <v>-33262.49</v>
      </c>
      <c r="C75" s="18" t="n">
        <v>-30865.36</v>
      </c>
      <c r="D75" s="18" t="n">
        <v>-27697.74</v>
      </c>
      <c r="E75" s="18" t="n">
        <v>-31873.07</v>
      </c>
      <c r="F75" s="18" t="n">
        <v>-36902.71000000001</v>
      </c>
      <c r="G75" s="18" t="n">
        <v>-30037.63</v>
      </c>
      <c r="H75" s="18" t="n">
        <v>-30604.08</v>
      </c>
      <c r="I75" s="18" t="n">
        <v>-28328.26</v>
      </c>
      <c r="J75" s="18" t="n">
        <v>-26280.16999999999</v>
      </c>
      <c r="K75" s="18" t="n">
        <v>-29836.96</v>
      </c>
      <c r="L75" s="18" t="n">
        <v>-28754.76000000001</v>
      </c>
      <c r="M75" s="18" t="n"/>
      <c r="N75" s="8" t="n"/>
      <c r="O75" s="60">
        <f>-SUMIF('XSDN TB'!$T:$T,'SDN P&amp;L'!$A75,'XSDN TB'!C:C)</f>
        <v/>
      </c>
      <c r="P75" s="60">
        <f>-SUMIF('XSDN TB'!$T:$T,'SDN P&amp;L'!$A75,'XSDN TB'!D:D)</f>
        <v/>
      </c>
      <c r="Q75" s="60">
        <f>-SUMIF('XSDN TB'!$T:$T,'SDN P&amp;L'!$A75,'XSDN TB'!E:E)</f>
        <v/>
      </c>
      <c r="R75" s="60">
        <f>-SUMIF('XSDN TB'!$T:$T,'SDN P&amp;L'!$A75,'XSDN TB'!F:F)</f>
        <v/>
      </c>
      <c r="S75" s="60">
        <f>-SUMIF('XSDN TB'!$T:$T,'SDN P&amp;L'!$A75,'XSDN TB'!G:G)</f>
        <v/>
      </c>
      <c r="T75" s="60">
        <f>-SUMIF('XSDN TB'!$T:$T,'SDN P&amp;L'!$A75,'XSDN TB'!H:H)</f>
        <v/>
      </c>
      <c r="U75" s="60">
        <f>-SUMIF('XSDN TB'!$T:$T,'SDN P&amp;L'!$A75,'XSDN TB'!I:I)</f>
        <v/>
      </c>
      <c r="V75" s="60">
        <f>-SUMIF('XSDN TB'!$T:$T,'SDN P&amp;L'!$A75,'XSDN TB'!J:J)</f>
        <v/>
      </c>
      <c r="W75" s="60">
        <f>-SUMIF('XSDN TB'!$T:$T,'SDN P&amp;L'!$A75,'XSDN TB'!K:K)</f>
        <v/>
      </c>
      <c r="X75" s="60">
        <f>-SUMIF('XSDN TB'!$T:$T,'SDN P&amp;L'!$A75,'XSDN TB'!L:L)</f>
        <v/>
      </c>
      <c r="Y75" s="60">
        <f>-SUMIF('XSDN TB'!$T:$T,'SDN P&amp;L'!$A75,'XSDN TB'!M:M)</f>
        <v/>
      </c>
      <c r="Z75" s="60">
        <f>-SUMIF('XSDN TB'!$T:$T,'SDN P&amp;L'!$A75,'XSDN TB'!N:N)</f>
        <v/>
      </c>
      <c r="AA75" s="60">
        <f>SUM(O75:T75)</f>
        <v/>
      </c>
      <c r="AB75" s="8" t="n"/>
      <c r="AC75" s="8" t="n"/>
      <c r="AD75" s="8" t="n"/>
      <c r="AE75" s="8" t="n"/>
      <c r="AF75" s="8" t="n"/>
      <c r="AG75" s="8" t="n"/>
      <c r="AH75" s="8" t="n"/>
      <c r="AI75" s="134" t="n">
        <v>0</v>
      </c>
      <c r="AJ75" s="134" t="n">
        <v>0</v>
      </c>
      <c r="AK75" s="134" t="n">
        <v>0</v>
      </c>
      <c r="AL75" s="134" t="n">
        <v>0</v>
      </c>
      <c r="AM75" s="134" t="n">
        <v>0</v>
      </c>
      <c r="AN75" s="134" t="n">
        <v>0</v>
      </c>
      <c r="AO75" s="144">
        <f>SUM(AC75:AH75)+SUM(AI75:AN75)</f>
        <v/>
      </c>
      <c r="AP75" s="142">
        <f>IF(AB75&lt;&gt;0,(AO75-AB75)/ABS(AB75),0)</f>
        <v/>
      </c>
    </row>
    <row r="76">
      <c r="A76" s="60" t="inlineStr">
        <is>
          <t>Direct - Childcare Cost</t>
        </is>
      </c>
      <c r="B76" s="18" t="n">
        <v>-2008.15</v>
      </c>
      <c r="C76" s="18" t="n">
        <v>-2961.2</v>
      </c>
      <c r="D76" s="18" t="n">
        <v>-2111.57</v>
      </c>
      <c r="E76" s="18" t="n">
        <v>-2139.41</v>
      </c>
      <c r="F76" s="18" t="n">
        <v>-2728.47</v>
      </c>
      <c r="G76" s="18" t="n">
        <v>-2510.75</v>
      </c>
      <c r="H76" s="18" t="n">
        <v>-2466.63</v>
      </c>
      <c r="I76" s="18" t="n">
        <v>-2234.18</v>
      </c>
      <c r="J76" s="18" t="n">
        <v>-1847.14</v>
      </c>
      <c r="K76" s="18" t="n">
        <v>-1887.07</v>
      </c>
      <c r="L76" s="18" t="n">
        <v>-1912.24</v>
      </c>
      <c r="M76" s="18" t="n">
        <v>-1506</v>
      </c>
      <c r="N76" s="8" t="n"/>
      <c r="O76" s="60">
        <f>-SUMIF('XSDN TB'!$T:$T,'SDN P&amp;L'!$A76,'XSDN TB'!C:C)</f>
        <v/>
      </c>
      <c r="P76" s="60">
        <f>-SUMIF('XSDN TB'!$T:$T,'SDN P&amp;L'!$A76,'XSDN TB'!D:D)</f>
        <v/>
      </c>
      <c r="Q76" s="60">
        <f>-SUMIF('XSDN TB'!$T:$T,'SDN P&amp;L'!$A76,'XSDN TB'!E:E)</f>
        <v/>
      </c>
      <c r="R76" s="60">
        <f>-SUMIF('XSDN TB'!$T:$T,'SDN P&amp;L'!$A76,'XSDN TB'!F:F)</f>
        <v/>
      </c>
      <c r="S76" s="60">
        <f>-SUMIF('XSDN TB'!$T:$T,'SDN P&amp;L'!$A76,'XSDN TB'!G:G)</f>
        <v/>
      </c>
      <c r="T76" s="60">
        <f>-SUMIF('XSDN TB'!$T:$T,'SDN P&amp;L'!$A76,'XSDN TB'!H:H)</f>
        <v/>
      </c>
      <c r="U76" s="60">
        <f>-SUMIF('XSDN TB'!$T:$T,'SDN P&amp;L'!$A76,'XSDN TB'!I:I)</f>
        <v/>
      </c>
      <c r="V76" s="60">
        <f>-SUMIF('XSDN TB'!$T:$T,'SDN P&amp;L'!$A76,'XSDN TB'!J:J)</f>
        <v/>
      </c>
      <c r="W76" s="60">
        <f>-SUMIF('XSDN TB'!$T:$T,'SDN P&amp;L'!$A76,'XSDN TB'!K:K)</f>
        <v/>
      </c>
      <c r="X76" s="60">
        <f>-SUMIF('XSDN TB'!$T:$T,'SDN P&amp;L'!$A76,'XSDN TB'!L:L)</f>
        <v/>
      </c>
      <c r="Y76" s="60">
        <f>-SUMIF('XSDN TB'!$T:$T,'SDN P&amp;L'!$A76,'XSDN TB'!M:M)</f>
        <v/>
      </c>
      <c r="Z76" s="60">
        <f>-SUMIF('XSDN TB'!$T:$T,'SDN P&amp;L'!$A76,'XSDN TB'!N:N)</f>
        <v/>
      </c>
      <c r="AA76" s="60">
        <f>SUM(O76:T76)</f>
        <v/>
      </c>
      <c r="AB76" s="8" t="n"/>
      <c r="AC76" s="8" t="n"/>
      <c r="AD76" s="8" t="n"/>
      <c r="AE76" s="8" t="n"/>
      <c r="AF76" s="8" t="n"/>
      <c r="AG76" s="8" t="n"/>
      <c r="AH76" s="8" t="n"/>
      <c r="AI76" s="134" t="n">
        <v>0</v>
      </c>
      <c r="AJ76" s="134" t="n">
        <v>0</v>
      </c>
      <c r="AK76" s="134" t="n">
        <v>0</v>
      </c>
      <c r="AL76" s="134" t="n">
        <v>0</v>
      </c>
      <c r="AM76" s="134" t="n">
        <v>0</v>
      </c>
      <c r="AN76" s="134" t="n">
        <v>0</v>
      </c>
      <c r="AO76" s="144">
        <f>SUM(AC76:AH76)+SUM(AI76:AN76)</f>
        <v/>
      </c>
      <c r="AP76" s="142">
        <f>IF(AB76&lt;&gt;0,(AO76-AB76)/ABS(AB76),0)</f>
        <v/>
      </c>
    </row>
    <row r="77">
      <c r="A77" s="60" t="inlineStr">
        <is>
          <t>Direct - Premises &amp; Admin</t>
        </is>
      </c>
      <c r="B77" s="18" t="n">
        <v>-4599.569999999999</v>
      </c>
      <c r="C77" s="18" t="n">
        <v>-4189.69</v>
      </c>
      <c r="D77" s="18" t="n">
        <v>-4380.840000000001</v>
      </c>
      <c r="E77" s="18" t="n">
        <v>-3961.16</v>
      </c>
      <c r="F77" s="18" t="n">
        <v>-3620.88</v>
      </c>
      <c r="G77" s="18" t="n">
        <v>-3208.64</v>
      </c>
      <c r="H77" s="18" t="n">
        <v>-3015.21</v>
      </c>
      <c r="I77" s="18" t="n">
        <v>-3271.94</v>
      </c>
      <c r="J77" s="18" t="n">
        <v>-3097.08</v>
      </c>
      <c r="K77" s="18" t="n">
        <v>-3583.78</v>
      </c>
      <c r="L77" s="18" t="n">
        <v>-3334.71</v>
      </c>
      <c r="M77" s="18" t="n">
        <v>-2666.58</v>
      </c>
      <c r="N77" s="8" t="n"/>
      <c r="O77" s="60">
        <f>-SUMIF('XSDN TB'!$T:$T,'SDN P&amp;L'!$A77,'XSDN TB'!C:C)</f>
        <v/>
      </c>
      <c r="P77" s="60">
        <f>-SUMIF('XSDN TB'!$T:$T,'SDN P&amp;L'!$A77,'XSDN TB'!D:D)</f>
        <v/>
      </c>
      <c r="Q77" s="60">
        <f>-SUMIF('XSDN TB'!$T:$T,'SDN P&amp;L'!$A77,'XSDN TB'!E:E)</f>
        <v/>
      </c>
      <c r="R77" s="60">
        <f>-SUMIF('XSDN TB'!$T:$T,'SDN P&amp;L'!$A77,'XSDN TB'!F:F)</f>
        <v/>
      </c>
      <c r="S77" s="60">
        <f>-SUMIF('XSDN TB'!$T:$T,'SDN P&amp;L'!$A77,'XSDN TB'!G:G)</f>
        <v/>
      </c>
      <c r="T77" s="60">
        <f>-SUMIF('XSDN TB'!$T:$T,'SDN P&amp;L'!$A77,'XSDN TB'!H:H)</f>
        <v/>
      </c>
      <c r="U77" s="60">
        <f>-SUMIF('XSDN TB'!$T:$T,'SDN P&amp;L'!$A77,'XSDN TB'!I:I)</f>
        <v/>
      </c>
      <c r="V77" s="60">
        <f>-SUMIF('XSDN TB'!$T:$T,'SDN P&amp;L'!$A77,'XSDN TB'!J:J)</f>
        <v/>
      </c>
      <c r="W77" s="60">
        <f>-SUMIF('XSDN TB'!$T:$T,'SDN P&amp;L'!$A77,'XSDN TB'!K:K)</f>
        <v/>
      </c>
      <c r="X77" s="60">
        <f>-SUMIF('XSDN TB'!$T:$T,'SDN P&amp;L'!$A77,'XSDN TB'!L:L)</f>
        <v/>
      </c>
      <c r="Y77" s="60">
        <f>-SUMIF('XSDN TB'!$T:$T,'SDN P&amp;L'!$A77,'XSDN TB'!M:M)</f>
        <v/>
      </c>
      <c r="Z77" s="60">
        <f>-SUMIF('XSDN TB'!$T:$T,'SDN P&amp;L'!$A77,'XSDN TB'!N:N)</f>
        <v/>
      </c>
      <c r="AA77" s="60">
        <f>SUM(O77:T77)</f>
        <v/>
      </c>
      <c r="AB77" s="8" t="n"/>
      <c r="AC77" s="8" t="n"/>
      <c r="AD77" s="8" t="n"/>
      <c r="AE77" s="8" t="n"/>
      <c r="AF77" s="8" t="n"/>
      <c r="AG77" s="8" t="n"/>
      <c r="AH77" s="8" t="n"/>
      <c r="AI77" s="134" t="n">
        <v>0</v>
      </c>
      <c r="AJ77" s="134" t="n">
        <v>0</v>
      </c>
      <c r="AK77" s="134" t="n">
        <v>0</v>
      </c>
      <c r="AL77" s="134" t="n">
        <v>0</v>
      </c>
      <c r="AM77" s="134" t="n">
        <v>0</v>
      </c>
      <c r="AN77" s="134" t="n">
        <v>0</v>
      </c>
      <c r="AO77" s="144">
        <f>SUM(AC77:AH77)+SUM(AI77:AN77)</f>
        <v/>
      </c>
      <c r="AP77" s="142">
        <f>IF(AB77&lt;&gt;0,(AO77-AB77)/ABS(AB77),0)</f>
        <v/>
      </c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8" t="n"/>
      <c r="O78" s="60">
        <f>-SUMIF('XSDN TB'!$T:$T,'SDN P&amp;L'!$A78,'XSDN TB'!C:C)</f>
        <v/>
      </c>
      <c r="P78" s="60">
        <f>-SUMIF('XSDN TB'!$T:$T,'SDN P&amp;L'!$A78,'XSDN TB'!D:D)</f>
        <v/>
      </c>
      <c r="Q78" s="60">
        <f>-SUMIF('XSDN TB'!$T:$T,'SDN P&amp;L'!$A78,'XSDN TB'!E:E)</f>
        <v/>
      </c>
      <c r="R78" s="60">
        <f>-SUMIF('XSDN TB'!$T:$T,'SDN P&amp;L'!$A78,'XSDN TB'!F:F)</f>
        <v/>
      </c>
      <c r="S78" s="60">
        <f>-SUMIF('XSDN TB'!$T:$T,'SDN P&amp;L'!$A78,'XSDN TB'!G:G)</f>
        <v/>
      </c>
      <c r="T78" s="60">
        <f>-SUMIF('XSDN TB'!$T:$T,'SDN P&amp;L'!$A78,'XSDN TB'!H:H)</f>
        <v/>
      </c>
      <c r="U78" s="60">
        <f>-SUMIF('XSDN TB'!$T:$T,'SDN P&amp;L'!$A78,'XSDN TB'!I:I)</f>
        <v/>
      </c>
      <c r="V78" s="60">
        <f>-SUMIF('XSDN TB'!$T:$T,'SDN P&amp;L'!$A78,'XSDN TB'!J:J)</f>
        <v/>
      </c>
      <c r="W78" s="60">
        <f>-SUMIF('XSDN TB'!$T:$T,'SDN P&amp;L'!$A78,'XSDN TB'!K:K)</f>
        <v/>
      </c>
      <c r="X78" s="60">
        <f>-SUMIF('XSDN TB'!$T:$T,'SDN P&amp;L'!$A78,'XSDN TB'!L:L)</f>
        <v/>
      </c>
      <c r="Y78" s="60">
        <f>-SUMIF('XSDN TB'!$T:$T,'SDN P&amp;L'!$A78,'XSDN TB'!M:M)</f>
        <v/>
      </c>
      <c r="Z78" s="60">
        <f>-SUMIF('XSDN TB'!$T:$T,'SDN P&amp;L'!$A78,'XSDN TB'!N:N)</f>
        <v/>
      </c>
      <c r="AA78" s="60">
        <f>SUM(O78:T78)</f>
        <v/>
      </c>
      <c r="AB78" s="8" t="n"/>
      <c r="AC78" s="8" t="n"/>
      <c r="AD78" s="8" t="n"/>
      <c r="AE78" s="8" t="n"/>
      <c r="AF78" s="8" t="n"/>
      <c r="AG78" s="8" t="n"/>
      <c r="AH78" s="8" t="n"/>
      <c r="AI78" s="134" t="n">
        <v>0</v>
      </c>
      <c r="AJ78" s="134" t="n">
        <v>0</v>
      </c>
      <c r="AK78" s="134" t="n">
        <v>0</v>
      </c>
      <c r="AL78" s="134" t="n">
        <v>0</v>
      </c>
      <c r="AM78" s="134" t="n">
        <v>0</v>
      </c>
      <c r="AN78" s="134" t="n">
        <v>0</v>
      </c>
      <c r="AO78" s="144">
        <f>SUM(AC78:AH78)+SUM(AI78:AN78)</f>
        <v/>
      </c>
      <c r="AP78" s="142">
        <f>IF(AB78&lt;&gt;0,(AO78-AB78)/ABS(AB78),0)</f>
        <v/>
      </c>
    </row>
    <row r="79">
      <c r="A79" s="60" t="inlineStr">
        <is>
          <t>In-Direct - Overheads</t>
        </is>
      </c>
      <c r="B79" s="18" t="n">
        <v>-253.16</v>
      </c>
      <c r="C79" s="18" t="n">
        <v>-312.2</v>
      </c>
      <c r="D79" s="18" t="n">
        <v>-591.52</v>
      </c>
      <c r="E79" s="18" t="n">
        <v>-221.69</v>
      </c>
      <c r="F79" s="18" t="n">
        <v>-230.58</v>
      </c>
      <c r="G79" s="18" t="n">
        <v>-246.38</v>
      </c>
      <c r="H79" s="18" t="n">
        <v>-253.5</v>
      </c>
      <c r="I79" s="18" t="n">
        <v>-202.58</v>
      </c>
      <c r="J79" s="18" t="n">
        <v>-203.77</v>
      </c>
      <c r="K79" s="18" t="n">
        <v>-301.94</v>
      </c>
      <c r="L79" s="18" t="n">
        <v>-228.94</v>
      </c>
      <c r="M79" s="18" t="n">
        <v>-653.7400000000001</v>
      </c>
      <c r="N79" s="8" t="n"/>
      <c r="O79" s="60">
        <f>-SUMIF('XSDN TB'!$T:$T,'SDN P&amp;L'!$A79,'XSDN TB'!C:C)</f>
        <v/>
      </c>
      <c r="P79" s="60">
        <f>-SUMIF('XSDN TB'!$T:$T,'SDN P&amp;L'!$A79,'XSDN TB'!D:D)</f>
        <v/>
      </c>
      <c r="Q79" s="60">
        <f>-SUMIF('XSDN TB'!$T:$T,'SDN P&amp;L'!$A79,'XSDN TB'!E:E)</f>
        <v/>
      </c>
      <c r="R79" s="60">
        <f>-SUMIF('XSDN TB'!$T:$T,'SDN P&amp;L'!$A79,'XSDN TB'!F:F)</f>
        <v/>
      </c>
      <c r="S79" s="60">
        <f>-SUMIF('XSDN TB'!$T:$T,'SDN P&amp;L'!$A79,'XSDN TB'!G:G)</f>
        <v/>
      </c>
      <c r="T79" s="60">
        <f>-SUMIF('XSDN TB'!$T:$T,'SDN P&amp;L'!$A79,'XSDN TB'!H:H)</f>
        <v/>
      </c>
      <c r="U79" s="60">
        <f>-SUMIF('XSDN TB'!$T:$T,'SDN P&amp;L'!$A79,'XSDN TB'!I:I)</f>
        <v/>
      </c>
      <c r="V79" s="60">
        <f>-SUMIF('XSDN TB'!$T:$T,'SDN P&amp;L'!$A79,'XSDN TB'!J:J)</f>
        <v/>
      </c>
      <c r="W79" s="60">
        <f>-SUMIF('XSDN TB'!$T:$T,'SDN P&amp;L'!$A79,'XSDN TB'!K:K)</f>
        <v/>
      </c>
      <c r="X79" s="60">
        <f>-SUMIF('XSDN TB'!$T:$T,'SDN P&amp;L'!$A79,'XSDN TB'!L:L)</f>
        <v/>
      </c>
      <c r="Y79" s="60">
        <f>-SUMIF('XSDN TB'!$T:$T,'SDN P&amp;L'!$A79,'XSDN TB'!M:M)</f>
        <v/>
      </c>
      <c r="Z79" s="60">
        <f>-SUMIF('XSDN TB'!$T:$T,'SDN P&amp;L'!$A79,'XSDN TB'!N:N)</f>
        <v/>
      </c>
      <c r="AA79" s="60">
        <f>SUM(O79:T79)</f>
        <v/>
      </c>
      <c r="AB79" s="8" t="n"/>
      <c r="AC79" s="8" t="n"/>
      <c r="AD79" s="8" t="n"/>
      <c r="AE79" s="8" t="n"/>
      <c r="AF79" s="8" t="n"/>
      <c r="AG79" s="8" t="n"/>
      <c r="AH79" s="8" t="n"/>
      <c r="AI79" s="134" t="n">
        <v>0</v>
      </c>
      <c r="AJ79" s="134" t="n">
        <v>0</v>
      </c>
      <c r="AK79" s="134" t="n">
        <v>0</v>
      </c>
      <c r="AL79" s="134" t="n">
        <v>0</v>
      </c>
      <c r="AM79" s="134" t="n">
        <v>0</v>
      </c>
      <c r="AN79" s="134" t="n">
        <v>0</v>
      </c>
      <c r="AO79" s="144">
        <f>SUM(AC79:AH79)+SUM(AI79:AN79)</f>
        <v/>
      </c>
      <c r="AP79" s="142">
        <f>IF(AB79&lt;&gt;0,(AO79-AB79)/ABS(AB79),0)</f>
        <v/>
      </c>
    </row>
    <row r="80" ht="15.75" customHeight="1">
      <c r="A80" s="8" t="n"/>
      <c r="B80" s="67" t="n">
        <v>8608.860000000001</v>
      </c>
      <c r="C80" s="67" t="n">
        <v>20389.71000000001</v>
      </c>
      <c r="D80" s="67" t="n">
        <v>29601.24999999999</v>
      </c>
      <c r="E80" s="67" t="n">
        <v>14679.77</v>
      </c>
      <c r="F80" s="67" t="n">
        <v>458.4899999999906</v>
      </c>
      <c r="G80" s="67" t="n">
        <v>22410.94</v>
      </c>
      <c r="H80" s="67" t="n">
        <v>35532.13</v>
      </c>
      <c r="I80" s="67" t="n">
        <v>6896.640000000007</v>
      </c>
      <c r="J80" s="67" t="n">
        <v>1807.040000000002</v>
      </c>
      <c r="K80" s="67" t="n">
        <v>-4245.730000000005</v>
      </c>
      <c r="L80" s="67" t="n">
        <v>11104.48999999999</v>
      </c>
      <c r="M80" s="67" t="n">
        <v>-4826.32</v>
      </c>
      <c r="N80" s="8" t="n"/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4">
        <f>SUM(V74:V79)</f>
        <v/>
      </c>
      <c r="W80" s="64">
        <f>SUM(W74:W79)</f>
        <v/>
      </c>
      <c r="X80" s="64">
        <f>SUM(X74:X79)</f>
        <v/>
      </c>
      <c r="Y80" s="64">
        <f>SUM(Y74:Y79)</f>
        <v/>
      </c>
      <c r="Z80" s="64">
        <f>SUM(Z74:Z79)</f>
        <v/>
      </c>
      <c r="AA80" s="60">
        <f>SUM(O80:T80)</f>
        <v/>
      </c>
      <c r="AB80" s="8" t="n"/>
      <c r="AC80" s="64" t="n"/>
      <c r="AD80" s="64" t="n"/>
      <c r="AE80" s="64" t="n"/>
      <c r="AF80" s="64" t="n"/>
      <c r="AG80" s="64" t="n"/>
      <c r="AH80" s="64" t="n"/>
      <c r="AI80" s="134" t="n">
        <v>0</v>
      </c>
      <c r="AJ80" s="134" t="n">
        <v>0</v>
      </c>
      <c r="AK80" s="134" t="n">
        <v>0</v>
      </c>
      <c r="AL80" s="134" t="n">
        <v>0</v>
      </c>
      <c r="AM80" s="134" t="n">
        <v>0</v>
      </c>
      <c r="AN80" s="134" t="n">
        <v>0</v>
      </c>
      <c r="AO80" s="144">
        <f>SUM(AC80:AH80)+SUM(AI80:AN80)</f>
        <v/>
      </c>
      <c r="AP80" s="142">
        <f>IF(AB80&lt;&gt;0,(AO80-AB80)/ABS(AB80),0)</f>
        <v/>
      </c>
    </row>
    <row r="81" ht="15.75" customHeight="1">
      <c r="A81" s="8" t="n"/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1.818989403545856e-12</v>
      </c>
      <c r="G81" s="18" t="n">
        <v>0</v>
      </c>
      <c r="H81" s="18" t="n">
        <v>0</v>
      </c>
      <c r="I81" s="18" t="n">
        <v>0</v>
      </c>
      <c r="J81" s="18" t="n">
        <v>2.728484105318785e-12</v>
      </c>
      <c r="K81" s="18" t="n">
        <v>0</v>
      </c>
      <c r="L81" s="18" t="n">
        <v>0</v>
      </c>
      <c r="M81" s="18" t="n">
        <v>21638.41999999999</v>
      </c>
      <c r="N81" s="8" t="n"/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34" t="n">
        <v>0</v>
      </c>
      <c r="AJ81" s="134" t="n">
        <v>0</v>
      </c>
      <c r="AK81" s="134" t="n">
        <v>0</v>
      </c>
      <c r="AL81" s="134" t="n">
        <v>0</v>
      </c>
      <c r="AM81" s="134" t="n">
        <v>0</v>
      </c>
      <c r="AN81" s="134" t="n">
        <v>0</v>
      </c>
      <c r="AO81" s="144">
        <f>SUM(AC81:AH81)+SUM(AI81:AN81)</f>
        <v/>
      </c>
      <c r="AP81" s="142">
        <f>IF(AB81&lt;&gt;0,(AO81-AB81)/ABS(AB81),0)</f>
        <v/>
      </c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18" t="n">
        <v>0</v>
      </c>
      <c r="C83" s="18" t="n">
        <v>0</v>
      </c>
      <c r="D83" s="18" t="n">
        <v>0</v>
      </c>
      <c r="E83" s="18" t="n">
        <v>0</v>
      </c>
      <c r="F83" s="18" t="n">
        <v>-2.216893335571513e-12</v>
      </c>
      <c r="G83" s="18" t="n">
        <v>0</v>
      </c>
      <c r="H83" s="18" t="n">
        <v>0</v>
      </c>
      <c r="I83" s="18" t="n">
        <v>0</v>
      </c>
      <c r="J83" s="18" t="n">
        <v>3.637978807091713e-12</v>
      </c>
      <c r="K83" s="18" t="n">
        <v>0</v>
      </c>
      <c r="L83" s="18" t="n">
        <v>0</v>
      </c>
      <c r="M83" s="18" t="n">
        <v>-21638.42</v>
      </c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34" t="n">
        <v>0</v>
      </c>
      <c r="AJ83" s="134" t="n">
        <v>0</v>
      </c>
      <c r="AK83" s="134" t="n">
        <v>0</v>
      </c>
      <c r="AL83" s="134" t="n">
        <v>0</v>
      </c>
      <c r="AM83" s="134" t="n">
        <v>0</v>
      </c>
      <c r="AN83" s="134" t="n">
        <v>0</v>
      </c>
      <c r="AO83" s="144">
        <f>SUM(AC83:AH83)+SUM(AI83:AN83)</f>
        <v/>
      </c>
      <c r="AP83" s="142">
        <f>IF(AB83&lt;&gt;0,(AO83-AB83)/ABS(AB83),0)</f>
        <v/>
      </c>
    </row>
    <row r="84">
      <c r="A84" s="8" t="n"/>
      <c r="B84" s="18" t="n">
        <v>-8608.859999999995</v>
      </c>
      <c r="C84" s="18" t="n">
        <v>-20389.71</v>
      </c>
      <c r="D84" s="18" t="n">
        <v>-29601.25</v>
      </c>
      <c r="E84" s="18" t="n">
        <v>-14679.76999999999</v>
      </c>
      <c r="F84" s="18" t="n">
        <v>-458.4899999999928</v>
      </c>
      <c r="G84" s="18" t="n">
        <v>-22410.94</v>
      </c>
      <c r="H84" s="18" t="n">
        <v>-35532.13</v>
      </c>
      <c r="I84" s="18" t="n">
        <v>-6896.640000000008</v>
      </c>
      <c r="J84" s="18" t="n">
        <v>-1807.039999999999</v>
      </c>
      <c r="K84" s="18" t="n">
        <v>4245.730000000003</v>
      </c>
      <c r="L84" s="18" t="n">
        <v>-11104.48999999999</v>
      </c>
      <c r="M84" s="18" t="n">
        <v>-16812.1</v>
      </c>
      <c r="N84" s="8" t="n"/>
      <c r="O84" s="60">
        <f>SUM('XSDN TB'!C2:C42)</f>
        <v/>
      </c>
      <c r="P84" s="60">
        <f>SUM('XSDN TB'!D2:D42)</f>
        <v/>
      </c>
      <c r="Q84" s="60">
        <f>SUM('XSDN TB'!E2:E42)</f>
        <v/>
      </c>
      <c r="R84" s="60">
        <f>SUM('XSDN TB'!F2:F42)</f>
        <v/>
      </c>
      <c r="S84" s="60">
        <f>SUM('XSDN TB'!G2:G42)</f>
        <v/>
      </c>
      <c r="T84" s="60">
        <f>SUM('XSDN TB'!H2:H42)</f>
        <v/>
      </c>
      <c r="U84" s="60">
        <f>SUM('XSDN TB'!I2:I42)</f>
        <v/>
      </c>
      <c r="V84" s="60">
        <f>SUM('XSDN TB'!J2:J42)</f>
        <v/>
      </c>
      <c r="W84" s="60">
        <f>SUM('XSDN TB'!K2:K42)</f>
        <v/>
      </c>
      <c r="X84" s="60">
        <f>SUM('XSDN TB'!L2:L42)</f>
        <v/>
      </c>
      <c r="Y84" s="60">
        <f>SUM('XSDN TB'!M2:M42)</f>
        <v/>
      </c>
      <c r="Z84" s="60">
        <f>SUM('XSDN TB'!N2:N42)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134" t="n">
        <v>0</v>
      </c>
      <c r="AJ84" s="134" t="n">
        <v>0</v>
      </c>
      <c r="AK84" s="134" t="n">
        <v>0</v>
      </c>
      <c r="AL84" s="134" t="n">
        <v>0</v>
      </c>
      <c r="AM84" s="134" t="n">
        <v>0</v>
      </c>
      <c r="AN84" s="134" t="n">
        <v>0</v>
      </c>
      <c r="AO84" s="144">
        <f>SUM(AC84:AH84)+SUM(AI84:AN84)</f>
        <v/>
      </c>
      <c r="AP84" s="142">
        <f>IF(AB84&lt;&gt;0,(AO84-AB84)/ABS(AB84),0)</f>
        <v/>
      </c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</sheetData>
  <mergeCells count="1">
    <mergeCell ref="AI1:AQ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Steppingstones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47272.73</v>
      </c>
      <c r="C8" s="35" t="n">
        <v>41439.07</v>
      </c>
      <c r="D8" s="35" t="n">
        <v>47933.15</v>
      </c>
      <c r="E8" s="35" t="n">
        <v>50993.37</v>
      </c>
      <c r="F8" s="35" t="n">
        <v>45605.89</v>
      </c>
      <c r="G8" s="35" t="n">
        <v>43338.36</v>
      </c>
      <c r="H8" s="35" t="n">
        <v>49651.73</v>
      </c>
      <c r="I8" s="35" t="n">
        <v>45155.16</v>
      </c>
      <c r="J8" s="35" t="n">
        <v>35763.55</v>
      </c>
      <c r="K8" s="35" t="n">
        <v>37137.94</v>
      </c>
      <c r="L8" s="35" t="n">
        <v>34126.29</v>
      </c>
      <c r="M8" s="35" t="n">
        <v>43136.03</v>
      </c>
      <c r="N8" s="36">
        <f>SUM(B8:M8)</f>
        <v/>
      </c>
      <c r="O8" s="37">
        <f>-SUMIF('SST TB'!$R:$R,'SST P&amp;L'!$A8,'SST TB'!C:C)</f>
        <v/>
      </c>
      <c r="P8" s="37">
        <f>-SUMIF('SST TB'!$R:$R,'SST P&amp;L'!$A8,'SST TB'!D:D)</f>
        <v/>
      </c>
      <c r="Q8" s="37">
        <f>-SUMIF('SST TB'!$R:$R,'SST P&amp;L'!$A8,'SST TB'!E:E)</f>
        <v/>
      </c>
      <c r="R8" s="37">
        <f>-SUMIF('SST TB'!$R:$R,'SST P&amp;L'!$A8,'SST TB'!F:F)</f>
        <v/>
      </c>
      <c r="S8" s="37">
        <f>-SUMIF('SST TB'!$R:$R,'SST P&amp;L'!$A8,'SST TB'!G:G)</f>
        <v/>
      </c>
      <c r="T8" s="37">
        <f>-SUMIF('SST TB'!$R:$R,'SST P&amp;L'!$A8,'SST TB'!H:H)</f>
        <v/>
      </c>
      <c r="U8" s="37">
        <f>-SUMIF('SST TB'!$R:$R,'SST P&amp;L'!$A8,'SST TB'!I:I)</f>
        <v/>
      </c>
      <c r="V8" s="38" t="n">
        <v>43415.66</v>
      </c>
      <c r="W8" s="38" t="n">
        <v>26102</v>
      </c>
      <c r="X8" s="38" t="n">
        <v>22884</v>
      </c>
      <c r="Y8" s="38" t="n">
        <v>22464</v>
      </c>
      <c r="Z8" s="38" t="n">
        <v>31756</v>
      </c>
      <c r="AA8" s="36">
        <f>SUM(O8:U8)</f>
        <v/>
      </c>
      <c r="AB8" s="36">
        <f>SUM(O8:Z8)</f>
        <v/>
      </c>
      <c r="AC8" s="38" t="n">
        <v>42836.88</v>
      </c>
      <c r="AD8" s="38" t="n">
        <v>32424.51</v>
      </c>
      <c r="AE8" s="38" t="n">
        <v>55090.04</v>
      </c>
      <c r="AF8" s="38" t="n">
        <v>42857.01</v>
      </c>
      <c r="AG8" s="38" t="n">
        <v>43360.87</v>
      </c>
      <c r="AH8" s="38" t="n">
        <v>39588.43</v>
      </c>
      <c r="AI8" s="118" t="n">
        <v>39588.43</v>
      </c>
      <c r="AJ8" s="119" t="n">
        <v>39588.43</v>
      </c>
      <c r="AK8" s="119" t="n">
        <v>39588.43</v>
      </c>
      <c r="AL8" s="119" t="n">
        <v>39588.43</v>
      </c>
      <c r="AM8" s="120" t="n">
        <v>39588.43</v>
      </c>
      <c r="AN8" s="118" t="n">
        <v>39588.43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13845.22</v>
      </c>
      <c r="C9" s="35" t="n">
        <v>13845.22</v>
      </c>
      <c r="D9" s="35" t="n">
        <v>14298.7</v>
      </c>
      <c r="E9" s="35" t="n">
        <v>12728.52</v>
      </c>
      <c r="F9" s="35" t="n">
        <v>12728.52</v>
      </c>
      <c r="G9" s="35" t="n">
        <v>12728.53</v>
      </c>
      <c r="H9" s="35" t="n">
        <v>23643.93</v>
      </c>
      <c r="I9" s="35" t="n">
        <v>0</v>
      </c>
      <c r="J9" s="35" t="n">
        <v>11531.5</v>
      </c>
      <c r="K9" s="35" t="n">
        <v>11531.5</v>
      </c>
      <c r="L9" s="35" t="n">
        <v>26935.88999999999</v>
      </c>
      <c r="M9" s="35" t="n">
        <v>27141.4</v>
      </c>
      <c r="N9" s="36">
        <f>SUM(B9:M9)</f>
        <v/>
      </c>
      <c r="O9" s="37">
        <f>-SUMIF('SST TB'!$R:$R,'SST P&amp;L'!$A9,'SST TB'!C:C)</f>
        <v/>
      </c>
      <c r="P9" s="37">
        <f>-SUMIF('SST TB'!$R:$R,'SST P&amp;L'!$A9,'SST TB'!D:D)</f>
        <v/>
      </c>
      <c r="Q9" s="37">
        <f>-SUMIF('SST TB'!$R:$R,'SST P&amp;L'!$A9,'SST TB'!E:E)</f>
        <v/>
      </c>
      <c r="R9" s="37">
        <f>-SUMIF('SST TB'!$R:$R,'SST P&amp;L'!$A9,'SST TB'!F:F)</f>
        <v/>
      </c>
      <c r="S9" s="37">
        <f>-SUMIF('SST TB'!$R:$R,'SST P&amp;L'!$A9,'SST TB'!G:G)</f>
        <v/>
      </c>
      <c r="T9" s="37">
        <f>-SUMIF('SST TB'!$R:$R,'SST P&amp;L'!$A9,'SST TB'!H:H)</f>
        <v/>
      </c>
      <c r="U9" s="37">
        <f>-SUMIF('SST TB'!$R:$R,'SST P&amp;L'!$A9,'SST TB'!I:I)</f>
        <v/>
      </c>
      <c r="V9" s="38" t="n">
        <v>0</v>
      </c>
      <c r="W9" s="38" t="n">
        <v>18438</v>
      </c>
      <c r="X9" s="38" t="n">
        <v>22151</v>
      </c>
      <c r="Y9" s="38" t="n">
        <v>21981</v>
      </c>
      <c r="Z9" s="38" t="n">
        <v>9840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8" t="n">
        <v>0</v>
      </c>
      <c r="AJ9" s="119" t="n">
        <v>0</v>
      </c>
      <c r="AK9" s="119" t="n">
        <v>0</v>
      </c>
      <c r="AL9" s="119" t="n">
        <v>0</v>
      </c>
      <c r="AM9" s="120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2971.91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-SUMIF('SST TB'!$R:$R,'SST P&amp;L'!$A10,'SST TB'!C:C)</f>
        <v/>
      </c>
      <c r="P10" s="37">
        <f>-SUMIF('SST TB'!$R:$R,'SST P&amp;L'!$A10,'SST TB'!D:D)</f>
        <v/>
      </c>
      <c r="Q10" s="37">
        <f>-SUMIF('SST TB'!$R:$R,'SST P&amp;L'!$A10,'SST TB'!E:E)</f>
        <v/>
      </c>
      <c r="R10" s="37">
        <f>-SUMIF('SST TB'!$R:$R,'SST P&amp;L'!$A10,'SST TB'!F:F)</f>
        <v/>
      </c>
      <c r="S10" s="37">
        <f>-SUMIF('SST TB'!$R:$R,'SST P&amp;L'!$A10,'SST TB'!G:G)</f>
        <v/>
      </c>
      <c r="T10" s="37">
        <f>-SUMIF('SST TB'!$R:$R,'SST P&amp;L'!$A10,'SST TB'!H:H)</f>
        <v/>
      </c>
      <c r="U10" s="37">
        <f>-SUMIF('SST TB'!$R:$R,'SST P&amp;L'!$A10,'SST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8" t="n">
        <v>0</v>
      </c>
      <c r="AJ10" s="119" t="n">
        <v>0</v>
      </c>
      <c r="AK10" s="119" t="n">
        <v>0</v>
      </c>
      <c r="AL10" s="119" t="n">
        <v>0</v>
      </c>
      <c r="AM10" s="120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61117.95</v>
      </c>
      <c r="C11" s="42" t="n">
        <v>55284.29</v>
      </c>
      <c r="D11" s="42" t="n">
        <v>62231.85</v>
      </c>
      <c r="E11" s="42" t="n">
        <v>63721.89</v>
      </c>
      <c r="F11" s="42" t="n">
        <v>58334.41</v>
      </c>
      <c r="G11" s="42" t="n">
        <v>56066.89</v>
      </c>
      <c r="H11" s="42" t="n">
        <v>73295.66</v>
      </c>
      <c r="I11" s="42" t="n">
        <v>48127.07000000001</v>
      </c>
      <c r="J11" s="42" t="n">
        <v>47295.05</v>
      </c>
      <c r="K11" s="42" t="n">
        <v>48669.44</v>
      </c>
      <c r="L11" s="42" t="n">
        <v>61062.17999999999</v>
      </c>
      <c r="M11" s="42" t="n">
        <v>70277.42999999999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3">
        <f>SUM(AI8:AI10)</f>
        <v/>
      </c>
      <c r="AJ11" s="124">
        <f>SUM(AJ8:AJ10)</f>
        <v/>
      </c>
      <c r="AK11" s="124">
        <f>SUM(AK8:AK10)</f>
        <v/>
      </c>
      <c r="AL11" s="124">
        <f>SUM(AL8:AL10)</f>
        <v/>
      </c>
      <c r="AM11" s="124">
        <f>SUM(AM8:AM10)</f>
        <v/>
      </c>
      <c r="AN11" s="123">
        <f>SUM(AN8:AN10)</f>
        <v/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7" t="n">
        <v>0</v>
      </c>
      <c r="AJ12" s="128" t="n">
        <v>0</v>
      </c>
      <c r="AK12" s="128" t="n">
        <v>0</v>
      </c>
      <c r="AL12" s="128" t="n">
        <v>0</v>
      </c>
      <c r="AM12" s="129" t="n">
        <v>0</v>
      </c>
      <c r="AN12" s="127" t="n">
        <v>0</v>
      </c>
      <c r="AO12" s="121">
        <f>SUM(AC12:AH12)+SUM(AI12:AN12)</f>
        <v/>
      </c>
      <c r="AP12" s="122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 t="n">
        <v>0</v>
      </c>
      <c r="AJ13" s="131" t="n">
        <v>0</v>
      </c>
      <c r="AK13" s="131" t="n">
        <v>0</v>
      </c>
      <c r="AL13" s="131" t="n">
        <v>0</v>
      </c>
      <c r="AM13" s="132" t="n">
        <v>0</v>
      </c>
      <c r="AN13" s="130" t="n">
        <v>0</v>
      </c>
      <c r="AO13" s="133">
        <f>SUM(AC13:AH13)+SUM(AI13:AN13)</f>
        <v/>
      </c>
      <c r="AP13" s="122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21607.1</v>
      </c>
      <c r="C16" s="35" t="n">
        <v>18599.12</v>
      </c>
      <c r="D16" s="35" t="n">
        <v>18828.61</v>
      </c>
      <c r="E16" s="35" t="n">
        <v>30196.38</v>
      </c>
      <c r="F16" s="35" t="n">
        <v>21271.92</v>
      </c>
      <c r="G16" s="35" t="n">
        <v>21185.22</v>
      </c>
      <c r="H16" s="35" t="n">
        <v>20748.59</v>
      </c>
      <c r="I16" s="35" t="n">
        <v>15728.54</v>
      </c>
      <c r="J16" s="35" t="n">
        <v>13769.68</v>
      </c>
      <c r="K16" s="35" t="n">
        <v>21655.25</v>
      </c>
      <c r="L16" s="35" t="n">
        <v>23068.26</v>
      </c>
      <c r="M16" s="35" t="n">
        <v>25028.67</v>
      </c>
      <c r="N16" s="36">
        <f>SUM(B16:M16)</f>
        <v/>
      </c>
      <c r="O16" s="37">
        <f>SUMIF('SST TB'!$R:$R,'SST P&amp;L'!$A16,'SST TB'!C:C)</f>
        <v/>
      </c>
      <c r="P16" s="37">
        <f>SUMIF('SST TB'!$R:$R,'SST P&amp;L'!$A16,'SST TB'!D:D)</f>
        <v/>
      </c>
      <c r="Q16" s="37">
        <f>SUMIF('SST TB'!$R:$R,'SST P&amp;L'!$A16,'SST TB'!E:E)</f>
        <v/>
      </c>
      <c r="R16" s="37">
        <f>SUMIF('SST TB'!$R:$R,'SST P&amp;L'!$A16,'SST TB'!F:F)</f>
        <v/>
      </c>
      <c r="S16" s="37">
        <f>SUMIF('SST TB'!$R:$R,'SST P&amp;L'!$A16,'SST TB'!G:G)</f>
        <v/>
      </c>
      <c r="T16" s="37">
        <f>SUMIF('SST TB'!$R:$R,'SST P&amp;L'!$A16,'SST TB'!H:H)</f>
        <v/>
      </c>
      <c r="U16" s="37">
        <f>SUMIF('SST TB'!$R:$R,'SST P&amp;L'!$A16,'SST TB'!I:I)</f>
        <v/>
      </c>
      <c r="V16" s="38" t="n">
        <v>23764.36</v>
      </c>
      <c r="W16" s="38" t="n">
        <v>23764.36</v>
      </c>
      <c r="X16" s="38" t="n">
        <v>23764.36</v>
      </c>
      <c r="Y16" s="38" t="n">
        <v>23764.36</v>
      </c>
      <c r="Z16" s="38" t="n">
        <v>23764.36</v>
      </c>
      <c r="AA16" s="36">
        <f>SUM(O16:U16)</f>
        <v/>
      </c>
      <c r="AB16" s="36">
        <f>SUM(O16:Z16)</f>
        <v/>
      </c>
      <c r="AC16" s="38" t="n">
        <v>23764.36</v>
      </c>
      <c r="AD16" s="38" t="n">
        <v>23764.36</v>
      </c>
      <c r="AE16" s="38" t="n">
        <v>23764.36</v>
      </c>
      <c r="AF16" s="38" t="n">
        <v>23764.36</v>
      </c>
      <c r="AG16" s="38" t="n">
        <v>23764.36</v>
      </c>
      <c r="AH16" s="38" t="n">
        <v>23764.36</v>
      </c>
      <c r="AI16" s="118" t="n">
        <v>23764.36</v>
      </c>
      <c r="AJ16" s="119" t="n">
        <v>23764.36</v>
      </c>
      <c r="AK16" s="119" t="n">
        <v>23764.36</v>
      </c>
      <c r="AL16" s="119" t="n">
        <v>23764.36</v>
      </c>
      <c r="AM16" s="120" t="n">
        <v>23764.36</v>
      </c>
      <c r="AN16" s="118" t="n">
        <v>23764.36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1518.87</v>
      </c>
      <c r="C17" s="35" t="n">
        <v>1465.4</v>
      </c>
      <c r="D17" s="35" t="n">
        <v>1387.39</v>
      </c>
      <c r="E17" s="35" t="n">
        <v>3382.54</v>
      </c>
      <c r="F17" s="35" t="n">
        <v>2202.22</v>
      </c>
      <c r="G17" s="35" t="n">
        <v>2183.99</v>
      </c>
      <c r="H17" s="35" t="n">
        <v>2079.75</v>
      </c>
      <c r="I17" s="35" t="n">
        <v>1659.35</v>
      </c>
      <c r="J17" s="35" t="n">
        <v>1486.66</v>
      </c>
      <c r="K17" s="35" t="n">
        <v>2384.28</v>
      </c>
      <c r="L17" s="35" t="n">
        <v>2508.07</v>
      </c>
      <c r="M17" s="35" t="n">
        <v>2817.56</v>
      </c>
      <c r="N17" s="36">
        <f>SUM(B17:M17)</f>
        <v/>
      </c>
      <c r="O17" s="37">
        <f>SUMIF('SST TB'!$R:$R,'SST P&amp;L'!$A17,'SST TB'!C:C)</f>
        <v/>
      </c>
      <c r="P17" s="37">
        <f>SUMIF('SST TB'!$R:$R,'SST P&amp;L'!$A17,'SST TB'!D:D)</f>
        <v/>
      </c>
      <c r="Q17" s="37">
        <f>SUMIF('SST TB'!$R:$R,'SST P&amp;L'!$A17,'SST TB'!E:E)</f>
        <v/>
      </c>
      <c r="R17" s="37">
        <f>SUMIF('SST TB'!$R:$R,'SST P&amp;L'!$A17,'SST TB'!F:F)</f>
        <v/>
      </c>
      <c r="S17" s="37">
        <f>SUMIF('SST TB'!$R:$R,'SST P&amp;L'!$A17,'SST TB'!G:G)</f>
        <v/>
      </c>
      <c r="T17" s="37">
        <f>SUMIF('SST TB'!$R:$R,'SST P&amp;L'!$A17,'SST TB'!H:H)</f>
        <v/>
      </c>
      <c r="U17" s="37">
        <f>SUMIF('SST TB'!$R:$R,'SST P&amp;L'!$A17,'SST TB'!I:I)</f>
        <v/>
      </c>
      <c r="V17" s="38" t="n">
        <v>2504.85</v>
      </c>
      <c r="W17" s="38" t="n">
        <v>2504.85</v>
      </c>
      <c r="X17" s="38" t="n">
        <v>2504.85</v>
      </c>
      <c r="Y17" s="38" t="n">
        <v>2504.85</v>
      </c>
      <c r="Z17" s="38" t="n">
        <v>2504.85</v>
      </c>
      <c r="AA17" s="36">
        <f>SUM(O17:U17)</f>
        <v/>
      </c>
      <c r="AB17" s="36">
        <f>SUM(O17:Z17)</f>
        <v/>
      </c>
      <c r="AC17" s="38" t="n">
        <v>2504.85</v>
      </c>
      <c r="AD17" s="38" t="n">
        <v>2504.85</v>
      </c>
      <c r="AE17" s="38" t="n">
        <v>2504.85</v>
      </c>
      <c r="AF17" s="38" t="n">
        <v>2504.85</v>
      </c>
      <c r="AG17" s="38" t="n">
        <v>2504.85</v>
      </c>
      <c r="AH17" s="38" t="n">
        <v>2504.85</v>
      </c>
      <c r="AI17" s="118" t="n">
        <v>2504.85</v>
      </c>
      <c r="AJ17" s="119" t="n">
        <v>2504.85</v>
      </c>
      <c r="AK17" s="119" t="n">
        <v>2504.85</v>
      </c>
      <c r="AL17" s="119" t="n">
        <v>2504.85</v>
      </c>
      <c r="AM17" s="120" t="n">
        <v>2504.85</v>
      </c>
      <c r="AN17" s="118" t="n">
        <v>2504.85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380.15</v>
      </c>
      <c r="C18" s="35" t="n">
        <v>368.53</v>
      </c>
      <c r="D18" s="35" t="n">
        <v>351.56</v>
      </c>
      <c r="E18" s="35" t="n">
        <v>312.94</v>
      </c>
      <c r="F18" s="35" t="n">
        <v>271.31</v>
      </c>
      <c r="G18" s="35" t="n">
        <v>268.31</v>
      </c>
      <c r="H18" s="35" t="n">
        <v>299.41</v>
      </c>
      <c r="I18" s="35" t="n">
        <v>266.04</v>
      </c>
      <c r="J18" s="35" t="n">
        <v>278.77</v>
      </c>
      <c r="K18" s="35" t="n">
        <v>424.36</v>
      </c>
      <c r="L18" s="35" t="n">
        <v>387.08</v>
      </c>
      <c r="M18" s="35" t="n">
        <v>532.5699999999999</v>
      </c>
      <c r="N18" s="36">
        <f>SUM(B18:M18)</f>
        <v/>
      </c>
      <c r="O18" s="37">
        <f>SUMIF('SST TB'!$R:$R,'SST P&amp;L'!$A18,'SST TB'!C:C)</f>
        <v/>
      </c>
      <c r="P18" s="37">
        <f>SUMIF('SST TB'!$R:$R,'SST P&amp;L'!$A18,'SST TB'!D:D)</f>
        <v/>
      </c>
      <c r="Q18" s="37">
        <f>SUMIF('SST TB'!$R:$R,'SST P&amp;L'!$A18,'SST TB'!E:E)</f>
        <v/>
      </c>
      <c r="R18" s="37">
        <f>SUMIF('SST TB'!$R:$R,'SST P&amp;L'!$A18,'SST TB'!F:F)</f>
        <v/>
      </c>
      <c r="S18" s="37">
        <f>SUMIF('SST TB'!$R:$R,'SST P&amp;L'!$A18,'SST TB'!G:G)</f>
        <v/>
      </c>
      <c r="T18" s="37">
        <f>SUMIF('SST TB'!$R:$R,'SST P&amp;L'!$A18,'SST TB'!H:H)</f>
        <v/>
      </c>
      <c r="U18" s="37">
        <f>SUMIF('SST TB'!$R:$R,'SST P&amp;L'!$A18,'SST TB'!I:I)</f>
        <v/>
      </c>
      <c r="V18" s="38" t="n">
        <v>417</v>
      </c>
      <c r="W18" s="38" t="n">
        <v>417</v>
      </c>
      <c r="X18" s="38" t="n">
        <v>417</v>
      </c>
      <c r="Y18" s="38" t="n">
        <v>417</v>
      </c>
      <c r="Z18" s="38" t="n">
        <v>417</v>
      </c>
      <c r="AA18" s="36">
        <f>SUM(O18:U18)</f>
        <v/>
      </c>
      <c r="AB18" s="36">
        <f>SUM(O18:Z18)</f>
        <v/>
      </c>
      <c r="AC18" s="38" t="n">
        <v>417</v>
      </c>
      <c r="AD18" s="38" t="n">
        <v>417</v>
      </c>
      <c r="AE18" s="38" t="n">
        <v>417</v>
      </c>
      <c r="AF18" s="38" t="n">
        <v>417</v>
      </c>
      <c r="AG18" s="38" t="n">
        <v>417</v>
      </c>
      <c r="AH18" s="38" t="n">
        <v>417</v>
      </c>
      <c r="AI18" s="118" t="n">
        <v>417</v>
      </c>
      <c r="AJ18" s="119" t="n">
        <v>417</v>
      </c>
      <c r="AK18" s="119" t="n">
        <v>417</v>
      </c>
      <c r="AL18" s="119" t="n">
        <v>417</v>
      </c>
      <c r="AM18" s="120" t="n">
        <v>417</v>
      </c>
      <c r="AN18" s="118" t="n">
        <v>417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186.12</v>
      </c>
      <c r="C19" s="35" t="n">
        <v>0</v>
      </c>
      <c r="D19" s="35" t="n">
        <v>0</v>
      </c>
      <c r="E19" s="35" t="n">
        <v>67.02</v>
      </c>
      <c r="F19" s="35" t="n">
        <v>0</v>
      </c>
      <c r="G19" s="35" t="n">
        <v>0</v>
      </c>
      <c r="H19" s="35" t="n">
        <v>72.54000000000001</v>
      </c>
      <c r="I19" s="35" t="n">
        <v>0</v>
      </c>
      <c r="J19" s="35" t="n">
        <v>120</v>
      </c>
      <c r="K19" s="35" t="n">
        <v>0</v>
      </c>
      <c r="L19" s="35" t="n">
        <v>128.76</v>
      </c>
      <c r="M19" s="35" t="n">
        <v>0</v>
      </c>
      <c r="N19" s="36">
        <f>SUM(B19:M19)</f>
        <v/>
      </c>
      <c r="O19" s="37">
        <f>SUMIF('SST TB'!$R:$R,'SST P&amp;L'!$A19,'SST TB'!C:C)</f>
        <v/>
      </c>
      <c r="P19" s="37">
        <f>SUMIF('SST TB'!$R:$R,'SST P&amp;L'!$A19,'SST TB'!D:D)</f>
        <v/>
      </c>
      <c r="Q19" s="37">
        <f>SUMIF('SST TB'!$R:$R,'SST P&amp;L'!$A19,'SST TB'!E:E)</f>
        <v/>
      </c>
      <c r="R19" s="37">
        <f>SUMIF('SST TB'!$R:$R,'SST P&amp;L'!$A19,'SST TB'!F:F)</f>
        <v/>
      </c>
      <c r="S19" s="37">
        <f>SUMIF('SST TB'!$R:$R,'SST P&amp;L'!$A19,'SST TB'!G:G)</f>
        <v/>
      </c>
      <c r="T19" s="37">
        <f>SUMIF('SST TB'!$R:$R,'SST P&amp;L'!$A19,'SST TB'!H:H)</f>
        <v/>
      </c>
      <c r="U19" s="37">
        <f>SUMIF('SST TB'!$R:$R,'SST P&amp;L'!$A19,'SST TB'!I:I)</f>
        <v/>
      </c>
      <c r="V19" s="38" t="n">
        <v>60</v>
      </c>
      <c r="W19" s="38" t="n">
        <v>60</v>
      </c>
      <c r="X19" s="38" t="n">
        <v>60</v>
      </c>
      <c r="Y19" s="38" t="n">
        <v>60</v>
      </c>
      <c r="Z19" s="38" t="n">
        <v>60</v>
      </c>
      <c r="AA19" s="36">
        <f>SUM(O19:U19)</f>
        <v/>
      </c>
      <c r="AB19" s="36">
        <f>SUM(O19:Z19)</f>
        <v/>
      </c>
      <c r="AC19" s="38" t="n">
        <v>60</v>
      </c>
      <c r="AD19" s="38" t="n">
        <v>60</v>
      </c>
      <c r="AE19" s="38" t="n">
        <v>60</v>
      </c>
      <c r="AF19" s="38" t="n">
        <v>60</v>
      </c>
      <c r="AG19" s="38" t="n">
        <v>60</v>
      </c>
      <c r="AH19" s="38" t="n">
        <v>60</v>
      </c>
      <c r="AI19" s="118" t="n">
        <v>60</v>
      </c>
      <c r="AJ19" s="119" t="n">
        <v>60</v>
      </c>
      <c r="AK19" s="119" t="n">
        <v>60</v>
      </c>
      <c r="AL19" s="119" t="n">
        <v>60</v>
      </c>
      <c r="AM19" s="120" t="n">
        <v>60</v>
      </c>
      <c r="AN19" s="118" t="n">
        <v>60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0</v>
      </c>
      <c r="C20" s="35" t="n">
        <v>0</v>
      </c>
      <c r="D20" s="35" t="n">
        <v>0</v>
      </c>
      <c r="E20" s="35" t="n">
        <v>139.2</v>
      </c>
      <c r="F20" s="35" t="n">
        <v>48</v>
      </c>
      <c r="G20" s="35" t="n">
        <v>164.4</v>
      </c>
      <c r="H20" s="35" t="n">
        <v>0</v>
      </c>
      <c r="I20" s="35" t="n">
        <v>115.2</v>
      </c>
      <c r="J20" s="35" t="n">
        <v>0</v>
      </c>
      <c r="K20" s="35" t="n">
        <v>0</v>
      </c>
      <c r="L20" s="35" t="n">
        <v>403.2</v>
      </c>
      <c r="M20" s="35" t="n">
        <v>0</v>
      </c>
      <c r="N20" s="36">
        <f>SUM(B20:M20)</f>
        <v/>
      </c>
      <c r="O20" s="37">
        <f>SUMIF('SST TB'!$R:$R,'SST P&amp;L'!$A20,'SST TB'!C:C)</f>
        <v/>
      </c>
      <c r="P20" s="37">
        <f>SUMIF('SST TB'!$R:$R,'SST P&amp;L'!$A20,'SST TB'!D:D)</f>
        <v/>
      </c>
      <c r="Q20" s="37">
        <f>SUMIF('SST TB'!$R:$R,'SST P&amp;L'!$A20,'SST TB'!E:E)</f>
        <v/>
      </c>
      <c r="R20" s="37">
        <f>SUMIF('SST TB'!$R:$R,'SST P&amp;L'!$A20,'SST TB'!F:F)</f>
        <v/>
      </c>
      <c r="S20" s="37">
        <f>SUMIF('SST TB'!$R:$R,'SST P&amp;L'!$A20,'SST TB'!G:G)</f>
        <v/>
      </c>
      <c r="T20" s="37">
        <f>SUMIF('SST TB'!$R:$R,'SST P&amp;L'!$A20,'SST TB'!H:H)</f>
        <v/>
      </c>
      <c r="U20" s="37">
        <f>SUMIF('SST TB'!$R:$R,'SST P&amp;L'!$A20,'SST TB'!I:I)</f>
        <v/>
      </c>
      <c r="V20" s="38" t="n">
        <v>100</v>
      </c>
      <c r="W20" s="38" t="n">
        <v>100</v>
      </c>
      <c r="X20" s="38" t="n">
        <v>100</v>
      </c>
      <c r="Y20" s="38" t="n">
        <v>100</v>
      </c>
      <c r="Z20" s="38" t="n">
        <v>100</v>
      </c>
      <c r="AA20" s="36">
        <f>SUM(O20:U20)</f>
        <v/>
      </c>
      <c r="AB20" s="36">
        <f>SUM(O20:Z20)</f>
        <v/>
      </c>
      <c r="AC20" s="38" t="n">
        <v>100</v>
      </c>
      <c r="AD20" s="38" t="n">
        <v>100</v>
      </c>
      <c r="AE20" s="38" t="n">
        <v>100</v>
      </c>
      <c r="AF20" s="38" t="n">
        <v>100</v>
      </c>
      <c r="AG20" s="38" t="n">
        <v>100</v>
      </c>
      <c r="AH20" s="38" t="n">
        <v>100</v>
      </c>
      <c r="AI20" s="118" t="n">
        <v>100</v>
      </c>
      <c r="AJ20" s="119" t="n">
        <v>100</v>
      </c>
      <c r="AK20" s="119" t="n">
        <v>100</v>
      </c>
      <c r="AL20" s="119" t="n">
        <v>100</v>
      </c>
      <c r="AM20" s="120" t="n">
        <v>100</v>
      </c>
      <c r="AN20" s="118" t="n">
        <v>100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106.99</v>
      </c>
      <c r="C21" s="35" t="n">
        <v>173.03</v>
      </c>
      <c r="D21" s="35" t="n">
        <v>86.29000000000001</v>
      </c>
      <c r="E21" s="35" t="n">
        <v>113.6</v>
      </c>
      <c r="F21" s="35" t="n">
        <v>155.62</v>
      </c>
      <c r="G21" s="35" t="n">
        <v>91.43000000000001</v>
      </c>
      <c r="H21" s="35" t="n">
        <v>58.88</v>
      </c>
      <c r="I21" s="35" t="n">
        <v>85.14</v>
      </c>
      <c r="J21" s="35" t="n">
        <v>67.09999999999999</v>
      </c>
      <c r="K21" s="35" t="n">
        <v>62.73</v>
      </c>
      <c r="L21" s="35" t="n">
        <v>40.9</v>
      </c>
      <c r="M21" s="35" t="n">
        <v>86.56</v>
      </c>
      <c r="N21" s="36">
        <f>SUM(B21:M21)</f>
        <v/>
      </c>
      <c r="O21" s="37">
        <f>SUMIF('SST TB'!$R:$R,'SST P&amp;L'!$A21,'SST TB'!C:C)</f>
        <v/>
      </c>
      <c r="P21" s="37">
        <f>SUMIF('SST TB'!$R:$R,'SST P&amp;L'!$A21,'SST TB'!D:D)</f>
        <v/>
      </c>
      <c r="Q21" s="37">
        <f>SUMIF('SST TB'!$R:$R,'SST P&amp;L'!$A21,'SST TB'!E:E)</f>
        <v/>
      </c>
      <c r="R21" s="37">
        <f>SUMIF('SST TB'!$R:$R,'SST P&amp;L'!$A21,'SST TB'!F:F)</f>
        <v/>
      </c>
      <c r="S21" s="37">
        <f>SUMIF('SST TB'!$R:$R,'SST P&amp;L'!$A21,'SST TB'!G:G)</f>
        <v/>
      </c>
      <c r="T21" s="37">
        <f>SUMIF('SST TB'!$R:$R,'SST P&amp;L'!$A21,'SST TB'!H:H)</f>
        <v/>
      </c>
      <c r="U21" s="37">
        <f>SUMIF('SST TB'!$R:$R,'SST P&amp;L'!$A21,'SST TB'!I:I)</f>
        <v/>
      </c>
      <c r="V21" s="38" t="n">
        <v>120</v>
      </c>
      <c r="W21" s="38" t="n">
        <v>120</v>
      </c>
      <c r="X21" s="38" t="n">
        <v>120</v>
      </c>
      <c r="Y21" s="38" t="n">
        <v>120</v>
      </c>
      <c r="Z21" s="38" t="n">
        <v>120</v>
      </c>
      <c r="AA21" s="36">
        <f>SUM(O21:U21)</f>
        <v/>
      </c>
      <c r="AB21" s="36">
        <f>SUM(O21:Z21)</f>
        <v/>
      </c>
      <c r="AC21" s="38" t="n">
        <v>120</v>
      </c>
      <c r="AD21" s="38" t="n">
        <v>120</v>
      </c>
      <c r="AE21" s="38" t="n">
        <v>120</v>
      </c>
      <c r="AF21" s="38" t="n">
        <v>120</v>
      </c>
      <c r="AG21" s="38" t="n">
        <v>120</v>
      </c>
      <c r="AH21" s="38" t="n">
        <v>120</v>
      </c>
      <c r="AI21" s="118" t="n">
        <v>120</v>
      </c>
      <c r="AJ21" s="119" t="n">
        <v>120</v>
      </c>
      <c r="AK21" s="119" t="n">
        <v>120</v>
      </c>
      <c r="AL21" s="119" t="n">
        <v>120</v>
      </c>
      <c r="AM21" s="120" t="n">
        <v>120</v>
      </c>
      <c r="AN21" s="118" t="n">
        <v>120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4169.88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SUMIF('SST TB'!$R:$R,'SST P&amp;L'!$A22,'SST TB'!C:C)</f>
        <v/>
      </c>
      <c r="P22" s="37">
        <f>SUMIF('SST TB'!$R:$R,'SST P&amp;L'!$A22,'SST TB'!D:D)</f>
        <v/>
      </c>
      <c r="Q22" s="37">
        <f>SUMIF('SST TB'!$R:$R,'SST P&amp;L'!$A22,'SST TB'!E:E)</f>
        <v/>
      </c>
      <c r="R22" s="37">
        <f>SUMIF('SST TB'!$R:$R,'SST P&amp;L'!$A22,'SST TB'!F:F)</f>
        <v/>
      </c>
      <c r="S22" s="37">
        <f>SUMIF('SST TB'!$R:$R,'SST P&amp;L'!$A22,'SST TB'!G:G)</f>
        <v/>
      </c>
      <c r="T22" s="37">
        <f>SUMIF('SST TB'!$R:$R,'SST P&amp;L'!$A22,'SST TB'!H:H)</f>
        <v/>
      </c>
      <c r="U22" s="37">
        <f>SUMIF('SST TB'!$R:$R,'SST P&amp;L'!$A22,'SST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8" t="n">
        <v>0</v>
      </c>
      <c r="AJ22" s="119" t="n">
        <v>0</v>
      </c>
      <c r="AK22" s="119" t="n">
        <v>0</v>
      </c>
      <c r="AL22" s="119" t="n">
        <v>0</v>
      </c>
      <c r="AM22" s="120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26.99</v>
      </c>
      <c r="I23" s="35" t="n">
        <v>0</v>
      </c>
      <c r="J23" s="35" t="n">
        <v>64.36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>
        <f>SUMIF('SST TB'!$R:$R,'SST P&amp;L'!$A23,'SST TB'!C:C)</f>
        <v/>
      </c>
      <c r="P23" s="37">
        <f>SUMIF('SST TB'!$R:$R,'SST P&amp;L'!$A23,'SST TB'!D:D)</f>
        <v/>
      </c>
      <c r="Q23" s="37">
        <f>SUMIF('SST TB'!$R:$R,'SST P&amp;L'!$A23,'SST TB'!E:E)</f>
        <v/>
      </c>
      <c r="R23" s="37">
        <f>SUMIF('SST TB'!$R:$R,'SST P&amp;L'!$A23,'SST TB'!F:F)</f>
        <v/>
      </c>
      <c r="S23" s="37">
        <f>SUMIF('SST TB'!$R:$R,'SST P&amp;L'!$A23,'SST TB'!G:G)</f>
        <v/>
      </c>
      <c r="T23" s="37">
        <f>SUMIF('SST TB'!$R:$R,'SST P&amp;L'!$A23,'SST TB'!H:H)</f>
        <v/>
      </c>
      <c r="U23" s="37">
        <f>SUMIF('SST TB'!$R:$R,'SST P&amp;L'!$A23,'SST TB'!I:I)</f>
        <v/>
      </c>
      <c r="V23" s="38" t="n">
        <v>50</v>
      </c>
      <c r="W23" s="38" t="n">
        <v>50</v>
      </c>
      <c r="X23" s="38" t="n">
        <v>50</v>
      </c>
      <c r="Y23" s="38" t="n">
        <v>50</v>
      </c>
      <c r="Z23" s="38" t="n">
        <v>50</v>
      </c>
      <c r="AA23" s="36">
        <f>SUM(O23:U23)</f>
        <v/>
      </c>
      <c r="AB23" s="36">
        <f>SUM(O23:Z23)</f>
        <v/>
      </c>
      <c r="AC23" s="38" t="n">
        <v>50</v>
      </c>
      <c r="AD23" s="38" t="n">
        <v>50</v>
      </c>
      <c r="AE23" s="38" t="n">
        <v>50</v>
      </c>
      <c r="AF23" s="38" t="n">
        <v>50</v>
      </c>
      <c r="AG23" s="38" t="n">
        <v>50</v>
      </c>
      <c r="AH23" s="38" t="n">
        <v>50</v>
      </c>
      <c r="AI23" s="118" t="n">
        <v>50</v>
      </c>
      <c r="AJ23" s="119" t="n">
        <v>50</v>
      </c>
      <c r="AK23" s="119" t="n">
        <v>50</v>
      </c>
      <c r="AL23" s="119" t="n">
        <v>50</v>
      </c>
      <c r="AM23" s="120" t="n">
        <v>50</v>
      </c>
      <c r="AN23" s="118" t="n">
        <v>50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SUMIF('SST TB'!$R:$R,'SST P&amp;L'!$A24,'SST TB'!C:C)</f>
        <v/>
      </c>
      <c r="P24" s="37">
        <f>SUMIF('SST TB'!$R:$R,'SST P&amp;L'!$A24,'SST TB'!D:D)</f>
        <v/>
      </c>
      <c r="Q24" s="37">
        <f>SUMIF('SST TB'!$R:$R,'SST P&amp;L'!$A24,'SST TB'!E:E)</f>
        <v/>
      </c>
      <c r="R24" s="37">
        <f>SUMIF('SST TB'!$R:$R,'SST P&amp;L'!$A24,'SST TB'!F:F)</f>
        <v/>
      </c>
      <c r="S24" s="37">
        <f>SUMIF('SST TB'!$R:$R,'SST P&amp;L'!$A24,'SST TB'!G:G)</f>
        <v/>
      </c>
      <c r="T24" s="37">
        <f>SUMIF('SST TB'!$R:$R,'SST P&amp;L'!$A24,'SST TB'!H:H)</f>
        <v/>
      </c>
      <c r="U24" s="37">
        <f>SUMIF('SST TB'!$R:$R,'SST P&amp;L'!$A24,'SST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8" t="n">
        <v>0</v>
      </c>
      <c r="AJ24" s="119" t="n">
        <v>0</v>
      </c>
      <c r="AK24" s="119" t="n">
        <v>0</v>
      </c>
      <c r="AL24" s="119" t="n">
        <v>0</v>
      </c>
      <c r="AM24" s="120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23799.23</v>
      </c>
      <c r="C25" s="42" t="n">
        <v>20606.08</v>
      </c>
      <c r="D25" s="42" t="n">
        <v>20653.85</v>
      </c>
      <c r="E25" s="42" t="n">
        <v>38381.55999999999</v>
      </c>
      <c r="F25" s="42" t="n">
        <v>23949.07</v>
      </c>
      <c r="G25" s="42" t="n">
        <v>23893.35</v>
      </c>
      <c r="H25" s="42" t="n">
        <v>23286.16</v>
      </c>
      <c r="I25" s="42" t="n">
        <v>17854.27</v>
      </c>
      <c r="J25" s="42" t="n">
        <v>15786.57</v>
      </c>
      <c r="K25" s="42" t="n">
        <v>24526.62</v>
      </c>
      <c r="L25" s="42" t="n">
        <v>26536.27</v>
      </c>
      <c r="M25" s="42" t="n">
        <v>28465.36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3">
        <f>SUM(AI16:AI24)</f>
        <v/>
      </c>
      <c r="AJ25" s="124">
        <f>SUM(AJ16:AJ24)</f>
        <v/>
      </c>
      <c r="AK25" s="124">
        <f>SUM(AK16:AK24)</f>
        <v/>
      </c>
      <c r="AL25" s="124">
        <f>SUM(AL16:AL24)</f>
        <v/>
      </c>
      <c r="AM25" s="124">
        <f>SUM(AM16:AM24)</f>
        <v/>
      </c>
      <c r="AN25" s="123">
        <f>SUM(AN16:AN24)</f>
        <v/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7" t="n">
        <v>0</v>
      </c>
      <c r="AJ26" s="128" t="n">
        <v>0</v>
      </c>
      <c r="AK26" s="128" t="n">
        <v>0</v>
      </c>
      <c r="AL26" s="128" t="n">
        <v>0</v>
      </c>
      <c r="AM26" s="129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1976.95</v>
      </c>
      <c r="C27" s="35" t="n">
        <v>1443.01</v>
      </c>
      <c r="D27" s="35" t="n">
        <v>1187.18</v>
      </c>
      <c r="E27" s="35" t="n">
        <v>1138.34</v>
      </c>
      <c r="F27" s="35" t="n">
        <v>584.17</v>
      </c>
      <c r="G27" s="35" t="n">
        <v>1127.49</v>
      </c>
      <c r="H27" s="35" t="n">
        <v>937.36</v>
      </c>
      <c r="I27" s="35" t="n">
        <v>1743.46</v>
      </c>
      <c r="J27" s="35" t="n">
        <v>1146.68</v>
      </c>
      <c r="K27" s="35" t="n">
        <v>1299.82</v>
      </c>
      <c r="L27" s="35" t="n">
        <v>1334.53</v>
      </c>
      <c r="M27" s="35" t="n">
        <v>968.6700000000001</v>
      </c>
      <c r="N27" s="36">
        <f>SUM(B27:M27)</f>
        <v/>
      </c>
      <c r="O27" s="37">
        <f>SUMIF('SST TB'!$R:$R,'SST P&amp;L'!$A27,'SST TB'!C:C)</f>
        <v/>
      </c>
      <c r="P27" s="37">
        <f>SUMIF('SST TB'!$R:$R,'SST P&amp;L'!$A27,'SST TB'!D:D)</f>
        <v/>
      </c>
      <c r="Q27" s="37">
        <f>SUMIF('SST TB'!$R:$R,'SST P&amp;L'!$A27,'SST TB'!E:E)</f>
        <v/>
      </c>
      <c r="R27" s="37">
        <f>SUMIF('SST TB'!$R:$R,'SST P&amp;L'!$A27,'SST TB'!F:F)</f>
        <v/>
      </c>
      <c r="S27" s="37">
        <f>SUMIF('SST TB'!$R:$R,'SST P&amp;L'!$A27,'SST TB'!G:G)</f>
        <v/>
      </c>
      <c r="T27" s="37">
        <f>SUMIF('SST TB'!$R:$R,'SST P&amp;L'!$A27,'SST TB'!H:H)</f>
        <v/>
      </c>
      <c r="U27" s="37">
        <f>SUMIF('SST TB'!$R:$R,'SST P&amp;L'!$A27,'SST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18" t="n">
        <v>0</v>
      </c>
      <c r="AJ27" s="119" t="n">
        <v>0</v>
      </c>
      <c r="AK27" s="119" t="n">
        <v>0</v>
      </c>
      <c r="AL27" s="119" t="n">
        <v>0</v>
      </c>
      <c r="AM27" s="120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152.72</v>
      </c>
      <c r="C28" s="35" t="n">
        <v>57.08</v>
      </c>
      <c r="D28" s="35" t="n">
        <v>79.77</v>
      </c>
      <c r="E28" s="35" t="n">
        <v>114.39</v>
      </c>
      <c r="F28" s="35" t="n">
        <v>137.45</v>
      </c>
      <c r="G28" s="35" t="n">
        <v>30.35</v>
      </c>
      <c r="H28" s="35" t="n">
        <v>123.05</v>
      </c>
      <c r="I28" s="35" t="n">
        <v>2545.39</v>
      </c>
      <c r="J28" s="35" t="n">
        <v>573.58</v>
      </c>
      <c r="K28" s="35" t="n">
        <v>36.85</v>
      </c>
      <c r="L28" s="35" t="n">
        <v>46.98</v>
      </c>
      <c r="M28" s="35" t="n">
        <v>8</v>
      </c>
      <c r="N28" s="36">
        <f>SUM(B28:M28)</f>
        <v/>
      </c>
      <c r="O28" s="37">
        <f>SUMIF('SST TB'!$R:$R,'SST P&amp;L'!$A28,'SST TB'!C:C)</f>
        <v/>
      </c>
      <c r="P28" s="37">
        <f>SUMIF('SST TB'!$R:$R,'SST P&amp;L'!$A28,'SST TB'!D:D)</f>
        <v/>
      </c>
      <c r="Q28" s="37">
        <f>SUMIF('SST TB'!$R:$R,'SST P&amp;L'!$A28,'SST TB'!E:E)</f>
        <v/>
      </c>
      <c r="R28" s="37">
        <f>SUMIF('SST TB'!$R:$R,'SST P&amp;L'!$A28,'SST TB'!F:F)</f>
        <v/>
      </c>
      <c r="S28" s="37">
        <f>SUMIF('SST TB'!$R:$R,'SST P&amp;L'!$A28,'SST TB'!G:G)</f>
        <v/>
      </c>
      <c r="T28" s="37">
        <f>SUMIF('SST TB'!$R:$R,'SST P&amp;L'!$A28,'SST TB'!H:H)</f>
        <v/>
      </c>
      <c r="U28" s="37">
        <f>SUMIF('SST TB'!$R:$R,'SST P&amp;L'!$A28,'SST TB'!I:I)</f>
        <v/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118" t="n">
        <v>50</v>
      </c>
      <c r="AJ28" s="119" t="n">
        <v>50</v>
      </c>
      <c r="AK28" s="119" t="n">
        <v>50</v>
      </c>
      <c r="AL28" s="119" t="n">
        <v>50</v>
      </c>
      <c r="AM28" s="120" t="n">
        <v>50</v>
      </c>
      <c r="AN28" s="118" t="n">
        <v>50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34.35</v>
      </c>
      <c r="C29" s="35" t="n">
        <v>189.07</v>
      </c>
      <c r="D29" s="35" t="n">
        <v>0</v>
      </c>
      <c r="E29" s="35" t="n">
        <v>5.94</v>
      </c>
      <c r="F29" s="35" t="n">
        <v>0</v>
      </c>
      <c r="G29" s="35" t="n">
        <v>343.1</v>
      </c>
      <c r="H29" s="35" t="n">
        <v>16.74</v>
      </c>
      <c r="I29" s="35" t="n">
        <v>0</v>
      </c>
      <c r="J29" s="35" t="n">
        <v>60.31</v>
      </c>
      <c r="K29" s="35" t="n">
        <v>159.73</v>
      </c>
      <c r="L29" s="35" t="n">
        <v>225.08</v>
      </c>
      <c r="M29" s="35" t="n">
        <v>0</v>
      </c>
      <c r="N29" s="36">
        <f>SUM(B29:M29)</f>
        <v/>
      </c>
      <c r="O29" s="37">
        <f>SUMIF('SST TB'!$R:$R,'SST P&amp;L'!$A29,'SST TB'!C:C)</f>
        <v/>
      </c>
      <c r="P29" s="37">
        <f>SUMIF('SST TB'!$R:$R,'SST P&amp;L'!$A29,'SST TB'!D:D)</f>
        <v/>
      </c>
      <c r="Q29" s="37">
        <f>SUMIF('SST TB'!$R:$R,'SST P&amp;L'!$A29,'SST TB'!E:E)</f>
        <v/>
      </c>
      <c r="R29" s="37">
        <f>SUMIF('SST TB'!$R:$R,'SST P&amp;L'!$A29,'SST TB'!F:F)</f>
        <v/>
      </c>
      <c r="S29" s="37">
        <f>SUMIF('SST TB'!$R:$R,'SST P&amp;L'!$A29,'SST TB'!G:G)</f>
        <v/>
      </c>
      <c r="T29" s="37">
        <f>SUMIF('SST TB'!$R:$R,'SST P&amp;L'!$A29,'SST TB'!H:H)</f>
        <v/>
      </c>
      <c r="U29" s="37">
        <f>SUMIF('SST TB'!$R:$R,'SST P&amp;L'!$A29,'SST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18" t="n">
        <v>0</v>
      </c>
      <c r="AJ29" s="119" t="n">
        <v>0</v>
      </c>
      <c r="AK29" s="119" t="n">
        <v>0</v>
      </c>
      <c r="AL29" s="119" t="n">
        <v>0</v>
      </c>
      <c r="AM29" s="120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72.27000000000001</v>
      </c>
      <c r="C30" s="35" t="n">
        <v>90.23999999999999</v>
      </c>
      <c r="D30" s="35" t="n">
        <v>3.95</v>
      </c>
      <c r="E30" s="35" t="n">
        <v>20.61</v>
      </c>
      <c r="F30" s="35" t="n">
        <v>6.64</v>
      </c>
      <c r="G30" s="35" t="n">
        <v>17.43</v>
      </c>
      <c r="H30" s="35" t="n">
        <v>25.88</v>
      </c>
      <c r="I30" s="35" t="n">
        <v>0</v>
      </c>
      <c r="J30" s="35" t="n">
        <v>0</v>
      </c>
      <c r="K30" s="35" t="n">
        <v>25.42</v>
      </c>
      <c r="L30" s="35" t="n">
        <v>28.11</v>
      </c>
      <c r="M30" s="35" t="n">
        <v>0</v>
      </c>
      <c r="N30" s="36">
        <f>SUM(B30:M30)</f>
        <v/>
      </c>
      <c r="O30" s="37">
        <f>SUMIF('SST TB'!$R:$R,'SST P&amp;L'!$A30,'SST TB'!C:C)</f>
        <v/>
      </c>
      <c r="P30" s="37">
        <f>SUMIF('SST TB'!$R:$R,'SST P&amp;L'!$A30,'SST TB'!D:D)</f>
        <v/>
      </c>
      <c r="Q30" s="37">
        <f>SUMIF('SST TB'!$R:$R,'SST P&amp;L'!$A30,'SST TB'!E:E)</f>
        <v/>
      </c>
      <c r="R30" s="37">
        <f>SUMIF('SST TB'!$R:$R,'SST P&amp;L'!$A30,'SST TB'!F:F)</f>
        <v/>
      </c>
      <c r="S30" s="37">
        <f>SUMIF('SST TB'!$R:$R,'SST P&amp;L'!$A30,'SST TB'!G:G)</f>
        <v/>
      </c>
      <c r="T30" s="37">
        <f>SUMIF('SST TB'!$R:$R,'SST P&amp;L'!$A30,'SST TB'!H:H)</f>
        <v/>
      </c>
      <c r="U30" s="37">
        <f>SUMIF('SST TB'!$R:$R,'SST P&amp;L'!$A30,'SST TB'!I:I)</f>
        <v/>
      </c>
      <c r="V30" s="38" t="n">
        <v>50</v>
      </c>
      <c r="W30" s="38" t="n">
        <v>50</v>
      </c>
      <c r="X30" s="38" t="n">
        <v>50</v>
      </c>
      <c r="Y30" s="38" t="n">
        <v>50</v>
      </c>
      <c r="Z30" s="38" t="n">
        <v>50</v>
      </c>
      <c r="AA30" s="36">
        <f>SUM(O30:U30)</f>
        <v/>
      </c>
      <c r="AB30" s="36">
        <f>SUM(O30:Z30)</f>
        <v/>
      </c>
      <c r="AC30" s="38" t="n">
        <v>50</v>
      </c>
      <c r="AD30" s="38" t="n">
        <v>50</v>
      </c>
      <c r="AE30" s="38" t="n">
        <v>50</v>
      </c>
      <c r="AF30" s="38" t="n">
        <v>50</v>
      </c>
      <c r="AG30" s="38" t="n">
        <v>50</v>
      </c>
      <c r="AH30" s="38" t="n">
        <v>50</v>
      </c>
      <c r="AI30" s="118" t="n">
        <v>50</v>
      </c>
      <c r="AJ30" s="119" t="n">
        <v>50</v>
      </c>
      <c r="AK30" s="119" t="n">
        <v>50</v>
      </c>
      <c r="AL30" s="119" t="n">
        <v>50</v>
      </c>
      <c r="AM30" s="120" t="n">
        <v>50</v>
      </c>
      <c r="AN30" s="118" t="n">
        <v>50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61.07999999999999</v>
      </c>
      <c r="C31" s="35" t="n">
        <v>408.14</v>
      </c>
      <c r="D31" s="35" t="n">
        <v>0</v>
      </c>
      <c r="E31" s="35" t="n">
        <v>0</v>
      </c>
      <c r="F31" s="35" t="n">
        <v>0</v>
      </c>
      <c r="G31" s="35" t="n">
        <v>137.33</v>
      </c>
      <c r="H31" s="35" t="n">
        <v>0</v>
      </c>
      <c r="I31" s="35" t="n">
        <v>0</v>
      </c>
      <c r="J31" s="35" t="n">
        <v>15.49</v>
      </c>
      <c r="K31" s="35" t="n">
        <v>136.52</v>
      </c>
      <c r="L31" s="35" t="n">
        <v>87.22</v>
      </c>
      <c r="M31" s="35" t="n">
        <v>0</v>
      </c>
      <c r="N31" s="36">
        <f>SUM(B31:M31)</f>
        <v/>
      </c>
      <c r="O31" s="37">
        <f>SUMIF('SST TB'!$R:$R,'SST P&amp;L'!$A31,'SST TB'!C:C)</f>
        <v/>
      </c>
      <c r="P31" s="37">
        <f>SUMIF('SST TB'!$R:$R,'SST P&amp;L'!$A31,'SST TB'!D:D)</f>
        <v/>
      </c>
      <c r="Q31" s="37">
        <f>SUMIF('SST TB'!$R:$R,'SST P&amp;L'!$A31,'SST TB'!E:E)</f>
        <v/>
      </c>
      <c r="R31" s="37">
        <f>SUMIF('SST TB'!$R:$R,'SST P&amp;L'!$A31,'SST TB'!F:F)</f>
        <v/>
      </c>
      <c r="S31" s="37">
        <f>SUMIF('SST TB'!$R:$R,'SST P&amp;L'!$A31,'SST TB'!G:G)</f>
        <v/>
      </c>
      <c r="T31" s="37">
        <f>SUMIF('SST TB'!$R:$R,'SST P&amp;L'!$A31,'SST TB'!H:H)</f>
        <v/>
      </c>
      <c r="U31" s="37">
        <f>SUMIF('SST TB'!$R:$R,'SST P&amp;L'!$A31,'SST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8" t="n">
        <v>50</v>
      </c>
      <c r="AJ31" s="119" t="n">
        <v>50</v>
      </c>
      <c r="AK31" s="119" t="n">
        <v>50</v>
      </c>
      <c r="AL31" s="119" t="n">
        <v>50</v>
      </c>
      <c r="AM31" s="120" t="n">
        <v>50</v>
      </c>
      <c r="AN31" s="118" t="n">
        <v>50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153.95</v>
      </c>
      <c r="C32" s="35" t="n">
        <v>25.49</v>
      </c>
      <c r="D32" s="35" t="n">
        <v>76.11</v>
      </c>
      <c r="E32" s="35" t="n">
        <v>48.42</v>
      </c>
      <c r="F32" s="35" t="n">
        <v>528.41</v>
      </c>
      <c r="G32" s="35" t="n">
        <v>177.93</v>
      </c>
      <c r="H32" s="35" t="n">
        <v>177.59</v>
      </c>
      <c r="I32" s="35" t="n">
        <v>40.88</v>
      </c>
      <c r="J32" s="35" t="n">
        <v>118.28</v>
      </c>
      <c r="K32" s="35" t="n">
        <v>171.62</v>
      </c>
      <c r="L32" s="35" t="n">
        <v>380.9999999999999</v>
      </c>
      <c r="M32" s="35" t="n">
        <v>167.87</v>
      </c>
      <c r="N32" s="36">
        <f>SUM(B32:M32)</f>
        <v/>
      </c>
      <c r="O32" s="37">
        <f>SUMIF('SST TB'!$R:$R,'SST P&amp;L'!$A32,'SST TB'!C:C)</f>
        <v/>
      </c>
      <c r="P32" s="37">
        <f>SUMIF('SST TB'!$R:$R,'SST P&amp;L'!$A32,'SST TB'!D:D)</f>
        <v/>
      </c>
      <c r="Q32" s="37">
        <f>SUMIF('SST TB'!$R:$R,'SST P&amp;L'!$A32,'SST TB'!E:E)</f>
        <v/>
      </c>
      <c r="R32" s="37">
        <f>SUMIF('SST TB'!$R:$R,'SST P&amp;L'!$A32,'SST TB'!F:F)</f>
        <v/>
      </c>
      <c r="S32" s="37">
        <f>SUMIF('SST TB'!$R:$R,'SST P&amp;L'!$A32,'SST TB'!G:G)</f>
        <v/>
      </c>
      <c r="T32" s="37">
        <f>SUMIF('SST TB'!$R:$R,'SST P&amp;L'!$A32,'SST TB'!H:H)</f>
        <v/>
      </c>
      <c r="U32" s="37">
        <f>SUMIF('SST TB'!$R:$R,'SST P&amp;L'!$A32,'SST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18" t="n">
        <v>0</v>
      </c>
      <c r="AJ32" s="119" t="n">
        <v>0</v>
      </c>
      <c r="AK32" s="119" t="n">
        <v>0</v>
      </c>
      <c r="AL32" s="119" t="n">
        <v>0</v>
      </c>
      <c r="AM32" s="120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SUMIF('SST TB'!$R:$R,'SST P&amp;L'!$A33,'SST TB'!C:C)</f>
        <v/>
      </c>
      <c r="P33" s="37">
        <f>SUMIF('SST TB'!$R:$R,'SST P&amp;L'!$A33,'SST TB'!D:D)</f>
        <v/>
      </c>
      <c r="Q33" s="37">
        <f>SUMIF('SST TB'!$R:$R,'SST P&amp;L'!$A33,'SST TB'!E:E)</f>
        <v/>
      </c>
      <c r="R33" s="37">
        <f>SUMIF('SST TB'!$R:$R,'SST P&amp;L'!$A33,'SST TB'!F:F)</f>
        <v/>
      </c>
      <c r="S33" s="37">
        <f>SUMIF('SST TB'!$R:$R,'SST P&amp;L'!$A33,'SST TB'!G:G)</f>
        <v/>
      </c>
      <c r="T33" s="37">
        <f>SUMIF('SST TB'!$R:$R,'SST P&amp;L'!$A33,'SST TB'!H:H)</f>
        <v/>
      </c>
      <c r="U33" s="37">
        <f>SUMIF('SST TB'!$R:$R,'SST P&amp;L'!$A33,'SST TB'!I:I)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8" t="n">
        <v>0</v>
      </c>
      <c r="AJ33" s="119" t="n">
        <v>0</v>
      </c>
      <c r="AK33" s="119" t="n">
        <v>0</v>
      </c>
      <c r="AL33" s="119" t="n">
        <v>0</v>
      </c>
      <c r="AM33" s="120" t="n">
        <v>0</v>
      </c>
      <c r="AN33" s="118" t="n">
        <v>0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2451.319999999999</v>
      </c>
      <c r="C34" s="42" t="n">
        <v>2213.03</v>
      </c>
      <c r="D34" s="42" t="n">
        <v>1347.01</v>
      </c>
      <c r="E34" s="42" t="n">
        <v>1327.7</v>
      </c>
      <c r="F34" s="42" t="n">
        <v>1256.67</v>
      </c>
      <c r="G34" s="42" t="n">
        <v>1833.63</v>
      </c>
      <c r="H34" s="42" t="n">
        <v>1280.62</v>
      </c>
      <c r="I34" s="42" t="n">
        <v>4329.73</v>
      </c>
      <c r="J34" s="42" t="n">
        <v>1914.34</v>
      </c>
      <c r="K34" s="42" t="n">
        <v>1829.96</v>
      </c>
      <c r="L34" s="42" t="n">
        <v>2102.92</v>
      </c>
      <c r="M34" s="42" t="n">
        <v>1144.54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3">
        <f>SUM(AI27:AI33)</f>
        <v/>
      </c>
      <c r="AJ34" s="124">
        <f>SUM(AJ27:AJ33)</f>
        <v/>
      </c>
      <c r="AK34" s="124">
        <f>SUM(AK27:AK33)</f>
        <v/>
      </c>
      <c r="AL34" s="124">
        <f>SUM(AL27:AL33)</f>
        <v/>
      </c>
      <c r="AM34" s="124">
        <f>SUM(AM27:AM33)</f>
        <v/>
      </c>
      <c r="AN34" s="123">
        <f>SUM(AN27:AN33)</f>
        <v/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7" t="n">
        <v>0</v>
      </c>
      <c r="AJ35" s="128" t="n">
        <v>0</v>
      </c>
      <c r="AK35" s="128" t="n">
        <v>0</v>
      </c>
      <c r="AL35" s="128" t="n">
        <v>0</v>
      </c>
      <c r="AM35" s="129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SUMIF('SST TB'!$R:$R,'SST P&amp;L'!$A36,'SST TB'!C:C)</f>
        <v/>
      </c>
      <c r="P36" s="37">
        <f>SUMIF('SST TB'!$R:$R,'SST P&amp;L'!$A36,'SST TB'!D:D)</f>
        <v/>
      </c>
      <c r="Q36" s="37">
        <f>SUMIF('SST TB'!$R:$R,'SST P&amp;L'!$A36,'SST TB'!E:E)</f>
        <v/>
      </c>
      <c r="R36" s="37">
        <f>SUMIF('SST TB'!$R:$R,'SST P&amp;L'!$A36,'SST TB'!F:F)</f>
        <v/>
      </c>
      <c r="S36" s="37">
        <f>SUMIF('SST TB'!$R:$R,'SST P&amp;L'!$A36,'SST TB'!G:G)</f>
        <v/>
      </c>
      <c r="T36" s="37">
        <f>SUMIF('SST TB'!$R:$R,'SST P&amp;L'!$A36,'SST TB'!H:H)</f>
        <v/>
      </c>
      <c r="U36" s="37">
        <f>SUMIF('SST TB'!$R:$R,'SST P&amp;L'!$A36,'SST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8" t="n">
        <v>0</v>
      </c>
      <c r="AJ36" s="119" t="n">
        <v>0</v>
      </c>
      <c r="AK36" s="119" t="n">
        <v>0</v>
      </c>
      <c r="AL36" s="119" t="n">
        <v>0</v>
      </c>
      <c r="AM36" s="120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1382.65</v>
      </c>
      <c r="C37" s="35" t="n">
        <v>1382.65</v>
      </c>
      <c r="D37" s="35" t="n">
        <v>1382.65</v>
      </c>
      <c r="E37" s="35" t="n">
        <v>1382.65</v>
      </c>
      <c r="F37" s="35" t="n">
        <v>1382.65</v>
      </c>
      <c r="G37" s="35" t="n">
        <v>1382.65</v>
      </c>
      <c r="H37" s="35" t="n">
        <v>1382.65</v>
      </c>
      <c r="I37" s="35" t="n">
        <v>1382.65</v>
      </c>
      <c r="J37" s="35" t="n">
        <v>1382.65</v>
      </c>
      <c r="K37" s="35" t="n">
        <v>1382.65</v>
      </c>
      <c r="L37" s="35" t="n">
        <v>1382.65</v>
      </c>
      <c r="M37" s="35" t="n">
        <v>1382.65</v>
      </c>
      <c r="N37" s="36">
        <f>SUM(B37:M37)</f>
        <v/>
      </c>
      <c r="O37" s="37">
        <f>SUMIF('SST TB'!$R:$R,'SST P&amp;L'!$A37,'SST TB'!C:C)</f>
        <v/>
      </c>
      <c r="P37" s="37">
        <f>SUMIF('SST TB'!$R:$R,'SST P&amp;L'!$A37,'SST TB'!D:D)</f>
        <v/>
      </c>
      <c r="Q37" s="37">
        <f>SUMIF('SST TB'!$R:$R,'SST P&amp;L'!$A37,'SST TB'!E:E)</f>
        <v/>
      </c>
      <c r="R37" s="37">
        <f>SUMIF('SST TB'!$R:$R,'SST P&amp;L'!$A37,'SST TB'!F:F)</f>
        <v/>
      </c>
      <c r="S37" s="37">
        <f>SUMIF('SST TB'!$R:$R,'SST P&amp;L'!$A37,'SST TB'!G:G)</f>
        <v/>
      </c>
      <c r="T37" s="37">
        <f>SUMIF('SST TB'!$R:$R,'SST P&amp;L'!$A37,'SST TB'!H:H)</f>
        <v/>
      </c>
      <c r="U37" s="37">
        <f>SUMIF('SST TB'!$R:$R,'SST P&amp;L'!$A37,'SST TB'!I:I)</f>
        <v/>
      </c>
      <c r="V37" s="38" t="n">
        <v>1500.96</v>
      </c>
      <c r="W37" s="38" t="n">
        <v>1500.96</v>
      </c>
      <c r="X37" s="38" t="n">
        <v>1500.96</v>
      </c>
      <c r="Y37" s="38" t="n">
        <v>1500.96</v>
      </c>
      <c r="Z37" s="38" t="n">
        <v>1500.96</v>
      </c>
      <c r="AA37" s="36">
        <f>SUM(O37:U37)</f>
        <v/>
      </c>
      <c r="AB37" s="36">
        <f>SUM(O37:Z37)</f>
        <v/>
      </c>
      <c r="AC37" s="38" t="n">
        <v>1500.96</v>
      </c>
      <c r="AD37" s="38" t="n">
        <v>1500.96</v>
      </c>
      <c r="AE37" s="38" t="n">
        <v>1500.96</v>
      </c>
      <c r="AF37" s="38" t="n">
        <v>1500.96</v>
      </c>
      <c r="AG37" s="38" t="n">
        <v>1500.96</v>
      </c>
      <c r="AH37" s="38" t="n">
        <v>1500.96</v>
      </c>
      <c r="AI37" s="118" t="n">
        <v>1500.96</v>
      </c>
      <c r="AJ37" s="119" t="n">
        <v>1500.96</v>
      </c>
      <c r="AK37" s="119" t="n">
        <v>1500.96</v>
      </c>
      <c r="AL37" s="119" t="n">
        <v>1500.96</v>
      </c>
      <c r="AM37" s="120" t="n">
        <v>1500.96</v>
      </c>
      <c r="AN37" s="118" t="n">
        <v>1500.96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1570.08</v>
      </c>
      <c r="C38" s="35" t="n">
        <v>515.15</v>
      </c>
      <c r="D38" s="35" t="n">
        <v>1396.8</v>
      </c>
      <c r="E38" s="35" t="n">
        <v>1226.21</v>
      </c>
      <c r="F38" s="35" t="n">
        <v>942.79</v>
      </c>
      <c r="G38" s="35" t="n">
        <v>1589.85</v>
      </c>
      <c r="H38" s="35" t="n">
        <v>881.61</v>
      </c>
      <c r="I38" s="35" t="n">
        <v>878.34</v>
      </c>
      <c r="J38" s="35" t="n">
        <v>-105.41</v>
      </c>
      <c r="K38" s="35" t="n">
        <v>934.6199999999999</v>
      </c>
      <c r="L38" s="35" t="n">
        <v>782.97</v>
      </c>
      <c r="M38" s="35" t="n">
        <v>1267.92</v>
      </c>
      <c r="N38" s="36">
        <f>SUM(B38:M38)</f>
        <v/>
      </c>
      <c r="O38" s="37">
        <f>SUMIF('SST TB'!$R:$R,'SST P&amp;L'!$A38,'SST TB'!C:C)</f>
        <v/>
      </c>
      <c r="P38" s="37">
        <f>SUMIF('SST TB'!$R:$R,'SST P&amp;L'!$A38,'SST TB'!D:D)</f>
        <v/>
      </c>
      <c r="Q38" s="37">
        <f>SUMIF('SST TB'!$R:$R,'SST P&amp;L'!$A38,'SST TB'!E:E)</f>
        <v/>
      </c>
      <c r="R38" s="37">
        <f>SUMIF('SST TB'!$R:$R,'SST P&amp;L'!$A38,'SST TB'!F:F)</f>
        <v/>
      </c>
      <c r="S38" s="37">
        <f>SUMIF('SST TB'!$R:$R,'SST P&amp;L'!$A38,'SST TB'!G:G)</f>
        <v/>
      </c>
      <c r="T38" s="37">
        <f>SUMIF('SST TB'!$R:$R,'SST P&amp;L'!$A38,'SST TB'!H:H)</f>
        <v/>
      </c>
      <c r="U38" s="37">
        <f>SUMIF('SST TB'!$R:$R,'SST P&amp;L'!$A38,'SST TB'!I:I)</f>
        <v/>
      </c>
      <c r="V38" s="38" t="n">
        <v>1038</v>
      </c>
      <c r="W38" s="38" t="n">
        <v>1038</v>
      </c>
      <c r="X38" s="38" t="n">
        <v>1038</v>
      </c>
      <c r="Y38" s="38" t="n">
        <v>1038</v>
      </c>
      <c r="Z38" s="38" t="n">
        <v>1038</v>
      </c>
      <c r="AA38" s="36">
        <f>SUM(O38:U38)</f>
        <v/>
      </c>
      <c r="AB38" s="36">
        <f>SUM(O38:Z38)</f>
        <v/>
      </c>
      <c r="AC38" s="38" t="n">
        <v>1038</v>
      </c>
      <c r="AD38" s="38" t="n">
        <v>1038</v>
      </c>
      <c r="AE38" s="38" t="n">
        <v>1038</v>
      </c>
      <c r="AF38" s="38" t="n">
        <v>1038</v>
      </c>
      <c r="AG38" s="38" t="n">
        <v>1038</v>
      </c>
      <c r="AH38" s="38" t="n">
        <v>1038</v>
      </c>
      <c r="AI38" s="118" t="n">
        <v>1038</v>
      </c>
      <c r="AJ38" s="119" t="n">
        <v>1038</v>
      </c>
      <c r="AK38" s="119" t="n">
        <v>1038</v>
      </c>
      <c r="AL38" s="119" t="n">
        <v>1038</v>
      </c>
      <c r="AM38" s="120" t="n">
        <v>1038</v>
      </c>
      <c r="AN38" s="118" t="n">
        <v>1038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383.82</v>
      </c>
      <c r="C39" s="35" t="n">
        <v>21.9</v>
      </c>
      <c r="D39" s="35" t="n">
        <v>102.21</v>
      </c>
      <c r="E39" s="35" t="n">
        <v>9.359999999999999</v>
      </c>
      <c r="F39" s="35" t="n">
        <v>220.56</v>
      </c>
      <c r="G39" s="35" t="n">
        <v>278.76</v>
      </c>
      <c r="H39" s="35" t="n">
        <v>0</v>
      </c>
      <c r="I39" s="35" t="n">
        <v>0</v>
      </c>
      <c r="J39" s="35" t="n">
        <v>107.67</v>
      </c>
      <c r="K39" s="35" t="n">
        <v>169.3</v>
      </c>
      <c r="L39" s="35" t="n">
        <v>179.1</v>
      </c>
      <c r="M39" s="35" t="n">
        <v>428.4</v>
      </c>
      <c r="N39" s="36">
        <f>SUM(B39:M39)</f>
        <v/>
      </c>
      <c r="O39" s="37">
        <f>SUMIF('SST TB'!$R:$R,'SST P&amp;L'!$A39,'SST TB'!C:C)</f>
        <v/>
      </c>
      <c r="P39" s="37">
        <f>SUMIF('SST TB'!$R:$R,'SST P&amp;L'!$A39,'SST TB'!D:D)</f>
        <v/>
      </c>
      <c r="Q39" s="37">
        <f>SUMIF('SST TB'!$R:$R,'SST P&amp;L'!$A39,'SST TB'!E:E)</f>
        <v/>
      </c>
      <c r="R39" s="37">
        <f>SUMIF('SST TB'!$R:$R,'SST P&amp;L'!$A39,'SST TB'!F:F)</f>
        <v/>
      </c>
      <c r="S39" s="37">
        <f>SUMIF('SST TB'!$R:$R,'SST P&amp;L'!$A39,'SST TB'!G:G)</f>
        <v/>
      </c>
      <c r="T39" s="37">
        <f>SUMIF('SST TB'!$R:$R,'SST P&amp;L'!$A39,'SST TB'!H:H)</f>
        <v/>
      </c>
      <c r="U39" s="37">
        <f>SUMIF('SST TB'!$R:$R,'SST P&amp;L'!$A39,'SST TB'!I:I)</f>
        <v/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8" t="n">
        <v>0</v>
      </c>
      <c r="AJ39" s="119" t="n">
        <v>0</v>
      </c>
      <c r="AK39" s="119" t="n">
        <v>0</v>
      </c>
      <c r="AL39" s="119" t="n">
        <v>0</v>
      </c>
      <c r="AM39" s="120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310.57</v>
      </c>
      <c r="C40" s="35" t="n">
        <v>254.08</v>
      </c>
      <c r="D40" s="35" t="n">
        <v>248.65</v>
      </c>
      <c r="E40" s="35" t="n">
        <v>308.98</v>
      </c>
      <c r="F40" s="35" t="n">
        <v>101.99</v>
      </c>
      <c r="G40" s="35" t="n">
        <v>261.22</v>
      </c>
      <c r="H40" s="35" t="n">
        <v>245.36</v>
      </c>
      <c r="I40" s="35" t="n">
        <v>395.58</v>
      </c>
      <c r="J40" s="35" t="n">
        <v>143.96</v>
      </c>
      <c r="K40" s="35" t="n">
        <v>306.08</v>
      </c>
      <c r="L40" s="35" t="n">
        <v>192.07</v>
      </c>
      <c r="M40" s="35" t="n">
        <v>240.79</v>
      </c>
      <c r="N40" s="36">
        <f>SUM(B40:M40)</f>
        <v/>
      </c>
      <c r="O40" s="37">
        <f>SUMIF('SST TB'!$R:$R,'SST P&amp;L'!$A40,'SST TB'!C:C)</f>
        <v/>
      </c>
      <c r="P40" s="37">
        <f>SUMIF('SST TB'!$R:$R,'SST P&amp;L'!$A40,'SST TB'!D:D)</f>
        <v/>
      </c>
      <c r="Q40" s="37">
        <f>SUMIF('SST TB'!$R:$R,'SST P&amp;L'!$A40,'SST TB'!E:E)</f>
        <v/>
      </c>
      <c r="R40" s="37">
        <f>SUMIF('SST TB'!$R:$R,'SST P&amp;L'!$A40,'SST TB'!F:F)</f>
        <v/>
      </c>
      <c r="S40" s="37">
        <f>SUMIF('SST TB'!$R:$R,'SST P&amp;L'!$A40,'SST TB'!G:G)</f>
        <v/>
      </c>
      <c r="T40" s="37">
        <f>SUMIF('SST TB'!$R:$R,'SST P&amp;L'!$A40,'SST TB'!H:H)</f>
        <v/>
      </c>
      <c r="U40" s="37">
        <f>SUMIF('SST TB'!$R:$R,'SST P&amp;L'!$A40,'SST TB'!I:I)</f>
        <v/>
      </c>
      <c r="V40" s="38" t="n">
        <v>257</v>
      </c>
      <c r="W40" s="38" t="n">
        <v>257</v>
      </c>
      <c r="X40" s="38" t="n">
        <v>257</v>
      </c>
      <c r="Y40" s="38" t="n">
        <v>257</v>
      </c>
      <c r="Z40" s="38" t="n">
        <v>257</v>
      </c>
      <c r="AA40" s="36">
        <f>SUM(O40:U40)</f>
        <v/>
      </c>
      <c r="AB40" s="36">
        <f>SUM(O40:Z40)</f>
        <v/>
      </c>
      <c r="AC40" s="38" t="n">
        <v>257</v>
      </c>
      <c r="AD40" s="38" t="n">
        <v>257</v>
      </c>
      <c r="AE40" s="38" t="n">
        <v>257</v>
      </c>
      <c r="AF40" s="38" t="n">
        <v>257</v>
      </c>
      <c r="AG40" s="38" t="n">
        <v>257</v>
      </c>
      <c r="AH40" s="38" t="n">
        <v>257</v>
      </c>
      <c r="AI40" s="118" t="n">
        <v>257</v>
      </c>
      <c r="AJ40" s="119" t="n">
        <v>257</v>
      </c>
      <c r="AK40" s="119" t="n">
        <v>257</v>
      </c>
      <c r="AL40" s="119" t="n">
        <v>257</v>
      </c>
      <c r="AM40" s="120" t="n">
        <v>257</v>
      </c>
      <c r="AN40" s="118" t="n">
        <v>257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204</v>
      </c>
      <c r="C41" s="35" t="n">
        <v>247.44</v>
      </c>
      <c r="D41" s="35" t="n">
        <v>306.67</v>
      </c>
      <c r="E41" s="35" t="n">
        <v>213.65</v>
      </c>
      <c r="F41" s="35" t="n">
        <v>352.32</v>
      </c>
      <c r="G41" s="35" t="n">
        <v>369.11</v>
      </c>
      <c r="H41" s="35" t="n">
        <v>366.11</v>
      </c>
      <c r="I41" s="35" t="n">
        <v>323.55</v>
      </c>
      <c r="J41" s="35" t="n">
        <v>592.36</v>
      </c>
      <c r="K41" s="35" t="n">
        <v>323.56</v>
      </c>
      <c r="L41" s="35" t="n">
        <v>323.55</v>
      </c>
      <c r="M41" s="35" t="n">
        <v>477.7600000000001</v>
      </c>
      <c r="N41" s="36">
        <f>SUM(B41:M41)</f>
        <v/>
      </c>
      <c r="O41" s="37">
        <f>SUMIF('SST TB'!$R:$R,'SST P&amp;L'!$A41,'SST TB'!C:C)</f>
        <v/>
      </c>
      <c r="P41" s="37">
        <f>SUMIF('SST TB'!$R:$R,'SST P&amp;L'!$A41,'SST TB'!D:D)</f>
        <v/>
      </c>
      <c r="Q41" s="37">
        <f>SUMIF('SST TB'!$R:$R,'SST P&amp;L'!$A41,'SST TB'!E:E)</f>
        <v/>
      </c>
      <c r="R41" s="37">
        <f>SUMIF('SST TB'!$R:$R,'SST P&amp;L'!$A41,'SST TB'!F:F)</f>
        <v/>
      </c>
      <c r="S41" s="37">
        <f>SUMIF('SST TB'!$R:$R,'SST P&amp;L'!$A41,'SST TB'!G:G)</f>
        <v/>
      </c>
      <c r="T41" s="37">
        <f>SUMIF('SST TB'!$R:$R,'SST P&amp;L'!$A41,'SST TB'!H:H)</f>
        <v/>
      </c>
      <c r="U41" s="37">
        <f>SUMIF('SST TB'!$R:$R,'SST P&amp;L'!$A41,'SST TB'!I:I)</f>
        <v/>
      </c>
      <c r="V41" s="38" t="n">
        <v>330</v>
      </c>
      <c r="W41" s="38" t="n">
        <v>330</v>
      </c>
      <c r="X41" s="38" t="n">
        <v>330</v>
      </c>
      <c r="Y41" s="38" t="n">
        <v>330</v>
      </c>
      <c r="Z41" s="38" t="n">
        <v>330</v>
      </c>
      <c r="AA41" s="36">
        <f>SUM(O41:U41)</f>
        <v/>
      </c>
      <c r="AB41" s="36">
        <f>SUM(O41:Z41)</f>
        <v/>
      </c>
      <c r="AC41" s="38" t="n">
        <v>330</v>
      </c>
      <c r="AD41" s="38" t="n">
        <v>330</v>
      </c>
      <c r="AE41" s="38" t="n">
        <v>330</v>
      </c>
      <c r="AF41" s="38" t="n">
        <v>330</v>
      </c>
      <c r="AG41" s="38" t="n">
        <v>330</v>
      </c>
      <c r="AH41" s="38" t="n">
        <v>330</v>
      </c>
      <c r="AI41" s="118" t="n">
        <v>330</v>
      </c>
      <c r="AJ41" s="119" t="n">
        <v>330</v>
      </c>
      <c r="AK41" s="119" t="n">
        <v>330</v>
      </c>
      <c r="AL41" s="119" t="n">
        <v>330</v>
      </c>
      <c r="AM41" s="120" t="n">
        <v>330</v>
      </c>
      <c r="AN41" s="118" t="n">
        <v>330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51.84</v>
      </c>
      <c r="C42" s="35" t="n">
        <v>71.55</v>
      </c>
      <c r="D42" s="35" t="n">
        <v>38.53</v>
      </c>
      <c r="E42" s="35" t="n">
        <v>53.47</v>
      </c>
      <c r="F42" s="35" t="n">
        <v>25.52</v>
      </c>
      <c r="G42" s="35" t="n">
        <v>21.61</v>
      </c>
      <c r="H42" s="35" t="n">
        <v>43.68</v>
      </c>
      <c r="I42" s="35" t="n">
        <v>41.65</v>
      </c>
      <c r="J42" s="35" t="n">
        <v>40.84</v>
      </c>
      <c r="K42" s="35" t="n">
        <v>31.14</v>
      </c>
      <c r="L42" s="35" t="n">
        <v>22.14</v>
      </c>
      <c r="M42" s="35" t="n">
        <v>46.7</v>
      </c>
      <c r="N42" s="36">
        <f>SUM(B42:M42)</f>
        <v/>
      </c>
      <c r="O42" s="37">
        <f>SUMIF('SST TB'!$R:$R,'SST P&amp;L'!$A42,'SST TB'!C:C)</f>
        <v/>
      </c>
      <c r="P42" s="37">
        <f>SUMIF('SST TB'!$R:$R,'SST P&amp;L'!$A42,'SST TB'!D:D)</f>
        <v/>
      </c>
      <c r="Q42" s="37">
        <f>SUMIF('SST TB'!$R:$R,'SST P&amp;L'!$A42,'SST TB'!E:E)</f>
        <v/>
      </c>
      <c r="R42" s="37">
        <f>SUMIF('SST TB'!$R:$R,'SST P&amp;L'!$A42,'SST TB'!F:F)</f>
        <v/>
      </c>
      <c r="S42" s="37">
        <f>SUMIF('SST TB'!$R:$R,'SST P&amp;L'!$A42,'SST TB'!G:G)</f>
        <v/>
      </c>
      <c r="T42" s="37">
        <f>SUMIF('SST TB'!$R:$R,'SST P&amp;L'!$A42,'SST TB'!H:H)</f>
        <v/>
      </c>
      <c r="U42" s="37">
        <f>SUMIF('SST TB'!$R:$R,'SST P&amp;L'!$A42,'SST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8" t="n">
        <v>0</v>
      </c>
      <c r="AJ42" s="119" t="n">
        <v>0</v>
      </c>
      <c r="AK42" s="119" t="n">
        <v>0</v>
      </c>
      <c r="AL42" s="119" t="n">
        <v>0</v>
      </c>
      <c r="AM42" s="120" t="n">
        <v>0</v>
      </c>
      <c r="AN42" s="118" t="n">
        <v>0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SUMIF('SST TB'!$R:$R,'SST P&amp;L'!$A43,'SST TB'!C:C)</f>
        <v/>
      </c>
      <c r="P43" s="37">
        <f>SUMIF('SST TB'!$R:$R,'SST P&amp;L'!$A43,'SST TB'!D:D)</f>
        <v/>
      </c>
      <c r="Q43" s="37">
        <f>SUMIF('SST TB'!$R:$R,'SST P&amp;L'!$A43,'SST TB'!E:E)</f>
        <v/>
      </c>
      <c r="R43" s="37">
        <f>SUMIF('SST TB'!$R:$R,'SST P&amp;L'!$A43,'SST TB'!F:F)</f>
        <v/>
      </c>
      <c r="S43" s="37">
        <f>SUMIF('SST TB'!$R:$R,'SST P&amp;L'!$A43,'SST TB'!G:G)</f>
        <v/>
      </c>
      <c r="T43" s="37">
        <f>SUMIF('SST TB'!$R:$R,'SST P&amp;L'!$A43,'SST TB'!H:H)</f>
        <v/>
      </c>
      <c r="U43" s="37">
        <f>SUMIF('SST TB'!$R:$R,'SST P&amp;L'!$A43,'SST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8" t="n">
        <v>0</v>
      </c>
      <c r="AJ43" s="119" t="n">
        <v>0</v>
      </c>
      <c r="AK43" s="119" t="n">
        <v>0</v>
      </c>
      <c r="AL43" s="119" t="n">
        <v>0</v>
      </c>
      <c r="AM43" s="120" t="n">
        <v>0</v>
      </c>
      <c r="AN43" s="118" t="n">
        <v>0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SUMIF('SST TB'!$R:$R,'SST P&amp;L'!$A44,'SST TB'!C:C)</f>
        <v/>
      </c>
      <c r="P44" s="37">
        <f>SUMIF('SST TB'!$R:$R,'SST P&amp;L'!$A44,'SST TB'!D:D)</f>
        <v/>
      </c>
      <c r="Q44" s="37">
        <f>SUMIF('SST TB'!$R:$R,'SST P&amp;L'!$A44,'SST TB'!E:E)</f>
        <v/>
      </c>
      <c r="R44" s="37">
        <f>SUMIF('SST TB'!$R:$R,'SST P&amp;L'!$A44,'SST TB'!F:F)</f>
        <v/>
      </c>
      <c r="S44" s="37">
        <f>SUMIF('SST TB'!$R:$R,'SST P&amp;L'!$A44,'SST TB'!G:G)</f>
        <v/>
      </c>
      <c r="T44" s="37">
        <f>SUMIF('SST TB'!$R:$R,'SST P&amp;L'!$A44,'SST TB'!H:H)</f>
        <v/>
      </c>
      <c r="U44" s="37">
        <f>SUMIF('SST TB'!$R:$R,'SST P&amp;L'!$A44,'SST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8" t="n">
        <v>0</v>
      </c>
      <c r="AJ44" s="119" t="n">
        <v>0</v>
      </c>
      <c r="AK44" s="119" t="n">
        <v>0</v>
      </c>
      <c r="AL44" s="119" t="n">
        <v>0</v>
      </c>
      <c r="AM44" s="120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135.22</v>
      </c>
      <c r="E45" s="35" t="n">
        <v>0</v>
      </c>
      <c r="F45" s="35" t="n">
        <v>0</v>
      </c>
      <c r="G45" s="35" t="n">
        <v>45</v>
      </c>
      <c r="H45" s="35" t="n">
        <v>117.88</v>
      </c>
      <c r="I45" s="35" t="n">
        <v>45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SUMIF('SST TB'!$R:$R,'SST P&amp;L'!$A45,'SST TB'!C:C)</f>
        <v/>
      </c>
      <c r="P45" s="37">
        <f>SUMIF('SST TB'!$R:$R,'SST P&amp;L'!$A45,'SST TB'!D:D)</f>
        <v/>
      </c>
      <c r="Q45" s="37">
        <f>SUMIF('SST TB'!$R:$R,'SST P&amp;L'!$A45,'SST TB'!E:E)</f>
        <v/>
      </c>
      <c r="R45" s="37">
        <f>SUMIF('SST TB'!$R:$R,'SST P&amp;L'!$A45,'SST TB'!F:F)</f>
        <v/>
      </c>
      <c r="S45" s="37">
        <f>SUMIF('SST TB'!$R:$R,'SST P&amp;L'!$A45,'SST TB'!G:G)</f>
        <v/>
      </c>
      <c r="T45" s="37">
        <f>SUMIF('SST TB'!$R:$R,'SST P&amp;L'!$A45,'SST TB'!H:H)</f>
        <v/>
      </c>
      <c r="U45" s="37">
        <f>SUMIF('SST TB'!$R:$R,'SST P&amp;L'!$A45,'SST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8" t="n">
        <v>100</v>
      </c>
      <c r="AJ45" s="119" t="n">
        <v>100</v>
      </c>
      <c r="AK45" s="119" t="n">
        <v>100</v>
      </c>
      <c r="AL45" s="119" t="n">
        <v>100</v>
      </c>
      <c r="AM45" s="120" t="n">
        <v>100</v>
      </c>
      <c r="AN45" s="118" t="n">
        <v>100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SUMIF('SST TB'!$R:$R,'SST P&amp;L'!$A46,'SST TB'!C:C)</f>
        <v/>
      </c>
      <c r="P46" s="37">
        <f>SUMIF('SST TB'!$R:$R,'SST P&amp;L'!$A46,'SST TB'!D:D)</f>
        <v/>
      </c>
      <c r="Q46" s="37">
        <f>SUMIF('SST TB'!$R:$R,'SST P&amp;L'!$A46,'SST TB'!E:E)</f>
        <v/>
      </c>
      <c r="R46" s="37">
        <f>SUMIF('SST TB'!$R:$R,'SST P&amp;L'!$A46,'SST TB'!F:F)</f>
        <v/>
      </c>
      <c r="S46" s="37">
        <f>SUMIF('SST TB'!$R:$R,'SST P&amp;L'!$A46,'SST TB'!G:G)</f>
        <v/>
      </c>
      <c r="T46" s="37">
        <f>SUMIF('SST TB'!$R:$R,'SST P&amp;L'!$A46,'SST TB'!H:H)</f>
        <v/>
      </c>
      <c r="U46" s="37">
        <f>SUMIF('SST TB'!$R:$R,'SST P&amp;L'!$A46,'SST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8" t="n">
        <v>0</v>
      </c>
      <c r="AJ46" s="119" t="n">
        <v>0</v>
      </c>
      <c r="AK46" s="119" t="n">
        <v>0</v>
      </c>
      <c r="AL46" s="119" t="n">
        <v>0</v>
      </c>
      <c r="AM46" s="120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3902.96</v>
      </c>
      <c r="C47" s="42" t="n">
        <v>2492.77</v>
      </c>
      <c r="D47" s="42" t="n">
        <v>3610.73</v>
      </c>
      <c r="E47" s="42" t="n">
        <v>3194.32</v>
      </c>
      <c r="F47" s="42" t="n">
        <v>3025.83</v>
      </c>
      <c r="G47" s="42" t="n">
        <v>3948.200000000001</v>
      </c>
      <c r="H47" s="42" t="n">
        <v>3037.29</v>
      </c>
      <c r="I47" s="42" t="n">
        <v>3066.77</v>
      </c>
      <c r="J47" s="42" t="n">
        <v>2162.07</v>
      </c>
      <c r="K47" s="42" t="n">
        <v>3147.35</v>
      </c>
      <c r="L47" s="42" t="n">
        <v>2882.48</v>
      </c>
      <c r="M47" s="42" t="n">
        <v>3844.22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3">
        <f>SUM(AI36:AI46)</f>
        <v/>
      </c>
      <c r="AJ47" s="124">
        <f>SUM(AJ36:AJ46)</f>
        <v/>
      </c>
      <c r="AK47" s="124">
        <f>SUM(AK36:AK46)</f>
        <v/>
      </c>
      <c r="AL47" s="124">
        <f>SUM(AL36:AL46)</f>
        <v/>
      </c>
      <c r="AM47" s="137">
        <f>SUM(AM36:AM46)</f>
        <v/>
      </c>
      <c r="AN47" s="123">
        <f>SUM(AN36:AN46)</f>
        <v/>
      </c>
      <c r="AO47" s="125">
        <f>SUM(AC47:AH47)+SUM(AI47:AN47)</f>
        <v/>
      </c>
      <c r="AP47" s="126">
        <f>IF(AB47&lt;&gt;0,(AO47-AB47)/ABS(AB47),0)</f>
        <v/>
      </c>
    </row>
    <row r="48">
      <c r="A48" s="22" t="inlineStr">
        <is>
          <t>Total Direct Costs</t>
        </is>
      </c>
      <c r="B48" s="23" t="n">
        <v>30153.51</v>
      </c>
      <c r="C48" s="23" t="n">
        <v>25311.88</v>
      </c>
      <c r="D48" s="23" t="n">
        <v>25611.59</v>
      </c>
      <c r="E48" s="23" t="n">
        <v>42903.57999999999</v>
      </c>
      <c r="F48" s="23" t="n">
        <v>28231.57</v>
      </c>
      <c r="G48" s="23" t="n">
        <v>29675.18</v>
      </c>
      <c r="H48" s="23" t="n">
        <v>27604.07</v>
      </c>
      <c r="I48" s="23" t="n">
        <v>25250.77</v>
      </c>
      <c r="J48" s="23" t="n">
        <v>19862.98</v>
      </c>
      <c r="K48" s="23" t="n">
        <v>29503.93</v>
      </c>
      <c r="L48" s="23" t="n">
        <v>31521.67</v>
      </c>
      <c r="M48" s="23" t="n">
        <v>33454.12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3">
        <f>AI25+AI34+AI47</f>
        <v/>
      </c>
      <c r="AJ48" s="147">
        <f>AJ25+AJ34+AJ47</f>
        <v/>
      </c>
      <c r="AK48" s="147">
        <f>AK25+AK34+AK47</f>
        <v/>
      </c>
      <c r="AL48" s="147">
        <f>AL25+AL34+AL47</f>
        <v/>
      </c>
      <c r="AM48" s="147">
        <f>AM25+AM34+AM47</f>
        <v/>
      </c>
      <c r="AN48" s="123">
        <f>AN25+AN34+AN47</f>
        <v/>
      </c>
      <c r="AO48" s="121">
        <f>SUM(AC48:AH48)+SUM(AI48:AN48)</f>
        <v/>
      </c>
      <c r="AP48" s="122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30964.44</v>
      </c>
      <c r="C50" s="55" t="n">
        <v>29972.41</v>
      </c>
      <c r="D50" s="55" t="n">
        <v>36620.25999999999</v>
      </c>
      <c r="E50" s="55" t="n">
        <v>20818.31000000001</v>
      </c>
      <c r="F50" s="55" t="n">
        <v>30102.84</v>
      </c>
      <c r="G50" s="55" t="n">
        <v>26391.71</v>
      </c>
      <c r="H50" s="55" t="n">
        <v>45691.59</v>
      </c>
      <c r="I50" s="55" t="n">
        <v>22876.30000000001</v>
      </c>
      <c r="J50" s="55" t="n">
        <v>27432.07</v>
      </c>
      <c r="K50" s="55" t="n">
        <v>19165.51000000001</v>
      </c>
      <c r="L50" s="55" t="n">
        <v>29540.50999999999</v>
      </c>
      <c r="M50" s="55" t="n">
        <v>36823.30999999999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0">
        <f>AI11-AI48</f>
        <v/>
      </c>
      <c r="AJ50" s="140">
        <f>AJ11-AJ48</f>
        <v/>
      </c>
      <c r="AK50" s="140">
        <f>AK11-AK48</f>
        <v/>
      </c>
      <c r="AL50" s="140">
        <f>AL11-AL48</f>
        <v/>
      </c>
      <c r="AM50" s="140">
        <f>AM11-AM48</f>
        <v/>
      </c>
      <c r="AN50" s="140">
        <f>AN11-AN48</f>
        <v/>
      </c>
      <c r="AO50" s="141">
        <f>SUM(AC50:AH50)+SUM(AI50:AN50)</f>
        <v/>
      </c>
      <c r="AP50" s="14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SUMIF('SST TB'!$R:$R,'SST P&amp;L'!$A53,'SST TB'!C:C)</f>
        <v/>
      </c>
      <c r="P53" s="37">
        <f>SUMIF('SST TB'!$R:$R,'SST P&amp;L'!$A53,'SST TB'!D:D)</f>
        <v/>
      </c>
      <c r="Q53" s="37">
        <f>SUMIF('SST TB'!$R:$R,'SST P&amp;L'!$A53,'SST TB'!E:E)</f>
        <v/>
      </c>
      <c r="R53" s="37">
        <f>SUMIF('SST TB'!$R:$R,'SST P&amp;L'!$A53,'SST TB'!F:F)</f>
        <v/>
      </c>
      <c r="S53" s="37">
        <f>SUMIF('SST TB'!$R:$R,'SST P&amp;L'!$A53,'SST TB'!G:G)</f>
        <v/>
      </c>
      <c r="T53" s="37">
        <f>SUMIF('SST TB'!$R:$R,'SST P&amp;L'!$A53,'SST TB'!H:H)</f>
        <v/>
      </c>
      <c r="U53" s="37">
        <f>SUMIF('SST TB'!$R:$R,'SST P&amp;L'!$A53,'SST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8" t="n">
        <v>0</v>
      </c>
      <c r="AJ53" s="119" t="n">
        <v>0</v>
      </c>
      <c r="AK53" s="119" t="n">
        <v>0</v>
      </c>
      <c r="AL53" s="119" t="n">
        <v>0</v>
      </c>
      <c r="AM53" s="120" t="n">
        <v>0</v>
      </c>
      <c r="AN53" s="118" t="n">
        <v>0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SUMIF('SST TB'!$R:$R,'SST P&amp;L'!$A54,'SST TB'!C:C)</f>
        <v/>
      </c>
      <c r="P54" s="37">
        <f>SUMIF('SST TB'!$R:$R,'SST P&amp;L'!$A54,'SST TB'!D:D)</f>
        <v/>
      </c>
      <c r="Q54" s="37">
        <f>SUMIF('SST TB'!$R:$R,'SST P&amp;L'!$A54,'SST TB'!E:E)</f>
        <v/>
      </c>
      <c r="R54" s="37">
        <f>SUMIF('SST TB'!$R:$R,'SST P&amp;L'!$A54,'SST TB'!F:F)</f>
        <v/>
      </c>
      <c r="S54" s="37">
        <f>SUMIF('SST TB'!$R:$R,'SST P&amp;L'!$A54,'SST TB'!G:G)</f>
        <v/>
      </c>
      <c r="T54" s="37">
        <f>SUMIF('SST TB'!$R:$R,'SST P&amp;L'!$A54,'SST TB'!H:H)</f>
        <v/>
      </c>
      <c r="U54" s="37">
        <f>SUMIF('SST TB'!$R:$R,'SST P&amp;L'!$A54,'SST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8" t="n">
        <v>0</v>
      </c>
      <c r="AJ54" s="119" t="n">
        <v>0</v>
      </c>
      <c r="AK54" s="119" t="n">
        <v>0</v>
      </c>
      <c r="AL54" s="119" t="n">
        <v>0</v>
      </c>
      <c r="AM54" s="120" t="n">
        <v>0</v>
      </c>
      <c r="AN54" s="118" t="n">
        <v>0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SUMIF('SST TB'!$R:$R,'SST P&amp;L'!$A55,'SST TB'!C:C)</f>
        <v/>
      </c>
      <c r="P55" s="37">
        <f>SUMIF('SST TB'!$R:$R,'SST P&amp;L'!$A55,'SST TB'!D:D)</f>
        <v/>
      </c>
      <c r="Q55" s="37">
        <f>SUMIF('SST TB'!$R:$R,'SST P&amp;L'!$A55,'SST TB'!E:E)</f>
        <v/>
      </c>
      <c r="R55" s="37">
        <f>SUMIF('SST TB'!$R:$R,'SST P&amp;L'!$A55,'SST TB'!F:F)</f>
        <v/>
      </c>
      <c r="S55" s="37">
        <f>SUMIF('SST TB'!$R:$R,'SST P&amp;L'!$A55,'SST TB'!G:G)</f>
        <v/>
      </c>
      <c r="T55" s="37">
        <f>SUMIF('SST TB'!$R:$R,'SST P&amp;L'!$A55,'SST TB'!H:H)</f>
        <v/>
      </c>
      <c r="U55" s="37">
        <f>SUMIF('SST TB'!$R:$R,'SST P&amp;L'!$A55,'SST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8" t="n">
        <v>0</v>
      </c>
      <c r="AJ55" s="119" t="n">
        <v>0</v>
      </c>
      <c r="AK55" s="119" t="n">
        <v>0</v>
      </c>
      <c r="AL55" s="119" t="n">
        <v>0</v>
      </c>
      <c r="AM55" s="120" t="n">
        <v>0</v>
      </c>
      <c r="AN55" s="118" t="n">
        <v>0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SUMIF('SST TB'!$R:$R,'SST P&amp;L'!$A56,'SST TB'!C:C)</f>
        <v/>
      </c>
      <c r="P56" s="37">
        <f>SUMIF('SST TB'!$R:$R,'SST P&amp;L'!$A56,'SST TB'!D:D)</f>
        <v/>
      </c>
      <c r="Q56" s="37">
        <f>SUMIF('SST TB'!$R:$R,'SST P&amp;L'!$A56,'SST TB'!E:E)</f>
        <v/>
      </c>
      <c r="R56" s="37">
        <f>SUMIF('SST TB'!$R:$R,'SST P&amp;L'!$A56,'SST TB'!F:F)</f>
        <v/>
      </c>
      <c r="S56" s="37">
        <f>SUMIF('SST TB'!$R:$R,'SST P&amp;L'!$A56,'SST TB'!G:G)</f>
        <v/>
      </c>
      <c r="T56" s="37">
        <f>SUMIF('SST TB'!$R:$R,'SST P&amp;L'!$A56,'SST TB'!H:H)</f>
        <v/>
      </c>
      <c r="U56" s="37">
        <f>SUMIF('SST TB'!$R:$R,'SST P&amp;L'!$A56,'SST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8" t="n">
        <v>0</v>
      </c>
      <c r="AJ56" s="119" t="n">
        <v>0</v>
      </c>
      <c r="AK56" s="119" t="n">
        <v>0</v>
      </c>
      <c r="AL56" s="119" t="n">
        <v>0</v>
      </c>
      <c r="AM56" s="120" t="n">
        <v>0</v>
      </c>
      <c r="AN56" s="118" t="n">
        <v>0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243.93</v>
      </c>
      <c r="N57" s="36">
        <f>SUM(B57:M57)</f>
        <v/>
      </c>
      <c r="O57" s="37">
        <f>SUMIF('SST TB'!$R:$R,'SST P&amp;L'!$A57,'SST TB'!C:C)</f>
        <v/>
      </c>
      <c r="P57" s="37">
        <f>SUMIF('SST TB'!$R:$R,'SST P&amp;L'!$A57,'SST TB'!D:D)</f>
        <v/>
      </c>
      <c r="Q57" s="37">
        <f>SUMIF('SST TB'!$R:$R,'SST P&amp;L'!$A57,'SST TB'!E:E)</f>
        <v/>
      </c>
      <c r="R57" s="37">
        <f>SUMIF('SST TB'!$R:$R,'SST P&amp;L'!$A57,'SST TB'!F:F)</f>
        <v/>
      </c>
      <c r="S57" s="37">
        <f>SUMIF('SST TB'!$R:$R,'SST P&amp;L'!$A57,'SST TB'!G:G)</f>
        <v/>
      </c>
      <c r="T57" s="37">
        <f>SUMIF('SST TB'!$R:$R,'SST P&amp;L'!$A57,'SST TB'!H:H)</f>
        <v/>
      </c>
      <c r="U57" s="37">
        <f>SUMIF('SST TB'!$R:$R,'SST P&amp;L'!$A57,'SST TB'!I:I)</f>
        <v/>
      </c>
      <c r="V57" s="38" t="n"/>
      <c r="W57" s="38" t="n"/>
      <c r="X57" s="38" t="n"/>
      <c r="Y57" s="38" t="n"/>
      <c r="Z57" s="38">
        <f>30*12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18" t="n">
        <v>0</v>
      </c>
      <c r="AJ57" s="119" t="n">
        <v>0</v>
      </c>
      <c r="AK57" s="119" t="n">
        <v>0</v>
      </c>
      <c r="AL57" s="119" t="n">
        <v>0</v>
      </c>
      <c r="AM57" s="120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SUMIF('SST TB'!$R:$R,'SST P&amp;L'!$A58,'SST TB'!C:C)</f>
        <v/>
      </c>
      <c r="P58" s="37">
        <f>SUMIF('SST TB'!$R:$R,'SST P&amp;L'!$A58,'SST TB'!D:D)</f>
        <v/>
      </c>
      <c r="Q58" s="37">
        <f>SUMIF('SST TB'!$R:$R,'SST P&amp;L'!$A58,'SST TB'!E:E)</f>
        <v/>
      </c>
      <c r="R58" s="37">
        <f>SUMIF('SST TB'!$R:$R,'SST P&amp;L'!$A58,'SST TB'!F:F)</f>
        <v/>
      </c>
      <c r="S58" s="37">
        <f>SUMIF('SST TB'!$R:$R,'SST P&amp;L'!$A58,'SST TB'!G:G)</f>
        <v/>
      </c>
      <c r="T58" s="37">
        <f>SUMIF('SST TB'!$R:$R,'SST P&amp;L'!$A58,'SST TB'!H:H)</f>
        <v/>
      </c>
      <c r="U58" s="37">
        <f>SUMIF('SST TB'!$R:$R,'SST P&amp;L'!$A58,'SST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8" t="n">
        <v>0</v>
      </c>
      <c r="AJ58" s="119" t="n">
        <v>0</v>
      </c>
      <c r="AK58" s="119" t="n">
        <v>0</v>
      </c>
      <c r="AL58" s="119" t="n">
        <v>0</v>
      </c>
      <c r="AM58" s="120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201.38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SUMIF('SST TB'!$R:$R,'SST P&amp;L'!$A59,'SST TB'!C:C)</f>
        <v/>
      </c>
      <c r="P59" s="37">
        <f>SUMIF('SST TB'!$R:$R,'SST P&amp;L'!$A59,'SST TB'!D:D)</f>
        <v/>
      </c>
      <c r="Q59" s="37">
        <f>SUMIF('SST TB'!$R:$R,'SST P&amp;L'!$A59,'SST TB'!E:E)</f>
        <v/>
      </c>
      <c r="R59" s="37">
        <f>SUMIF('SST TB'!$R:$R,'SST P&amp;L'!$A59,'SST TB'!F:F)</f>
        <v/>
      </c>
      <c r="S59" s="37">
        <f>SUMIF('SST TB'!$R:$R,'SST P&amp;L'!$A59,'SST TB'!G:G)</f>
        <v/>
      </c>
      <c r="T59" s="37">
        <f>SUMIF('SST TB'!$R:$R,'SST P&amp;L'!$A59,'SST TB'!H:H)</f>
        <v/>
      </c>
      <c r="U59" s="37">
        <f>SUMIF('SST TB'!$R:$R,'SST P&amp;L'!$A59,'SST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18" t="n">
        <v>0</v>
      </c>
      <c r="AJ59" s="119" t="n">
        <v>0</v>
      </c>
      <c r="AK59" s="119" t="n">
        <v>0</v>
      </c>
      <c r="AL59" s="119" t="n">
        <v>0</v>
      </c>
      <c r="AM59" s="120" t="n">
        <v>0</v>
      </c>
      <c r="AN59" s="118" t="n">
        <v>0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6.6</v>
      </c>
      <c r="C60" s="35" t="n">
        <v>7.8</v>
      </c>
      <c r="D60" s="35" t="n">
        <v>7.8</v>
      </c>
      <c r="E60" s="35" t="n">
        <v>7.800000000000001</v>
      </c>
      <c r="F60" s="35" t="n">
        <v>10.2</v>
      </c>
      <c r="G60" s="35" t="n">
        <v>8.4</v>
      </c>
      <c r="H60" s="35" t="n">
        <v>7.8</v>
      </c>
      <c r="I60" s="35" t="n">
        <v>7.2</v>
      </c>
      <c r="J60" s="35" t="n">
        <v>7.8</v>
      </c>
      <c r="K60" s="35" t="n">
        <v>74.80000000000001</v>
      </c>
      <c r="L60" s="35" t="n">
        <v>6</v>
      </c>
      <c r="M60" s="35" t="n">
        <v>6.6</v>
      </c>
      <c r="N60" s="36">
        <f>SUM(B60:M60)</f>
        <v/>
      </c>
      <c r="O60" s="37">
        <f>SUMIF('SST TB'!$R:$R,'SST P&amp;L'!$A60,'SST TB'!C:C)</f>
        <v/>
      </c>
      <c r="P60" s="37">
        <f>SUMIF('SST TB'!$R:$R,'SST P&amp;L'!$A60,'SST TB'!D:D)</f>
        <v/>
      </c>
      <c r="Q60" s="37">
        <f>SUMIF('SST TB'!$R:$R,'SST P&amp;L'!$A60,'SST TB'!E:E)</f>
        <v/>
      </c>
      <c r="R60" s="37">
        <f>SUMIF('SST TB'!$R:$R,'SST P&amp;L'!$A60,'SST TB'!F:F)</f>
        <v/>
      </c>
      <c r="S60" s="37">
        <f>SUMIF('SST TB'!$R:$R,'SST P&amp;L'!$A60,'SST TB'!G:G)</f>
        <v/>
      </c>
      <c r="T60" s="37">
        <f>SUMIF('SST TB'!$R:$R,'SST P&amp;L'!$A60,'SST TB'!H:H)</f>
        <v/>
      </c>
      <c r="U60" s="37">
        <f>SUMIF('SST TB'!$R:$R,'SST P&amp;L'!$A60,'SST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8" t="n">
        <v>0</v>
      </c>
      <c r="AJ60" s="119" t="n">
        <v>0</v>
      </c>
      <c r="AK60" s="119" t="n">
        <v>0</v>
      </c>
      <c r="AL60" s="119" t="n">
        <v>0</v>
      </c>
      <c r="AM60" s="120" t="n">
        <v>0</v>
      </c>
      <c r="AN60" s="118" t="n">
        <v>0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3.6</v>
      </c>
      <c r="G61" s="35" t="n">
        <v>46.78</v>
      </c>
      <c r="H61" s="35" t="n">
        <v>0</v>
      </c>
      <c r="I61" s="35" t="n">
        <v>0</v>
      </c>
      <c r="J61" s="35" t="n">
        <v>0</v>
      </c>
      <c r="K61" s="35" t="n">
        <v>13.65</v>
      </c>
      <c r="L61" s="35" t="n">
        <v>0</v>
      </c>
      <c r="M61" s="35" t="n">
        <v>33.4</v>
      </c>
      <c r="N61" s="36">
        <f>SUM(B61:M61)</f>
        <v/>
      </c>
      <c r="O61" s="37">
        <f>SUMIF('SST TB'!$R:$R,'SST P&amp;L'!$A61,'SST TB'!C:C)</f>
        <v/>
      </c>
      <c r="P61" s="37">
        <f>SUMIF('SST TB'!$R:$R,'SST P&amp;L'!$A61,'SST TB'!D:D)</f>
        <v/>
      </c>
      <c r="Q61" s="37">
        <f>SUMIF('SST TB'!$R:$R,'SST P&amp;L'!$A61,'SST TB'!E:E)</f>
        <v/>
      </c>
      <c r="R61" s="37">
        <f>SUMIF('SST TB'!$R:$R,'SST P&amp;L'!$A61,'SST TB'!F:F)</f>
        <v/>
      </c>
      <c r="S61" s="37">
        <f>SUMIF('SST TB'!$R:$R,'SST P&amp;L'!$A61,'SST TB'!G:G)</f>
        <v/>
      </c>
      <c r="T61" s="37">
        <f>SUMIF('SST TB'!$R:$R,'SST P&amp;L'!$A61,'SST TB'!H:H)</f>
        <v/>
      </c>
      <c r="U61" s="37">
        <f>SUMIF('SST TB'!$R:$R,'SST P&amp;L'!$A61,'SST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8" t="n">
        <v>0</v>
      </c>
      <c r="AJ61" s="119" t="n">
        <v>0</v>
      </c>
      <c r="AK61" s="119" t="n">
        <v>0</v>
      </c>
      <c r="AL61" s="119" t="n">
        <v>0</v>
      </c>
      <c r="AM61" s="120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140</v>
      </c>
      <c r="D62" s="35" t="n">
        <v>180</v>
      </c>
      <c r="E62" s="35" t="n">
        <v>289.5</v>
      </c>
      <c r="F62" s="35" t="n">
        <v>409.5</v>
      </c>
      <c r="G62" s="35" t="n">
        <v>105</v>
      </c>
      <c r="H62" s="35" t="n">
        <v>40</v>
      </c>
      <c r="I62" s="35" t="n">
        <v>157</v>
      </c>
      <c r="J62" s="35" t="n">
        <v>340</v>
      </c>
      <c r="K62" s="35" t="n">
        <v>0</v>
      </c>
      <c r="L62" s="35" t="n">
        <v>40</v>
      </c>
      <c r="M62" s="35" t="n">
        <v>0</v>
      </c>
      <c r="N62" s="36">
        <f>SUM(B62:M62)</f>
        <v/>
      </c>
      <c r="O62" s="37">
        <f>SUMIF('SST TB'!$R:$R,'SST P&amp;L'!$A62,'SST TB'!C:C)</f>
        <v/>
      </c>
      <c r="P62" s="37">
        <f>SUMIF('SST TB'!$R:$R,'SST P&amp;L'!$A62,'SST TB'!D:D)</f>
        <v/>
      </c>
      <c r="Q62" s="37">
        <f>SUMIF('SST TB'!$R:$R,'SST P&amp;L'!$A62,'SST TB'!E:E)</f>
        <v/>
      </c>
      <c r="R62" s="37">
        <f>SUMIF('SST TB'!$R:$R,'SST P&amp;L'!$A62,'SST TB'!F:F)</f>
        <v/>
      </c>
      <c r="S62" s="37">
        <f>SUMIF('SST TB'!$R:$R,'SST P&amp;L'!$A62,'SST TB'!G:G)</f>
        <v/>
      </c>
      <c r="T62" s="37">
        <f>SUMIF('SST TB'!$R:$R,'SST P&amp;L'!$A62,'SST TB'!H:H)</f>
        <v/>
      </c>
      <c r="U62" s="37">
        <f>SUMIF('SST TB'!$R:$R,'SST P&amp;L'!$A62,'SST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8" t="n">
        <v>0</v>
      </c>
      <c r="AJ62" s="119" t="n">
        <v>0</v>
      </c>
      <c r="AK62" s="119" t="n">
        <v>0</v>
      </c>
      <c r="AL62" s="119" t="n">
        <v>0</v>
      </c>
      <c r="AM62" s="120" t="n">
        <v>0</v>
      </c>
      <c r="AN62" s="118" t="n">
        <v>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SUMIF('SST TB'!$R:$R,'SST P&amp;L'!$A63,'SST TB'!C:C)</f>
        <v/>
      </c>
      <c r="P63" s="37">
        <f>SUMIF('SST TB'!$R:$R,'SST P&amp;L'!$A63,'SST TB'!D:D)</f>
        <v/>
      </c>
      <c r="Q63" s="37">
        <f>SUMIF('SST TB'!$R:$R,'SST P&amp;L'!$A63,'SST TB'!E:E)</f>
        <v/>
      </c>
      <c r="R63" s="37">
        <f>SUMIF('SST TB'!$R:$R,'SST P&amp;L'!$A63,'SST TB'!F:F)</f>
        <v/>
      </c>
      <c r="S63" s="37">
        <f>SUMIF('SST TB'!$R:$R,'SST P&amp;L'!$A63,'SST TB'!G:G)</f>
        <v/>
      </c>
      <c r="T63" s="37">
        <f>SUMIF('SST TB'!$R:$R,'SST P&amp;L'!$A63,'SST TB'!H:H)</f>
        <v/>
      </c>
      <c r="U63" s="37">
        <f>SUMIF('SST TB'!$R:$R,'SST P&amp;L'!$A63,'SST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8" t="n">
        <v>0</v>
      </c>
      <c r="AJ63" s="119" t="n">
        <v>0</v>
      </c>
      <c r="AK63" s="119" t="n">
        <v>0</v>
      </c>
      <c r="AL63" s="119" t="n">
        <v>0</v>
      </c>
      <c r="AM63" s="120" t="n">
        <v>0</v>
      </c>
      <c r="AN63" s="118" t="n">
        <v>0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SUMIF('SST TB'!$R:$R,'SST P&amp;L'!$A64,'SST TB'!C:C)</f>
        <v/>
      </c>
      <c r="P64" s="37">
        <f>SUMIF('SST TB'!$R:$R,'SST P&amp;L'!$A64,'SST TB'!D:D)</f>
        <v/>
      </c>
      <c r="Q64" s="37">
        <f>SUMIF('SST TB'!$R:$R,'SST P&amp;L'!$A64,'SST TB'!E:E)</f>
        <v/>
      </c>
      <c r="R64" s="37">
        <f>SUMIF('SST TB'!$R:$R,'SST P&amp;L'!$A64,'SST TB'!F:F)</f>
        <v/>
      </c>
      <c r="S64" s="37">
        <f>SUMIF('SST TB'!$R:$R,'SST P&amp;L'!$A64,'SST TB'!G:G)</f>
        <v/>
      </c>
      <c r="T64" s="37">
        <f>SUMIF('SST TB'!$R:$R,'SST P&amp;L'!$A64,'SST TB'!H:H)</f>
        <v/>
      </c>
      <c r="U64" s="37">
        <f>SUMIF('SST TB'!$R:$R,'SST P&amp;L'!$A64,'SST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8" t="n">
        <v>0</v>
      </c>
      <c r="AJ64" s="119" t="n">
        <v>0</v>
      </c>
      <c r="AK64" s="119" t="n">
        <v>0</v>
      </c>
      <c r="AL64" s="119" t="n">
        <v>0</v>
      </c>
      <c r="AM64" s="120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SUMIF('SST TB'!$R:$R,'SST P&amp;L'!$A65,'SST TB'!C:C)</f>
        <v/>
      </c>
      <c r="P65" s="37">
        <f>SUMIF('SST TB'!$R:$R,'SST P&amp;L'!$A65,'SST TB'!D:D)</f>
        <v/>
      </c>
      <c r="Q65" s="37">
        <f>SUMIF('SST TB'!$R:$R,'SST P&amp;L'!$A65,'SST TB'!E:E)</f>
        <v/>
      </c>
      <c r="R65" s="37">
        <f>SUMIF('SST TB'!$R:$R,'SST P&amp;L'!$A65,'SST TB'!F:F)</f>
        <v/>
      </c>
      <c r="S65" s="37">
        <f>SUMIF('SST TB'!$R:$R,'SST P&amp;L'!$A65,'SST TB'!G:G)</f>
        <v/>
      </c>
      <c r="T65" s="37">
        <f>SUMIF('SST TB'!$R:$R,'SST P&amp;L'!$A65,'SST TB'!H:H)</f>
        <v/>
      </c>
      <c r="U65" s="37">
        <f>SUMIF('SST TB'!$R:$R,'SST P&amp;L'!$A65,'SST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8" t="n">
        <v>0</v>
      </c>
      <c r="AJ65" s="119" t="n">
        <v>0</v>
      </c>
      <c r="AK65" s="119" t="n">
        <v>0</v>
      </c>
      <c r="AL65" s="119" t="n">
        <v>0</v>
      </c>
      <c r="AM65" s="120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SUMIF('SST TB'!$R:$R,'SST P&amp;L'!$A66,'SST TB'!C:C)</f>
        <v/>
      </c>
      <c r="P66" s="37">
        <f>SUMIF('SST TB'!$R:$R,'SST P&amp;L'!$A66,'SST TB'!D:D)</f>
        <v/>
      </c>
      <c r="Q66" s="37">
        <f>SUMIF('SST TB'!$R:$R,'SST P&amp;L'!$A66,'SST TB'!E:E)</f>
        <v/>
      </c>
      <c r="R66" s="37">
        <f>SUMIF('SST TB'!$R:$R,'SST P&amp;L'!$A66,'SST TB'!F:F)</f>
        <v/>
      </c>
      <c r="S66" s="37">
        <f>SUMIF('SST TB'!$R:$R,'SST P&amp;L'!$A66,'SST TB'!G:G)</f>
        <v/>
      </c>
      <c r="T66" s="37">
        <f>SUMIF('SST TB'!$R:$R,'SST P&amp;L'!$A66,'SST TB'!H:H)</f>
        <v/>
      </c>
      <c r="U66" s="37">
        <f>SUMIF('SST TB'!$R:$R,'SST P&amp;L'!$A66,'SST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8" t="n">
        <v>0</v>
      </c>
      <c r="AJ66" s="119" t="n">
        <v>0</v>
      </c>
      <c r="AK66" s="119" t="n">
        <v>0</v>
      </c>
      <c r="AL66" s="119" t="n">
        <v>0</v>
      </c>
      <c r="AM66" s="120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220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SUMIF('SST TB'!$R:$R,'SST P&amp;L'!$A67,'SST TB'!C:C)</f>
        <v/>
      </c>
      <c r="P67" s="37">
        <f>SUMIF('SST TB'!$R:$R,'SST P&amp;L'!$A67,'SST TB'!D:D)</f>
        <v/>
      </c>
      <c r="Q67" s="37">
        <f>SUMIF('SST TB'!$R:$R,'SST P&amp;L'!$A67,'SST TB'!E:E)</f>
        <v/>
      </c>
      <c r="R67" s="37">
        <f>SUMIF('SST TB'!$R:$R,'SST P&amp;L'!$A67,'SST TB'!F:F)</f>
        <v/>
      </c>
      <c r="S67" s="37">
        <f>SUMIF('SST TB'!$R:$R,'SST P&amp;L'!$A67,'SST TB'!G:G)</f>
        <v/>
      </c>
      <c r="T67" s="37">
        <f>SUMIF('SST TB'!$R:$R,'SST P&amp;L'!$A67,'SST TB'!H:H)</f>
        <v/>
      </c>
      <c r="U67" s="37">
        <f>SUMIF('SST TB'!$R:$R,'SST P&amp;L'!$A67,'SST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8" t="n">
        <v>0</v>
      </c>
      <c r="AJ67" s="119" t="n">
        <v>0</v>
      </c>
      <c r="AK67" s="119" t="n">
        <v>0</v>
      </c>
      <c r="AL67" s="119" t="n">
        <v>0</v>
      </c>
      <c r="AM67" s="120" t="n">
        <v>0</v>
      </c>
      <c r="AN67" s="118" t="n">
        <v>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SUMIF('SST TB'!$R:$R,'SST P&amp;L'!$A68,'SST TB'!C:C)</f>
        <v/>
      </c>
      <c r="P68" s="37">
        <f>SUMIF('SST TB'!$R:$R,'SST P&amp;L'!$A68,'SST TB'!D:D)</f>
        <v/>
      </c>
      <c r="Q68" s="37">
        <f>SUMIF('SST TB'!$R:$R,'SST P&amp;L'!$A68,'SST TB'!E:E)</f>
        <v/>
      </c>
      <c r="R68" s="37">
        <f>SUMIF('SST TB'!$R:$R,'SST P&amp;L'!$A68,'SST TB'!F:F)</f>
        <v/>
      </c>
      <c r="S68" s="37">
        <f>SUMIF('SST TB'!$R:$R,'SST P&amp;L'!$A68,'SST TB'!G:G)</f>
        <v/>
      </c>
      <c r="T68" s="37">
        <f>SUMIF('SST TB'!$R:$R,'SST P&amp;L'!$A68,'SST TB'!H:H)</f>
        <v/>
      </c>
      <c r="U68" s="37">
        <f>SUMIF('SST TB'!$R:$R,'SST P&amp;L'!$A68,'SST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8" t="n">
        <v>0</v>
      </c>
      <c r="AJ68" s="119" t="n">
        <v>0</v>
      </c>
      <c r="AK68" s="119" t="n">
        <v>0</v>
      </c>
      <c r="AL68" s="119" t="n">
        <v>0</v>
      </c>
      <c r="AM68" s="120" t="n">
        <v>0</v>
      </c>
      <c r="AN68" s="118" t="n">
        <v>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207.98</v>
      </c>
      <c r="C69" s="42" t="n">
        <v>349.18</v>
      </c>
      <c r="D69" s="42" t="n">
        <v>389.18</v>
      </c>
      <c r="E69" s="42" t="n">
        <v>498.68</v>
      </c>
      <c r="F69" s="42" t="n">
        <v>844.6799999999999</v>
      </c>
      <c r="G69" s="42" t="n">
        <v>361.56</v>
      </c>
      <c r="H69" s="42" t="n">
        <v>249.18</v>
      </c>
      <c r="I69" s="42" t="n">
        <v>365.58</v>
      </c>
      <c r="J69" s="42" t="n">
        <v>549.1800000000001</v>
      </c>
      <c r="K69" s="42" t="n">
        <v>303.25</v>
      </c>
      <c r="L69" s="42" t="n">
        <v>260.8</v>
      </c>
      <c r="M69" s="42" t="n">
        <v>498.73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3">
        <f>SUM(AI53:AI68)</f>
        <v/>
      </c>
      <c r="AJ69" s="124">
        <f>SUM(AJ53:AJ68)</f>
        <v/>
      </c>
      <c r="AK69" s="124">
        <f>SUM(AK53:AK68)</f>
        <v/>
      </c>
      <c r="AL69" s="124">
        <f>SUM(AL53:AL68)</f>
        <v/>
      </c>
      <c r="AM69" s="124">
        <f>SUM(AM53:AM68)</f>
        <v/>
      </c>
      <c r="AN69" s="123">
        <f>SUM(AN53:AN68)</f>
        <v/>
      </c>
      <c r="AO69" s="125">
        <f>SUM(AC69:AH69)+SUM(AI69:AN69)</f>
        <v/>
      </c>
      <c r="AP69" s="126">
        <f>IF(AB69&lt;&gt;0,(AO69-AB69)/ABS(AB69),0)</f>
        <v/>
      </c>
    </row>
    <row r="70">
      <c r="A70" s="54" t="inlineStr">
        <is>
          <t>EBITDA</t>
        </is>
      </c>
      <c r="B70" s="55" t="n">
        <v>30756.46</v>
      </c>
      <c r="C70" s="55" t="n">
        <v>29623.23</v>
      </c>
      <c r="D70" s="55" t="n">
        <v>36231.07999999999</v>
      </c>
      <c r="E70" s="55" t="n">
        <v>20319.63000000001</v>
      </c>
      <c r="F70" s="55" t="n">
        <v>29258.16</v>
      </c>
      <c r="G70" s="55" t="n">
        <v>26030.14999999999</v>
      </c>
      <c r="H70" s="55" t="n">
        <v>45442.41</v>
      </c>
      <c r="I70" s="55" t="n">
        <v>22510.72</v>
      </c>
      <c r="J70" s="55" t="n">
        <v>26882.89</v>
      </c>
      <c r="K70" s="55" t="n">
        <v>18862.26000000001</v>
      </c>
      <c r="L70" s="55" t="n">
        <v>29279.70999999999</v>
      </c>
      <c r="M70" s="55" t="n">
        <v>36324.57999999999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0">
        <f>AI50-AI69</f>
        <v/>
      </c>
      <c r="AJ70" s="140">
        <f>AJ50-AJ69</f>
        <v/>
      </c>
      <c r="AK70" s="140">
        <f>AK50-AK69</f>
        <v/>
      </c>
      <c r="AL70" s="140">
        <f>AL50-AL69</f>
        <v/>
      </c>
      <c r="AM70" s="140">
        <f>AM50-AM69</f>
        <v/>
      </c>
      <c r="AN70" s="140">
        <f>AN50-AN69</f>
        <v/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60">
        <f>SUM(O72:T72)</f>
        <v/>
      </c>
      <c r="AB72" s="56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</row>
    <row r="73">
      <c r="A73" s="60" t="inlineStr">
        <is>
          <t>Memo</t>
        </is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60">
        <f>SUM(O73:T73)</f>
        <v/>
      </c>
      <c r="AB73" s="56" t="n"/>
      <c r="AC73" s="8" t="n"/>
      <c r="AD73" s="8" t="n"/>
      <c r="AE73" s="8" t="n"/>
      <c r="AF73" s="8" t="n"/>
      <c r="AG73" s="8" t="n"/>
      <c r="AH73" s="8" t="n"/>
      <c r="AI73" s="148" t="n">
        <v>0</v>
      </c>
      <c r="AJ73" s="148" t="n">
        <v>0</v>
      </c>
      <c r="AK73" s="148" t="n">
        <v>0</v>
      </c>
      <c r="AL73" s="148" t="n">
        <v>0</v>
      </c>
      <c r="AM73" s="148" t="n">
        <v>0</v>
      </c>
      <c r="AN73" s="148" t="n">
        <v>0</v>
      </c>
      <c r="AO73" s="145">
        <f>SUM(AC73:AH73)+SUM(AI73:AN73)</f>
        <v/>
      </c>
      <c r="AP73" s="142">
        <f>IF(AB73&lt;&gt;0,(AO73-AB73)/ABS(AB73),0)</f>
        <v/>
      </c>
    </row>
    <row r="74">
      <c r="A74" s="60" t="inlineStr">
        <is>
          <t>Direct - Sales</t>
        </is>
      </c>
      <c r="B74" s="60" t="n">
        <v>61117.95</v>
      </c>
      <c r="C74" s="60" t="n">
        <v>55284.29</v>
      </c>
      <c r="D74" s="60" t="n">
        <v>62231.85</v>
      </c>
      <c r="E74" s="60" t="n">
        <v>63721.89</v>
      </c>
      <c r="F74" s="60" t="n">
        <v>58334.41</v>
      </c>
      <c r="G74" s="60" t="n">
        <v>56066.89</v>
      </c>
      <c r="H74" s="60" t="n">
        <v>73295.66</v>
      </c>
      <c r="I74" s="60" t="n">
        <v>48127.07000000001</v>
      </c>
      <c r="J74" s="60" t="n">
        <v>47295.05</v>
      </c>
      <c r="K74" s="60" t="n">
        <v>48669.44</v>
      </c>
      <c r="L74" s="60" t="n">
        <v>61062.17999999999</v>
      </c>
      <c r="M74" s="8" t="n"/>
      <c r="N74" s="8" t="n"/>
      <c r="O74" s="60">
        <f>-SUMIF('SST TB'!$T:$T,'SST P&amp;L'!$A74,'SST TB'!C:C)</f>
        <v/>
      </c>
      <c r="P74" s="60">
        <f>-SUMIF('SST TB'!$T:$T,'SST P&amp;L'!$A74,'SST TB'!D:D)</f>
        <v/>
      </c>
      <c r="Q74" s="60">
        <f>-SUMIF('SST TB'!$T:$T,'SST P&amp;L'!$A74,'SST TB'!E:E)</f>
        <v/>
      </c>
      <c r="R74" s="60">
        <f>-SUMIF('SST TB'!$T:$T,'SST P&amp;L'!$A74,'SST TB'!F:F)</f>
        <v/>
      </c>
      <c r="S74" s="60">
        <f>-SUMIF('SST TB'!$T:$T,'SST P&amp;L'!$A74,'SST TB'!G:G)</f>
        <v/>
      </c>
      <c r="T74" s="60">
        <f>-SUMIF('SST TB'!$T:$T,'SST P&amp;L'!$A74,'SST TB'!H:H)</f>
        <v/>
      </c>
      <c r="U74" s="60">
        <f>-SUMIF('SST TB'!$T:$T,'SST P&amp;L'!$A74,'SST TB'!I:I)</f>
        <v/>
      </c>
      <c r="V74" s="60">
        <f>-SUMIF('SST TB'!$T:$T,'SST P&amp;L'!$A74,'SST TB'!J:J)</f>
        <v/>
      </c>
      <c r="W74" s="60">
        <f>-SUMIF('SST TB'!$T:$T,'SST P&amp;L'!$A74,'SST TB'!K:K)</f>
        <v/>
      </c>
      <c r="X74" s="60">
        <f>-SUMIF('SST TB'!$T:$T,'SST P&amp;L'!$A74,'SST TB'!L:L)</f>
        <v/>
      </c>
      <c r="Y74" s="60">
        <f>-SUMIF('SST TB'!$T:$T,'SST P&amp;L'!$A74,'SST TB'!M:M)</f>
        <v/>
      </c>
      <c r="Z74" s="60">
        <f>-SUMIF('SST TB'!$T:$T,'SST P&amp;L'!$A74,'SST TB'!N:N)</f>
        <v/>
      </c>
      <c r="AA74" s="60">
        <f>SUM(O74:T74)</f>
        <v/>
      </c>
      <c r="AB74" s="8" t="n"/>
      <c r="AC74" s="8" t="n"/>
      <c r="AD74" s="8" t="n"/>
      <c r="AE74" s="8" t="n"/>
      <c r="AF74" s="8" t="n"/>
      <c r="AG74" s="8" t="n"/>
      <c r="AH74" s="8" t="n"/>
      <c r="AI74" s="134" t="n">
        <v>0</v>
      </c>
      <c r="AJ74" s="134" t="n">
        <v>0</v>
      </c>
      <c r="AK74" s="134" t="n">
        <v>0</v>
      </c>
      <c r="AL74" s="134" t="n">
        <v>0</v>
      </c>
      <c r="AM74" s="134" t="n">
        <v>0</v>
      </c>
      <c r="AN74" s="134" t="n">
        <v>0</v>
      </c>
      <c r="AO74" s="145">
        <f>SUM(AC74:AH74)+SUM(AI74:AN74)</f>
        <v/>
      </c>
      <c r="AP74" s="142">
        <f>IF(AB74&lt;&gt;0,(AO74-AB74)/ABS(AB74),0)</f>
        <v/>
      </c>
    </row>
    <row r="75">
      <c r="A75" s="34" t="inlineStr">
        <is>
          <t>Direct - Staff Cost</t>
        </is>
      </c>
      <c r="B75" s="18" t="n">
        <v>-23799.23</v>
      </c>
      <c r="C75" s="18" t="n">
        <v>-20606.08</v>
      </c>
      <c r="D75" s="18" t="n">
        <v>-20653.85</v>
      </c>
      <c r="E75" s="18" t="n">
        <v>-38381.55999999999</v>
      </c>
      <c r="F75" s="18" t="n">
        <v>-23949.07</v>
      </c>
      <c r="G75" s="18" t="n">
        <v>-23893.35</v>
      </c>
      <c r="H75" s="18" t="n">
        <v>-23286.16</v>
      </c>
      <c r="I75" s="18" t="n">
        <v>-17854.27</v>
      </c>
      <c r="J75" s="18" t="n">
        <v>-15786.57</v>
      </c>
      <c r="K75" s="18" t="n">
        <v>-24526.62</v>
      </c>
      <c r="L75" s="18" t="n">
        <v>-26536.27</v>
      </c>
      <c r="M75" s="18" t="n"/>
      <c r="N75" s="8" t="n"/>
      <c r="O75" s="60">
        <f>-SUMIF('SST TB'!$T:$T,'SST P&amp;L'!$A75,'SST TB'!C:C)</f>
        <v/>
      </c>
      <c r="P75" s="60">
        <f>-SUMIF('SST TB'!$T:$T,'SST P&amp;L'!$A75,'SST TB'!D:D)</f>
        <v/>
      </c>
      <c r="Q75" s="60">
        <f>-SUMIF('SST TB'!$T:$T,'SST P&amp;L'!$A75,'SST TB'!E:E)</f>
        <v/>
      </c>
      <c r="R75" s="60">
        <f>-SUMIF('SST TB'!$T:$T,'SST P&amp;L'!$A75,'SST TB'!F:F)</f>
        <v/>
      </c>
      <c r="S75" s="60">
        <f>-SUMIF('SST TB'!$T:$T,'SST P&amp;L'!$A75,'SST TB'!G:G)</f>
        <v/>
      </c>
      <c r="T75" s="60">
        <f>-SUMIF('SST TB'!$T:$T,'SST P&amp;L'!$A75,'SST TB'!H:H)</f>
        <v/>
      </c>
      <c r="U75" s="60">
        <f>-SUMIF('SST TB'!$T:$T,'SST P&amp;L'!$A75,'SST TB'!I:I)</f>
        <v/>
      </c>
      <c r="V75" s="60">
        <f>-SUMIF('SST TB'!$T:$T,'SST P&amp;L'!$A75,'SST TB'!J:J)</f>
        <v/>
      </c>
      <c r="W75" s="60">
        <f>-SUMIF('SST TB'!$T:$T,'SST P&amp;L'!$A75,'SST TB'!K:K)</f>
        <v/>
      </c>
      <c r="X75" s="60">
        <f>-SUMIF('SST TB'!$T:$T,'SST P&amp;L'!$A75,'SST TB'!L:L)</f>
        <v/>
      </c>
      <c r="Y75" s="60">
        <f>-SUMIF('SST TB'!$T:$T,'SST P&amp;L'!$A75,'SST TB'!M:M)</f>
        <v/>
      </c>
      <c r="Z75" s="60">
        <f>-SUMIF('SST TB'!$T:$T,'SST P&amp;L'!$A75,'SST TB'!N:N)</f>
        <v/>
      </c>
      <c r="AA75" s="60">
        <f>SUM(O75:T75)</f>
        <v/>
      </c>
      <c r="AB75" s="8" t="n"/>
      <c r="AC75" s="8" t="n"/>
      <c r="AD75" s="8" t="n"/>
      <c r="AE75" s="8" t="n"/>
      <c r="AF75" s="8" t="n"/>
      <c r="AG75" s="8" t="n"/>
      <c r="AH75" s="8" t="n"/>
      <c r="AI75" s="134" t="n">
        <v>0</v>
      </c>
      <c r="AJ75" s="134" t="n">
        <v>0</v>
      </c>
      <c r="AK75" s="134" t="n">
        <v>0</v>
      </c>
      <c r="AL75" s="134" t="n">
        <v>0</v>
      </c>
      <c r="AM75" s="134" t="n">
        <v>0</v>
      </c>
      <c r="AN75" s="134" t="n">
        <v>0</v>
      </c>
      <c r="AO75" s="144">
        <f>SUM(AC75:AH75)+SUM(AI75:AN75)</f>
        <v/>
      </c>
      <c r="AP75" s="142">
        <f>IF(AB75&lt;&gt;0,(AO75-AB75)/ABS(AB75),0)</f>
        <v/>
      </c>
    </row>
    <row r="76">
      <c r="A76" s="60" t="inlineStr">
        <is>
          <t>Direct - Childcare Cost</t>
        </is>
      </c>
      <c r="B76" s="18" t="n">
        <v>-2451.32</v>
      </c>
      <c r="C76" s="18" t="n">
        <v>-2213.03</v>
      </c>
      <c r="D76" s="18" t="n">
        <v>-1347.01</v>
      </c>
      <c r="E76" s="18" t="n">
        <v>-1327.7</v>
      </c>
      <c r="F76" s="18" t="n">
        <v>-1256.67</v>
      </c>
      <c r="G76" s="18" t="n">
        <v>-1833.63</v>
      </c>
      <c r="H76" s="18" t="n">
        <v>-1280.62</v>
      </c>
      <c r="I76" s="18" t="n">
        <v>-4329.73</v>
      </c>
      <c r="J76" s="18" t="n">
        <v>-1914.34</v>
      </c>
      <c r="K76" s="18" t="n">
        <v>-1829.96</v>
      </c>
      <c r="L76" s="18" t="n">
        <v>-2102.92</v>
      </c>
      <c r="M76" s="18" t="n">
        <v>-1144.54</v>
      </c>
      <c r="N76" s="8" t="n"/>
      <c r="O76" s="60">
        <f>-SUMIF('SST TB'!$T:$T,'SST P&amp;L'!$A76,'SST TB'!C:C)</f>
        <v/>
      </c>
      <c r="P76" s="60">
        <f>-SUMIF('SST TB'!$T:$T,'SST P&amp;L'!$A76,'SST TB'!D:D)</f>
        <v/>
      </c>
      <c r="Q76" s="60">
        <f>-SUMIF('SST TB'!$T:$T,'SST P&amp;L'!$A76,'SST TB'!E:E)</f>
        <v/>
      </c>
      <c r="R76" s="60">
        <f>-SUMIF('SST TB'!$T:$T,'SST P&amp;L'!$A76,'SST TB'!F:F)</f>
        <v/>
      </c>
      <c r="S76" s="60">
        <f>-SUMIF('SST TB'!$T:$T,'SST P&amp;L'!$A76,'SST TB'!G:G)</f>
        <v/>
      </c>
      <c r="T76" s="60">
        <f>-SUMIF('SST TB'!$T:$T,'SST P&amp;L'!$A76,'SST TB'!H:H)</f>
        <v/>
      </c>
      <c r="U76" s="60">
        <f>-SUMIF('SST TB'!$T:$T,'SST P&amp;L'!$A76,'SST TB'!I:I)</f>
        <v/>
      </c>
      <c r="V76" s="60">
        <f>-SUMIF('SST TB'!$T:$T,'SST P&amp;L'!$A76,'SST TB'!J:J)</f>
        <v/>
      </c>
      <c r="W76" s="60">
        <f>-SUMIF('SST TB'!$T:$T,'SST P&amp;L'!$A76,'SST TB'!K:K)</f>
        <v/>
      </c>
      <c r="X76" s="60">
        <f>-SUMIF('SST TB'!$T:$T,'SST P&amp;L'!$A76,'SST TB'!L:L)</f>
        <v/>
      </c>
      <c r="Y76" s="60">
        <f>-SUMIF('SST TB'!$T:$T,'SST P&amp;L'!$A76,'SST TB'!M:M)</f>
        <v/>
      </c>
      <c r="Z76" s="60">
        <f>-SUMIF('SST TB'!$T:$T,'SST P&amp;L'!$A76,'SST TB'!N:N)</f>
        <v/>
      </c>
      <c r="AA76" s="60">
        <f>SUM(O76:T76)</f>
        <v/>
      </c>
      <c r="AB76" s="8" t="n"/>
      <c r="AC76" s="8" t="n"/>
      <c r="AD76" s="8" t="n"/>
      <c r="AE76" s="8" t="n"/>
      <c r="AF76" s="8" t="n"/>
      <c r="AG76" s="8" t="n"/>
      <c r="AH76" s="8" t="n"/>
      <c r="AI76" s="134" t="n">
        <v>0</v>
      </c>
      <c r="AJ76" s="134" t="n">
        <v>0</v>
      </c>
      <c r="AK76" s="134" t="n">
        <v>0</v>
      </c>
      <c r="AL76" s="134" t="n">
        <v>0</v>
      </c>
      <c r="AM76" s="134" t="n">
        <v>0</v>
      </c>
      <c r="AN76" s="134" t="n">
        <v>0</v>
      </c>
      <c r="AO76" s="144">
        <f>SUM(AC76:AH76)+SUM(AI76:AN76)</f>
        <v/>
      </c>
      <c r="AP76" s="142">
        <f>IF(AB76&lt;&gt;0,(AO76-AB76)/ABS(AB76),0)</f>
        <v/>
      </c>
    </row>
    <row r="77">
      <c r="A77" s="60" t="inlineStr">
        <is>
          <t>Direct - Premises &amp; Admin</t>
        </is>
      </c>
      <c r="B77" s="18" t="n">
        <v>-3902.96</v>
      </c>
      <c r="C77" s="18" t="n">
        <v>-2492.77</v>
      </c>
      <c r="D77" s="18" t="n">
        <v>-3610.73</v>
      </c>
      <c r="E77" s="18" t="n">
        <v>-3194.32</v>
      </c>
      <c r="F77" s="18" t="n">
        <v>-3025.83</v>
      </c>
      <c r="G77" s="18" t="n">
        <v>-3948.200000000001</v>
      </c>
      <c r="H77" s="18" t="n">
        <v>-3037.29</v>
      </c>
      <c r="I77" s="18" t="n">
        <v>-3066.77</v>
      </c>
      <c r="J77" s="18" t="n">
        <v>-2162.070000000001</v>
      </c>
      <c r="K77" s="18" t="n">
        <v>-3147.35</v>
      </c>
      <c r="L77" s="18" t="n">
        <v>-2882.48</v>
      </c>
      <c r="M77" s="18" t="n">
        <v>-3844.22</v>
      </c>
      <c r="N77" s="8" t="n"/>
      <c r="O77" s="60">
        <f>-SUMIF('SST TB'!$T:$T,'SST P&amp;L'!$A77,'SST TB'!C:C)</f>
        <v/>
      </c>
      <c r="P77" s="60">
        <f>-SUMIF('SST TB'!$T:$T,'SST P&amp;L'!$A77,'SST TB'!D:D)</f>
        <v/>
      </c>
      <c r="Q77" s="60">
        <f>-SUMIF('SST TB'!$T:$T,'SST P&amp;L'!$A77,'SST TB'!E:E)</f>
        <v/>
      </c>
      <c r="R77" s="60">
        <f>-SUMIF('SST TB'!$T:$T,'SST P&amp;L'!$A77,'SST TB'!F:F)</f>
        <v/>
      </c>
      <c r="S77" s="60">
        <f>-SUMIF('SST TB'!$T:$T,'SST P&amp;L'!$A77,'SST TB'!G:G)</f>
        <v/>
      </c>
      <c r="T77" s="60">
        <f>-SUMIF('SST TB'!$T:$T,'SST P&amp;L'!$A77,'SST TB'!H:H)</f>
        <v/>
      </c>
      <c r="U77" s="60">
        <f>-SUMIF('SST TB'!$T:$T,'SST P&amp;L'!$A77,'SST TB'!I:I)</f>
        <v/>
      </c>
      <c r="V77" s="60">
        <f>-SUMIF('SST TB'!$T:$T,'SST P&amp;L'!$A77,'SST TB'!J:J)</f>
        <v/>
      </c>
      <c r="W77" s="60">
        <f>-SUMIF('SST TB'!$T:$T,'SST P&amp;L'!$A77,'SST TB'!K:K)</f>
        <v/>
      </c>
      <c r="X77" s="60">
        <f>-SUMIF('SST TB'!$T:$T,'SST P&amp;L'!$A77,'SST TB'!L:L)</f>
        <v/>
      </c>
      <c r="Y77" s="60">
        <f>-SUMIF('SST TB'!$T:$T,'SST P&amp;L'!$A77,'SST TB'!M:M)</f>
        <v/>
      </c>
      <c r="Z77" s="60">
        <f>-SUMIF('SST TB'!$T:$T,'SST P&amp;L'!$A77,'SST TB'!N:N)</f>
        <v/>
      </c>
      <c r="AA77" s="60">
        <f>SUM(O77:T77)</f>
        <v/>
      </c>
      <c r="AB77" s="8" t="n"/>
      <c r="AC77" s="8" t="n"/>
      <c r="AD77" s="8" t="n"/>
      <c r="AE77" s="8" t="n"/>
      <c r="AF77" s="8" t="n"/>
      <c r="AG77" s="8" t="n"/>
      <c r="AH77" s="8" t="n"/>
      <c r="AI77" s="134" t="n">
        <v>0</v>
      </c>
      <c r="AJ77" s="134" t="n">
        <v>0</v>
      </c>
      <c r="AK77" s="134" t="n">
        <v>0</v>
      </c>
      <c r="AL77" s="134" t="n">
        <v>0</v>
      </c>
      <c r="AM77" s="134" t="n">
        <v>0</v>
      </c>
      <c r="AN77" s="134" t="n">
        <v>0</v>
      </c>
      <c r="AO77" s="144">
        <f>SUM(AC77:AH77)+SUM(AI77:AN77)</f>
        <v/>
      </c>
      <c r="AP77" s="142">
        <f>IF(AB77&lt;&gt;0,(AO77-AB77)/ABS(AB77),0)</f>
        <v/>
      </c>
    </row>
    <row r="78">
      <c r="A78" s="60" t="inlineStr">
        <is>
          <t>In-Direct - Staff Cost</t>
        </is>
      </c>
      <c r="B78" s="18" t="n">
        <v>0</v>
      </c>
      <c r="C78" s="18" t="n">
        <v>0</v>
      </c>
      <c r="D78" s="18" t="n">
        <v>0</v>
      </c>
      <c r="E78" s="18" t="n">
        <v>0</v>
      </c>
      <c r="F78" s="18" t="n">
        <v>0</v>
      </c>
      <c r="G78" s="18" t="n">
        <v>0</v>
      </c>
      <c r="H78" s="18" t="n">
        <v>0</v>
      </c>
      <c r="I78" s="18" t="n">
        <v>0</v>
      </c>
      <c r="J78" s="18" t="n">
        <v>0</v>
      </c>
      <c r="K78" s="18" t="n">
        <v>0</v>
      </c>
      <c r="L78" s="18" t="n">
        <v>0</v>
      </c>
      <c r="M78" s="18" t="n">
        <v>0</v>
      </c>
      <c r="N78" s="8" t="n"/>
      <c r="O78" s="60">
        <f>-SUMIF('SST TB'!$T:$T,'SST P&amp;L'!$A78,'SST TB'!C:C)</f>
        <v/>
      </c>
      <c r="P78" s="60">
        <f>-SUMIF('SST TB'!$T:$T,'SST P&amp;L'!$A78,'SST TB'!D:D)</f>
        <v/>
      </c>
      <c r="Q78" s="60">
        <f>-SUMIF('SST TB'!$T:$T,'SST P&amp;L'!$A78,'SST TB'!E:E)</f>
        <v/>
      </c>
      <c r="R78" s="60">
        <f>-SUMIF('SST TB'!$T:$T,'SST P&amp;L'!$A78,'SST TB'!F:F)</f>
        <v/>
      </c>
      <c r="S78" s="60">
        <f>-SUMIF('SST TB'!$T:$T,'SST P&amp;L'!$A78,'SST TB'!G:G)</f>
        <v/>
      </c>
      <c r="T78" s="60">
        <f>-SUMIF('SST TB'!$T:$T,'SST P&amp;L'!$A78,'SST TB'!H:H)</f>
        <v/>
      </c>
      <c r="U78" s="60">
        <f>-SUMIF('SST TB'!$T:$T,'SST P&amp;L'!$A78,'SST TB'!I:I)</f>
        <v/>
      </c>
      <c r="V78" s="60">
        <f>-SUMIF('SST TB'!$T:$T,'SST P&amp;L'!$A78,'SST TB'!J:J)</f>
        <v/>
      </c>
      <c r="W78" s="60">
        <f>-SUMIF('SST TB'!$T:$T,'SST P&amp;L'!$A78,'SST TB'!K:K)</f>
        <v/>
      </c>
      <c r="X78" s="60">
        <f>-SUMIF('SST TB'!$T:$T,'SST P&amp;L'!$A78,'SST TB'!L:L)</f>
        <v/>
      </c>
      <c r="Y78" s="60">
        <f>-SUMIF('SST TB'!$T:$T,'SST P&amp;L'!$A78,'SST TB'!M:M)</f>
        <v/>
      </c>
      <c r="Z78" s="60">
        <f>-SUMIF('SST TB'!$T:$T,'SST P&amp;L'!$A78,'SST TB'!N:N)</f>
        <v/>
      </c>
      <c r="AA78" s="60">
        <f>SUM(O78:T78)</f>
        <v/>
      </c>
      <c r="AB78" s="8" t="n"/>
      <c r="AC78" s="8" t="n"/>
      <c r="AD78" s="8" t="n"/>
      <c r="AE78" s="8" t="n"/>
      <c r="AF78" s="8" t="n"/>
      <c r="AG78" s="8" t="n"/>
      <c r="AH78" s="8" t="n"/>
      <c r="AI78" s="134" t="n">
        <v>0</v>
      </c>
      <c r="AJ78" s="134" t="n">
        <v>0</v>
      </c>
      <c r="AK78" s="134" t="n">
        <v>0</v>
      </c>
      <c r="AL78" s="134" t="n">
        <v>0</v>
      </c>
      <c r="AM78" s="134" t="n">
        <v>0</v>
      </c>
      <c r="AN78" s="134" t="n">
        <v>0</v>
      </c>
      <c r="AO78" s="144">
        <f>SUM(AC78:AH78)+SUM(AI78:AN78)</f>
        <v/>
      </c>
      <c r="AP78" s="142">
        <f>IF(AB78&lt;&gt;0,(AO78-AB78)/ABS(AB78),0)</f>
        <v/>
      </c>
    </row>
    <row r="79">
      <c r="A79" s="60" t="inlineStr">
        <is>
          <t>In-Direct - Overheads</t>
        </is>
      </c>
      <c r="B79" s="18" t="n">
        <v>-207.98</v>
      </c>
      <c r="C79" s="18" t="n">
        <v>-349.18</v>
      </c>
      <c r="D79" s="18" t="n">
        <v>-389.18</v>
      </c>
      <c r="E79" s="18" t="n">
        <v>-498.68</v>
      </c>
      <c r="F79" s="18" t="n">
        <v>-844.6799999999999</v>
      </c>
      <c r="G79" s="18" t="n">
        <v>-361.56</v>
      </c>
      <c r="H79" s="18" t="n">
        <v>-249.18</v>
      </c>
      <c r="I79" s="18" t="n">
        <v>-365.58</v>
      </c>
      <c r="J79" s="18" t="n">
        <v>-549.1800000000001</v>
      </c>
      <c r="K79" s="18" t="n">
        <v>-303.25</v>
      </c>
      <c r="L79" s="18" t="n">
        <v>-260.8</v>
      </c>
      <c r="M79" s="18" t="n">
        <v>-498.73</v>
      </c>
      <c r="N79" s="8" t="n"/>
      <c r="O79" s="60">
        <f>-SUMIF('SST TB'!$T:$T,'SST P&amp;L'!$A79,'SST TB'!C:C)</f>
        <v/>
      </c>
      <c r="P79" s="60">
        <f>-SUMIF('SST TB'!$T:$T,'SST P&amp;L'!$A79,'SST TB'!D:D)</f>
        <v/>
      </c>
      <c r="Q79" s="60">
        <f>-SUMIF('SST TB'!$T:$T,'SST P&amp;L'!$A79,'SST TB'!E:E)</f>
        <v/>
      </c>
      <c r="R79" s="60">
        <f>-SUMIF('SST TB'!$T:$T,'SST P&amp;L'!$A79,'SST TB'!F:F)</f>
        <v/>
      </c>
      <c r="S79" s="60">
        <f>-SUMIF('SST TB'!$T:$T,'SST P&amp;L'!$A79,'SST TB'!G:G)</f>
        <v/>
      </c>
      <c r="T79" s="60">
        <f>-SUMIF('SST TB'!$T:$T,'SST P&amp;L'!$A79,'SST TB'!H:H)</f>
        <v/>
      </c>
      <c r="U79" s="60">
        <f>-SUMIF('SST TB'!$T:$T,'SST P&amp;L'!$A79,'SST TB'!I:I)</f>
        <v/>
      </c>
      <c r="V79" s="60">
        <f>-SUMIF('SST TB'!$T:$T,'SST P&amp;L'!$A79,'SST TB'!J:J)</f>
        <v/>
      </c>
      <c r="W79" s="60">
        <f>-SUMIF('SST TB'!$T:$T,'SST P&amp;L'!$A79,'SST TB'!K:K)</f>
        <v/>
      </c>
      <c r="X79" s="60">
        <f>-SUMIF('SST TB'!$T:$T,'SST P&amp;L'!$A79,'SST TB'!L:L)</f>
        <v/>
      </c>
      <c r="Y79" s="60">
        <f>-SUMIF('SST TB'!$T:$T,'SST P&amp;L'!$A79,'SST TB'!M:M)</f>
        <v/>
      </c>
      <c r="Z79" s="60">
        <f>-SUMIF('SST TB'!$T:$T,'SST P&amp;L'!$A79,'SST TB'!N:N)</f>
        <v/>
      </c>
      <c r="AA79" s="60">
        <f>SUM(O79:T79)</f>
        <v/>
      </c>
      <c r="AB79" s="8" t="n"/>
      <c r="AC79" s="8" t="n"/>
      <c r="AD79" s="8" t="n"/>
      <c r="AE79" s="8" t="n"/>
      <c r="AF79" s="8" t="n"/>
      <c r="AG79" s="8" t="n"/>
      <c r="AH79" s="8" t="n"/>
      <c r="AI79" s="134" t="n">
        <v>0</v>
      </c>
      <c r="AJ79" s="134" t="n">
        <v>0</v>
      </c>
      <c r="AK79" s="134" t="n">
        <v>0</v>
      </c>
      <c r="AL79" s="134" t="n">
        <v>0</v>
      </c>
      <c r="AM79" s="134" t="n">
        <v>0</v>
      </c>
      <c r="AN79" s="134" t="n">
        <v>0</v>
      </c>
      <c r="AO79" s="144">
        <f>SUM(AC79:AH79)+SUM(AI79:AN79)</f>
        <v/>
      </c>
      <c r="AP79" s="142">
        <f>IF(AB79&lt;&gt;0,(AO79-AB79)/ABS(AB79),0)</f>
        <v/>
      </c>
    </row>
    <row r="80" ht="15.75" customHeight="1">
      <c r="A80" s="8" t="n"/>
      <c r="B80" s="67" t="n">
        <v>30756.46</v>
      </c>
      <c r="C80" s="67" t="n">
        <v>29623.23000000001</v>
      </c>
      <c r="D80" s="67" t="n">
        <v>36231.07999999999</v>
      </c>
      <c r="E80" s="67" t="n">
        <v>20319.63000000001</v>
      </c>
      <c r="F80" s="67" t="n">
        <v>29258.16</v>
      </c>
      <c r="G80" s="67" t="n">
        <v>26030.14999999999</v>
      </c>
      <c r="H80" s="67" t="n">
        <v>45442.41</v>
      </c>
      <c r="I80" s="67" t="n">
        <v>22510.72</v>
      </c>
      <c r="J80" s="67" t="n">
        <v>26882.89</v>
      </c>
      <c r="K80" s="67" t="n">
        <v>18862.26000000001</v>
      </c>
      <c r="L80" s="67" t="n">
        <v>29279.70999999999</v>
      </c>
      <c r="M80" s="67" t="n">
        <v>-5487.49</v>
      </c>
      <c r="N80" s="64" t="n"/>
      <c r="O80" s="64">
        <f>SUM(O74:O79)</f>
        <v/>
      </c>
      <c r="P80" s="64">
        <f>SUM(P74:P79)</f>
        <v/>
      </c>
      <c r="Q80" s="64">
        <f>SUM(Q74:Q79)</f>
        <v/>
      </c>
      <c r="R80" s="64">
        <f>SUM(R74:R79)</f>
        <v/>
      </c>
      <c r="S80" s="64">
        <f>SUM(S74:S79)</f>
        <v/>
      </c>
      <c r="T80" s="64">
        <f>SUM(T74:T79)</f>
        <v/>
      </c>
      <c r="U80" s="64">
        <f>SUM(U74:U79)</f>
        <v/>
      </c>
      <c r="V80" s="64">
        <f>SUM(V74:V79)</f>
        <v/>
      </c>
      <c r="W80" s="64">
        <f>SUM(W74:W79)</f>
        <v/>
      </c>
      <c r="X80" s="64">
        <f>SUM(X74:X79)</f>
        <v/>
      </c>
      <c r="Y80" s="64">
        <f>SUM(Y74:Y79)</f>
        <v/>
      </c>
      <c r="Z80" s="64">
        <f>SUM(Z74:Z79)</f>
        <v/>
      </c>
      <c r="AA80" s="64">
        <f>SUM(O80:T80)</f>
        <v/>
      </c>
      <c r="AB80" s="8" t="n"/>
      <c r="AC80" s="64" t="n"/>
      <c r="AD80" s="64" t="n"/>
      <c r="AE80" s="64" t="n"/>
      <c r="AF80" s="64" t="n"/>
      <c r="AG80" s="64" t="n"/>
      <c r="AH80" s="64" t="n"/>
      <c r="AI80" s="134" t="n">
        <v>0</v>
      </c>
      <c r="AJ80" s="149" t="n">
        <v>0</v>
      </c>
      <c r="AK80" s="149" t="n">
        <v>0</v>
      </c>
      <c r="AL80" s="149" t="n">
        <v>0</v>
      </c>
      <c r="AM80" s="149" t="n">
        <v>0</v>
      </c>
      <c r="AN80" s="149" t="n">
        <v>0</v>
      </c>
      <c r="AO80" s="150">
        <f>SUM(AC80:AH80)+SUM(AI80:AN80)</f>
        <v/>
      </c>
      <c r="AP80" s="151">
        <f>IF(AB80&lt;&gt;0,(AO80-AB80)/ABS(AB80),0)</f>
        <v/>
      </c>
    </row>
    <row r="81" ht="15.75" customHeight="1">
      <c r="A81" s="8" t="n"/>
      <c r="B81" s="18" t="n">
        <v>0</v>
      </c>
      <c r="C81" s="18" t="n">
        <v>0</v>
      </c>
      <c r="D81" s="18" t="n">
        <v>0</v>
      </c>
      <c r="E81" s="18" t="n">
        <v>0</v>
      </c>
      <c r="F81" s="18" t="n">
        <v>0</v>
      </c>
      <c r="G81" s="18" t="n">
        <v>0</v>
      </c>
      <c r="H81" s="18" t="n">
        <v>0</v>
      </c>
      <c r="I81" s="18" t="n">
        <v>0</v>
      </c>
      <c r="J81" s="18" t="n">
        <v>0</v>
      </c>
      <c r="K81" s="18" t="n">
        <v>0</v>
      </c>
      <c r="L81" s="18" t="n">
        <v>0</v>
      </c>
      <c r="M81" s="18" t="n">
        <v>41812.06999999999</v>
      </c>
      <c r="N81" s="8" t="n"/>
      <c r="O81" s="60">
        <f>+O70-O80</f>
        <v/>
      </c>
      <c r="P81" s="60">
        <f>+P70-P80</f>
        <v/>
      </c>
      <c r="Q81" s="60">
        <f>+Q70-Q80</f>
        <v/>
      </c>
      <c r="R81" s="60">
        <f>+R70-R80</f>
        <v/>
      </c>
      <c r="S81" s="60">
        <f>+S70-S80</f>
        <v/>
      </c>
      <c r="T81" s="60">
        <f>+T70-T80</f>
        <v/>
      </c>
      <c r="U81" s="60">
        <f>+U70-U80</f>
        <v/>
      </c>
      <c r="V81" s="60">
        <f>+V70-V80</f>
        <v/>
      </c>
      <c r="W81" s="60">
        <f>+W70-W80</f>
        <v/>
      </c>
      <c r="X81" s="60">
        <f>+X70-X80</f>
        <v/>
      </c>
      <c r="Y81" s="60">
        <f>+Y70-Y80</f>
        <v/>
      </c>
      <c r="Z81" s="60">
        <f>+Z70-Z80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34" t="n">
        <v>0</v>
      </c>
      <c r="AJ81" s="134" t="n">
        <v>0</v>
      </c>
      <c r="AK81" s="134" t="n">
        <v>0</v>
      </c>
      <c r="AL81" s="134" t="n">
        <v>0</v>
      </c>
      <c r="AM81" s="134" t="n">
        <v>0</v>
      </c>
      <c r="AN81" s="134" t="n">
        <v>0</v>
      </c>
      <c r="AO81" s="144">
        <f>SUM(AC81:AH81)+SUM(AI81:AN81)</f>
        <v/>
      </c>
      <c r="AP81" s="142">
        <f>IF(AB81&lt;&gt;0,(AO81-AB81)/ABS(AB81),0)</f>
        <v/>
      </c>
    </row>
    <row r="82">
      <c r="A82" s="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18" t="n">
        <v>0</v>
      </c>
      <c r="C83" s="18" t="n">
        <v>0</v>
      </c>
      <c r="D83" s="18" t="n">
        <v>0</v>
      </c>
      <c r="E83" s="18" t="n">
        <v>0</v>
      </c>
      <c r="F83" s="18" t="n">
        <v>0</v>
      </c>
      <c r="G83" s="18" t="n">
        <v>0</v>
      </c>
      <c r="H83" s="18" t="n">
        <v>0</v>
      </c>
      <c r="I83" s="18" t="n">
        <v>0</v>
      </c>
      <c r="J83" s="18" t="n">
        <v>0</v>
      </c>
      <c r="K83" s="18" t="n">
        <v>0</v>
      </c>
      <c r="L83" s="18" t="n">
        <v>0</v>
      </c>
      <c r="M83" s="18" t="n">
        <v>-41812.06999999999</v>
      </c>
      <c r="N83" s="8" t="n"/>
      <c r="O83" s="60">
        <f>O80+O84</f>
        <v/>
      </c>
      <c r="P83" s="60">
        <f>P80+P84</f>
        <v/>
      </c>
      <c r="Q83" s="60">
        <f>Q80+Q84</f>
        <v/>
      </c>
      <c r="R83" s="60">
        <f>R80+R84</f>
        <v/>
      </c>
      <c r="S83" s="60">
        <f>S80+S84</f>
        <v/>
      </c>
      <c r="T83" s="60">
        <f>T80+T84</f>
        <v/>
      </c>
      <c r="U83" s="60">
        <f>U80+U84</f>
        <v/>
      </c>
      <c r="V83" s="60">
        <f>V80+V84</f>
        <v/>
      </c>
      <c r="W83" s="60">
        <f>W80+W84</f>
        <v/>
      </c>
      <c r="X83" s="60">
        <f>X80+X84</f>
        <v/>
      </c>
      <c r="Y83" s="60">
        <f>Y80+Y84</f>
        <v/>
      </c>
      <c r="Z83" s="60">
        <f>Z80+Z84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34" t="n">
        <v>0</v>
      </c>
      <c r="AJ83" s="134" t="n">
        <v>0</v>
      </c>
      <c r="AK83" s="134" t="n">
        <v>0</v>
      </c>
      <c r="AL83" s="134" t="n">
        <v>0</v>
      </c>
      <c r="AM83" s="134" t="n">
        <v>0</v>
      </c>
      <c r="AN83" s="134" t="n">
        <v>0</v>
      </c>
      <c r="AO83" s="144">
        <f>SUM(AC83:AH83)+SUM(AI83:AN83)</f>
        <v/>
      </c>
      <c r="AP83" s="142">
        <f>IF(AB83&lt;&gt;0,(AO83-AB83)/ABS(AB83),0)</f>
        <v/>
      </c>
    </row>
    <row r="84">
      <c r="A84" s="8" t="n"/>
      <c r="B84" s="18" t="n">
        <v>-30756.45999999999</v>
      </c>
      <c r="C84" s="18" t="n">
        <v>-29623.22999999999</v>
      </c>
      <c r="D84" s="18" t="n">
        <v>-36231.08</v>
      </c>
      <c r="E84" s="18" t="n">
        <v>-20319.62999999999</v>
      </c>
      <c r="F84" s="18" t="n">
        <v>-29258.16000000001</v>
      </c>
      <c r="G84" s="18" t="n">
        <v>-26030.14999999999</v>
      </c>
      <c r="H84" s="18" t="n">
        <v>-45442.41000000001</v>
      </c>
      <c r="I84" s="18" t="n">
        <v>-22510.72</v>
      </c>
      <c r="J84" s="18" t="n">
        <v>-26882.89</v>
      </c>
      <c r="K84" s="18" t="n">
        <v>-18862.26</v>
      </c>
      <c r="L84" s="18" t="n">
        <v>-29279.71</v>
      </c>
      <c r="M84" s="18" t="n">
        <v>-36324.57999999999</v>
      </c>
      <c r="N84" s="8" t="n"/>
      <c r="O84" s="60">
        <f>SUM('SST TB'!C2:C44)</f>
        <v/>
      </c>
      <c r="P84" s="60">
        <f>SUM('SST TB'!D2:D44)</f>
        <v/>
      </c>
      <c r="Q84" s="60">
        <f>SUM('SST TB'!E2:E44)</f>
        <v/>
      </c>
      <c r="R84" s="60">
        <f>SUM('SST TB'!F2:F44)</f>
        <v/>
      </c>
      <c r="S84" s="60">
        <f>SUM('SST TB'!G2:G44)</f>
        <v/>
      </c>
      <c r="T84" s="60">
        <f>SUM('SST TB'!H2:H44)</f>
        <v/>
      </c>
      <c r="U84" s="60">
        <f>SUM('SST TB'!I2:I44)</f>
        <v/>
      </c>
      <c r="V84" s="60">
        <f>SUM('SST TB'!J2:J44)</f>
        <v/>
      </c>
      <c r="W84" s="60">
        <f>SUM('SST TB'!K2:K44)</f>
        <v/>
      </c>
      <c r="X84" s="60">
        <f>SUM('SST TB'!L2:L44)</f>
        <v/>
      </c>
      <c r="Y84" s="60">
        <f>SUM('SST TB'!M2:M44)</f>
        <v/>
      </c>
      <c r="Z84" s="60">
        <f>SUM('SST TB'!N2:N44)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134" t="n">
        <v>0</v>
      </c>
      <c r="AJ84" s="134" t="n">
        <v>0</v>
      </c>
      <c r="AK84" s="134" t="n">
        <v>0</v>
      </c>
      <c r="AL84" s="134" t="n">
        <v>0</v>
      </c>
      <c r="AM84" s="134" t="n">
        <v>0</v>
      </c>
      <c r="AN84" s="134" t="n">
        <v>0</v>
      </c>
      <c r="AO84" s="144">
        <f>SUM(AC84:AH84)+SUM(AI84:AN84)</f>
        <v/>
      </c>
      <c r="AP84" s="142">
        <f>IF(AB84&lt;&gt;0,(AO84-AB84)/ABS(AB84),0)</f>
        <v/>
      </c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</sheetData>
  <mergeCells count="1">
    <mergeCell ref="AI1:AQ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Woosehill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46878.47</v>
      </c>
      <c r="C8" s="35" t="n">
        <v>39504.51</v>
      </c>
      <c r="D8" s="35" t="n">
        <v>40145.68</v>
      </c>
      <c r="E8" s="35" t="n">
        <v>48708.67</v>
      </c>
      <c r="F8" s="35" t="n">
        <v>42205.54</v>
      </c>
      <c r="G8" s="35" t="n">
        <v>34613.52</v>
      </c>
      <c r="H8" s="35" t="n">
        <v>42245.26</v>
      </c>
      <c r="I8" s="35" t="n">
        <v>33672.63</v>
      </c>
      <c r="J8" s="35" t="n">
        <v>25033.76</v>
      </c>
      <c r="K8" s="35" t="n">
        <v>26253.02</v>
      </c>
      <c r="L8" s="35" t="n">
        <v>21180.81</v>
      </c>
      <c r="M8" s="35" t="n">
        <v>28282.41</v>
      </c>
      <c r="N8" s="36">
        <f>SUM(B8:M8)</f>
        <v/>
      </c>
      <c r="O8" s="37">
        <f>-SUMIF('YBHN WH TB'!$R:$R,'WH P&amp;L'!$A8,'YBHN WH TB'!C:C)</f>
        <v/>
      </c>
      <c r="P8" s="37">
        <f>-SUMIF('YBHN WH TB'!$R:$R,'WH P&amp;L'!$A8,'YBHN WH TB'!D:D)</f>
        <v/>
      </c>
      <c r="Q8" s="37">
        <f>-SUMIF('YBHN WH TB'!$R:$R,'WH P&amp;L'!$A8,'YBHN WH TB'!E:E)</f>
        <v/>
      </c>
      <c r="R8" s="37">
        <f>-SUMIF('YBHN WH TB'!$R:$R,'WH P&amp;L'!$A8,'YBHN WH TB'!F:F)</f>
        <v/>
      </c>
      <c r="S8" s="37">
        <f>-SUMIF('YBHN WH TB'!$R:$R,'WH P&amp;L'!$A8,'YBHN WH TB'!G:G)</f>
        <v/>
      </c>
      <c r="T8" s="37">
        <f>-SUMIF('YBHN WH TB'!$R:$R,'WH P&amp;L'!$A8,'YBHN WH TB'!H:H)</f>
        <v/>
      </c>
      <c r="U8" s="37">
        <f>-SUMIF('YBHN WH TB'!$R:$R,'WH P&amp;L'!$A8,'YBHN WH TB'!I:I)</f>
        <v/>
      </c>
      <c r="V8" s="38" t="n">
        <v>32680.41</v>
      </c>
      <c r="W8" s="38" t="n">
        <v>23942</v>
      </c>
      <c r="X8" s="38" t="n">
        <v>24553</v>
      </c>
      <c r="Y8" s="38" t="n">
        <v>23399</v>
      </c>
      <c r="Z8" s="38" t="n">
        <v>30884</v>
      </c>
      <c r="AA8" s="36">
        <f>SUM(O8:U8)</f>
        <v/>
      </c>
      <c r="AB8" s="36">
        <f>SUM(O8:Z8)</f>
        <v/>
      </c>
      <c r="AC8" s="38" t="n">
        <v>41588.67</v>
      </c>
      <c r="AD8" s="38" t="n">
        <v>39304.87</v>
      </c>
      <c r="AE8" s="38" t="n">
        <v>45975.67</v>
      </c>
      <c r="AF8" s="38" t="n">
        <v>44447.98</v>
      </c>
      <c r="AG8" s="38" t="n">
        <v>44789.08</v>
      </c>
      <c r="AH8" s="38" t="n">
        <v>46211.46</v>
      </c>
      <c r="AI8" s="118" t="n">
        <v>46211.46</v>
      </c>
      <c r="AJ8" s="119" t="n">
        <v>46211.46</v>
      </c>
      <c r="AK8" s="119" t="n">
        <v>46211.46</v>
      </c>
      <c r="AL8" s="119" t="n">
        <v>46211.46</v>
      </c>
      <c r="AM8" s="120" t="n">
        <v>46211.46</v>
      </c>
      <c r="AN8" s="118" t="n">
        <v>46211.46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13609.7</v>
      </c>
      <c r="C9" s="35" t="n">
        <v>13565.2</v>
      </c>
      <c r="D9" s="35" t="n">
        <v>18208.75</v>
      </c>
      <c r="E9" s="35" t="n">
        <v>10311.05</v>
      </c>
      <c r="F9" s="35" t="n">
        <v>10311.05</v>
      </c>
      <c r="G9" s="35" t="n">
        <v>10311.05</v>
      </c>
      <c r="H9" s="35" t="n">
        <v>19083.82</v>
      </c>
      <c r="I9" s="35" t="n">
        <v>0</v>
      </c>
      <c r="J9" s="35" t="n">
        <v>11153.12</v>
      </c>
      <c r="K9" s="35" t="n">
        <v>11153.12</v>
      </c>
      <c r="L9" s="35" t="n">
        <v>14192.63</v>
      </c>
      <c r="M9" s="35" t="n">
        <v>14500.48</v>
      </c>
      <c r="N9" s="36">
        <f>SUM(B9:M9)</f>
        <v/>
      </c>
      <c r="O9" s="37">
        <f>-SUMIF('YBHN WH TB'!$R:$R,'WH P&amp;L'!$A9,'YBHN WH TB'!C:C)</f>
        <v/>
      </c>
      <c r="P9" s="37">
        <f>-SUMIF('YBHN WH TB'!$R:$R,'WH P&amp;L'!$A9,'YBHN WH TB'!D:D)</f>
        <v/>
      </c>
      <c r="Q9" s="37">
        <f>-SUMIF('YBHN WH TB'!$R:$R,'WH P&amp;L'!$A9,'YBHN WH TB'!E:E)</f>
        <v/>
      </c>
      <c r="R9" s="37">
        <f>-SUMIF('YBHN WH TB'!$R:$R,'WH P&amp;L'!$A9,'YBHN WH TB'!F:F)</f>
        <v/>
      </c>
      <c r="S9" s="37">
        <f>-SUMIF('YBHN WH TB'!$R:$R,'WH P&amp;L'!$A9,'YBHN WH TB'!G:G)</f>
        <v/>
      </c>
      <c r="T9" s="37">
        <f>-SUMIF('YBHN WH TB'!$R:$R,'WH P&amp;L'!$A9,'YBHN WH TB'!H:H)</f>
        <v/>
      </c>
      <c r="U9" s="37">
        <f>-SUMIF('YBHN WH TB'!$R:$R,'WH P&amp;L'!$A9,'YBHN WH TB'!I:I)</f>
        <v/>
      </c>
      <c r="V9" s="38" t="n"/>
      <c r="W9" s="38" t="n">
        <v>15880</v>
      </c>
      <c r="X9" s="38" t="n">
        <v>14790</v>
      </c>
      <c r="Y9" s="38" t="n">
        <v>18944</v>
      </c>
      <c r="Z9" s="38" t="n">
        <v>13616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8" t="n">
        <v>0</v>
      </c>
      <c r="AJ9" s="119" t="n">
        <v>0</v>
      </c>
      <c r="AK9" s="119" t="n">
        <v>0</v>
      </c>
      <c r="AL9" s="119" t="n">
        <v>0</v>
      </c>
      <c r="AM9" s="120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3087.1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-SUMIF('YBHN WH TB'!$R:$R,'WH P&amp;L'!$A10,'YBHN WH TB'!C:C)</f>
        <v/>
      </c>
      <c r="P10" s="37">
        <f>-SUMIF('YBHN WH TB'!$R:$R,'WH P&amp;L'!$A10,'YBHN WH TB'!D:D)</f>
        <v/>
      </c>
      <c r="Q10" s="37">
        <f>-SUMIF('YBHN WH TB'!$R:$R,'WH P&amp;L'!$A10,'YBHN WH TB'!E:E)</f>
        <v/>
      </c>
      <c r="R10" s="37">
        <f>-SUMIF('YBHN WH TB'!$R:$R,'WH P&amp;L'!$A10,'YBHN WH TB'!F:F)</f>
        <v/>
      </c>
      <c r="S10" s="37">
        <f>-SUMIF('YBHN WH TB'!$R:$R,'WH P&amp;L'!$A10,'YBHN WH TB'!G:G)</f>
        <v/>
      </c>
      <c r="T10" s="37">
        <f>-SUMIF('YBHN WH TB'!$R:$R,'WH P&amp;L'!$A10,'YBHN WH TB'!H:H)</f>
        <v/>
      </c>
      <c r="U10" s="37">
        <f>-SUMIF('YBHN WH TB'!$R:$R,'WH P&amp;L'!$A10,'YBHN WH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8" t="n">
        <v>0</v>
      </c>
      <c r="AJ10" s="119" t="n">
        <v>0</v>
      </c>
      <c r="AK10" s="119" t="n">
        <v>0</v>
      </c>
      <c r="AL10" s="119" t="n">
        <v>0</v>
      </c>
      <c r="AM10" s="120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60488.17</v>
      </c>
      <c r="C11" s="42" t="n">
        <v>53069.71000000001</v>
      </c>
      <c r="D11" s="42" t="n">
        <v>58354.43</v>
      </c>
      <c r="E11" s="42" t="n">
        <v>59019.72</v>
      </c>
      <c r="F11" s="42" t="n">
        <v>52516.59</v>
      </c>
      <c r="G11" s="42" t="n">
        <v>44924.56999999999</v>
      </c>
      <c r="H11" s="42" t="n">
        <v>61329.08</v>
      </c>
      <c r="I11" s="42" t="n">
        <v>36759.73</v>
      </c>
      <c r="J11" s="42" t="n">
        <v>36186.88</v>
      </c>
      <c r="K11" s="42" t="n">
        <v>37406.14</v>
      </c>
      <c r="L11" s="42" t="n">
        <v>35373.44</v>
      </c>
      <c r="M11" s="42" t="n">
        <v>42782.89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3">
        <f>SUM(AI8:AI10)</f>
        <v/>
      </c>
      <c r="AJ11" s="124">
        <f>SUM(AJ8:AJ10)</f>
        <v/>
      </c>
      <c r="AK11" s="124">
        <f>SUM(AK8:AK10)</f>
        <v/>
      </c>
      <c r="AL11" s="124">
        <f>SUM(AL8:AL10)</f>
        <v/>
      </c>
      <c r="AM11" s="124">
        <f>SUM(AM8:AM10)</f>
        <v/>
      </c>
      <c r="AN11" s="123">
        <f>SUM(AN8:AN10)</f>
        <v/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7" t="n">
        <v>0</v>
      </c>
      <c r="AJ12" s="128" t="n">
        <v>0</v>
      </c>
      <c r="AK12" s="128" t="n">
        <v>0</v>
      </c>
      <c r="AL12" s="128" t="n">
        <v>0</v>
      </c>
      <c r="AM12" s="129" t="n">
        <v>0</v>
      </c>
      <c r="AN12" s="127" t="n">
        <v>0</v>
      </c>
      <c r="AO12" s="121">
        <f>SUM(AC12:AH12)+SUM(AI12:AN12)</f>
        <v/>
      </c>
      <c r="AP12" s="122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 t="n">
        <v>0</v>
      </c>
      <c r="AJ13" s="131" t="n">
        <v>0</v>
      </c>
      <c r="AK13" s="131" t="n">
        <v>0</v>
      </c>
      <c r="AL13" s="131" t="n">
        <v>0</v>
      </c>
      <c r="AM13" s="132" t="n">
        <v>0</v>
      </c>
      <c r="AN13" s="130" t="n">
        <v>0</v>
      </c>
      <c r="AO13" s="133">
        <f>SUM(AC13:AH13)+SUM(AI13:AN13)</f>
        <v/>
      </c>
      <c r="AP13" s="122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20756.36</v>
      </c>
      <c r="C16" s="35" t="n">
        <v>19806.86</v>
      </c>
      <c r="D16" s="35" t="n">
        <v>20531.46</v>
      </c>
      <c r="E16" s="35" t="n">
        <v>19402.01</v>
      </c>
      <c r="F16" s="35" t="n">
        <v>22124.86</v>
      </c>
      <c r="G16" s="35" t="n">
        <v>22021.86</v>
      </c>
      <c r="H16" s="35" t="n">
        <v>24315.4</v>
      </c>
      <c r="I16" s="35" t="n">
        <v>24581.26</v>
      </c>
      <c r="J16" s="35" t="n">
        <v>23919.17</v>
      </c>
      <c r="K16" s="35" t="n">
        <v>23372.12</v>
      </c>
      <c r="L16" s="35" t="n">
        <v>23435.07</v>
      </c>
      <c r="M16" s="35" t="n">
        <v>23209.45</v>
      </c>
      <c r="N16" s="36">
        <f>SUM(B16:M16)</f>
        <v/>
      </c>
      <c r="O16" s="37">
        <f>SUMIF('YBHN WH TB'!$R:$R,'WH P&amp;L'!$A16,'YBHN WH TB'!C:C)</f>
        <v/>
      </c>
      <c r="P16" s="37">
        <f>SUMIF('YBHN WH TB'!$R:$R,'WH P&amp;L'!$A16,'YBHN WH TB'!D:D)</f>
        <v/>
      </c>
      <c r="Q16" s="37">
        <f>SUMIF('YBHN WH TB'!$R:$R,'WH P&amp;L'!$A16,'YBHN WH TB'!E:E)</f>
        <v/>
      </c>
      <c r="R16" s="37">
        <f>SUMIF('YBHN WH TB'!$R:$R,'WH P&amp;L'!$A16,'YBHN WH TB'!F:F)</f>
        <v/>
      </c>
      <c r="S16" s="37">
        <f>SUMIF('YBHN WH TB'!$R:$R,'WH P&amp;L'!$A16,'YBHN WH TB'!G:G)</f>
        <v/>
      </c>
      <c r="T16" s="37">
        <f>SUMIF('YBHN WH TB'!$R:$R,'WH P&amp;L'!$A16,'YBHN WH TB'!H:H)</f>
        <v/>
      </c>
      <c r="U16" s="37">
        <f>SUMIF('YBHN WH TB'!$R:$R,'WH P&amp;L'!$A16,'YBHN WH TB'!I:I)</f>
        <v/>
      </c>
      <c r="V16" s="38" t="n">
        <v>23746</v>
      </c>
      <c r="W16" s="38" t="n">
        <v>23746</v>
      </c>
      <c r="X16" s="38" t="n">
        <v>23746</v>
      </c>
      <c r="Y16" s="38" t="n">
        <v>23746</v>
      </c>
      <c r="Z16" s="38" t="n">
        <v>23746</v>
      </c>
      <c r="AA16" s="36">
        <f>SUM(O16:U16)</f>
        <v/>
      </c>
      <c r="AB16" s="36">
        <f>SUM(O16:Z16)</f>
        <v/>
      </c>
      <c r="AC16" s="38" t="n">
        <v>23746</v>
      </c>
      <c r="AD16" s="38" t="n">
        <v>23746</v>
      </c>
      <c r="AE16" s="38" t="n">
        <v>23746</v>
      </c>
      <c r="AF16" s="38" t="n">
        <v>23746</v>
      </c>
      <c r="AG16" s="38" t="n">
        <v>23746</v>
      </c>
      <c r="AH16" s="38" t="n">
        <v>23746</v>
      </c>
      <c r="AI16" s="118" t="n">
        <v>23746</v>
      </c>
      <c r="AJ16" s="119" t="n">
        <v>23746</v>
      </c>
      <c r="AK16" s="119" t="n">
        <v>23746</v>
      </c>
      <c r="AL16" s="119" t="n">
        <v>23746</v>
      </c>
      <c r="AM16" s="120" t="n">
        <v>23746</v>
      </c>
      <c r="AN16" s="118" t="n">
        <v>23746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1655.57</v>
      </c>
      <c r="C17" s="35" t="n">
        <v>1539.05</v>
      </c>
      <c r="D17" s="35" t="n">
        <v>1352.02</v>
      </c>
      <c r="E17" s="35" t="n">
        <v>2052.92</v>
      </c>
      <c r="F17" s="35" t="n">
        <v>2333.4</v>
      </c>
      <c r="G17" s="35" t="n">
        <v>2443.45</v>
      </c>
      <c r="H17" s="35" t="n">
        <v>2653.22</v>
      </c>
      <c r="I17" s="35" t="n">
        <v>2586.83</v>
      </c>
      <c r="J17" s="35" t="n">
        <v>2580.16</v>
      </c>
      <c r="K17" s="35" t="n">
        <v>2539.9</v>
      </c>
      <c r="L17" s="35" t="n">
        <v>2560.76</v>
      </c>
      <c r="M17" s="35" t="n">
        <v>2576.25</v>
      </c>
      <c r="N17" s="36">
        <f>SUM(B17:M17)</f>
        <v/>
      </c>
      <c r="O17" s="37">
        <f>SUMIF('YBHN WH TB'!$R:$R,'WH P&amp;L'!$A17,'YBHN WH TB'!C:C)</f>
        <v/>
      </c>
      <c r="P17" s="37">
        <f>SUMIF('YBHN WH TB'!$R:$R,'WH P&amp;L'!$A17,'YBHN WH TB'!D:D)</f>
        <v/>
      </c>
      <c r="Q17" s="37">
        <f>SUMIF('YBHN WH TB'!$R:$R,'WH P&amp;L'!$A17,'YBHN WH TB'!E:E)</f>
        <v/>
      </c>
      <c r="R17" s="37">
        <f>SUMIF('YBHN WH TB'!$R:$R,'WH P&amp;L'!$A17,'YBHN WH TB'!F:F)</f>
        <v/>
      </c>
      <c r="S17" s="37">
        <f>SUMIF('YBHN WH TB'!$R:$R,'WH P&amp;L'!$A17,'YBHN WH TB'!G:G)</f>
        <v/>
      </c>
      <c r="T17" s="37">
        <f>SUMIF('YBHN WH TB'!$R:$R,'WH P&amp;L'!$A17,'YBHN WH TB'!H:H)</f>
        <v/>
      </c>
      <c r="U17" s="37">
        <f>SUMIF('YBHN WH TB'!$R:$R,'WH P&amp;L'!$A17,'YBHN WH TB'!I:I)</f>
        <v/>
      </c>
      <c r="V17" s="38" t="n">
        <v>2720</v>
      </c>
      <c r="W17" s="38" t="n">
        <v>2720</v>
      </c>
      <c r="X17" s="38" t="n">
        <v>2720</v>
      </c>
      <c r="Y17" s="38" t="n">
        <v>2720</v>
      </c>
      <c r="Z17" s="38" t="n">
        <v>2720</v>
      </c>
      <c r="AA17" s="36">
        <f>SUM(O17:U17)</f>
        <v/>
      </c>
      <c r="AB17" s="36">
        <f>SUM(O17:Z17)</f>
        <v/>
      </c>
      <c r="AC17" s="38" t="n">
        <v>2720</v>
      </c>
      <c r="AD17" s="38" t="n">
        <v>2720</v>
      </c>
      <c r="AE17" s="38" t="n">
        <v>2720</v>
      </c>
      <c r="AF17" s="38" t="n">
        <v>2720</v>
      </c>
      <c r="AG17" s="38" t="n">
        <v>2720</v>
      </c>
      <c r="AH17" s="38" t="n">
        <v>2720</v>
      </c>
      <c r="AI17" s="118" t="n">
        <v>2720</v>
      </c>
      <c r="AJ17" s="119" t="n">
        <v>2720</v>
      </c>
      <c r="AK17" s="119" t="n">
        <v>2720</v>
      </c>
      <c r="AL17" s="119" t="n">
        <v>2720</v>
      </c>
      <c r="AM17" s="120" t="n">
        <v>2720</v>
      </c>
      <c r="AN17" s="118" t="n">
        <v>2720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417.15</v>
      </c>
      <c r="C18" s="35" t="n">
        <v>385.03</v>
      </c>
      <c r="D18" s="35" t="n">
        <v>349.16</v>
      </c>
      <c r="E18" s="35" t="n">
        <v>295.5</v>
      </c>
      <c r="F18" s="35" t="n">
        <v>316.81</v>
      </c>
      <c r="G18" s="35" t="n">
        <v>324.97</v>
      </c>
      <c r="H18" s="35" t="n">
        <v>296.65</v>
      </c>
      <c r="I18" s="35" t="n">
        <v>300.58</v>
      </c>
      <c r="J18" s="35" t="n">
        <v>267.24</v>
      </c>
      <c r="K18" s="35" t="n">
        <v>328.1</v>
      </c>
      <c r="L18" s="35" t="n">
        <v>388.4</v>
      </c>
      <c r="M18" s="35" t="n">
        <v>392.25</v>
      </c>
      <c r="N18" s="36">
        <f>SUM(B18:M18)</f>
        <v/>
      </c>
      <c r="O18" s="37">
        <f>SUMIF('YBHN WH TB'!$R:$R,'WH P&amp;L'!$A18,'YBHN WH TB'!C:C)</f>
        <v/>
      </c>
      <c r="P18" s="37">
        <f>SUMIF('YBHN WH TB'!$R:$R,'WH P&amp;L'!$A18,'YBHN WH TB'!D:D)</f>
        <v/>
      </c>
      <c r="Q18" s="37">
        <f>SUMIF('YBHN WH TB'!$R:$R,'WH P&amp;L'!$A18,'YBHN WH TB'!E:E)</f>
        <v/>
      </c>
      <c r="R18" s="37">
        <f>SUMIF('YBHN WH TB'!$R:$R,'WH P&amp;L'!$A18,'YBHN WH TB'!F:F)</f>
        <v/>
      </c>
      <c r="S18" s="37">
        <f>SUMIF('YBHN WH TB'!$R:$R,'WH P&amp;L'!$A18,'YBHN WH TB'!G:G)</f>
        <v/>
      </c>
      <c r="T18" s="37">
        <f>SUMIF('YBHN WH TB'!$R:$R,'WH P&amp;L'!$A18,'YBHN WH TB'!H:H)</f>
        <v/>
      </c>
      <c r="U18" s="37">
        <f>SUMIF('YBHN WH TB'!$R:$R,'WH P&amp;L'!$A18,'YBHN WH TB'!I:I)</f>
        <v/>
      </c>
      <c r="V18" s="38" t="n">
        <v>398</v>
      </c>
      <c r="W18" s="38" t="n">
        <v>398</v>
      </c>
      <c r="X18" s="38" t="n">
        <v>398</v>
      </c>
      <c r="Y18" s="38" t="n">
        <v>398</v>
      </c>
      <c r="Z18" s="38" t="n">
        <v>398</v>
      </c>
      <c r="AA18" s="36">
        <f>SUM(O18:U18)</f>
        <v/>
      </c>
      <c r="AB18" s="36">
        <f>SUM(O18:Z18)</f>
        <v/>
      </c>
      <c r="AC18" s="38" t="n">
        <v>398</v>
      </c>
      <c r="AD18" s="38" t="n">
        <v>398</v>
      </c>
      <c r="AE18" s="38" t="n">
        <v>398</v>
      </c>
      <c r="AF18" s="38" t="n">
        <v>398</v>
      </c>
      <c r="AG18" s="38" t="n">
        <v>398</v>
      </c>
      <c r="AH18" s="38" t="n">
        <v>398</v>
      </c>
      <c r="AI18" s="118" t="n">
        <v>398</v>
      </c>
      <c r="AJ18" s="119" t="n">
        <v>398</v>
      </c>
      <c r="AK18" s="119" t="n">
        <v>398</v>
      </c>
      <c r="AL18" s="119" t="n">
        <v>398</v>
      </c>
      <c r="AM18" s="120" t="n">
        <v>398</v>
      </c>
      <c r="AN18" s="118" t="n">
        <v>398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102.56</v>
      </c>
      <c r="C19" s="35" t="n">
        <v>0</v>
      </c>
      <c r="D19" s="35" t="n">
        <v>132.9</v>
      </c>
      <c r="E19" s="35" t="n">
        <v>0</v>
      </c>
      <c r="F19" s="35" t="n">
        <v>0</v>
      </c>
      <c r="G19" s="35" t="n">
        <v>0</v>
      </c>
      <c r="H19" s="35" t="n">
        <v>365.88</v>
      </c>
      <c r="I19" s="35" t="n">
        <v>0</v>
      </c>
      <c r="J19" s="35" t="n">
        <v>10.99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>
        <f>SUMIF('YBHN WH TB'!$R:$R,'WH P&amp;L'!$A19,'YBHN WH TB'!C:C)</f>
        <v/>
      </c>
      <c r="P19" s="37">
        <f>SUMIF('YBHN WH TB'!$R:$R,'WH P&amp;L'!$A19,'YBHN WH TB'!D:D)</f>
        <v/>
      </c>
      <c r="Q19" s="37">
        <f>SUMIF('YBHN WH TB'!$R:$R,'WH P&amp;L'!$A19,'YBHN WH TB'!E:E)</f>
        <v/>
      </c>
      <c r="R19" s="37">
        <f>SUMIF('YBHN WH TB'!$R:$R,'WH P&amp;L'!$A19,'YBHN WH TB'!F:F)</f>
        <v/>
      </c>
      <c r="S19" s="37">
        <f>SUMIF('YBHN WH TB'!$R:$R,'WH P&amp;L'!$A19,'YBHN WH TB'!G:G)</f>
        <v/>
      </c>
      <c r="T19" s="37">
        <f>SUMIF('YBHN WH TB'!$R:$R,'WH P&amp;L'!$A19,'YBHN WH TB'!H:H)</f>
        <v/>
      </c>
      <c r="U19" s="37">
        <f>SUMIF('YBHN WH TB'!$R:$R,'WH P&amp;L'!$A19,'YBHN WH TB'!I:I)</f>
        <v/>
      </c>
      <c r="V19" s="38" t="n">
        <v>59</v>
      </c>
      <c r="W19" s="38" t="n">
        <v>59</v>
      </c>
      <c r="X19" s="38" t="n">
        <v>59</v>
      </c>
      <c r="Y19" s="38" t="n">
        <v>59</v>
      </c>
      <c r="Z19" s="38" t="n">
        <v>59</v>
      </c>
      <c r="AA19" s="36">
        <f>SUM(O19:U19)</f>
        <v/>
      </c>
      <c r="AB19" s="36">
        <f>SUM(O19:Z19)</f>
        <v/>
      </c>
      <c r="AC19" s="38" t="n">
        <v>59</v>
      </c>
      <c r="AD19" s="38" t="n">
        <v>59</v>
      </c>
      <c r="AE19" s="38" t="n">
        <v>59</v>
      </c>
      <c r="AF19" s="38" t="n">
        <v>59</v>
      </c>
      <c r="AG19" s="38" t="n">
        <v>59</v>
      </c>
      <c r="AH19" s="38" t="n">
        <v>59</v>
      </c>
      <c r="AI19" s="118" t="n">
        <v>59</v>
      </c>
      <c r="AJ19" s="119" t="n">
        <v>59</v>
      </c>
      <c r="AK19" s="119" t="n">
        <v>59</v>
      </c>
      <c r="AL19" s="119" t="n">
        <v>59</v>
      </c>
      <c r="AM19" s="120" t="n">
        <v>59</v>
      </c>
      <c r="AN19" s="118" t="n">
        <v>59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13.99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120</v>
      </c>
      <c r="H20" s="35" t="n">
        <v>0</v>
      </c>
      <c r="I20" s="35" t="n">
        <v>0</v>
      </c>
      <c r="J20" s="35" t="n">
        <v>0</v>
      </c>
      <c r="K20" s="35" t="n">
        <v>0</v>
      </c>
      <c r="L20" s="35" t="n">
        <v>330.62</v>
      </c>
      <c r="M20" s="35" t="n">
        <v>0</v>
      </c>
      <c r="N20" s="36">
        <f>SUM(B20:M20)</f>
        <v/>
      </c>
      <c r="O20" s="37">
        <f>SUMIF('YBHN WH TB'!$R:$R,'WH P&amp;L'!$A20,'YBHN WH TB'!C:C)</f>
        <v/>
      </c>
      <c r="P20" s="37">
        <f>SUMIF('YBHN WH TB'!$R:$R,'WH P&amp;L'!$A20,'YBHN WH TB'!D:D)</f>
        <v/>
      </c>
      <c r="Q20" s="37">
        <f>SUMIF('YBHN WH TB'!$R:$R,'WH P&amp;L'!$A20,'YBHN WH TB'!E:E)</f>
        <v/>
      </c>
      <c r="R20" s="37">
        <f>SUMIF('YBHN WH TB'!$R:$R,'WH P&amp;L'!$A20,'YBHN WH TB'!F:F)</f>
        <v/>
      </c>
      <c r="S20" s="37">
        <f>SUMIF('YBHN WH TB'!$R:$R,'WH P&amp;L'!$A20,'YBHN WH TB'!G:G)</f>
        <v/>
      </c>
      <c r="T20" s="37">
        <f>SUMIF('YBHN WH TB'!$R:$R,'WH P&amp;L'!$A20,'YBHN WH TB'!H:H)</f>
        <v/>
      </c>
      <c r="U20" s="37">
        <f>SUMIF('YBHN WH TB'!$R:$R,'WH P&amp;L'!$A20,'YBHN WH TB'!I:I)</f>
        <v/>
      </c>
      <c r="V20" s="38" t="n">
        <v>50</v>
      </c>
      <c r="W20" s="38" t="n">
        <v>50</v>
      </c>
      <c r="X20" s="38" t="n">
        <v>50</v>
      </c>
      <c r="Y20" s="38" t="n">
        <v>50</v>
      </c>
      <c r="Z20" s="38" t="n">
        <v>50</v>
      </c>
      <c r="AA20" s="36">
        <f>SUM(O20:U20)</f>
        <v/>
      </c>
      <c r="AB20" s="36">
        <f>SUM(O20:Z20)</f>
        <v/>
      </c>
      <c r="AC20" s="38" t="n">
        <v>50</v>
      </c>
      <c r="AD20" s="38" t="n">
        <v>50</v>
      </c>
      <c r="AE20" s="38" t="n">
        <v>50</v>
      </c>
      <c r="AF20" s="38" t="n">
        <v>50</v>
      </c>
      <c r="AG20" s="38" t="n">
        <v>50</v>
      </c>
      <c r="AH20" s="38" t="n">
        <v>50</v>
      </c>
      <c r="AI20" s="118" t="n">
        <v>50</v>
      </c>
      <c r="AJ20" s="119" t="n">
        <v>50</v>
      </c>
      <c r="AK20" s="119" t="n">
        <v>50</v>
      </c>
      <c r="AL20" s="119" t="n">
        <v>50</v>
      </c>
      <c r="AM20" s="120" t="n">
        <v>50</v>
      </c>
      <c r="AN20" s="118" t="n">
        <v>50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156.89</v>
      </c>
      <c r="C21" s="35" t="n">
        <v>118.99</v>
      </c>
      <c r="D21" s="35" t="n">
        <v>0</v>
      </c>
      <c r="E21" s="35" t="n">
        <v>37.22</v>
      </c>
      <c r="F21" s="35" t="n">
        <v>40.65</v>
      </c>
      <c r="G21" s="35" t="n">
        <v>61.78</v>
      </c>
      <c r="H21" s="35" t="n">
        <v>45.84</v>
      </c>
      <c r="I21" s="35" t="n">
        <v>85.55</v>
      </c>
      <c r="J21" s="35" t="n">
        <v>36.86</v>
      </c>
      <c r="K21" s="35" t="n">
        <v>107.12</v>
      </c>
      <c r="L21" s="35" t="n">
        <v>53.8</v>
      </c>
      <c r="M21" s="35" t="n">
        <v>71.59999999999999</v>
      </c>
      <c r="N21" s="36">
        <f>SUM(B21:M21)</f>
        <v/>
      </c>
      <c r="O21" s="37">
        <f>SUMIF('YBHN WH TB'!$R:$R,'WH P&amp;L'!$A21,'YBHN WH TB'!C:C)</f>
        <v/>
      </c>
      <c r="P21" s="37">
        <f>SUMIF('YBHN WH TB'!$R:$R,'WH P&amp;L'!$A21,'YBHN WH TB'!D:D)</f>
        <v/>
      </c>
      <c r="Q21" s="37">
        <f>SUMIF('YBHN WH TB'!$R:$R,'WH P&amp;L'!$A21,'YBHN WH TB'!E:E)</f>
        <v/>
      </c>
      <c r="R21" s="37">
        <f>SUMIF('YBHN WH TB'!$R:$R,'WH P&amp;L'!$A21,'YBHN WH TB'!F:F)</f>
        <v/>
      </c>
      <c r="S21" s="37">
        <f>SUMIF('YBHN WH TB'!$R:$R,'WH P&amp;L'!$A21,'YBHN WH TB'!G:G)</f>
        <v/>
      </c>
      <c r="T21" s="37">
        <f>SUMIF('YBHN WH TB'!$R:$R,'WH P&amp;L'!$A21,'YBHN WH TB'!H:H)</f>
        <v/>
      </c>
      <c r="U21" s="37">
        <f>SUMIF('YBHN WH TB'!$R:$R,'WH P&amp;L'!$A21,'YBHN WH TB'!I:I)</f>
        <v/>
      </c>
      <c r="V21" s="38" t="n">
        <v>120</v>
      </c>
      <c r="W21" s="38" t="n">
        <v>120</v>
      </c>
      <c r="X21" s="38" t="n">
        <v>120</v>
      </c>
      <c r="Y21" s="38" t="n">
        <v>120</v>
      </c>
      <c r="Z21" s="38" t="n">
        <v>120</v>
      </c>
      <c r="AA21" s="36">
        <f>SUM(O21:U21)</f>
        <v/>
      </c>
      <c r="AB21" s="36">
        <f>SUM(O21:Z21)</f>
        <v/>
      </c>
      <c r="AC21" s="38" t="n">
        <v>120</v>
      </c>
      <c r="AD21" s="38" t="n">
        <v>120</v>
      </c>
      <c r="AE21" s="38" t="n">
        <v>120</v>
      </c>
      <c r="AF21" s="38" t="n">
        <v>120</v>
      </c>
      <c r="AG21" s="38" t="n">
        <v>120</v>
      </c>
      <c r="AH21" s="38" t="n">
        <v>120</v>
      </c>
      <c r="AI21" s="118" t="n">
        <v>120</v>
      </c>
      <c r="AJ21" s="119" t="n">
        <v>120</v>
      </c>
      <c r="AK21" s="119" t="n">
        <v>120</v>
      </c>
      <c r="AL21" s="119" t="n">
        <v>120</v>
      </c>
      <c r="AM21" s="120" t="n">
        <v>120</v>
      </c>
      <c r="AN21" s="118" t="n">
        <v>120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SUMIF('YBHN WH TB'!$R:$R,'WH P&amp;L'!$A22,'YBHN WH TB'!C:C)</f>
        <v/>
      </c>
      <c r="P22" s="37">
        <f>SUMIF('YBHN WH TB'!$R:$R,'WH P&amp;L'!$A22,'YBHN WH TB'!D:D)</f>
        <v/>
      </c>
      <c r="Q22" s="37">
        <f>SUMIF('YBHN WH TB'!$R:$R,'WH P&amp;L'!$A22,'YBHN WH TB'!E:E)</f>
        <v/>
      </c>
      <c r="R22" s="37">
        <f>SUMIF('YBHN WH TB'!$R:$R,'WH P&amp;L'!$A22,'YBHN WH TB'!F:F)</f>
        <v/>
      </c>
      <c r="S22" s="37">
        <f>SUMIF('YBHN WH TB'!$R:$R,'WH P&amp;L'!$A22,'YBHN WH TB'!G:G)</f>
        <v/>
      </c>
      <c r="T22" s="37">
        <f>SUMIF('YBHN WH TB'!$R:$R,'WH P&amp;L'!$A22,'YBHN WH TB'!H:H)</f>
        <v/>
      </c>
      <c r="U22" s="37">
        <f>SUMIF('YBHN WH TB'!$R:$R,'WH P&amp;L'!$A22,'YBHN WH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8" t="n">
        <v>0</v>
      </c>
      <c r="AJ22" s="119" t="n">
        <v>0</v>
      </c>
      <c r="AK22" s="119" t="n">
        <v>0</v>
      </c>
      <c r="AL22" s="119" t="n">
        <v>0</v>
      </c>
      <c r="AM22" s="120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>
        <f>SUMIF('YBHN WH TB'!$R:$R,'WH P&amp;L'!$A23,'YBHN WH TB'!C:C)</f>
        <v/>
      </c>
      <c r="P23" s="37">
        <f>SUMIF('YBHN WH TB'!$R:$R,'WH P&amp;L'!$A23,'YBHN WH TB'!D:D)</f>
        <v/>
      </c>
      <c r="Q23" s="37">
        <f>SUMIF('YBHN WH TB'!$R:$R,'WH P&amp;L'!$A23,'YBHN WH TB'!E:E)</f>
        <v/>
      </c>
      <c r="R23" s="37">
        <f>SUMIF('YBHN WH TB'!$R:$R,'WH P&amp;L'!$A23,'YBHN WH TB'!F:F)</f>
        <v/>
      </c>
      <c r="S23" s="37">
        <f>SUMIF('YBHN WH TB'!$R:$R,'WH P&amp;L'!$A23,'YBHN WH TB'!G:G)</f>
        <v/>
      </c>
      <c r="T23" s="37">
        <f>SUMIF('YBHN WH TB'!$R:$R,'WH P&amp;L'!$A23,'YBHN WH TB'!H:H)</f>
        <v/>
      </c>
      <c r="U23" s="37">
        <f>SUMIF('YBHN WH TB'!$R:$R,'WH P&amp;L'!$A23,'YBHN WH TB'!I:I)</f>
        <v/>
      </c>
      <c r="V23" s="38" t="n">
        <v>50</v>
      </c>
      <c r="W23" s="38" t="n">
        <v>50</v>
      </c>
      <c r="X23" s="38" t="n">
        <v>50</v>
      </c>
      <c r="Y23" s="38" t="n">
        <v>50</v>
      </c>
      <c r="Z23" s="38" t="n">
        <v>50</v>
      </c>
      <c r="AA23" s="36">
        <f>SUM(O23:U23)</f>
        <v/>
      </c>
      <c r="AB23" s="36">
        <f>SUM(O23:Z23)</f>
        <v/>
      </c>
      <c r="AC23" s="38" t="n">
        <v>50</v>
      </c>
      <c r="AD23" s="38" t="n">
        <v>50</v>
      </c>
      <c r="AE23" s="38" t="n">
        <v>50</v>
      </c>
      <c r="AF23" s="38" t="n">
        <v>50</v>
      </c>
      <c r="AG23" s="38" t="n">
        <v>50</v>
      </c>
      <c r="AH23" s="38" t="n">
        <v>50</v>
      </c>
      <c r="AI23" s="118" t="n">
        <v>50</v>
      </c>
      <c r="AJ23" s="119" t="n">
        <v>50</v>
      </c>
      <c r="AK23" s="119" t="n">
        <v>50</v>
      </c>
      <c r="AL23" s="119" t="n">
        <v>50</v>
      </c>
      <c r="AM23" s="120" t="n">
        <v>50</v>
      </c>
      <c r="AN23" s="118" t="n">
        <v>50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SUMIF('YBHN WH TB'!$R:$R,'WH P&amp;L'!$A24,'YBHN WH TB'!C:C)</f>
        <v/>
      </c>
      <c r="P24" s="37">
        <f>SUMIF('YBHN WH TB'!$R:$R,'WH P&amp;L'!$A24,'YBHN WH TB'!D:D)</f>
        <v/>
      </c>
      <c r="Q24" s="37">
        <f>SUMIF('YBHN WH TB'!$R:$R,'WH P&amp;L'!$A24,'YBHN WH TB'!E:E)</f>
        <v/>
      </c>
      <c r="R24" s="37">
        <f>SUMIF('YBHN WH TB'!$R:$R,'WH P&amp;L'!$A24,'YBHN WH TB'!F:F)</f>
        <v/>
      </c>
      <c r="S24" s="37">
        <f>SUMIF('YBHN WH TB'!$R:$R,'WH P&amp;L'!$A24,'YBHN WH TB'!G:G)</f>
        <v/>
      </c>
      <c r="T24" s="37">
        <f>SUMIF('YBHN WH TB'!$R:$R,'WH P&amp;L'!$A24,'YBHN WH TB'!H:H)</f>
        <v/>
      </c>
      <c r="U24" s="37">
        <f>SUMIF('YBHN WH TB'!$R:$R,'WH P&amp;L'!$A24,'YBHN WH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8" t="n">
        <v>0</v>
      </c>
      <c r="AJ24" s="119" t="n">
        <v>0</v>
      </c>
      <c r="AK24" s="119" t="n">
        <v>0</v>
      </c>
      <c r="AL24" s="119" t="n">
        <v>0</v>
      </c>
      <c r="AM24" s="120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23102.52</v>
      </c>
      <c r="C25" s="42" t="n">
        <v>21849.93</v>
      </c>
      <c r="D25" s="42" t="n">
        <v>22365.54</v>
      </c>
      <c r="E25" s="42" t="n">
        <v>21787.65</v>
      </c>
      <c r="F25" s="42" t="n">
        <v>24815.72</v>
      </c>
      <c r="G25" s="42" t="n">
        <v>24972.06</v>
      </c>
      <c r="H25" s="42" t="n">
        <v>27676.99000000001</v>
      </c>
      <c r="I25" s="42" t="n">
        <v>27554.22</v>
      </c>
      <c r="J25" s="42" t="n">
        <v>26814.42</v>
      </c>
      <c r="K25" s="42" t="n">
        <v>26347.24</v>
      </c>
      <c r="L25" s="42" t="n">
        <v>26768.65</v>
      </c>
      <c r="M25" s="42" t="n">
        <v>26249.55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3">
        <f>SUM(AI16:AI24)</f>
        <v/>
      </c>
      <c r="AJ25" s="124">
        <f>SUM(AJ16:AJ24)</f>
        <v/>
      </c>
      <c r="AK25" s="124">
        <f>SUM(AK16:AK24)</f>
        <v/>
      </c>
      <c r="AL25" s="124">
        <f>SUM(AL16:AL24)</f>
        <v/>
      </c>
      <c r="AM25" s="124">
        <f>SUM(AM16:AM24)</f>
        <v/>
      </c>
      <c r="AN25" s="123">
        <f>SUM(AN16:AN24)</f>
        <v/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7" t="n">
        <v>0</v>
      </c>
      <c r="AJ26" s="128" t="n">
        <v>0</v>
      </c>
      <c r="AK26" s="128" t="n">
        <v>0</v>
      </c>
      <c r="AL26" s="128" t="n">
        <v>0</v>
      </c>
      <c r="AM26" s="129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1049.2</v>
      </c>
      <c r="C27" s="35" t="n">
        <v>1062.81</v>
      </c>
      <c r="D27" s="35" t="n">
        <v>1232.3</v>
      </c>
      <c r="E27" s="35" t="n">
        <v>574.0400000000001</v>
      </c>
      <c r="F27" s="35" t="n">
        <v>921.63</v>
      </c>
      <c r="G27" s="35" t="n">
        <v>838.97</v>
      </c>
      <c r="H27" s="35" t="n">
        <v>794.59</v>
      </c>
      <c r="I27" s="35" t="n">
        <v>714.28</v>
      </c>
      <c r="J27" s="35" t="n">
        <v>588.1</v>
      </c>
      <c r="K27" s="35" t="n">
        <v>808.9399999999999</v>
      </c>
      <c r="L27" s="35" t="n">
        <v>585.75</v>
      </c>
      <c r="M27" s="35" t="n">
        <v>647.7600000000001</v>
      </c>
      <c r="N27" s="36">
        <f>SUM(B27:M27)</f>
        <v/>
      </c>
      <c r="O27" s="37">
        <f>SUMIF('YBHN WH TB'!$R:$R,'WH P&amp;L'!$A27,'YBHN WH TB'!C:C)</f>
        <v/>
      </c>
      <c r="P27" s="37">
        <f>SUMIF('YBHN WH TB'!$R:$R,'WH P&amp;L'!$A27,'YBHN WH TB'!D:D)</f>
        <v/>
      </c>
      <c r="Q27" s="37">
        <f>SUMIF('YBHN WH TB'!$R:$R,'WH P&amp;L'!$A27,'YBHN WH TB'!E:E)</f>
        <v/>
      </c>
      <c r="R27" s="37">
        <f>SUMIF('YBHN WH TB'!$R:$R,'WH P&amp;L'!$A27,'YBHN WH TB'!F:F)</f>
        <v/>
      </c>
      <c r="S27" s="37">
        <f>SUMIF('YBHN WH TB'!$R:$R,'WH P&amp;L'!$A27,'YBHN WH TB'!G:G)</f>
        <v/>
      </c>
      <c r="T27" s="37">
        <f>SUMIF('YBHN WH TB'!$R:$R,'WH P&amp;L'!$A27,'YBHN WH TB'!H:H)</f>
        <v/>
      </c>
      <c r="U27" s="37">
        <f>SUMIF('YBHN WH TB'!$R:$R,'WH P&amp;L'!$A27,'YBHN WH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18" t="n">
        <v>0</v>
      </c>
      <c r="AJ27" s="119" t="n">
        <v>0</v>
      </c>
      <c r="AK27" s="119" t="n">
        <v>0</v>
      </c>
      <c r="AL27" s="119" t="n">
        <v>0</v>
      </c>
      <c r="AM27" s="120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56.48</v>
      </c>
      <c r="C28" s="35" t="n">
        <v>2434.38</v>
      </c>
      <c r="D28" s="35" t="n">
        <v>198.96</v>
      </c>
      <c r="E28" s="35" t="n">
        <v>106.88</v>
      </c>
      <c r="F28" s="35" t="n">
        <v>171.09</v>
      </c>
      <c r="G28" s="35" t="n">
        <v>0</v>
      </c>
      <c r="H28" s="35" t="n">
        <v>0</v>
      </c>
      <c r="I28" s="35" t="n">
        <v>145.55</v>
      </c>
      <c r="J28" s="35" t="n">
        <v>0</v>
      </c>
      <c r="K28" s="35" t="n">
        <v>14.99</v>
      </c>
      <c r="L28" s="35" t="n">
        <v>30</v>
      </c>
      <c r="M28" s="35" t="n">
        <v>0</v>
      </c>
      <c r="N28" s="36">
        <f>SUM(B28:M28)</f>
        <v/>
      </c>
      <c r="O28" s="37">
        <f>SUMIF('YBHN WH TB'!$R:$R,'WH P&amp;L'!$A28,'YBHN WH TB'!C:C)</f>
        <v/>
      </c>
      <c r="P28" s="37">
        <f>SUMIF('YBHN WH TB'!$R:$R,'WH P&amp;L'!$A28,'YBHN WH TB'!D:D)</f>
        <v/>
      </c>
      <c r="Q28" s="37">
        <f>SUMIF('YBHN WH TB'!$R:$R,'WH P&amp;L'!$A28,'YBHN WH TB'!E:E)</f>
        <v/>
      </c>
      <c r="R28" s="37">
        <f>SUMIF('YBHN WH TB'!$R:$R,'WH P&amp;L'!$A28,'YBHN WH TB'!F:F)</f>
        <v/>
      </c>
      <c r="S28" s="37">
        <f>SUMIF('YBHN WH TB'!$R:$R,'WH P&amp;L'!$A28,'YBHN WH TB'!G:G)</f>
        <v/>
      </c>
      <c r="T28" s="37">
        <f>SUMIF('YBHN WH TB'!$R:$R,'WH P&amp;L'!$A28,'YBHN WH TB'!H:H)</f>
        <v/>
      </c>
      <c r="U28" s="37">
        <f>SUMIF('YBHN WH TB'!$R:$R,'WH P&amp;L'!$A28,'YBHN WH TB'!I:I)</f>
        <v/>
      </c>
      <c r="V28" s="38" t="n">
        <v>50</v>
      </c>
      <c r="W28" s="38" t="n">
        <v>50</v>
      </c>
      <c r="X28" s="38" t="n">
        <v>50</v>
      </c>
      <c r="Y28" s="38" t="n">
        <v>50</v>
      </c>
      <c r="Z28" s="38" t="n">
        <v>50</v>
      </c>
      <c r="AA28" s="36">
        <f>SUM(O28:U28)</f>
        <v/>
      </c>
      <c r="AB28" s="36">
        <f>SUM(O28:Z28)</f>
        <v/>
      </c>
      <c r="AC28" s="38" t="n">
        <v>50</v>
      </c>
      <c r="AD28" s="38" t="n">
        <v>50</v>
      </c>
      <c r="AE28" s="38" t="n">
        <v>50</v>
      </c>
      <c r="AF28" s="38" t="n">
        <v>50</v>
      </c>
      <c r="AG28" s="38" t="n">
        <v>50</v>
      </c>
      <c r="AH28" s="38" t="n">
        <v>50</v>
      </c>
      <c r="AI28" s="118" t="n">
        <v>50</v>
      </c>
      <c r="AJ28" s="119" t="n">
        <v>50</v>
      </c>
      <c r="AK28" s="119" t="n">
        <v>50</v>
      </c>
      <c r="AL28" s="119" t="n">
        <v>50</v>
      </c>
      <c r="AM28" s="120" t="n">
        <v>50</v>
      </c>
      <c r="AN28" s="118" t="n">
        <v>50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187.9</v>
      </c>
      <c r="C29" s="35" t="n">
        <v>351.06</v>
      </c>
      <c r="D29" s="35" t="n">
        <v>170.57</v>
      </c>
      <c r="E29" s="35" t="n">
        <v>47.49</v>
      </c>
      <c r="F29" s="35" t="n">
        <v>128.06</v>
      </c>
      <c r="G29" s="35" t="n">
        <v>77.17999999999999</v>
      </c>
      <c r="H29" s="35" t="n">
        <v>48.36</v>
      </c>
      <c r="I29" s="35" t="n">
        <v>110.18</v>
      </c>
      <c r="J29" s="35" t="n">
        <v>80.65000000000001</v>
      </c>
      <c r="K29" s="35" t="n">
        <v>33.87</v>
      </c>
      <c r="L29" s="35" t="n">
        <v>144.55</v>
      </c>
      <c r="M29" s="35" t="n">
        <v>7.78</v>
      </c>
      <c r="N29" s="36">
        <f>SUM(B29:M29)</f>
        <v/>
      </c>
      <c r="O29" s="37">
        <f>SUMIF('YBHN WH TB'!$R:$R,'WH P&amp;L'!$A29,'YBHN WH TB'!C:C)</f>
        <v/>
      </c>
      <c r="P29" s="37">
        <f>SUMIF('YBHN WH TB'!$R:$R,'WH P&amp;L'!$A29,'YBHN WH TB'!D:D)</f>
        <v/>
      </c>
      <c r="Q29" s="37">
        <f>SUMIF('YBHN WH TB'!$R:$R,'WH P&amp;L'!$A29,'YBHN WH TB'!E:E)</f>
        <v/>
      </c>
      <c r="R29" s="37">
        <f>SUMIF('YBHN WH TB'!$R:$R,'WH P&amp;L'!$A29,'YBHN WH TB'!F:F)</f>
        <v/>
      </c>
      <c r="S29" s="37">
        <f>SUMIF('YBHN WH TB'!$R:$R,'WH P&amp;L'!$A29,'YBHN WH TB'!G:G)</f>
        <v/>
      </c>
      <c r="T29" s="37">
        <f>SUMIF('YBHN WH TB'!$R:$R,'WH P&amp;L'!$A29,'YBHN WH TB'!H:H)</f>
        <v/>
      </c>
      <c r="U29" s="37">
        <f>SUMIF('YBHN WH TB'!$R:$R,'WH P&amp;L'!$A29,'YBHN WH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18" t="n">
        <v>0</v>
      </c>
      <c r="AJ29" s="119" t="n">
        <v>0</v>
      </c>
      <c r="AK29" s="119" t="n">
        <v>0</v>
      </c>
      <c r="AL29" s="119" t="n">
        <v>0</v>
      </c>
      <c r="AM29" s="120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SUMIF('YBHN WH TB'!$R:$R,'WH P&amp;L'!$A30,'YBHN WH TB'!C:C)</f>
        <v/>
      </c>
      <c r="P30" s="37">
        <f>SUMIF('YBHN WH TB'!$R:$R,'WH P&amp;L'!$A30,'YBHN WH TB'!D:D)</f>
        <v/>
      </c>
      <c r="Q30" s="37">
        <f>SUMIF('YBHN WH TB'!$R:$R,'WH P&amp;L'!$A30,'YBHN WH TB'!E:E)</f>
        <v/>
      </c>
      <c r="R30" s="37">
        <f>SUMIF('YBHN WH TB'!$R:$R,'WH P&amp;L'!$A30,'YBHN WH TB'!F:F)</f>
        <v/>
      </c>
      <c r="S30" s="37">
        <f>SUMIF('YBHN WH TB'!$R:$R,'WH P&amp;L'!$A30,'YBHN WH TB'!G:G)</f>
        <v/>
      </c>
      <c r="T30" s="37">
        <f>SUMIF('YBHN WH TB'!$R:$R,'WH P&amp;L'!$A30,'YBHN WH TB'!H:H)</f>
        <v/>
      </c>
      <c r="U30" s="37">
        <f>SUMIF('YBHN WH TB'!$R:$R,'WH P&amp;L'!$A30,'YBHN WH TB'!I:I)</f>
        <v/>
      </c>
      <c r="V30" s="38" t="n">
        <v>0</v>
      </c>
      <c r="W30" s="38" t="n">
        <v>0</v>
      </c>
      <c r="X30" s="38" t="n">
        <v>0</v>
      </c>
      <c r="Y30" s="38" t="n">
        <v>0</v>
      </c>
      <c r="Z30" s="38" t="n">
        <v>0</v>
      </c>
      <c r="AA30" s="36">
        <f>SUM(O30:U30)</f>
        <v/>
      </c>
      <c r="AB30" s="36">
        <f>SUM(O30:Z30)</f>
        <v/>
      </c>
      <c r="AC30" s="38" t="n">
        <v>0</v>
      </c>
      <c r="AD30" s="38" t="n">
        <v>0</v>
      </c>
      <c r="AE30" s="38" t="n">
        <v>0</v>
      </c>
      <c r="AF30" s="38" t="n">
        <v>0</v>
      </c>
      <c r="AG30" s="38" t="n">
        <v>0</v>
      </c>
      <c r="AH30" s="38" t="n">
        <v>0</v>
      </c>
      <c r="AI30" s="118" t="n">
        <v>0</v>
      </c>
      <c r="AJ30" s="119" t="n">
        <v>0</v>
      </c>
      <c r="AK30" s="119" t="n">
        <v>0</v>
      </c>
      <c r="AL30" s="119" t="n">
        <v>0</v>
      </c>
      <c r="AM30" s="120" t="n">
        <v>0</v>
      </c>
      <c r="AN30" s="118" t="n">
        <v>0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80.35000000000001</v>
      </c>
      <c r="C31" s="35" t="n">
        <v>250.49</v>
      </c>
      <c r="D31" s="35" t="n">
        <v>70.2</v>
      </c>
      <c r="E31" s="35" t="n">
        <v>35.98</v>
      </c>
      <c r="F31" s="35" t="n">
        <v>0</v>
      </c>
      <c r="G31" s="35" t="n">
        <v>0</v>
      </c>
      <c r="H31" s="35" t="n">
        <v>88.72</v>
      </c>
      <c r="I31" s="35" t="n">
        <v>126.39</v>
      </c>
      <c r="J31" s="35" t="n">
        <v>514.62</v>
      </c>
      <c r="K31" s="35" t="n">
        <v>0</v>
      </c>
      <c r="L31" s="35" t="n">
        <v>46.66999999999999</v>
      </c>
      <c r="M31" s="35" t="n">
        <v>44.19</v>
      </c>
      <c r="N31" s="36">
        <f>SUM(B31:M31)</f>
        <v/>
      </c>
      <c r="O31" s="37">
        <f>SUMIF('YBHN WH TB'!$R:$R,'WH P&amp;L'!$A31,'YBHN WH TB'!C:C)</f>
        <v/>
      </c>
      <c r="P31" s="37">
        <f>SUMIF('YBHN WH TB'!$R:$R,'WH P&amp;L'!$A31,'YBHN WH TB'!D:D)</f>
        <v/>
      </c>
      <c r="Q31" s="37">
        <f>SUMIF('YBHN WH TB'!$R:$R,'WH P&amp;L'!$A31,'YBHN WH TB'!E:E)</f>
        <v/>
      </c>
      <c r="R31" s="37">
        <f>SUMIF('YBHN WH TB'!$R:$R,'WH P&amp;L'!$A31,'YBHN WH TB'!F:F)</f>
        <v/>
      </c>
      <c r="S31" s="37">
        <f>SUMIF('YBHN WH TB'!$R:$R,'WH P&amp;L'!$A31,'YBHN WH TB'!G:G)</f>
        <v/>
      </c>
      <c r="T31" s="37">
        <f>SUMIF('YBHN WH TB'!$R:$R,'WH P&amp;L'!$A31,'YBHN WH TB'!H:H)</f>
        <v/>
      </c>
      <c r="U31" s="37">
        <f>SUMIF('YBHN WH TB'!$R:$R,'WH P&amp;L'!$A31,'YBHN WH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8" t="n">
        <v>50</v>
      </c>
      <c r="AJ31" s="119" t="n">
        <v>50</v>
      </c>
      <c r="AK31" s="119" t="n">
        <v>50</v>
      </c>
      <c r="AL31" s="119" t="n">
        <v>50</v>
      </c>
      <c r="AM31" s="120" t="n">
        <v>50</v>
      </c>
      <c r="AN31" s="118" t="n">
        <v>50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124.1</v>
      </c>
      <c r="C32" s="35" t="n">
        <v>44.78</v>
      </c>
      <c r="D32" s="35" t="n">
        <v>0</v>
      </c>
      <c r="E32" s="35" t="n">
        <v>99.52</v>
      </c>
      <c r="F32" s="35" t="n">
        <v>139.21</v>
      </c>
      <c r="G32" s="35" t="n">
        <v>57.26</v>
      </c>
      <c r="H32" s="35" t="n">
        <v>193.75</v>
      </c>
      <c r="I32" s="35" t="n">
        <v>133.31</v>
      </c>
      <c r="J32" s="35" t="n">
        <v>99.92999999999999</v>
      </c>
      <c r="K32" s="35" t="n">
        <v>94.45</v>
      </c>
      <c r="L32" s="35" t="n">
        <v>185.97</v>
      </c>
      <c r="M32" s="35" t="n">
        <v>214.41</v>
      </c>
      <c r="N32" s="36">
        <f>SUM(B32:M32)</f>
        <v/>
      </c>
      <c r="O32" s="37">
        <f>SUMIF('YBHN WH TB'!$R:$R,'WH P&amp;L'!$A32,'YBHN WH TB'!C:C)</f>
        <v/>
      </c>
      <c r="P32" s="37">
        <f>SUMIF('YBHN WH TB'!$R:$R,'WH P&amp;L'!$A32,'YBHN WH TB'!D:D)</f>
        <v/>
      </c>
      <c r="Q32" s="37">
        <f>SUMIF('YBHN WH TB'!$R:$R,'WH P&amp;L'!$A32,'YBHN WH TB'!E:E)</f>
        <v/>
      </c>
      <c r="R32" s="37">
        <f>SUMIF('YBHN WH TB'!$R:$R,'WH P&amp;L'!$A32,'YBHN WH TB'!F:F)</f>
        <v/>
      </c>
      <c r="S32" s="37">
        <f>SUMIF('YBHN WH TB'!$R:$R,'WH P&amp;L'!$A32,'YBHN WH TB'!G:G)</f>
        <v/>
      </c>
      <c r="T32" s="37">
        <f>SUMIF('YBHN WH TB'!$R:$R,'WH P&amp;L'!$A32,'YBHN WH TB'!H:H)</f>
        <v/>
      </c>
      <c r="U32" s="37">
        <f>SUMIF('YBHN WH TB'!$R:$R,'WH P&amp;L'!$A32,'YBHN WH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18" t="n">
        <v>0</v>
      </c>
      <c r="AJ32" s="119" t="n">
        <v>0</v>
      </c>
      <c r="AK32" s="119" t="n">
        <v>0</v>
      </c>
      <c r="AL32" s="119" t="n">
        <v>0</v>
      </c>
      <c r="AM32" s="120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SUMIF('YBHN WH TB'!$R:$R,'WH P&amp;L'!$A33,'YBHN WH TB'!C:C)</f>
        <v/>
      </c>
      <c r="P33" s="37">
        <f>SUMIF('YBHN WH TB'!$R:$R,'WH P&amp;L'!$A33,'YBHN WH TB'!D:D)</f>
        <v/>
      </c>
      <c r="Q33" s="37">
        <f>SUMIF('YBHN WH TB'!$R:$R,'WH P&amp;L'!$A33,'YBHN WH TB'!E:E)</f>
        <v/>
      </c>
      <c r="R33" s="37">
        <f>SUMIF('YBHN WH TB'!$R:$R,'WH P&amp;L'!$A33,'YBHN WH TB'!F:F)</f>
        <v/>
      </c>
      <c r="S33" s="37">
        <f>SUMIF('YBHN WH TB'!$R:$R,'WH P&amp;L'!$A33,'YBHN WH TB'!G:G)</f>
        <v/>
      </c>
      <c r="T33" s="37">
        <f>SUMIF('YBHN WH TB'!$R:$R,'WH P&amp;L'!$A33,'YBHN WH TB'!H:H)</f>
        <v/>
      </c>
      <c r="U33" s="37">
        <f>SUMIF('YBHN WH TB'!$R:$R,'WH P&amp;L'!$A33,'YBHN WH TB'!I:I)</f>
        <v/>
      </c>
      <c r="V33" s="38" t="n">
        <v>0</v>
      </c>
      <c r="W33" s="38" t="n">
        <v>0</v>
      </c>
      <c r="X33" s="38" t="n">
        <v>0</v>
      </c>
      <c r="Y33" s="38" t="n">
        <v>0</v>
      </c>
      <c r="Z33" s="38" t="n">
        <v>0</v>
      </c>
      <c r="AA33" s="36">
        <f>SUM(O33:U33)</f>
        <v/>
      </c>
      <c r="AB33" s="36">
        <f>SUM(O33:Z33)</f>
        <v/>
      </c>
      <c r="AC33" s="38" t="n">
        <v>0</v>
      </c>
      <c r="AD33" s="38" t="n">
        <v>0</v>
      </c>
      <c r="AE33" s="38" t="n">
        <v>0</v>
      </c>
      <c r="AF33" s="38" t="n">
        <v>0</v>
      </c>
      <c r="AG33" s="38" t="n">
        <v>0</v>
      </c>
      <c r="AH33" s="38" t="n">
        <v>0</v>
      </c>
      <c r="AI33" s="118" t="n">
        <v>0</v>
      </c>
      <c r="AJ33" s="119" t="n">
        <v>0</v>
      </c>
      <c r="AK33" s="119" t="n">
        <v>0</v>
      </c>
      <c r="AL33" s="119" t="n">
        <v>0</v>
      </c>
      <c r="AM33" s="120" t="n">
        <v>0</v>
      </c>
      <c r="AN33" s="118" t="n">
        <v>0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1498.03</v>
      </c>
      <c r="C34" s="42" t="n">
        <v>4143.52</v>
      </c>
      <c r="D34" s="42" t="n">
        <v>1672.03</v>
      </c>
      <c r="E34" s="42" t="n">
        <v>863.9100000000001</v>
      </c>
      <c r="F34" s="42" t="n">
        <v>1359.99</v>
      </c>
      <c r="G34" s="42" t="n">
        <v>973.41</v>
      </c>
      <c r="H34" s="42" t="n">
        <v>1125.42</v>
      </c>
      <c r="I34" s="42" t="n">
        <v>1229.71</v>
      </c>
      <c r="J34" s="42" t="n">
        <v>1283.3</v>
      </c>
      <c r="K34" s="42" t="n">
        <v>952.25</v>
      </c>
      <c r="L34" s="42" t="n">
        <v>992.9399999999999</v>
      </c>
      <c r="M34" s="42" t="n">
        <v>914.14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3">
        <f>SUM(AI27:AI33)</f>
        <v/>
      </c>
      <c r="AJ34" s="124">
        <f>SUM(AJ27:AJ33)</f>
        <v/>
      </c>
      <c r="AK34" s="124">
        <f>SUM(AK27:AK33)</f>
        <v/>
      </c>
      <c r="AL34" s="124">
        <f>SUM(AL27:AL33)</f>
        <v/>
      </c>
      <c r="AM34" s="124">
        <f>SUM(AM27:AM33)</f>
        <v/>
      </c>
      <c r="AN34" s="123">
        <f>SUM(AN27:AN33)</f>
        <v/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7" t="n">
        <v>0</v>
      </c>
      <c r="AJ35" s="128" t="n">
        <v>0</v>
      </c>
      <c r="AK35" s="128" t="n">
        <v>0</v>
      </c>
      <c r="AL35" s="128" t="n">
        <v>0</v>
      </c>
      <c r="AM35" s="129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458.33</v>
      </c>
      <c r="C36" s="35" t="n">
        <v>458.33</v>
      </c>
      <c r="D36" s="35" t="n">
        <v>458.33</v>
      </c>
      <c r="E36" s="35" t="n">
        <v>458.33</v>
      </c>
      <c r="F36" s="35" t="n">
        <v>458.33</v>
      </c>
      <c r="G36" s="35" t="n">
        <v>458.33</v>
      </c>
      <c r="H36" s="35" t="n">
        <v>458.34</v>
      </c>
      <c r="I36" s="35" t="n">
        <v>458.33</v>
      </c>
      <c r="J36" s="35" t="n">
        <v>458.33</v>
      </c>
      <c r="K36" s="35" t="n">
        <v>458.33</v>
      </c>
      <c r="L36" s="35" t="n">
        <v>458.33</v>
      </c>
      <c r="M36" s="35" t="n">
        <v>458.34</v>
      </c>
      <c r="N36" s="36">
        <f>SUM(B36:M36)</f>
        <v/>
      </c>
      <c r="O36" s="37">
        <f>SUMIF('YBHN WH TB'!$R:$R,'WH P&amp;L'!$A36,'YBHN WH TB'!C:C)</f>
        <v/>
      </c>
      <c r="P36" s="37">
        <f>SUMIF('YBHN WH TB'!$R:$R,'WH P&amp;L'!$A36,'YBHN WH TB'!D:D)</f>
        <v/>
      </c>
      <c r="Q36" s="37">
        <f>SUMIF('YBHN WH TB'!$R:$R,'WH P&amp;L'!$A36,'YBHN WH TB'!E:E)</f>
        <v/>
      </c>
      <c r="R36" s="37">
        <f>SUMIF('YBHN WH TB'!$R:$R,'WH P&amp;L'!$A36,'YBHN WH TB'!F:F)</f>
        <v/>
      </c>
      <c r="S36" s="37">
        <f>SUMIF('YBHN WH TB'!$R:$R,'WH P&amp;L'!$A36,'YBHN WH TB'!G:G)</f>
        <v/>
      </c>
      <c r="T36" s="37">
        <f>SUMIF('YBHN WH TB'!$R:$R,'WH P&amp;L'!$A36,'YBHN WH TB'!H:H)</f>
        <v/>
      </c>
      <c r="U36" s="37">
        <f>SUMIF('YBHN WH TB'!$R:$R,'WH P&amp;L'!$A36,'YBHN WH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8" t="n">
        <v>0</v>
      </c>
      <c r="AJ36" s="119" t="n">
        <v>0</v>
      </c>
      <c r="AK36" s="119" t="n">
        <v>0</v>
      </c>
      <c r="AL36" s="119" t="n">
        <v>0</v>
      </c>
      <c r="AM36" s="120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1912.83</v>
      </c>
      <c r="C37" s="35" t="n">
        <v>1912.83</v>
      </c>
      <c r="D37" s="35" t="n">
        <v>1912.83</v>
      </c>
      <c r="E37" s="35" t="n">
        <v>1912.83</v>
      </c>
      <c r="F37" s="35" t="n">
        <v>1912.82</v>
      </c>
      <c r="G37" s="35" t="n">
        <v>1912.83</v>
      </c>
      <c r="H37" s="35" t="n">
        <v>1912.83</v>
      </c>
      <c r="I37" s="35" t="n">
        <v>1912.83</v>
      </c>
      <c r="J37" s="35" t="n">
        <v>1912.83</v>
      </c>
      <c r="K37" s="35" t="n">
        <v>1912.83</v>
      </c>
      <c r="L37" s="35" t="n">
        <v>1912.83</v>
      </c>
      <c r="M37" s="35" t="n">
        <v>1912.83</v>
      </c>
      <c r="N37" s="36">
        <f>SUM(B37:M37)</f>
        <v/>
      </c>
      <c r="O37" s="37">
        <f>SUMIF('YBHN WH TB'!$R:$R,'WH P&amp;L'!$A37,'YBHN WH TB'!C:C)</f>
        <v/>
      </c>
      <c r="P37" s="37">
        <f>SUMIF('YBHN WH TB'!$R:$R,'WH P&amp;L'!$A37,'YBHN WH TB'!D:D)</f>
        <v/>
      </c>
      <c r="Q37" s="37">
        <f>SUMIF('YBHN WH TB'!$R:$R,'WH P&amp;L'!$A37,'YBHN WH TB'!E:E)</f>
        <v/>
      </c>
      <c r="R37" s="37">
        <f>SUMIF('YBHN WH TB'!$R:$R,'WH P&amp;L'!$A37,'YBHN WH TB'!F:F)</f>
        <v/>
      </c>
      <c r="S37" s="37">
        <f>SUMIF('YBHN WH TB'!$R:$R,'WH P&amp;L'!$A37,'YBHN WH TB'!G:G)</f>
        <v/>
      </c>
      <c r="T37" s="37">
        <f>SUMIF('YBHN WH TB'!$R:$R,'WH P&amp;L'!$A37,'YBHN WH TB'!H:H)</f>
        <v/>
      </c>
      <c r="U37" s="37">
        <f>SUMIF('YBHN WH TB'!$R:$R,'WH P&amp;L'!$A37,'YBHN WH TB'!I:I)</f>
        <v/>
      </c>
      <c r="V37" s="38" t="n">
        <v>2199.758333333333</v>
      </c>
      <c r="W37" s="38" t="n">
        <v>2199.758333333333</v>
      </c>
      <c r="X37" s="38" t="n">
        <v>2199.758333333333</v>
      </c>
      <c r="Y37" s="38" t="n">
        <v>2199.758333333333</v>
      </c>
      <c r="Z37" s="38" t="n">
        <v>2199.758333333333</v>
      </c>
      <c r="AA37" s="36">
        <f>SUM(O37:U37)</f>
        <v/>
      </c>
      <c r="AB37" s="36">
        <f>SUM(O37:Z37)</f>
        <v/>
      </c>
      <c r="AC37" s="38" t="n">
        <v>2199.758333333333</v>
      </c>
      <c r="AD37" s="38" t="n">
        <v>2199.758333333333</v>
      </c>
      <c r="AE37" s="38" t="n">
        <v>2199.758333333333</v>
      </c>
      <c r="AF37" s="38" t="n">
        <v>2199.758333333333</v>
      </c>
      <c r="AG37" s="38" t="n">
        <v>2199.758333333333</v>
      </c>
      <c r="AH37" s="38" t="n">
        <v>2199.758333333333</v>
      </c>
      <c r="AI37" s="118" t="n">
        <v>2199.758333333333</v>
      </c>
      <c r="AJ37" s="119" t="n">
        <v>2199.758333333333</v>
      </c>
      <c r="AK37" s="119" t="n">
        <v>2199.758333333333</v>
      </c>
      <c r="AL37" s="119" t="n">
        <v>2199.758333333333</v>
      </c>
      <c r="AM37" s="120" t="n">
        <v>2199.758333333333</v>
      </c>
      <c r="AN37" s="118" t="n">
        <v>2199.758333333333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2331.47</v>
      </c>
      <c r="C38" s="35" t="n">
        <v>1807.76</v>
      </c>
      <c r="D38" s="35" t="n">
        <v>1837.04</v>
      </c>
      <c r="E38" s="35" t="n">
        <v>5561.08</v>
      </c>
      <c r="F38" s="35" t="n">
        <v>2515.04</v>
      </c>
      <c r="G38" s="35" t="n">
        <v>809.6</v>
      </c>
      <c r="H38" s="35" t="n">
        <v>-627.6799999999998</v>
      </c>
      <c r="I38" s="35" t="n">
        <v>1420.78</v>
      </c>
      <c r="J38" s="35" t="n">
        <v>-916.72</v>
      </c>
      <c r="K38" s="35" t="n">
        <v>793.16</v>
      </c>
      <c r="L38" s="35" t="n">
        <v>1189.91</v>
      </c>
      <c r="M38" s="35" t="n">
        <v>1813.66</v>
      </c>
      <c r="N38" s="36">
        <f>SUM(B38:M38)</f>
        <v/>
      </c>
      <c r="O38" s="37">
        <f>SUMIF('YBHN WH TB'!$R:$R,'WH P&amp;L'!$A38,'YBHN WH TB'!C:C)</f>
        <v/>
      </c>
      <c r="P38" s="37">
        <f>SUMIF('YBHN WH TB'!$R:$R,'WH P&amp;L'!$A38,'YBHN WH TB'!D:D)</f>
        <v/>
      </c>
      <c r="Q38" s="37">
        <f>SUMIF('YBHN WH TB'!$R:$R,'WH P&amp;L'!$A38,'YBHN WH TB'!E:E)</f>
        <v/>
      </c>
      <c r="R38" s="37">
        <f>SUMIF('YBHN WH TB'!$R:$R,'WH P&amp;L'!$A38,'YBHN WH TB'!F:F)</f>
        <v/>
      </c>
      <c r="S38" s="37">
        <f>SUMIF('YBHN WH TB'!$R:$R,'WH P&amp;L'!$A38,'YBHN WH TB'!G:G)</f>
        <v/>
      </c>
      <c r="T38" s="37">
        <f>SUMIF('YBHN WH TB'!$R:$R,'WH P&amp;L'!$A38,'YBHN WH TB'!H:H)</f>
        <v/>
      </c>
      <c r="U38" s="37">
        <f>SUMIF('YBHN WH TB'!$R:$R,'WH P&amp;L'!$A38,'YBHN WH TB'!I:I)</f>
        <v/>
      </c>
      <c r="V38" s="38" t="n">
        <v>1655</v>
      </c>
      <c r="W38" s="38" t="n">
        <v>1655</v>
      </c>
      <c r="X38" s="38" t="n">
        <v>1655</v>
      </c>
      <c r="Y38" s="38" t="n">
        <v>1655</v>
      </c>
      <c r="Z38" s="38" t="n">
        <v>1655</v>
      </c>
      <c r="AA38" s="36">
        <f>SUM(O38:U38)</f>
        <v/>
      </c>
      <c r="AB38" s="36">
        <f>SUM(O38:Z38)</f>
        <v/>
      </c>
      <c r="AC38" s="38" t="n">
        <v>1655</v>
      </c>
      <c r="AD38" s="38" t="n">
        <v>1655</v>
      </c>
      <c r="AE38" s="38" t="n">
        <v>1655</v>
      </c>
      <c r="AF38" s="38" t="n">
        <v>1655</v>
      </c>
      <c r="AG38" s="38" t="n">
        <v>1655</v>
      </c>
      <c r="AH38" s="38" t="n">
        <v>1655</v>
      </c>
      <c r="AI38" s="118" t="n">
        <v>1655</v>
      </c>
      <c r="AJ38" s="119" t="n">
        <v>1655</v>
      </c>
      <c r="AK38" s="119" t="n">
        <v>1655</v>
      </c>
      <c r="AL38" s="119" t="n">
        <v>1655</v>
      </c>
      <c r="AM38" s="120" t="n">
        <v>1655</v>
      </c>
      <c r="AN38" s="118" t="n">
        <v>1655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469.71</v>
      </c>
      <c r="C39" s="35" t="n">
        <v>670.26</v>
      </c>
      <c r="D39" s="35" t="n">
        <v>951.96</v>
      </c>
      <c r="E39" s="35" t="n">
        <v>162</v>
      </c>
      <c r="F39" s="35" t="n">
        <v>0</v>
      </c>
      <c r="G39" s="35" t="n">
        <v>0</v>
      </c>
      <c r="H39" s="35" t="n">
        <v>28.16</v>
      </c>
      <c r="I39" s="35" t="n">
        <v>0</v>
      </c>
      <c r="J39" s="35" t="n">
        <v>11.4</v>
      </c>
      <c r="K39" s="35" t="n">
        <v>0</v>
      </c>
      <c r="L39" s="35" t="n">
        <v>0</v>
      </c>
      <c r="M39" s="35" t="n">
        <v>125.66</v>
      </c>
      <c r="N39" s="36">
        <f>SUM(B39:M39)</f>
        <v/>
      </c>
      <c r="O39" s="37">
        <f>SUMIF('YBHN WH TB'!$R:$R,'WH P&amp;L'!$A39,'YBHN WH TB'!C:C)</f>
        <v/>
      </c>
      <c r="P39" s="37">
        <f>SUMIF('YBHN WH TB'!$R:$R,'WH P&amp;L'!$A39,'YBHN WH TB'!D:D)</f>
        <v/>
      </c>
      <c r="Q39" s="37">
        <f>SUMIF('YBHN WH TB'!$R:$R,'WH P&amp;L'!$A39,'YBHN WH TB'!E:E)</f>
        <v/>
      </c>
      <c r="R39" s="37">
        <f>SUMIF('YBHN WH TB'!$R:$R,'WH P&amp;L'!$A39,'YBHN WH TB'!F:F)</f>
        <v/>
      </c>
      <c r="S39" s="37">
        <f>SUMIF('YBHN WH TB'!$R:$R,'WH P&amp;L'!$A39,'YBHN WH TB'!G:G)</f>
        <v/>
      </c>
      <c r="T39" s="37">
        <f>SUMIF('YBHN WH TB'!$R:$R,'WH P&amp;L'!$A39,'YBHN WH TB'!H:H)</f>
        <v/>
      </c>
      <c r="U39" s="37">
        <f>SUMIF('YBHN WH TB'!$R:$R,'WH P&amp;L'!$A39,'YBHN WH TB'!I:I)</f>
        <v/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8" t="n">
        <v>0</v>
      </c>
      <c r="AJ39" s="119" t="n">
        <v>0</v>
      </c>
      <c r="AK39" s="119" t="n">
        <v>0</v>
      </c>
      <c r="AL39" s="119" t="n">
        <v>0</v>
      </c>
      <c r="AM39" s="120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224.18</v>
      </c>
      <c r="C40" s="35" t="n">
        <v>146.78</v>
      </c>
      <c r="D40" s="35" t="n">
        <v>513.5799999999999</v>
      </c>
      <c r="E40" s="35" t="n">
        <v>443.7099999999999</v>
      </c>
      <c r="F40" s="35" t="n">
        <v>466.8200000000001</v>
      </c>
      <c r="G40" s="35" t="n">
        <v>228.26</v>
      </c>
      <c r="H40" s="35" t="n">
        <v>233.02</v>
      </c>
      <c r="I40" s="35" t="n">
        <v>200.11</v>
      </c>
      <c r="J40" s="35" t="n">
        <v>110.69</v>
      </c>
      <c r="K40" s="35" t="n">
        <v>311.4399999999999</v>
      </c>
      <c r="L40" s="35" t="n">
        <v>302.55</v>
      </c>
      <c r="M40" s="35" t="n">
        <v>77.78</v>
      </c>
      <c r="N40" s="36">
        <f>SUM(B40:M40)</f>
        <v/>
      </c>
      <c r="O40" s="37">
        <f>SUMIF('YBHN WH TB'!$R:$R,'WH P&amp;L'!$A40,'YBHN WH TB'!C:C)</f>
        <v/>
      </c>
      <c r="P40" s="37">
        <f>SUMIF('YBHN WH TB'!$R:$R,'WH P&amp;L'!$A40,'YBHN WH TB'!D:D)</f>
        <v/>
      </c>
      <c r="Q40" s="37">
        <f>SUMIF('YBHN WH TB'!$R:$R,'WH P&amp;L'!$A40,'YBHN WH TB'!E:E)</f>
        <v/>
      </c>
      <c r="R40" s="37">
        <f>SUMIF('YBHN WH TB'!$R:$R,'WH P&amp;L'!$A40,'YBHN WH TB'!F:F)</f>
        <v/>
      </c>
      <c r="S40" s="37">
        <f>SUMIF('YBHN WH TB'!$R:$R,'WH P&amp;L'!$A40,'YBHN WH TB'!G:G)</f>
        <v/>
      </c>
      <c r="T40" s="37">
        <f>SUMIF('YBHN WH TB'!$R:$R,'WH P&amp;L'!$A40,'YBHN WH TB'!H:H)</f>
        <v/>
      </c>
      <c r="U40" s="37">
        <f>SUMIF('YBHN WH TB'!$R:$R,'WH P&amp;L'!$A40,'YBHN WH TB'!I:I)</f>
        <v/>
      </c>
      <c r="V40" s="38" t="n">
        <v>287</v>
      </c>
      <c r="W40" s="38" t="n">
        <v>287</v>
      </c>
      <c r="X40" s="38" t="n">
        <v>287</v>
      </c>
      <c r="Y40" s="38" t="n">
        <v>287</v>
      </c>
      <c r="Z40" s="38" t="n">
        <v>287</v>
      </c>
      <c r="AA40" s="36">
        <f>SUM(O40:U40)</f>
        <v/>
      </c>
      <c r="AB40" s="36">
        <f>SUM(O40:Z40)</f>
        <v/>
      </c>
      <c r="AC40" s="38" t="n">
        <v>287</v>
      </c>
      <c r="AD40" s="38" t="n">
        <v>287</v>
      </c>
      <c r="AE40" s="38" t="n">
        <v>287</v>
      </c>
      <c r="AF40" s="38" t="n">
        <v>287</v>
      </c>
      <c r="AG40" s="38" t="n">
        <v>287</v>
      </c>
      <c r="AH40" s="38" t="n">
        <v>287</v>
      </c>
      <c r="AI40" s="118" t="n">
        <v>287</v>
      </c>
      <c r="AJ40" s="119" t="n">
        <v>287</v>
      </c>
      <c r="AK40" s="119" t="n">
        <v>287</v>
      </c>
      <c r="AL40" s="119" t="n">
        <v>287</v>
      </c>
      <c r="AM40" s="120" t="n">
        <v>287</v>
      </c>
      <c r="AN40" s="118" t="n">
        <v>287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305.84</v>
      </c>
      <c r="C41" s="35" t="n">
        <v>267.48</v>
      </c>
      <c r="D41" s="35" t="n">
        <v>329.28</v>
      </c>
      <c r="E41" s="35" t="n">
        <v>272.3</v>
      </c>
      <c r="F41" s="35" t="n">
        <v>269.13</v>
      </c>
      <c r="G41" s="35" t="n">
        <v>322.55</v>
      </c>
      <c r="H41" s="35" t="n">
        <v>346.55</v>
      </c>
      <c r="I41" s="35" t="n">
        <v>440.11</v>
      </c>
      <c r="J41" s="35" t="n">
        <v>295.53</v>
      </c>
      <c r="K41" s="35" t="n">
        <v>269.13</v>
      </c>
      <c r="L41" s="35" t="n">
        <v>301.56</v>
      </c>
      <c r="M41" s="35" t="n">
        <v>342</v>
      </c>
      <c r="N41" s="36">
        <f>SUM(B41:M41)</f>
        <v/>
      </c>
      <c r="O41" s="37">
        <f>SUMIF('YBHN WH TB'!$R:$R,'WH P&amp;L'!$A41,'YBHN WH TB'!C:C)</f>
        <v/>
      </c>
      <c r="P41" s="37">
        <f>SUMIF('YBHN WH TB'!$R:$R,'WH P&amp;L'!$A41,'YBHN WH TB'!D:D)</f>
        <v/>
      </c>
      <c r="Q41" s="37">
        <f>SUMIF('YBHN WH TB'!$R:$R,'WH P&amp;L'!$A41,'YBHN WH TB'!E:E)</f>
        <v/>
      </c>
      <c r="R41" s="37">
        <f>SUMIF('YBHN WH TB'!$R:$R,'WH P&amp;L'!$A41,'YBHN WH TB'!F:F)</f>
        <v/>
      </c>
      <c r="S41" s="37">
        <f>SUMIF('YBHN WH TB'!$R:$R,'WH P&amp;L'!$A41,'YBHN WH TB'!G:G)</f>
        <v/>
      </c>
      <c r="T41" s="37">
        <f>SUMIF('YBHN WH TB'!$R:$R,'WH P&amp;L'!$A41,'YBHN WH TB'!H:H)</f>
        <v/>
      </c>
      <c r="U41" s="37">
        <f>SUMIF('YBHN WH TB'!$R:$R,'WH P&amp;L'!$A41,'YBHN WH TB'!I:I)</f>
        <v/>
      </c>
      <c r="V41" s="38" t="n">
        <v>313</v>
      </c>
      <c r="W41" s="38" t="n">
        <v>313</v>
      </c>
      <c r="X41" s="38" t="n">
        <v>313</v>
      </c>
      <c r="Y41" s="38" t="n">
        <v>313</v>
      </c>
      <c r="Z41" s="38" t="n">
        <v>313</v>
      </c>
      <c r="AA41" s="36">
        <f>SUM(O41:U41)</f>
        <v/>
      </c>
      <c r="AB41" s="36">
        <f>SUM(O41:Z41)</f>
        <v/>
      </c>
      <c r="AC41" s="38" t="n">
        <v>313</v>
      </c>
      <c r="AD41" s="38" t="n">
        <v>313</v>
      </c>
      <c r="AE41" s="38" t="n">
        <v>313</v>
      </c>
      <c r="AF41" s="38" t="n">
        <v>313</v>
      </c>
      <c r="AG41" s="38" t="n">
        <v>313</v>
      </c>
      <c r="AH41" s="38" t="n">
        <v>313</v>
      </c>
      <c r="AI41" s="118" t="n">
        <v>313</v>
      </c>
      <c r="AJ41" s="119" t="n">
        <v>313</v>
      </c>
      <c r="AK41" s="119" t="n">
        <v>313</v>
      </c>
      <c r="AL41" s="119" t="n">
        <v>313</v>
      </c>
      <c r="AM41" s="120" t="n">
        <v>313</v>
      </c>
      <c r="AN41" s="118" t="n">
        <v>313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52.2</v>
      </c>
      <c r="C42" s="35" t="n">
        <v>53.91</v>
      </c>
      <c r="D42" s="35" t="n">
        <v>34.9</v>
      </c>
      <c r="E42" s="35" t="n">
        <v>57.92</v>
      </c>
      <c r="F42" s="35" t="n">
        <v>15.71</v>
      </c>
      <c r="G42" s="35" t="n">
        <v>40.2</v>
      </c>
      <c r="H42" s="35" t="n">
        <v>21.38</v>
      </c>
      <c r="I42" s="35" t="n">
        <v>95.39999999999999</v>
      </c>
      <c r="J42" s="35" t="n">
        <v>21.18</v>
      </c>
      <c r="K42" s="35" t="n">
        <v>65.27</v>
      </c>
      <c r="L42" s="35" t="n">
        <v>30.78</v>
      </c>
      <c r="M42" s="35" t="n">
        <v>23.14</v>
      </c>
      <c r="N42" s="36">
        <f>SUM(B42:M42)</f>
        <v/>
      </c>
      <c r="O42" s="37">
        <f>SUMIF('YBHN WH TB'!$R:$R,'WH P&amp;L'!$A42,'YBHN WH TB'!C:C)</f>
        <v/>
      </c>
      <c r="P42" s="37">
        <f>SUMIF('YBHN WH TB'!$R:$R,'WH P&amp;L'!$A42,'YBHN WH TB'!D:D)</f>
        <v/>
      </c>
      <c r="Q42" s="37">
        <f>SUMIF('YBHN WH TB'!$R:$R,'WH P&amp;L'!$A42,'YBHN WH TB'!E:E)</f>
        <v/>
      </c>
      <c r="R42" s="37">
        <f>SUMIF('YBHN WH TB'!$R:$R,'WH P&amp;L'!$A42,'YBHN WH TB'!F:F)</f>
        <v/>
      </c>
      <c r="S42" s="37">
        <f>SUMIF('YBHN WH TB'!$R:$R,'WH P&amp;L'!$A42,'YBHN WH TB'!G:G)</f>
        <v/>
      </c>
      <c r="T42" s="37">
        <f>SUMIF('YBHN WH TB'!$R:$R,'WH P&amp;L'!$A42,'YBHN WH TB'!H:H)</f>
        <v/>
      </c>
      <c r="U42" s="37">
        <f>SUMIF('YBHN WH TB'!$R:$R,'WH P&amp;L'!$A42,'YBHN WH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8" t="n">
        <v>0</v>
      </c>
      <c r="AJ42" s="119" t="n">
        <v>0</v>
      </c>
      <c r="AK42" s="119" t="n">
        <v>0</v>
      </c>
      <c r="AL42" s="119" t="n">
        <v>0</v>
      </c>
      <c r="AM42" s="120" t="n">
        <v>0</v>
      </c>
      <c r="AN42" s="118" t="n">
        <v>0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SUMIF('YBHN WH TB'!$R:$R,'WH P&amp;L'!$A43,'YBHN WH TB'!C:C)</f>
        <v/>
      </c>
      <c r="P43" s="37">
        <f>SUMIF('YBHN WH TB'!$R:$R,'WH P&amp;L'!$A43,'YBHN WH TB'!D:D)</f>
        <v/>
      </c>
      <c r="Q43" s="37">
        <f>SUMIF('YBHN WH TB'!$R:$R,'WH P&amp;L'!$A43,'YBHN WH TB'!E:E)</f>
        <v/>
      </c>
      <c r="R43" s="37">
        <f>SUMIF('YBHN WH TB'!$R:$R,'WH P&amp;L'!$A43,'YBHN WH TB'!F:F)</f>
        <v/>
      </c>
      <c r="S43" s="37">
        <f>SUMIF('YBHN WH TB'!$R:$R,'WH P&amp;L'!$A43,'YBHN WH TB'!G:G)</f>
        <v/>
      </c>
      <c r="T43" s="37">
        <f>SUMIF('YBHN WH TB'!$R:$R,'WH P&amp;L'!$A43,'YBHN WH TB'!H:H)</f>
        <v/>
      </c>
      <c r="U43" s="37">
        <f>SUMIF('YBHN WH TB'!$R:$R,'WH P&amp;L'!$A43,'YBHN WH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8" t="n">
        <v>0</v>
      </c>
      <c r="AJ43" s="119" t="n">
        <v>0</v>
      </c>
      <c r="AK43" s="119" t="n">
        <v>0</v>
      </c>
      <c r="AL43" s="119" t="n">
        <v>0</v>
      </c>
      <c r="AM43" s="120" t="n">
        <v>0</v>
      </c>
      <c r="AN43" s="118" t="n">
        <v>0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SUMIF('YBHN WH TB'!$R:$R,'WH P&amp;L'!$A44,'YBHN WH TB'!C:C)</f>
        <v/>
      </c>
      <c r="P44" s="37">
        <f>SUMIF('YBHN WH TB'!$R:$R,'WH P&amp;L'!$A44,'YBHN WH TB'!D:D)</f>
        <v/>
      </c>
      <c r="Q44" s="37">
        <f>SUMIF('YBHN WH TB'!$R:$R,'WH P&amp;L'!$A44,'YBHN WH TB'!E:E)</f>
        <v/>
      </c>
      <c r="R44" s="37">
        <f>SUMIF('YBHN WH TB'!$R:$R,'WH P&amp;L'!$A44,'YBHN WH TB'!F:F)</f>
        <v/>
      </c>
      <c r="S44" s="37">
        <f>SUMIF('YBHN WH TB'!$R:$R,'WH P&amp;L'!$A44,'YBHN WH TB'!G:G)</f>
        <v/>
      </c>
      <c r="T44" s="37">
        <f>SUMIF('YBHN WH TB'!$R:$R,'WH P&amp;L'!$A44,'YBHN WH TB'!H:H)</f>
        <v/>
      </c>
      <c r="U44" s="37">
        <f>SUMIF('YBHN WH TB'!$R:$R,'WH P&amp;L'!$A44,'YBHN WH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8" t="n">
        <v>0</v>
      </c>
      <c r="AJ44" s="119" t="n">
        <v>0</v>
      </c>
      <c r="AK44" s="119" t="n">
        <v>0</v>
      </c>
      <c r="AL44" s="119" t="n">
        <v>0</v>
      </c>
      <c r="AM44" s="120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SUMIF('YBHN WH TB'!$R:$R,'WH P&amp;L'!$A45,'YBHN WH TB'!C:C)</f>
        <v/>
      </c>
      <c r="P45" s="37">
        <f>SUMIF('YBHN WH TB'!$R:$R,'WH P&amp;L'!$A45,'YBHN WH TB'!D:D)</f>
        <v/>
      </c>
      <c r="Q45" s="37">
        <f>SUMIF('YBHN WH TB'!$R:$R,'WH P&amp;L'!$A45,'YBHN WH TB'!E:E)</f>
        <v/>
      </c>
      <c r="R45" s="37">
        <f>SUMIF('YBHN WH TB'!$R:$R,'WH P&amp;L'!$A45,'YBHN WH TB'!F:F)</f>
        <v/>
      </c>
      <c r="S45" s="37">
        <f>SUMIF('YBHN WH TB'!$R:$R,'WH P&amp;L'!$A45,'YBHN WH TB'!G:G)</f>
        <v/>
      </c>
      <c r="T45" s="37">
        <f>SUMIF('YBHN WH TB'!$R:$R,'WH P&amp;L'!$A45,'YBHN WH TB'!H:H)</f>
        <v/>
      </c>
      <c r="U45" s="37">
        <f>SUMIF('YBHN WH TB'!$R:$R,'WH P&amp;L'!$A45,'YBHN WH TB'!I:I)</f>
        <v/>
      </c>
      <c r="V45" s="38" t="n">
        <v>100</v>
      </c>
      <c r="W45" s="38" t="n">
        <v>100</v>
      </c>
      <c r="X45" s="38" t="n">
        <v>100</v>
      </c>
      <c r="Y45" s="38" t="n">
        <v>100</v>
      </c>
      <c r="Z45" s="38" t="n">
        <v>100</v>
      </c>
      <c r="AA45" s="36">
        <f>SUM(O45:U45)</f>
        <v/>
      </c>
      <c r="AB45" s="36">
        <f>SUM(O45:Z45)</f>
        <v/>
      </c>
      <c r="AC45" s="38" t="n">
        <v>100</v>
      </c>
      <c r="AD45" s="38" t="n">
        <v>100</v>
      </c>
      <c r="AE45" s="38" t="n">
        <v>100</v>
      </c>
      <c r="AF45" s="38" t="n">
        <v>100</v>
      </c>
      <c r="AG45" s="38" t="n">
        <v>100</v>
      </c>
      <c r="AH45" s="38" t="n">
        <v>100</v>
      </c>
      <c r="AI45" s="118" t="n">
        <v>100</v>
      </c>
      <c r="AJ45" s="119" t="n">
        <v>100</v>
      </c>
      <c r="AK45" s="119" t="n">
        <v>100</v>
      </c>
      <c r="AL45" s="119" t="n">
        <v>100</v>
      </c>
      <c r="AM45" s="120" t="n">
        <v>100</v>
      </c>
      <c r="AN45" s="118" t="n">
        <v>100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SUMIF('YBHN WH TB'!$R:$R,'WH P&amp;L'!$A46,'YBHN WH TB'!C:C)</f>
        <v/>
      </c>
      <c r="P46" s="37">
        <f>SUMIF('YBHN WH TB'!$R:$R,'WH P&amp;L'!$A46,'YBHN WH TB'!D:D)</f>
        <v/>
      </c>
      <c r="Q46" s="37">
        <f>SUMIF('YBHN WH TB'!$R:$R,'WH P&amp;L'!$A46,'YBHN WH TB'!E:E)</f>
        <v/>
      </c>
      <c r="R46" s="37">
        <f>SUMIF('YBHN WH TB'!$R:$R,'WH P&amp;L'!$A46,'YBHN WH TB'!F:F)</f>
        <v/>
      </c>
      <c r="S46" s="37">
        <f>SUMIF('YBHN WH TB'!$R:$R,'WH P&amp;L'!$A46,'YBHN WH TB'!G:G)</f>
        <v/>
      </c>
      <c r="T46" s="37">
        <f>SUMIF('YBHN WH TB'!$R:$R,'WH P&amp;L'!$A46,'YBHN WH TB'!H:H)</f>
        <v/>
      </c>
      <c r="U46" s="37">
        <f>SUMIF('YBHN WH TB'!$R:$R,'WH P&amp;L'!$A46,'YBHN WH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8" t="n">
        <v>0</v>
      </c>
      <c r="AJ46" s="119" t="n">
        <v>0</v>
      </c>
      <c r="AK46" s="119" t="n">
        <v>0</v>
      </c>
      <c r="AL46" s="119" t="n">
        <v>0</v>
      </c>
      <c r="AM46" s="120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5754.559999999999</v>
      </c>
      <c r="C47" s="42" t="n">
        <v>5317.35</v>
      </c>
      <c r="D47" s="42" t="n">
        <v>6037.919999999999</v>
      </c>
      <c r="E47" s="42" t="n">
        <v>8868.169999999998</v>
      </c>
      <c r="F47" s="42" t="n">
        <v>5637.85</v>
      </c>
      <c r="G47" s="42" t="n">
        <v>3771.77</v>
      </c>
      <c r="H47" s="42" t="n">
        <v>2372.6</v>
      </c>
      <c r="I47" s="42" t="n">
        <v>4527.559999999999</v>
      </c>
      <c r="J47" s="42" t="n">
        <v>1893.24</v>
      </c>
      <c r="K47" s="42" t="n">
        <v>3810.16</v>
      </c>
      <c r="L47" s="42" t="n">
        <v>4195.96</v>
      </c>
      <c r="M47" s="42" t="n">
        <v>4753.41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3">
        <f>SUM(AI36:AI46)</f>
        <v/>
      </c>
      <c r="AJ47" s="124">
        <f>SUM(AJ36:AJ46)</f>
        <v/>
      </c>
      <c r="AK47" s="124">
        <f>SUM(AK36:AK46)</f>
        <v/>
      </c>
      <c r="AL47" s="124">
        <f>SUM(AL36:AL46)</f>
        <v/>
      </c>
      <c r="AM47" s="137">
        <f>SUM(AM36:AM46)</f>
        <v/>
      </c>
      <c r="AN47" s="123">
        <f>SUM(AN36:AN46)</f>
        <v/>
      </c>
      <c r="AO47" s="125">
        <f>SUM(AC47:AH47)+SUM(AI47:AN47)</f>
        <v/>
      </c>
      <c r="AP47" s="126">
        <f>IF(AB47&lt;&gt;0,(AO47-AB47)/ABS(AB47),0)</f>
        <v/>
      </c>
    </row>
    <row r="48">
      <c r="A48" s="22" t="inlineStr">
        <is>
          <t>Total Direct Costs</t>
        </is>
      </c>
      <c r="B48" s="23" t="n">
        <v>30355.11</v>
      </c>
      <c r="C48" s="23" t="n">
        <v>31310.8</v>
      </c>
      <c r="D48" s="23" t="n">
        <v>30075.49</v>
      </c>
      <c r="E48" s="23" t="n">
        <v>31519.73</v>
      </c>
      <c r="F48" s="23" t="n">
        <v>31813.56</v>
      </c>
      <c r="G48" s="23" t="n">
        <v>29717.24</v>
      </c>
      <c r="H48" s="23" t="n">
        <v>31175.01</v>
      </c>
      <c r="I48" s="23" t="n">
        <v>33311.49</v>
      </c>
      <c r="J48" s="23" t="n">
        <v>29990.96</v>
      </c>
      <c r="K48" s="23" t="n">
        <v>31109.65</v>
      </c>
      <c r="L48" s="23" t="n">
        <v>31957.55</v>
      </c>
      <c r="M48" s="23" t="n">
        <v>31917.1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3">
        <f>AI25+AI34+AI47</f>
        <v/>
      </c>
      <c r="AJ48" s="147">
        <f>AJ25+AJ34+AJ47</f>
        <v/>
      </c>
      <c r="AK48" s="147">
        <f>AK25+AK34+AK47</f>
        <v/>
      </c>
      <c r="AL48" s="147">
        <f>AL25+AL34+AL47</f>
        <v/>
      </c>
      <c r="AM48" s="147">
        <f>AM25+AM34+AM47</f>
        <v/>
      </c>
      <c r="AN48" s="123">
        <f>AN25+AN34+AN47</f>
        <v/>
      </c>
      <c r="AO48" s="121">
        <f>SUM(AC48:AH48)+SUM(AI48:AN48)</f>
        <v/>
      </c>
      <c r="AP48" s="122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30133.06</v>
      </c>
      <c r="C50" s="55" t="n">
        <v>21758.91000000001</v>
      </c>
      <c r="D50" s="55" t="n">
        <v>28278.94</v>
      </c>
      <c r="E50" s="55" t="n">
        <v>27499.99</v>
      </c>
      <c r="F50" s="55" t="n">
        <v>20703.03</v>
      </c>
      <c r="G50" s="55" t="n">
        <v>15207.32999999999</v>
      </c>
      <c r="H50" s="55" t="n">
        <v>30154.07</v>
      </c>
      <c r="I50" s="55" t="n">
        <v>3448.239999999998</v>
      </c>
      <c r="J50" s="55" t="n">
        <v>6195.919999999995</v>
      </c>
      <c r="K50" s="55" t="n">
        <v>6296.490000000002</v>
      </c>
      <c r="L50" s="55" t="n">
        <v>3415.890000000003</v>
      </c>
      <c r="M50" s="55" t="n">
        <v>10865.79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0">
        <f>AI11-AI48</f>
        <v/>
      </c>
      <c r="AJ50" s="140">
        <f>AJ11-AJ48</f>
        <v/>
      </c>
      <c r="AK50" s="140">
        <f>AK11-AK48</f>
        <v/>
      </c>
      <c r="AL50" s="140">
        <f>AL11-AL48</f>
        <v/>
      </c>
      <c r="AM50" s="140">
        <f>AM11-AM48</f>
        <v/>
      </c>
      <c r="AN50" s="140">
        <f>AN11-AN48</f>
        <v/>
      </c>
      <c r="AO50" s="141">
        <f>SUM(AC50:AH50)+SUM(AI50:AN50)</f>
        <v/>
      </c>
      <c r="AP50" s="14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SUMIF('YBHN WH TB'!$R:$R,'WH P&amp;L'!$A53,'YBHN WH TB'!C:C)</f>
        <v/>
      </c>
      <c r="P53" s="37">
        <f>SUMIF('YBHN WH TB'!$R:$R,'WH P&amp;L'!$A53,'YBHN WH TB'!D:D)</f>
        <v/>
      </c>
      <c r="Q53" s="37">
        <f>SUMIF('YBHN WH TB'!$R:$R,'WH P&amp;L'!$A53,'YBHN WH TB'!E:E)</f>
        <v/>
      </c>
      <c r="R53" s="37">
        <f>SUMIF('YBHN WH TB'!$R:$R,'WH P&amp;L'!$A53,'YBHN WH TB'!F:F)</f>
        <v/>
      </c>
      <c r="S53" s="37">
        <f>SUMIF('YBHN WH TB'!$R:$R,'WH P&amp;L'!$A53,'YBHN WH TB'!G:G)</f>
        <v/>
      </c>
      <c r="T53" s="37">
        <f>SUMIF('YBHN WH TB'!$R:$R,'WH P&amp;L'!$A53,'YBHN WH TB'!H:H)</f>
        <v/>
      </c>
      <c r="U53" s="37">
        <f>SUMIF('YBHN WH TB'!$R:$R,'WH P&amp;L'!$A53,'YBHN WH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8" t="n">
        <v>0</v>
      </c>
      <c r="AJ53" s="119" t="n">
        <v>0</v>
      </c>
      <c r="AK53" s="119" t="n">
        <v>0</v>
      </c>
      <c r="AL53" s="119" t="n">
        <v>0</v>
      </c>
      <c r="AM53" s="120" t="n">
        <v>0</v>
      </c>
      <c r="AN53" s="118" t="n">
        <v>0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SUMIF('YBHN WH TB'!$R:$R,'WH P&amp;L'!$A54,'YBHN WH TB'!C:C)</f>
        <v/>
      </c>
      <c r="P54" s="37">
        <f>SUMIF('YBHN WH TB'!$R:$R,'WH P&amp;L'!$A54,'YBHN WH TB'!D:D)</f>
        <v/>
      </c>
      <c r="Q54" s="37">
        <f>SUMIF('YBHN WH TB'!$R:$R,'WH P&amp;L'!$A54,'YBHN WH TB'!E:E)</f>
        <v/>
      </c>
      <c r="R54" s="37">
        <f>SUMIF('YBHN WH TB'!$R:$R,'WH P&amp;L'!$A54,'YBHN WH TB'!F:F)</f>
        <v/>
      </c>
      <c r="S54" s="37">
        <f>SUMIF('YBHN WH TB'!$R:$R,'WH P&amp;L'!$A54,'YBHN WH TB'!G:G)</f>
        <v/>
      </c>
      <c r="T54" s="37">
        <f>SUMIF('YBHN WH TB'!$R:$R,'WH P&amp;L'!$A54,'YBHN WH TB'!H:H)</f>
        <v/>
      </c>
      <c r="U54" s="37">
        <f>SUMIF('YBHN WH TB'!$R:$R,'WH P&amp;L'!$A54,'YBHN WH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8" t="n">
        <v>0</v>
      </c>
      <c r="AJ54" s="119" t="n">
        <v>0</v>
      </c>
      <c r="AK54" s="119" t="n">
        <v>0</v>
      </c>
      <c r="AL54" s="119" t="n">
        <v>0</v>
      </c>
      <c r="AM54" s="120" t="n">
        <v>0</v>
      </c>
      <c r="AN54" s="118" t="n">
        <v>0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SUMIF('YBHN WH TB'!$R:$R,'WH P&amp;L'!$A55,'YBHN WH TB'!C:C)</f>
        <v/>
      </c>
      <c r="P55" s="37">
        <f>SUMIF('YBHN WH TB'!$R:$R,'WH P&amp;L'!$A55,'YBHN WH TB'!D:D)</f>
        <v/>
      </c>
      <c r="Q55" s="37">
        <f>SUMIF('YBHN WH TB'!$R:$R,'WH P&amp;L'!$A55,'YBHN WH TB'!E:E)</f>
        <v/>
      </c>
      <c r="R55" s="37">
        <f>SUMIF('YBHN WH TB'!$R:$R,'WH P&amp;L'!$A55,'YBHN WH TB'!F:F)</f>
        <v/>
      </c>
      <c r="S55" s="37">
        <f>SUMIF('YBHN WH TB'!$R:$R,'WH P&amp;L'!$A55,'YBHN WH TB'!G:G)</f>
        <v/>
      </c>
      <c r="T55" s="37">
        <f>SUMIF('YBHN WH TB'!$R:$R,'WH P&amp;L'!$A55,'YBHN WH TB'!H:H)</f>
        <v/>
      </c>
      <c r="U55" s="37">
        <f>SUMIF('YBHN WH TB'!$R:$R,'WH P&amp;L'!$A55,'YBHN WH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8" t="n">
        <v>0</v>
      </c>
      <c r="AJ55" s="119" t="n">
        <v>0</v>
      </c>
      <c r="AK55" s="119" t="n">
        <v>0</v>
      </c>
      <c r="AL55" s="119" t="n">
        <v>0</v>
      </c>
      <c r="AM55" s="120" t="n">
        <v>0</v>
      </c>
      <c r="AN55" s="118" t="n">
        <v>0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SUMIF('YBHN WH TB'!$R:$R,'WH P&amp;L'!$A56,'YBHN WH TB'!C:C)</f>
        <v/>
      </c>
      <c r="P56" s="37">
        <f>SUMIF('YBHN WH TB'!$R:$R,'WH P&amp;L'!$A56,'YBHN WH TB'!D:D)</f>
        <v/>
      </c>
      <c r="Q56" s="37">
        <f>SUMIF('YBHN WH TB'!$R:$R,'WH P&amp;L'!$A56,'YBHN WH TB'!E:E)</f>
        <v/>
      </c>
      <c r="R56" s="37">
        <f>SUMIF('YBHN WH TB'!$R:$R,'WH P&amp;L'!$A56,'YBHN WH TB'!F:F)</f>
        <v/>
      </c>
      <c r="S56" s="37">
        <f>SUMIF('YBHN WH TB'!$R:$R,'WH P&amp;L'!$A56,'YBHN WH TB'!G:G)</f>
        <v/>
      </c>
      <c r="T56" s="37">
        <f>SUMIF('YBHN WH TB'!$R:$R,'WH P&amp;L'!$A56,'YBHN WH TB'!H:H)</f>
        <v/>
      </c>
      <c r="U56" s="37">
        <f>SUMIF('YBHN WH TB'!$R:$R,'WH P&amp;L'!$A56,'YBHN WH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8" t="n">
        <v>0</v>
      </c>
      <c r="AJ56" s="119" t="n">
        <v>0</v>
      </c>
      <c r="AK56" s="119" t="n">
        <v>0</v>
      </c>
      <c r="AL56" s="119" t="n">
        <v>0</v>
      </c>
      <c r="AM56" s="120" t="n">
        <v>0</v>
      </c>
      <c r="AN56" s="118" t="n">
        <v>0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200</v>
      </c>
      <c r="M57" s="35" t="n">
        <v>0</v>
      </c>
      <c r="N57" s="36">
        <f>SUM(B57:M57)</f>
        <v/>
      </c>
      <c r="O57" s="37">
        <f>SUMIF('YBHN WH TB'!$R:$R,'WH P&amp;L'!$A57,'YBHN WH TB'!C:C)</f>
        <v/>
      </c>
      <c r="P57" s="37">
        <f>SUMIF('YBHN WH TB'!$R:$R,'WH P&amp;L'!$A57,'YBHN WH TB'!D:D)</f>
        <v/>
      </c>
      <c r="Q57" s="37">
        <f>SUMIF('YBHN WH TB'!$R:$R,'WH P&amp;L'!$A57,'YBHN WH TB'!E:E)</f>
        <v/>
      </c>
      <c r="R57" s="37">
        <f>SUMIF('YBHN WH TB'!$R:$R,'WH P&amp;L'!$A57,'YBHN WH TB'!F:F)</f>
        <v/>
      </c>
      <c r="S57" s="37">
        <f>SUMIF('YBHN WH TB'!$R:$R,'WH P&amp;L'!$A57,'YBHN WH TB'!G:G)</f>
        <v/>
      </c>
      <c r="T57" s="37">
        <f>SUMIF('YBHN WH TB'!$R:$R,'WH P&amp;L'!$A57,'YBHN WH TB'!H:H)</f>
        <v/>
      </c>
      <c r="U57" s="37">
        <f>SUMIF('YBHN WH TB'!$R:$R,'WH P&amp;L'!$A57,'YBHN WH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18" t="n">
        <v>0</v>
      </c>
      <c r="AJ57" s="119" t="n">
        <v>0</v>
      </c>
      <c r="AK57" s="119" t="n">
        <v>0</v>
      </c>
      <c r="AL57" s="119" t="n">
        <v>0</v>
      </c>
      <c r="AM57" s="120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SUMIF('YBHN WH TB'!$R:$R,'WH P&amp;L'!$A58,'YBHN WH TB'!C:C)</f>
        <v/>
      </c>
      <c r="P58" s="37">
        <f>SUMIF('YBHN WH TB'!$R:$R,'WH P&amp;L'!$A58,'YBHN WH TB'!D:D)</f>
        <v/>
      </c>
      <c r="Q58" s="37">
        <f>SUMIF('YBHN WH TB'!$R:$R,'WH P&amp;L'!$A58,'YBHN WH TB'!E:E)</f>
        <v/>
      </c>
      <c r="R58" s="37">
        <f>SUMIF('YBHN WH TB'!$R:$R,'WH P&amp;L'!$A58,'YBHN WH TB'!F:F)</f>
        <v/>
      </c>
      <c r="S58" s="37">
        <f>SUMIF('YBHN WH TB'!$R:$R,'WH P&amp;L'!$A58,'YBHN WH TB'!G:G)</f>
        <v/>
      </c>
      <c r="T58" s="37">
        <f>SUMIF('YBHN WH TB'!$R:$R,'WH P&amp;L'!$A58,'YBHN WH TB'!H:H)</f>
        <v/>
      </c>
      <c r="U58" s="37">
        <f>SUMIF('YBHN WH TB'!$R:$R,'WH P&amp;L'!$A58,'YBHN WH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8" t="n">
        <v>0</v>
      </c>
      <c r="AJ58" s="119" t="n">
        <v>0</v>
      </c>
      <c r="AK58" s="119" t="n">
        <v>0</v>
      </c>
      <c r="AL58" s="119" t="n">
        <v>0</v>
      </c>
      <c r="AM58" s="120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201.37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SUMIF('YBHN WH TB'!$R:$R,'WH P&amp;L'!$A59,'YBHN WH TB'!C:C)</f>
        <v/>
      </c>
      <c r="P59" s="37">
        <f>SUMIF('YBHN WH TB'!$R:$R,'WH P&amp;L'!$A59,'YBHN WH TB'!D:D)</f>
        <v/>
      </c>
      <c r="Q59" s="37">
        <f>SUMIF('YBHN WH TB'!$R:$R,'WH P&amp;L'!$A59,'YBHN WH TB'!E:E)</f>
        <v/>
      </c>
      <c r="R59" s="37">
        <f>SUMIF('YBHN WH TB'!$R:$R,'WH P&amp;L'!$A59,'YBHN WH TB'!F:F)</f>
        <v/>
      </c>
      <c r="S59" s="37">
        <f>SUMIF('YBHN WH TB'!$R:$R,'WH P&amp;L'!$A59,'YBHN WH TB'!G:G)</f>
        <v/>
      </c>
      <c r="T59" s="37">
        <f>SUMIF('YBHN WH TB'!$R:$R,'WH P&amp;L'!$A59,'YBHN WH TB'!H:H)</f>
        <v/>
      </c>
      <c r="U59" s="37">
        <f>SUMIF('YBHN WH TB'!$R:$R,'WH P&amp;L'!$A59,'YBHN WH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18" t="n">
        <v>0</v>
      </c>
      <c r="AJ59" s="119" t="n">
        <v>0</v>
      </c>
      <c r="AK59" s="119" t="n">
        <v>0</v>
      </c>
      <c r="AL59" s="119" t="n">
        <v>0</v>
      </c>
      <c r="AM59" s="120" t="n">
        <v>0</v>
      </c>
      <c r="AN59" s="118" t="n">
        <v>0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1.2</v>
      </c>
      <c r="C60" s="35" t="n">
        <v>3</v>
      </c>
      <c r="D60" s="35" t="n">
        <v>137.02</v>
      </c>
      <c r="E60" s="35" t="n">
        <v>294.06</v>
      </c>
      <c r="F60" s="35" t="n">
        <v>2.4</v>
      </c>
      <c r="G60" s="35" t="n">
        <v>266.8</v>
      </c>
      <c r="H60" s="35" t="n">
        <v>1.8</v>
      </c>
      <c r="I60" s="35" t="n">
        <v>13.05</v>
      </c>
      <c r="J60" s="35" t="n">
        <v>1.8</v>
      </c>
      <c r="K60" s="35" t="n">
        <v>68.19999999999999</v>
      </c>
      <c r="L60" s="35" t="n">
        <v>45.96</v>
      </c>
      <c r="M60" s="35" t="n">
        <v>1.2</v>
      </c>
      <c r="N60" s="36">
        <f>SUM(B60:M60)</f>
        <v/>
      </c>
      <c r="O60" s="37">
        <f>SUMIF('YBHN WH TB'!$R:$R,'WH P&amp;L'!$A60,'YBHN WH TB'!C:C)</f>
        <v/>
      </c>
      <c r="P60" s="37">
        <f>SUMIF('YBHN WH TB'!$R:$R,'WH P&amp;L'!$A60,'YBHN WH TB'!D:D)</f>
        <v/>
      </c>
      <c r="Q60" s="37">
        <f>SUMIF('YBHN WH TB'!$R:$R,'WH P&amp;L'!$A60,'YBHN WH TB'!E:E)</f>
        <v/>
      </c>
      <c r="R60" s="37">
        <f>SUMIF('YBHN WH TB'!$R:$R,'WH P&amp;L'!$A60,'YBHN WH TB'!F:F)</f>
        <v/>
      </c>
      <c r="S60" s="37">
        <f>SUMIF('YBHN WH TB'!$R:$R,'WH P&amp;L'!$A60,'YBHN WH TB'!G:G)</f>
        <v/>
      </c>
      <c r="T60" s="37">
        <f>SUMIF('YBHN WH TB'!$R:$R,'WH P&amp;L'!$A60,'YBHN WH TB'!H:H)</f>
        <v/>
      </c>
      <c r="U60" s="37">
        <f>SUMIF('YBHN WH TB'!$R:$R,'WH P&amp;L'!$A60,'YBHN WH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8" t="n">
        <v>0</v>
      </c>
      <c r="AJ60" s="119" t="n">
        <v>0</v>
      </c>
      <c r="AK60" s="119" t="n">
        <v>0</v>
      </c>
      <c r="AL60" s="119" t="n">
        <v>0</v>
      </c>
      <c r="AM60" s="120" t="n">
        <v>0</v>
      </c>
      <c r="AN60" s="118" t="n">
        <v>0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0</v>
      </c>
      <c r="G61" s="35" t="n">
        <v>119</v>
      </c>
      <c r="H61" s="35" t="n">
        <v>92.28</v>
      </c>
      <c r="I61" s="35" t="n">
        <v>0</v>
      </c>
      <c r="J61" s="35" t="n">
        <v>0</v>
      </c>
      <c r="K61" s="35" t="n">
        <v>13.99</v>
      </c>
      <c r="L61" s="35" t="n">
        <v>0</v>
      </c>
      <c r="M61" s="35" t="n">
        <v>0</v>
      </c>
      <c r="N61" s="36">
        <f>SUM(B61:M61)</f>
        <v/>
      </c>
      <c r="O61" s="37">
        <f>SUMIF('YBHN WH TB'!$R:$R,'WH P&amp;L'!$A61,'YBHN WH TB'!C:C)</f>
        <v/>
      </c>
      <c r="P61" s="37">
        <f>SUMIF('YBHN WH TB'!$R:$R,'WH P&amp;L'!$A61,'YBHN WH TB'!D:D)</f>
        <v/>
      </c>
      <c r="Q61" s="37">
        <f>SUMIF('YBHN WH TB'!$R:$R,'WH P&amp;L'!$A61,'YBHN WH TB'!E:E)</f>
        <v/>
      </c>
      <c r="R61" s="37">
        <f>SUMIF('YBHN WH TB'!$R:$R,'WH P&amp;L'!$A61,'YBHN WH TB'!F:F)</f>
        <v/>
      </c>
      <c r="S61" s="37">
        <f>SUMIF('YBHN WH TB'!$R:$R,'WH P&amp;L'!$A61,'YBHN WH TB'!G:G)</f>
        <v/>
      </c>
      <c r="T61" s="37">
        <f>SUMIF('YBHN WH TB'!$R:$R,'WH P&amp;L'!$A61,'YBHN WH TB'!H:H)</f>
        <v/>
      </c>
      <c r="U61" s="37">
        <f>SUMIF('YBHN WH TB'!$R:$R,'WH P&amp;L'!$A61,'YBHN WH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8" t="n">
        <v>0</v>
      </c>
      <c r="AJ61" s="119" t="n">
        <v>0</v>
      </c>
      <c r="AK61" s="119" t="n">
        <v>0</v>
      </c>
      <c r="AL61" s="119" t="n">
        <v>0</v>
      </c>
      <c r="AM61" s="120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50</v>
      </c>
      <c r="C62" s="35" t="n">
        <v>581.26</v>
      </c>
      <c r="D62" s="35" t="n">
        <v>391.9</v>
      </c>
      <c r="E62" s="35" t="n">
        <v>90</v>
      </c>
      <c r="F62" s="35" t="n">
        <v>55</v>
      </c>
      <c r="G62" s="35" t="n">
        <v>55</v>
      </c>
      <c r="H62" s="35" t="n">
        <v>62</v>
      </c>
      <c r="I62" s="35" t="n">
        <v>0</v>
      </c>
      <c r="J62" s="35" t="n">
        <v>0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>
        <f>SUMIF('YBHN WH TB'!$R:$R,'WH P&amp;L'!$A62,'YBHN WH TB'!C:C)</f>
        <v/>
      </c>
      <c r="P62" s="37">
        <f>SUMIF('YBHN WH TB'!$R:$R,'WH P&amp;L'!$A62,'YBHN WH TB'!D:D)</f>
        <v/>
      </c>
      <c r="Q62" s="37">
        <f>SUMIF('YBHN WH TB'!$R:$R,'WH P&amp;L'!$A62,'YBHN WH TB'!E:E)</f>
        <v/>
      </c>
      <c r="R62" s="37">
        <f>SUMIF('YBHN WH TB'!$R:$R,'WH P&amp;L'!$A62,'YBHN WH TB'!F:F)</f>
        <v/>
      </c>
      <c r="S62" s="37">
        <f>SUMIF('YBHN WH TB'!$R:$R,'WH P&amp;L'!$A62,'YBHN WH TB'!G:G)</f>
        <v/>
      </c>
      <c r="T62" s="37">
        <f>SUMIF('YBHN WH TB'!$R:$R,'WH P&amp;L'!$A62,'YBHN WH TB'!H:H)</f>
        <v/>
      </c>
      <c r="U62" s="37">
        <f>SUMIF('YBHN WH TB'!$R:$R,'WH P&amp;L'!$A62,'YBHN WH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8" t="n">
        <v>0</v>
      </c>
      <c r="AJ62" s="119" t="n">
        <v>0</v>
      </c>
      <c r="AK62" s="119" t="n">
        <v>0</v>
      </c>
      <c r="AL62" s="119" t="n">
        <v>0</v>
      </c>
      <c r="AM62" s="120" t="n">
        <v>0</v>
      </c>
      <c r="AN62" s="118" t="n">
        <v>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SUMIF('YBHN WH TB'!$R:$R,'WH P&amp;L'!$A63,'YBHN WH TB'!C:C)</f>
        <v/>
      </c>
      <c r="P63" s="37">
        <f>SUMIF('YBHN WH TB'!$R:$R,'WH P&amp;L'!$A63,'YBHN WH TB'!D:D)</f>
        <v/>
      </c>
      <c r="Q63" s="37">
        <f>SUMIF('YBHN WH TB'!$R:$R,'WH P&amp;L'!$A63,'YBHN WH TB'!E:E)</f>
        <v/>
      </c>
      <c r="R63" s="37">
        <f>SUMIF('YBHN WH TB'!$R:$R,'WH P&amp;L'!$A63,'YBHN WH TB'!F:F)</f>
        <v/>
      </c>
      <c r="S63" s="37">
        <f>SUMIF('YBHN WH TB'!$R:$R,'WH P&amp;L'!$A63,'YBHN WH TB'!G:G)</f>
        <v/>
      </c>
      <c r="T63" s="37">
        <f>SUMIF('YBHN WH TB'!$R:$R,'WH P&amp;L'!$A63,'YBHN WH TB'!H:H)</f>
        <v/>
      </c>
      <c r="U63" s="37">
        <f>SUMIF('YBHN WH TB'!$R:$R,'WH P&amp;L'!$A63,'YBHN WH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8" t="n">
        <v>0</v>
      </c>
      <c r="AJ63" s="119" t="n">
        <v>0</v>
      </c>
      <c r="AK63" s="119" t="n">
        <v>0</v>
      </c>
      <c r="AL63" s="119" t="n">
        <v>0</v>
      </c>
      <c r="AM63" s="120" t="n">
        <v>0</v>
      </c>
      <c r="AN63" s="118" t="n">
        <v>0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SUMIF('YBHN WH TB'!$R:$R,'WH P&amp;L'!$A64,'YBHN WH TB'!C:C)</f>
        <v/>
      </c>
      <c r="P64" s="37">
        <f>SUMIF('YBHN WH TB'!$R:$R,'WH P&amp;L'!$A64,'YBHN WH TB'!D:D)</f>
        <v/>
      </c>
      <c r="Q64" s="37">
        <f>SUMIF('YBHN WH TB'!$R:$R,'WH P&amp;L'!$A64,'YBHN WH TB'!E:E)</f>
        <v/>
      </c>
      <c r="R64" s="37">
        <f>SUMIF('YBHN WH TB'!$R:$R,'WH P&amp;L'!$A64,'YBHN WH TB'!F:F)</f>
        <v/>
      </c>
      <c r="S64" s="37">
        <f>SUMIF('YBHN WH TB'!$R:$R,'WH P&amp;L'!$A64,'YBHN WH TB'!G:G)</f>
        <v/>
      </c>
      <c r="T64" s="37">
        <f>SUMIF('YBHN WH TB'!$R:$R,'WH P&amp;L'!$A64,'YBHN WH TB'!H:H)</f>
        <v/>
      </c>
      <c r="U64" s="37">
        <f>SUMIF('YBHN WH TB'!$R:$R,'WH P&amp;L'!$A64,'YBHN WH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8" t="n">
        <v>0</v>
      </c>
      <c r="AJ64" s="119" t="n">
        <v>0</v>
      </c>
      <c r="AK64" s="119" t="n">
        <v>0</v>
      </c>
      <c r="AL64" s="119" t="n">
        <v>0</v>
      </c>
      <c r="AM64" s="120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SUMIF('YBHN WH TB'!$R:$R,'WH P&amp;L'!$A65,'YBHN WH TB'!C:C)</f>
        <v/>
      </c>
      <c r="P65" s="37">
        <f>SUMIF('YBHN WH TB'!$R:$R,'WH P&amp;L'!$A65,'YBHN WH TB'!D:D)</f>
        <v/>
      </c>
      <c r="Q65" s="37">
        <f>SUMIF('YBHN WH TB'!$R:$R,'WH P&amp;L'!$A65,'YBHN WH TB'!E:E)</f>
        <v/>
      </c>
      <c r="R65" s="37">
        <f>SUMIF('YBHN WH TB'!$R:$R,'WH P&amp;L'!$A65,'YBHN WH TB'!F:F)</f>
        <v/>
      </c>
      <c r="S65" s="37">
        <f>SUMIF('YBHN WH TB'!$R:$R,'WH P&amp;L'!$A65,'YBHN WH TB'!G:G)</f>
        <v/>
      </c>
      <c r="T65" s="37">
        <f>SUMIF('YBHN WH TB'!$R:$R,'WH P&amp;L'!$A65,'YBHN WH TB'!H:H)</f>
        <v/>
      </c>
      <c r="U65" s="37">
        <f>SUMIF('YBHN WH TB'!$R:$R,'WH P&amp;L'!$A65,'YBHN WH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8" t="n">
        <v>0</v>
      </c>
      <c r="AJ65" s="119" t="n">
        <v>0</v>
      </c>
      <c r="AK65" s="119" t="n">
        <v>0</v>
      </c>
      <c r="AL65" s="119" t="n">
        <v>0</v>
      </c>
      <c r="AM65" s="120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SUMIF('YBHN WH TB'!$R:$R,'WH P&amp;L'!$A66,'YBHN WH TB'!C:C)</f>
        <v/>
      </c>
      <c r="P66" s="37">
        <f>SUMIF('YBHN WH TB'!$R:$R,'WH P&amp;L'!$A66,'YBHN WH TB'!D:D)</f>
        <v/>
      </c>
      <c r="Q66" s="37">
        <f>SUMIF('YBHN WH TB'!$R:$R,'WH P&amp;L'!$A66,'YBHN WH TB'!E:E)</f>
        <v/>
      </c>
      <c r="R66" s="37">
        <f>SUMIF('YBHN WH TB'!$R:$R,'WH P&amp;L'!$A66,'YBHN WH TB'!F:F)</f>
        <v/>
      </c>
      <c r="S66" s="37">
        <f>SUMIF('YBHN WH TB'!$R:$R,'WH P&amp;L'!$A66,'YBHN WH TB'!G:G)</f>
        <v/>
      </c>
      <c r="T66" s="37">
        <f>SUMIF('YBHN WH TB'!$R:$R,'WH P&amp;L'!$A66,'YBHN WH TB'!H:H)</f>
        <v/>
      </c>
      <c r="U66" s="37">
        <f>SUMIF('YBHN WH TB'!$R:$R,'WH P&amp;L'!$A66,'YBHN WH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8" t="n">
        <v>0</v>
      </c>
      <c r="AJ66" s="119" t="n">
        <v>0</v>
      </c>
      <c r="AK66" s="119" t="n">
        <v>0</v>
      </c>
      <c r="AL66" s="119" t="n">
        <v>0</v>
      </c>
      <c r="AM66" s="120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0</v>
      </c>
      <c r="N67" s="36">
        <f>SUM(B67:M67)</f>
        <v/>
      </c>
      <c r="O67" s="37">
        <f>SUMIF('YBHN WH TB'!$R:$R,'WH P&amp;L'!$A67,'YBHN WH TB'!C:C)</f>
        <v/>
      </c>
      <c r="P67" s="37">
        <f>SUMIF('YBHN WH TB'!$R:$R,'WH P&amp;L'!$A67,'YBHN WH TB'!D:D)</f>
        <v/>
      </c>
      <c r="Q67" s="37">
        <f>SUMIF('YBHN WH TB'!$R:$R,'WH P&amp;L'!$A67,'YBHN WH TB'!E:E)</f>
        <v/>
      </c>
      <c r="R67" s="37">
        <f>SUMIF('YBHN WH TB'!$R:$R,'WH P&amp;L'!$A67,'YBHN WH TB'!F:F)</f>
        <v/>
      </c>
      <c r="S67" s="37">
        <f>SUMIF('YBHN WH TB'!$R:$R,'WH P&amp;L'!$A67,'YBHN WH TB'!G:G)</f>
        <v/>
      </c>
      <c r="T67" s="37">
        <f>SUMIF('YBHN WH TB'!$R:$R,'WH P&amp;L'!$A67,'YBHN WH TB'!H:H)</f>
        <v/>
      </c>
      <c r="U67" s="37">
        <f>SUMIF('YBHN WH TB'!$R:$R,'WH P&amp;L'!$A67,'YBHN WH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8" t="n">
        <v>0</v>
      </c>
      <c r="AJ67" s="119" t="n">
        <v>0</v>
      </c>
      <c r="AK67" s="119" t="n">
        <v>0</v>
      </c>
      <c r="AL67" s="119" t="n">
        <v>0</v>
      </c>
      <c r="AM67" s="120" t="n">
        <v>0</v>
      </c>
      <c r="AN67" s="118" t="n">
        <v>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0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SUMIF('YBHN WH TB'!$R:$R,'WH P&amp;L'!$A68,'YBHN WH TB'!C:C)</f>
        <v/>
      </c>
      <c r="P68" s="37">
        <f>SUMIF('YBHN WH TB'!$R:$R,'WH P&amp;L'!$A68,'YBHN WH TB'!D:D)</f>
        <v/>
      </c>
      <c r="Q68" s="37">
        <f>SUMIF('YBHN WH TB'!$R:$R,'WH P&amp;L'!$A68,'YBHN WH TB'!E:E)</f>
        <v/>
      </c>
      <c r="R68" s="37">
        <f>SUMIF('YBHN WH TB'!$R:$R,'WH P&amp;L'!$A68,'YBHN WH TB'!F:F)</f>
        <v/>
      </c>
      <c r="S68" s="37">
        <f>SUMIF('YBHN WH TB'!$R:$R,'WH P&amp;L'!$A68,'YBHN WH TB'!G:G)</f>
        <v/>
      </c>
      <c r="T68" s="37">
        <f>SUMIF('YBHN WH TB'!$R:$R,'WH P&amp;L'!$A68,'YBHN WH TB'!H:H)</f>
        <v/>
      </c>
      <c r="U68" s="37">
        <f>SUMIF('YBHN WH TB'!$R:$R,'WH P&amp;L'!$A68,'YBHN WH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8" t="n">
        <v>0</v>
      </c>
      <c r="AJ68" s="119" t="n">
        <v>0</v>
      </c>
      <c r="AK68" s="119" t="n">
        <v>0</v>
      </c>
      <c r="AL68" s="119" t="n">
        <v>0</v>
      </c>
      <c r="AM68" s="120" t="n">
        <v>0</v>
      </c>
      <c r="AN68" s="118" t="n">
        <v>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252.58</v>
      </c>
      <c r="C69" s="42" t="n">
        <v>785.64</v>
      </c>
      <c r="D69" s="42" t="n">
        <v>730.3</v>
      </c>
      <c r="E69" s="42" t="n">
        <v>585.4400000000001</v>
      </c>
      <c r="F69" s="42" t="n">
        <v>258.77</v>
      </c>
      <c r="G69" s="42" t="n">
        <v>642.1800000000001</v>
      </c>
      <c r="H69" s="42" t="n">
        <v>357.46</v>
      </c>
      <c r="I69" s="42" t="n">
        <v>214.43</v>
      </c>
      <c r="J69" s="42" t="n">
        <v>203.18</v>
      </c>
      <c r="K69" s="42" t="n">
        <v>296.99</v>
      </c>
      <c r="L69" s="42" t="n">
        <v>460.76</v>
      </c>
      <c r="M69" s="42" t="n">
        <v>216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3">
        <f>SUM(AI53:AI68)</f>
        <v/>
      </c>
      <c r="AJ69" s="124">
        <f>SUM(AJ53:AJ68)</f>
        <v/>
      </c>
      <c r="AK69" s="124">
        <f>SUM(AK53:AK68)</f>
        <v/>
      </c>
      <c r="AL69" s="124">
        <f>SUM(AL53:AL68)</f>
        <v/>
      </c>
      <c r="AM69" s="124">
        <f>SUM(AM53:AM68)</f>
        <v/>
      </c>
      <c r="AN69" s="123">
        <f>SUM(AN53:AN68)</f>
        <v/>
      </c>
      <c r="AO69" s="125">
        <f>SUM(AC69:AH69)+SUM(AI69:AN69)</f>
        <v/>
      </c>
      <c r="AP69" s="126">
        <f>IF(AB69&lt;&gt;0,(AO69-AB69)/ABS(AB69),0)</f>
        <v/>
      </c>
    </row>
    <row r="70">
      <c r="A70" s="54" t="inlineStr">
        <is>
          <t>EBITDA</t>
        </is>
      </c>
      <c r="B70" s="55" t="n">
        <v>29880.48</v>
      </c>
      <c r="C70" s="55" t="n">
        <v>20973.27000000001</v>
      </c>
      <c r="D70" s="55" t="n">
        <v>27548.64</v>
      </c>
      <c r="E70" s="55" t="n">
        <v>26914.55</v>
      </c>
      <c r="F70" s="55" t="n">
        <v>20444.26</v>
      </c>
      <c r="G70" s="55" t="n">
        <v>14565.14999999999</v>
      </c>
      <c r="H70" s="55" t="n">
        <v>29796.61</v>
      </c>
      <c r="I70" s="55" t="n">
        <v>3233.809999999998</v>
      </c>
      <c r="J70" s="55" t="n">
        <v>5992.739999999994</v>
      </c>
      <c r="K70" s="55" t="n">
        <v>5999.500000000002</v>
      </c>
      <c r="L70" s="55" t="n">
        <v>2955.130000000003</v>
      </c>
      <c r="M70" s="55" t="n">
        <v>10649.79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0">
        <f>AI50-AI69</f>
        <v/>
      </c>
      <c r="AJ70" s="140">
        <f>AJ50-AJ69</f>
        <v/>
      </c>
      <c r="AK70" s="140">
        <f>AK50-AK69</f>
        <v/>
      </c>
      <c r="AL70" s="140">
        <f>AL50-AL69</f>
        <v/>
      </c>
      <c r="AM70" s="140">
        <f>AM50-AM69</f>
        <v/>
      </c>
      <c r="AN70" s="140">
        <f>AN50-AN69</f>
        <v/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4">
        <f>SUM(AC72:AH72)+SUM(AI72:AN72)</f>
        <v/>
      </c>
      <c r="AP72" s="142">
        <f>IF(AB72&lt;&gt;0,(AO72-AB72)/ABS(AB72),0)</f>
        <v/>
      </c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118" t="n">
        <v>0</v>
      </c>
      <c r="AJ73" s="118" t="n">
        <v>0</v>
      </c>
      <c r="AK73" s="118" t="n">
        <v>0</v>
      </c>
      <c r="AL73" s="118" t="n">
        <v>0</v>
      </c>
      <c r="AM73" s="118" t="n">
        <v>0</v>
      </c>
      <c r="AN73" s="118" t="n">
        <v>0</v>
      </c>
      <c r="AO73" s="144">
        <f>SUM(AC73:AH73)+SUM(AI73:AN73)</f>
        <v/>
      </c>
      <c r="AP73" s="142">
        <f>IF(AB73&lt;&gt;0,(AO73-AB73)/ABS(AB73),0)</f>
        <v/>
      </c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118" t="n">
        <v>0</v>
      </c>
      <c r="AJ74" s="118" t="n">
        <v>0</v>
      </c>
      <c r="AK74" s="118" t="n">
        <v>0</v>
      </c>
      <c r="AL74" s="118" t="n">
        <v>0</v>
      </c>
      <c r="AM74" s="118" t="n">
        <v>0</v>
      </c>
      <c r="AN74" s="118" t="n">
        <v>0</v>
      </c>
      <c r="AO74" s="144">
        <f>SUM(AC74:AH74)+SUM(AI74:AN74)</f>
        <v/>
      </c>
      <c r="AP74" s="142">
        <f>IF(AB74&lt;&gt;0,(AO74-AB74)/ABS(AB74),0)</f>
        <v/>
      </c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118" t="n">
        <v>0</v>
      </c>
      <c r="AJ75" s="118" t="n">
        <v>0</v>
      </c>
      <c r="AK75" s="118" t="n">
        <v>0</v>
      </c>
      <c r="AL75" s="118" t="n">
        <v>0</v>
      </c>
      <c r="AM75" s="118" t="n">
        <v>0</v>
      </c>
      <c r="AN75" s="118" t="n">
        <v>0</v>
      </c>
      <c r="AO75" s="144">
        <f>SUM(AC75:AH75)+SUM(AI75:AN75)</f>
        <v/>
      </c>
      <c r="AP75" s="142">
        <f>IF(AB75&lt;&gt;0,(AO75-AB75)/ABS(AB75),0)</f>
        <v/>
      </c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118" t="n">
        <v>0</v>
      </c>
      <c r="AJ76" s="118" t="n">
        <v>0</v>
      </c>
      <c r="AK76" s="118" t="n">
        <v>0</v>
      </c>
      <c r="AL76" s="118" t="n">
        <v>0</v>
      </c>
      <c r="AM76" s="118" t="n">
        <v>0</v>
      </c>
      <c r="AN76" s="118" t="n">
        <v>0</v>
      </c>
      <c r="AO76" s="144">
        <f>SUM(AC76:AH76)+SUM(AI76:AN76)</f>
        <v/>
      </c>
      <c r="AP76" s="142">
        <f>IF(AB76&lt;&gt;0,(AO76-AB76)/ABS(AB76),0)</f>
        <v/>
      </c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118" t="n">
        <v>0</v>
      </c>
      <c r="AJ77" s="118" t="n">
        <v>0</v>
      </c>
      <c r="AK77" s="118" t="n">
        <v>0</v>
      </c>
      <c r="AL77" s="118" t="n">
        <v>0</v>
      </c>
      <c r="AM77" s="118" t="n">
        <v>0</v>
      </c>
      <c r="AN77" s="118" t="n">
        <v>0</v>
      </c>
      <c r="AO77" s="144">
        <f>SUM(AC77:AH77)+SUM(AI77:AN77)</f>
        <v/>
      </c>
      <c r="AP77" s="142">
        <f>IF(AB77&lt;&gt;0,(AO77-AB77)/ABS(AB77),0)</f>
        <v/>
      </c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29880.48</v>
      </c>
      <c r="C79" s="57" t="n">
        <v>20973.27000000001</v>
      </c>
      <c r="D79" s="57" t="n">
        <v>27548.64</v>
      </c>
      <c r="E79" s="57" t="n">
        <v>26914.55</v>
      </c>
      <c r="F79" s="57" t="n">
        <v>20444.26</v>
      </c>
      <c r="G79" s="57" t="n">
        <v>14565.14999999999</v>
      </c>
      <c r="H79" s="57" t="n">
        <v>29796.61</v>
      </c>
      <c r="I79" s="57" t="n">
        <v>3233.809999999998</v>
      </c>
      <c r="J79" s="57" t="n">
        <v>5992.739999999994</v>
      </c>
      <c r="K79" s="57" t="n">
        <v>5999.500000000002</v>
      </c>
      <c r="L79" s="57" t="n">
        <v>2955.130000000003</v>
      </c>
      <c r="M79" s="57" t="n">
        <v>10649.79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5">
        <f>U70+SUM(U73:U78)</f>
        <v/>
      </c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127" t="n">
        <v>0</v>
      </c>
      <c r="AJ79" s="127" t="n">
        <v>0</v>
      </c>
      <c r="AK79" s="127" t="n">
        <v>0</v>
      </c>
      <c r="AL79" s="127" t="n">
        <v>0</v>
      </c>
      <c r="AM79" s="127" t="n">
        <v>0</v>
      </c>
      <c r="AN79" s="127" t="n">
        <v>0</v>
      </c>
      <c r="AO79" s="144">
        <f>SUM(AC79:AH79)+SUM(AI79:AN79)</f>
        <v/>
      </c>
      <c r="AP79" s="142">
        <f>IF(AB79&lt;&gt;0,(AO79-AB79)/ABS(AB79),0)</f>
        <v/>
      </c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60488.17</v>
      </c>
      <c r="C87" s="60" t="n">
        <v>53069.71000000001</v>
      </c>
      <c r="D87" s="60" t="n">
        <v>58354.43</v>
      </c>
      <c r="E87" s="60" t="n">
        <v>59019.72</v>
      </c>
      <c r="F87" s="60" t="n">
        <v>52516.59</v>
      </c>
      <c r="G87" s="60" t="n">
        <v>44924.56999999999</v>
      </c>
      <c r="H87" s="60" t="n">
        <v>61329.08</v>
      </c>
      <c r="I87" s="60" t="n">
        <v>36759.73</v>
      </c>
      <c r="J87" s="60" t="n">
        <v>36186.88</v>
      </c>
      <c r="K87" s="60" t="n">
        <v>37406.14</v>
      </c>
      <c r="L87" s="60" t="n">
        <v>35373.44</v>
      </c>
      <c r="M87" s="8" t="n"/>
      <c r="N87" s="8" t="n"/>
      <c r="O87" s="60">
        <f>-SUMIF('YBHN WH TB'!$T:$T,'WH P&amp;L'!$A87,'YBHN WH TB'!C:C)</f>
        <v/>
      </c>
      <c r="P87" s="60">
        <f>-SUMIF('YBHN WH TB'!$T:$T,'WH P&amp;L'!$A87,'YBHN WH TB'!D:D)</f>
        <v/>
      </c>
      <c r="Q87" s="60">
        <f>-SUMIF('YBHN WH TB'!$T:$T,'WH P&amp;L'!$A87,'YBHN WH TB'!E:E)</f>
        <v/>
      </c>
      <c r="R87" s="60">
        <f>-SUMIF('YBHN WH TB'!$T:$T,'WH P&amp;L'!$A87,'YBHN WH TB'!F:F)</f>
        <v/>
      </c>
      <c r="S87" s="60">
        <f>-SUMIF('YBHN WH TB'!$T:$T,'WH P&amp;L'!$A87,'YBHN WH TB'!G:G)</f>
        <v/>
      </c>
      <c r="T87" s="60">
        <f>-SUMIF('YBHN WH TB'!$T:$T,'WH P&amp;L'!$A87,'YBHN WH TB'!H:H)</f>
        <v/>
      </c>
      <c r="U87" s="60">
        <f>-SUMIF('YBHN WH TB'!$T:$T,'WH P&amp;L'!$A87,'YBHN WH TB'!I:I)</f>
        <v/>
      </c>
      <c r="V87" s="60">
        <f>-SUMIF('YBHN WH TB'!$T:$T,'WH P&amp;L'!$A87,'YBHN WH TB'!J:J)</f>
        <v/>
      </c>
      <c r="W87" s="60">
        <f>-SUMIF('YBHN WH TB'!$T:$T,'WH P&amp;L'!$A87,'YBHN WH TB'!K:K)</f>
        <v/>
      </c>
      <c r="X87" s="60">
        <f>-SUMIF('YBHN WH TB'!$T:$T,'WH P&amp;L'!$A87,'YBHN WH TB'!L:L)</f>
        <v/>
      </c>
      <c r="Y87" s="60">
        <f>-SUMIF('YBHN WH TB'!$T:$T,'WH P&amp;L'!$A87,'YBHN WH TB'!M:M)</f>
        <v/>
      </c>
      <c r="Z87" s="60">
        <f>-SUMIF('YBHN WH TB'!$T:$T,'WH P&amp;L'!$A87,'YBHN WH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134" t="n">
        <v>0</v>
      </c>
      <c r="AJ87" s="134" t="n">
        <v>0</v>
      </c>
      <c r="AK87" s="134" t="n">
        <v>0</v>
      </c>
      <c r="AL87" s="134" t="n">
        <v>0</v>
      </c>
      <c r="AM87" s="134" t="n">
        <v>0</v>
      </c>
      <c r="AN87" s="134" t="n">
        <v>0</v>
      </c>
      <c r="AO87" s="145">
        <f>SUM(AC87:AH87)+SUM(AI87:AN87)</f>
        <v/>
      </c>
      <c r="AP87" s="142">
        <f>IF(AB87&lt;&gt;0,(AO87-AB87)/ABS(AB87),0)</f>
        <v/>
      </c>
    </row>
    <row r="88">
      <c r="A88" s="34" t="inlineStr">
        <is>
          <t>Direct - Staff Cost</t>
        </is>
      </c>
      <c r="B88" s="18" t="n">
        <v>-23102.52</v>
      </c>
      <c r="C88" s="18" t="n">
        <v>-21849.93</v>
      </c>
      <c r="D88" s="18" t="n">
        <v>-22365.54</v>
      </c>
      <c r="E88" s="18" t="n">
        <v>-21787.65</v>
      </c>
      <c r="F88" s="18" t="n">
        <v>-24815.72</v>
      </c>
      <c r="G88" s="18" t="n">
        <v>-24972.06</v>
      </c>
      <c r="H88" s="18" t="n">
        <v>-27676.99000000001</v>
      </c>
      <c r="I88" s="18" t="n">
        <v>-27554.22</v>
      </c>
      <c r="J88" s="18" t="n">
        <v>-26814.42</v>
      </c>
      <c r="K88" s="18" t="n">
        <v>-26347.24</v>
      </c>
      <c r="L88" s="18" t="n">
        <v>-26768.65</v>
      </c>
      <c r="M88" s="18" t="n"/>
      <c r="N88" s="8" t="n"/>
      <c r="O88" s="60">
        <f>-SUMIF('YBHN WH TB'!$T:$T,'WH P&amp;L'!$A88,'YBHN WH TB'!C:C)</f>
        <v/>
      </c>
      <c r="P88" s="60">
        <f>-SUMIF('YBHN WH TB'!$T:$T,'WH P&amp;L'!$A88,'YBHN WH TB'!D:D)</f>
        <v/>
      </c>
      <c r="Q88" s="60">
        <f>-SUMIF('YBHN WH TB'!$T:$T,'WH P&amp;L'!$A88,'YBHN WH TB'!E:E)</f>
        <v/>
      </c>
      <c r="R88" s="60">
        <f>-SUMIF('YBHN WH TB'!$T:$T,'WH P&amp;L'!$A88,'YBHN WH TB'!F:F)</f>
        <v/>
      </c>
      <c r="S88" s="60">
        <f>-SUMIF('YBHN WH TB'!$T:$T,'WH P&amp;L'!$A88,'YBHN WH TB'!G:G)</f>
        <v/>
      </c>
      <c r="T88" s="60">
        <f>-SUMIF('YBHN WH TB'!$T:$T,'WH P&amp;L'!$A88,'YBHN WH TB'!H:H)</f>
        <v/>
      </c>
      <c r="U88" s="60">
        <f>-SUMIF('YBHN WH TB'!$T:$T,'WH P&amp;L'!$A88,'YBHN WH TB'!I:I)</f>
        <v/>
      </c>
      <c r="V88" s="60">
        <f>-SUMIF('YBHN WH TB'!$T:$T,'WH P&amp;L'!$A88,'YBHN WH TB'!J:J)</f>
        <v/>
      </c>
      <c r="W88" s="60">
        <f>-SUMIF('YBHN WH TB'!$T:$T,'WH P&amp;L'!$A88,'YBHN WH TB'!K:K)</f>
        <v/>
      </c>
      <c r="X88" s="60">
        <f>-SUMIF('YBHN WH TB'!$T:$T,'WH P&amp;L'!$A88,'YBHN WH TB'!L:L)</f>
        <v/>
      </c>
      <c r="Y88" s="60">
        <f>-SUMIF('YBHN WH TB'!$T:$T,'WH P&amp;L'!$A88,'YBHN WH TB'!M:M)</f>
        <v/>
      </c>
      <c r="Z88" s="60">
        <f>-SUMIF('YBHN WH TB'!$T:$T,'WH P&amp;L'!$A88,'YBHN WH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134" t="n">
        <v>0</v>
      </c>
      <c r="AJ88" s="134" t="n">
        <v>0</v>
      </c>
      <c r="AK88" s="134" t="n">
        <v>0</v>
      </c>
      <c r="AL88" s="134" t="n">
        <v>0</v>
      </c>
      <c r="AM88" s="134" t="n">
        <v>0</v>
      </c>
      <c r="AN88" s="134" t="n">
        <v>0</v>
      </c>
      <c r="AO88" s="144">
        <f>SUM(AC88:AH88)+SUM(AI88:AN88)</f>
        <v/>
      </c>
      <c r="AP88" s="142">
        <f>IF(AB88&lt;&gt;0,(AO88-AB88)/ABS(AB88),0)</f>
        <v/>
      </c>
    </row>
    <row r="89">
      <c r="A89" s="60" t="inlineStr">
        <is>
          <t>Direct - Childcare Cost</t>
        </is>
      </c>
      <c r="B89" s="18" t="n">
        <v>-1498.03</v>
      </c>
      <c r="C89" s="18" t="n">
        <v>-4143.52</v>
      </c>
      <c r="D89" s="18" t="n">
        <v>-1672.03</v>
      </c>
      <c r="E89" s="18" t="n">
        <v>-863.9100000000001</v>
      </c>
      <c r="F89" s="18" t="n">
        <v>-1359.99</v>
      </c>
      <c r="G89" s="18" t="n">
        <v>-973.41</v>
      </c>
      <c r="H89" s="18" t="n">
        <v>-1125.42</v>
      </c>
      <c r="I89" s="18" t="n">
        <v>-1229.71</v>
      </c>
      <c r="J89" s="18" t="n">
        <v>-1283.3</v>
      </c>
      <c r="K89" s="18" t="n">
        <v>-952.25</v>
      </c>
      <c r="L89" s="18" t="n">
        <v>-992.9399999999999</v>
      </c>
      <c r="M89" s="18" t="n">
        <v>-914.14</v>
      </c>
      <c r="N89" s="8" t="n"/>
      <c r="O89" s="60">
        <f>-SUMIF('YBHN WH TB'!$T:$T,'WH P&amp;L'!$A89,'YBHN WH TB'!C:C)</f>
        <v/>
      </c>
      <c r="P89" s="60">
        <f>-SUMIF('YBHN WH TB'!$T:$T,'WH P&amp;L'!$A89,'YBHN WH TB'!D:D)</f>
        <v/>
      </c>
      <c r="Q89" s="60">
        <f>-SUMIF('YBHN WH TB'!$T:$T,'WH P&amp;L'!$A89,'YBHN WH TB'!E:E)</f>
        <v/>
      </c>
      <c r="R89" s="60">
        <f>-SUMIF('YBHN WH TB'!$T:$T,'WH P&amp;L'!$A89,'YBHN WH TB'!F:F)</f>
        <v/>
      </c>
      <c r="S89" s="60">
        <f>-SUMIF('YBHN WH TB'!$T:$T,'WH P&amp;L'!$A89,'YBHN WH TB'!G:G)</f>
        <v/>
      </c>
      <c r="T89" s="60">
        <f>-SUMIF('YBHN WH TB'!$T:$T,'WH P&amp;L'!$A89,'YBHN WH TB'!H:H)</f>
        <v/>
      </c>
      <c r="U89" s="60">
        <f>-SUMIF('YBHN WH TB'!$T:$T,'WH P&amp;L'!$A89,'YBHN WH TB'!I:I)</f>
        <v/>
      </c>
      <c r="V89" s="60">
        <f>-SUMIF('YBHN WH TB'!$T:$T,'WH P&amp;L'!$A89,'YBHN WH TB'!J:J)</f>
        <v/>
      </c>
      <c r="W89" s="60">
        <f>-SUMIF('YBHN WH TB'!$T:$T,'WH P&amp;L'!$A89,'YBHN WH TB'!K:K)</f>
        <v/>
      </c>
      <c r="X89" s="60">
        <f>-SUMIF('YBHN WH TB'!$T:$T,'WH P&amp;L'!$A89,'YBHN WH TB'!L:L)</f>
        <v/>
      </c>
      <c r="Y89" s="60">
        <f>-SUMIF('YBHN WH TB'!$T:$T,'WH P&amp;L'!$A89,'YBHN WH TB'!M:M)</f>
        <v/>
      </c>
      <c r="Z89" s="60">
        <f>-SUMIF('YBHN WH TB'!$T:$T,'WH P&amp;L'!$A89,'YBHN WH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34" t="n">
        <v>0</v>
      </c>
      <c r="AJ89" s="134" t="n">
        <v>0</v>
      </c>
      <c r="AK89" s="134" t="n">
        <v>0</v>
      </c>
      <c r="AL89" s="134" t="n">
        <v>0</v>
      </c>
      <c r="AM89" s="134" t="n">
        <v>0</v>
      </c>
      <c r="AN89" s="134" t="n">
        <v>0</v>
      </c>
      <c r="AO89" s="144">
        <f>SUM(AC89:AH89)+SUM(AI89:AN89)</f>
        <v/>
      </c>
      <c r="AP89" s="142">
        <f>IF(AB89&lt;&gt;0,(AO89-AB89)/ABS(AB89),0)</f>
        <v/>
      </c>
    </row>
    <row r="90">
      <c r="A90" s="60" t="inlineStr">
        <is>
          <t>Direct - Premises &amp; Admin</t>
        </is>
      </c>
      <c r="B90" s="18" t="n">
        <v>-5754.559999999999</v>
      </c>
      <c r="C90" s="18" t="n">
        <v>-5317.35</v>
      </c>
      <c r="D90" s="18" t="n">
        <v>-6037.919999999999</v>
      </c>
      <c r="E90" s="18" t="n">
        <v>-8868.169999999998</v>
      </c>
      <c r="F90" s="18" t="n">
        <v>-5637.85</v>
      </c>
      <c r="G90" s="18" t="n">
        <v>-3771.77</v>
      </c>
      <c r="H90" s="18" t="n">
        <v>-2372.6</v>
      </c>
      <c r="I90" s="18" t="n">
        <v>-4527.559999999999</v>
      </c>
      <c r="J90" s="18" t="n">
        <v>-1893.24</v>
      </c>
      <c r="K90" s="18" t="n">
        <v>-3810.16</v>
      </c>
      <c r="L90" s="18" t="n">
        <v>-4195.96</v>
      </c>
      <c r="M90" s="18" t="n">
        <v>-4753.41</v>
      </c>
      <c r="N90" s="8" t="n"/>
      <c r="O90" s="60">
        <f>-SUMIF('YBHN WH TB'!$T:$T,'WH P&amp;L'!$A90,'YBHN WH TB'!C:C)</f>
        <v/>
      </c>
      <c r="P90" s="60">
        <f>-SUMIF('YBHN WH TB'!$T:$T,'WH P&amp;L'!$A90,'YBHN WH TB'!D:D)</f>
        <v/>
      </c>
      <c r="Q90" s="60">
        <f>-SUMIF('YBHN WH TB'!$T:$T,'WH P&amp;L'!$A90,'YBHN WH TB'!E:E)</f>
        <v/>
      </c>
      <c r="R90" s="60">
        <f>-SUMIF('YBHN WH TB'!$T:$T,'WH P&amp;L'!$A90,'YBHN WH TB'!F:F)</f>
        <v/>
      </c>
      <c r="S90" s="60">
        <f>-SUMIF('YBHN WH TB'!$T:$T,'WH P&amp;L'!$A90,'YBHN WH TB'!G:G)</f>
        <v/>
      </c>
      <c r="T90" s="60">
        <f>-SUMIF('YBHN WH TB'!$T:$T,'WH P&amp;L'!$A90,'YBHN WH TB'!H:H)</f>
        <v/>
      </c>
      <c r="U90" s="60">
        <f>-SUMIF('YBHN WH TB'!$T:$T,'WH P&amp;L'!$A90,'YBHN WH TB'!I:I)</f>
        <v/>
      </c>
      <c r="V90" s="60">
        <f>-SUMIF('YBHN WH TB'!$T:$T,'WH P&amp;L'!$A90,'YBHN WH TB'!J:J)</f>
        <v/>
      </c>
      <c r="W90" s="60">
        <f>-SUMIF('YBHN WH TB'!$T:$T,'WH P&amp;L'!$A90,'YBHN WH TB'!K:K)</f>
        <v/>
      </c>
      <c r="X90" s="60">
        <f>-SUMIF('YBHN WH TB'!$T:$T,'WH P&amp;L'!$A90,'YBHN WH TB'!L:L)</f>
        <v/>
      </c>
      <c r="Y90" s="60">
        <f>-SUMIF('YBHN WH TB'!$T:$T,'WH P&amp;L'!$A90,'YBHN WH TB'!M:M)</f>
        <v/>
      </c>
      <c r="Z90" s="60">
        <f>-SUMIF('YBHN WH TB'!$T:$T,'WH P&amp;L'!$A90,'YBHN WH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134" t="n">
        <v>0</v>
      </c>
      <c r="AJ90" s="134" t="n">
        <v>0</v>
      </c>
      <c r="AK90" s="134" t="n">
        <v>0</v>
      </c>
      <c r="AL90" s="134" t="n">
        <v>0</v>
      </c>
      <c r="AM90" s="134" t="n">
        <v>0</v>
      </c>
      <c r="AN90" s="134" t="n">
        <v>0</v>
      </c>
      <c r="AO90" s="144">
        <f>SUM(AC90:AH90)+SUM(AI90:AN90)</f>
        <v/>
      </c>
      <c r="AP90" s="142">
        <f>IF(AB90&lt;&gt;0,(AO90-AB90)/ABS(AB90),0)</f>
        <v/>
      </c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-SUMIF('YBHN WH TB'!$T:$T,'WH P&amp;L'!$A91,'YBHN WH TB'!C:C)</f>
        <v/>
      </c>
      <c r="P91" s="60">
        <f>-SUMIF('YBHN WH TB'!$T:$T,'WH P&amp;L'!$A91,'YBHN WH TB'!D:D)</f>
        <v/>
      </c>
      <c r="Q91" s="60">
        <f>-SUMIF('YBHN WH TB'!$T:$T,'WH P&amp;L'!$A91,'YBHN WH TB'!E:E)</f>
        <v/>
      </c>
      <c r="R91" s="60">
        <f>-SUMIF('YBHN WH TB'!$T:$T,'WH P&amp;L'!$A91,'YBHN WH TB'!F:F)</f>
        <v/>
      </c>
      <c r="S91" s="60">
        <f>-SUMIF('YBHN WH TB'!$T:$T,'WH P&amp;L'!$A91,'YBHN WH TB'!G:G)</f>
        <v/>
      </c>
      <c r="T91" s="60">
        <f>-SUMIF('YBHN WH TB'!$T:$T,'WH P&amp;L'!$A91,'YBHN WH TB'!H:H)</f>
        <v/>
      </c>
      <c r="U91" s="60">
        <f>-SUMIF('YBHN WH TB'!$T:$T,'WH P&amp;L'!$A91,'YBHN WH TB'!I:I)</f>
        <v/>
      </c>
      <c r="V91" s="60">
        <f>-SUMIF('YBHN WH TB'!$T:$T,'WH P&amp;L'!$A91,'YBHN WH TB'!J:J)</f>
        <v/>
      </c>
      <c r="W91" s="60">
        <f>-SUMIF('YBHN WH TB'!$T:$T,'WH P&amp;L'!$A91,'YBHN WH TB'!K:K)</f>
        <v/>
      </c>
      <c r="X91" s="60">
        <f>-SUMIF('YBHN WH TB'!$T:$T,'WH P&amp;L'!$A91,'YBHN WH TB'!L:L)</f>
        <v/>
      </c>
      <c r="Y91" s="60">
        <f>-SUMIF('YBHN WH TB'!$T:$T,'WH P&amp;L'!$A91,'YBHN WH TB'!M:M)</f>
        <v/>
      </c>
      <c r="Z91" s="60">
        <f>-SUMIF('YBHN WH TB'!$T:$T,'WH P&amp;L'!$A91,'YBHN WH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134" t="n">
        <v>0</v>
      </c>
      <c r="AJ91" s="134" t="n">
        <v>0</v>
      </c>
      <c r="AK91" s="134" t="n">
        <v>0</v>
      </c>
      <c r="AL91" s="134" t="n">
        <v>0</v>
      </c>
      <c r="AM91" s="134" t="n">
        <v>0</v>
      </c>
      <c r="AN91" s="134" t="n">
        <v>0</v>
      </c>
      <c r="AO91" s="144">
        <f>SUM(AC91:AH91)+SUM(AI91:AN91)</f>
        <v/>
      </c>
      <c r="AP91" s="142">
        <f>IF(AB91&lt;&gt;0,(AO91-AB91)/ABS(AB91),0)</f>
        <v/>
      </c>
    </row>
    <row r="92">
      <c r="A92" s="60" t="inlineStr">
        <is>
          <t>In-Direct - Overheads</t>
        </is>
      </c>
      <c r="B92" s="18" t="n">
        <v>-252.58</v>
      </c>
      <c r="C92" s="18" t="n">
        <v>-785.64</v>
      </c>
      <c r="D92" s="18" t="n">
        <v>-730.3</v>
      </c>
      <c r="E92" s="18" t="n">
        <v>-585.4400000000001</v>
      </c>
      <c r="F92" s="18" t="n">
        <v>-258.77</v>
      </c>
      <c r="G92" s="18" t="n">
        <v>-642.1800000000001</v>
      </c>
      <c r="H92" s="18" t="n">
        <v>-357.46</v>
      </c>
      <c r="I92" s="18" t="n">
        <v>-214.43</v>
      </c>
      <c r="J92" s="18" t="n">
        <v>-203.18</v>
      </c>
      <c r="K92" s="18" t="n">
        <v>-296.99</v>
      </c>
      <c r="L92" s="18" t="n">
        <v>-460.76</v>
      </c>
      <c r="M92" s="18" t="n">
        <v>-216</v>
      </c>
      <c r="N92" s="8" t="n"/>
      <c r="O92" s="60">
        <f>-SUMIF('YBHN WH TB'!$T:$T,'WH P&amp;L'!$A92,'YBHN WH TB'!C:C)</f>
        <v/>
      </c>
      <c r="P92" s="60">
        <f>-SUMIF('YBHN WH TB'!$T:$T,'WH P&amp;L'!$A92,'YBHN WH TB'!D:D)</f>
        <v/>
      </c>
      <c r="Q92" s="60">
        <f>-SUMIF('YBHN WH TB'!$T:$T,'WH P&amp;L'!$A92,'YBHN WH TB'!E:E)</f>
        <v/>
      </c>
      <c r="R92" s="60">
        <f>-SUMIF('YBHN WH TB'!$T:$T,'WH P&amp;L'!$A92,'YBHN WH TB'!F:F)</f>
        <v/>
      </c>
      <c r="S92" s="60">
        <f>-SUMIF('YBHN WH TB'!$T:$T,'WH P&amp;L'!$A92,'YBHN WH TB'!G:G)</f>
        <v/>
      </c>
      <c r="T92" s="60">
        <f>-SUMIF('YBHN WH TB'!$T:$T,'WH P&amp;L'!$A92,'YBHN WH TB'!H:H)</f>
        <v/>
      </c>
      <c r="U92" s="60">
        <f>-SUMIF('YBHN WH TB'!$T:$T,'WH P&amp;L'!$A92,'YBHN WH TB'!I:I)</f>
        <v/>
      </c>
      <c r="V92" s="60">
        <f>-SUMIF('YBHN WH TB'!$T:$T,'WH P&amp;L'!$A92,'YBHN WH TB'!J:J)</f>
        <v/>
      </c>
      <c r="W92" s="60">
        <f>-SUMIF('YBHN WH TB'!$T:$T,'WH P&amp;L'!$A92,'YBHN WH TB'!K:K)</f>
        <v/>
      </c>
      <c r="X92" s="60">
        <f>-SUMIF('YBHN WH TB'!$T:$T,'WH P&amp;L'!$A92,'YBHN WH TB'!L:L)</f>
        <v/>
      </c>
      <c r="Y92" s="60">
        <f>-SUMIF('YBHN WH TB'!$T:$T,'WH P&amp;L'!$A92,'YBHN WH TB'!M:M)</f>
        <v/>
      </c>
      <c r="Z92" s="60">
        <f>-SUMIF('YBHN WH TB'!$T:$T,'WH P&amp;L'!$A92,'YBHN WH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134" t="n">
        <v>0</v>
      </c>
      <c r="AJ92" s="134" t="n">
        <v>0</v>
      </c>
      <c r="AK92" s="134" t="n">
        <v>0</v>
      </c>
      <c r="AL92" s="134" t="n">
        <v>0</v>
      </c>
      <c r="AM92" s="134" t="n">
        <v>0</v>
      </c>
      <c r="AN92" s="134" t="n">
        <v>0</v>
      </c>
      <c r="AO92" s="144">
        <f>SUM(AC92:AH92)+SUM(AI92:AN92)</f>
        <v/>
      </c>
      <c r="AP92" s="142">
        <f>IF(AB92&lt;&gt;0,(AO92-AB92)/ABS(AB92),0)</f>
        <v/>
      </c>
    </row>
    <row r="93" ht="15.75" customHeight="1">
      <c r="A93" s="8" t="n"/>
      <c r="B93" s="67" t="n">
        <v>29880.48</v>
      </c>
      <c r="C93" s="67" t="n">
        <v>20973.27000000001</v>
      </c>
      <c r="D93" s="67" t="n">
        <v>27548.64</v>
      </c>
      <c r="E93" s="67" t="n">
        <v>26914.55</v>
      </c>
      <c r="F93" s="67" t="n">
        <v>20444.26</v>
      </c>
      <c r="G93" s="67" t="n">
        <v>14565.14999999999</v>
      </c>
      <c r="H93" s="67" t="n">
        <v>29796.61</v>
      </c>
      <c r="I93" s="67" t="n">
        <v>3233.809999999999</v>
      </c>
      <c r="J93" s="67" t="n">
        <v>5992.739999999995</v>
      </c>
      <c r="K93" s="67" t="n">
        <v>5999.500000000002</v>
      </c>
      <c r="L93" s="67" t="n">
        <v>2955.130000000001</v>
      </c>
      <c r="M93" s="67" t="n">
        <v>-5883.55</v>
      </c>
      <c r="N93" s="8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8" t="n"/>
      <c r="AB93" s="8" t="n"/>
      <c r="AC93" s="64" t="n"/>
      <c r="AD93" s="64" t="n"/>
      <c r="AE93" s="64" t="n"/>
      <c r="AF93" s="64" t="n"/>
      <c r="AG93" s="64" t="n"/>
      <c r="AH93" s="64" t="n"/>
      <c r="AI93" s="134" t="n">
        <v>0</v>
      </c>
      <c r="AJ93" s="134" t="n">
        <v>0</v>
      </c>
      <c r="AK93" s="134" t="n">
        <v>0</v>
      </c>
      <c r="AL93" s="134" t="n">
        <v>0</v>
      </c>
      <c r="AM93" s="134" t="n">
        <v>0</v>
      </c>
      <c r="AN93" s="134" t="n">
        <v>0</v>
      </c>
      <c r="AO93" s="144">
        <f>SUM(AC93:AH93)+SUM(AI93:AN93)</f>
        <v/>
      </c>
      <c r="AP93" s="142">
        <f>IF(AB93&lt;&gt;0,(AO93-AB93)/ABS(AB93),0)</f>
        <v/>
      </c>
    </row>
    <row r="94" ht="15.75" customHeight="1">
      <c r="A94" s="8" t="n"/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0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0</v>
      </c>
      <c r="L94" s="18" t="n">
        <v>0</v>
      </c>
      <c r="M94" s="18" t="n">
        <v>16533.34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134" t="n">
        <v>0</v>
      </c>
      <c r="AJ94" s="134" t="n">
        <v>0</v>
      </c>
      <c r="AK94" s="134" t="n">
        <v>0</v>
      </c>
      <c r="AL94" s="134" t="n">
        <v>0</v>
      </c>
      <c r="AM94" s="134" t="n">
        <v>0</v>
      </c>
      <c r="AN94" s="134" t="n">
        <v>0</v>
      </c>
      <c r="AO94" s="144">
        <f>SUM(AC94:AH94)+SUM(AI94:AN94)</f>
        <v/>
      </c>
      <c r="AP94" s="142">
        <f>IF(AB94&lt;&gt;0,(AO94-AB94)/ABS(AB94),0)</f>
        <v/>
      </c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0</v>
      </c>
      <c r="G96" s="18" t="n">
        <v>0</v>
      </c>
      <c r="H96" s="18" t="n">
        <v>0</v>
      </c>
      <c r="I96" s="18" t="n">
        <v>0</v>
      </c>
      <c r="J96" s="18" t="n">
        <v>0</v>
      </c>
      <c r="K96" s="18" t="n">
        <v>0</v>
      </c>
      <c r="L96" s="18" t="n">
        <v>0</v>
      </c>
      <c r="M96" s="18" t="n">
        <v>-16533.34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134" t="n">
        <v>0</v>
      </c>
      <c r="AJ96" s="134" t="n">
        <v>0</v>
      </c>
      <c r="AK96" s="134" t="n">
        <v>0</v>
      </c>
      <c r="AL96" s="134" t="n">
        <v>0</v>
      </c>
      <c r="AM96" s="134" t="n">
        <v>0</v>
      </c>
      <c r="AN96" s="134" t="n">
        <v>0</v>
      </c>
      <c r="AO96" s="144">
        <f>SUM(AC96:AH96)+SUM(AI96:AN96)</f>
        <v/>
      </c>
      <c r="AP96" s="142">
        <f>IF(AB96&lt;&gt;0,(AO96-AB96)/ABS(AB96),0)</f>
        <v/>
      </c>
    </row>
    <row r="97">
      <c r="A97" s="8" t="n"/>
      <c r="B97" s="18" t="n">
        <v>-29880.47999999999</v>
      </c>
      <c r="C97" s="18" t="n">
        <v>-20973.27</v>
      </c>
      <c r="D97" s="18" t="n">
        <v>-27548.63999999999</v>
      </c>
      <c r="E97" s="18" t="n">
        <v>-26914.55000000001</v>
      </c>
      <c r="F97" s="18" t="n">
        <v>-20444.25999999999</v>
      </c>
      <c r="G97" s="18" t="n">
        <v>-14565.14999999999</v>
      </c>
      <c r="H97" s="18" t="n">
        <v>-29796.61000000001</v>
      </c>
      <c r="I97" s="18" t="n">
        <v>-3233.809999999997</v>
      </c>
      <c r="J97" s="18" t="n">
        <v>-5992.74</v>
      </c>
      <c r="K97" s="18" t="n">
        <v>-5999.499999999998</v>
      </c>
      <c r="L97" s="18" t="n">
        <v>-2955.130000000002</v>
      </c>
      <c r="M97" s="18" t="n">
        <v>-10649.79</v>
      </c>
      <c r="N97" s="8" t="n"/>
      <c r="O97" s="60">
        <f>SUM('YBHN WH TB'!C2:C44)</f>
        <v/>
      </c>
      <c r="P97" s="60">
        <f>SUM('YBHN WH TB'!D2:D44)</f>
        <v/>
      </c>
      <c r="Q97" s="60">
        <f>SUM('YBHN WH TB'!E2:E44)</f>
        <v/>
      </c>
      <c r="R97" s="60">
        <f>SUM('YBHN WH TB'!F2:F44)</f>
        <v/>
      </c>
      <c r="S97" s="60">
        <f>SUM('YBHN WH TB'!G2:G44)</f>
        <v/>
      </c>
      <c r="T97" s="60">
        <f>SUM('YBHN WH TB'!H2:H44)</f>
        <v/>
      </c>
      <c r="U97" s="60">
        <f>SUM('YBHN WH TB'!I2:I44)</f>
        <v/>
      </c>
      <c r="V97" s="60">
        <f>SUM('YBHN WH TB'!J2:J44)</f>
        <v/>
      </c>
      <c r="W97" s="60">
        <f>SUM('YBHN WH TB'!K2:K44)</f>
        <v/>
      </c>
      <c r="X97" s="60">
        <f>SUM('YBHN WH TB'!L2:L44)</f>
        <v/>
      </c>
      <c r="Y97" s="60">
        <f>SUM('YBHN WH TB'!M2:M44)</f>
        <v/>
      </c>
      <c r="Z97" s="60">
        <f>SUM('YBHN WH TB'!N2:N44)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134" t="n">
        <v>0</v>
      </c>
      <c r="AJ97" s="134" t="n">
        <v>0</v>
      </c>
      <c r="AK97" s="134" t="n">
        <v>0</v>
      </c>
      <c r="AL97" s="134" t="n">
        <v>0</v>
      </c>
      <c r="AM97" s="134" t="n">
        <v>0</v>
      </c>
      <c r="AN97" s="134" t="n">
        <v>0</v>
      </c>
      <c r="AO97" s="144">
        <f>SUM(AC97:AH97)+SUM(AI97:AN97)</f>
        <v/>
      </c>
      <c r="AP97" s="142">
        <f>IF(AB97&lt;&gt;0,(AO97-AB97)/ABS(AB97),0)</f>
        <v/>
      </c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9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Finchampstead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13547.64</v>
      </c>
      <c r="C8" s="35" t="n">
        <v>13678.94</v>
      </c>
      <c r="D8" s="35" t="n">
        <v>12493.24</v>
      </c>
      <c r="E8" s="35" t="n">
        <v>13668.68</v>
      </c>
      <c r="F8" s="35" t="n">
        <v>12240.43</v>
      </c>
      <c r="G8" s="35" t="n">
        <v>11294.85</v>
      </c>
      <c r="H8" s="35" t="n">
        <v>13915.66</v>
      </c>
      <c r="I8" s="35" t="n">
        <v>9820.360000000001</v>
      </c>
      <c r="J8" s="35" t="n">
        <v>6134.57</v>
      </c>
      <c r="K8" s="35" t="n">
        <v>6959.25</v>
      </c>
      <c r="L8" s="35" t="n">
        <v>4849.44</v>
      </c>
      <c r="M8" s="35" t="n">
        <v>5437.48</v>
      </c>
      <c r="N8" s="36">
        <f>SUM(B8:M8)</f>
        <v/>
      </c>
      <c r="O8" s="37">
        <f>-SUMIF('YBN FH TB'!$R:$R,'FH P&amp;L'!$A8,'YBN FH TB'!C:C)</f>
        <v/>
      </c>
      <c r="P8" s="37">
        <f>-SUMIF('YBN FH TB'!$R:$R,'FH P&amp;L'!$A8,'YBN FH TB'!D:D)</f>
        <v/>
      </c>
      <c r="Q8" s="37">
        <f>-SUMIF('YBN FH TB'!$R:$R,'FH P&amp;L'!$A8,'YBN FH TB'!E:E)</f>
        <v/>
      </c>
      <c r="R8" s="37">
        <f>-SUMIF('YBN FH TB'!$R:$R,'FH P&amp;L'!$A8,'YBN FH TB'!F:F)</f>
        <v/>
      </c>
      <c r="S8" s="37">
        <f>-SUMIF('YBN FH TB'!$R:$R,'FH P&amp;L'!$A8,'YBN FH TB'!G:G)</f>
        <v/>
      </c>
      <c r="T8" s="37" t="n">
        <v>5699</v>
      </c>
      <c r="U8" s="37" t="n">
        <v>8330</v>
      </c>
      <c r="V8" s="38" t="n">
        <v>5166</v>
      </c>
      <c r="W8" s="38" t="n">
        <v>3078</v>
      </c>
      <c r="X8" s="38" t="n">
        <v>6342</v>
      </c>
      <c r="Y8" s="38" t="n">
        <v>6001</v>
      </c>
      <c r="Z8" s="38" t="n">
        <v>6888</v>
      </c>
      <c r="AA8" s="36">
        <f>SUM(O8:U8)</f>
        <v/>
      </c>
      <c r="AB8" s="36">
        <f>SUM(O8:Z8)</f>
        <v/>
      </c>
      <c r="AC8" s="38" t="n">
        <v>18243.24</v>
      </c>
      <c r="AD8" s="38" t="n">
        <v>15179.01</v>
      </c>
      <c r="AE8" s="38" t="n">
        <v>21987.99</v>
      </c>
      <c r="AF8" s="38" t="n">
        <v>22298.56</v>
      </c>
      <c r="AG8" s="38" t="n">
        <v>14630.48</v>
      </c>
      <c r="AH8" s="38" t="n">
        <v>16601.21</v>
      </c>
      <c r="AI8" s="118" t="n">
        <v>16601.21</v>
      </c>
      <c r="AJ8" s="119" t="n">
        <v>16601.21</v>
      </c>
      <c r="AK8" s="119" t="n">
        <v>16601.21</v>
      </c>
      <c r="AL8" s="119" t="n">
        <v>16601.21</v>
      </c>
      <c r="AM8" s="120" t="n">
        <v>16601.21</v>
      </c>
      <c r="AN8" s="118" t="n">
        <v>16601.21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6570.19</v>
      </c>
      <c r="C9" s="35" t="n">
        <v>6570.19</v>
      </c>
      <c r="D9" s="35" t="n">
        <v>14078.26</v>
      </c>
      <c r="E9" s="35" t="n">
        <v>6162.6</v>
      </c>
      <c r="F9" s="35" t="n">
        <v>6162.6</v>
      </c>
      <c r="G9" s="35" t="n">
        <v>6162.6</v>
      </c>
      <c r="H9" s="35" t="n">
        <v>10121.39</v>
      </c>
      <c r="I9" s="35" t="n">
        <v>0</v>
      </c>
      <c r="J9" s="35" t="n">
        <v>7065.1</v>
      </c>
      <c r="K9" s="35" t="n">
        <v>7065.1</v>
      </c>
      <c r="L9" s="35" t="n">
        <v>7823.9</v>
      </c>
      <c r="M9" s="35" t="n">
        <v>33221.15</v>
      </c>
      <c r="N9" s="36">
        <f>SUM(B9:M9)</f>
        <v/>
      </c>
      <c r="O9" s="37">
        <f>-SUMIF('YBN FH TB'!$R:$R,'FH P&amp;L'!$A9,'YBN FH TB'!C:C)</f>
        <v/>
      </c>
      <c r="P9" s="37">
        <f>-SUMIF('YBN FH TB'!$R:$R,'FH P&amp;L'!$A9,'YBN FH TB'!D:D)</f>
        <v/>
      </c>
      <c r="Q9" s="37">
        <f>-SUMIF('YBN FH TB'!$R:$R,'FH P&amp;L'!$A9,'YBN FH TB'!E:E)</f>
        <v/>
      </c>
      <c r="R9" s="37">
        <f>-SUMIF('YBN FH TB'!$R:$R,'FH P&amp;L'!$A9,'YBN FH TB'!F:F)</f>
        <v/>
      </c>
      <c r="S9" s="37">
        <f>-SUMIF('YBN FH TB'!$R:$R,'FH P&amp;L'!$A9,'YBN FH TB'!G:G)</f>
        <v/>
      </c>
      <c r="T9" s="37" t="n">
        <v>12012</v>
      </c>
      <c r="U9" s="37" t="n">
        <v>6983</v>
      </c>
      <c r="V9" s="38" t="n"/>
      <c r="W9" s="38" t="n">
        <v>10658</v>
      </c>
      <c r="X9" s="38" t="n">
        <v>10683</v>
      </c>
      <c r="Y9" s="38" t="n">
        <v>13438</v>
      </c>
      <c r="Z9" s="38" t="n">
        <v>8848</v>
      </c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8" t="n">
        <v>0</v>
      </c>
      <c r="AJ9" s="119" t="n">
        <v>0</v>
      </c>
      <c r="AK9" s="119" t="n">
        <v>0</v>
      </c>
      <c r="AL9" s="119" t="n">
        <v>0</v>
      </c>
      <c r="AM9" s="120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1110.33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-SUMIF('YBN FH TB'!$R:$R,'FH P&amp;L'!$A10,'YBN FH TB'!C:C)</f>
        <v/>
      </c>
      <c r="P10" s="37">
        <f>-SUMIF('YBN FH TB'!$R:$R,'FH P&amp;L'!$A10,'YBN FH TB'!D:D)</f>
        <v/>
      </c>
      <c r="Q10" s="37">
        <f>-SUMIF('YBN FH TB'!$R:$R,'FH P&amp;L'!$A10,'YBN FH TB'!E:E)</f>
        <v/>
      </c>
      <c r="R10" s="37">
        <f>-SUMIF('YBN FH TB'!$R:$R,'FH P&amp;L'!$A10,'YBN FH TB'!F:F)</f>
        <v/>
      </c>
      <c r="S10" s="37">
        <f>-SUMIF('YBN FH TB'!$R:$R,'FH P&amp;L'!$A10,'YBN FH TB'!G:G)</f>
        <v/>
      </c>
      <c r="T10" s="37">
        <f>-SUMIF('YBN FH TB'!$R:$R,'FH P&amp;L'!$A10,'YBN FH TB'!H:H)</f>
        <v/>
      </c>
      <c r="U10" s="37">
        <f>-SUMIF('YBN FH TB'!$R:$R,'FH P&amp;L'!$A10,'YBN FH TB'!I:I)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8" t="n">
        <v>0</v>
      </c>
      <c r="AJ10" s="119" t="n">
        <v>0</v>
      </c>
      <c r="AK10" s="119" t="n">
        <v>0</v>
      </c>
      <c r="AL10" s="119" t="n">
        <v>0</v>
      </c>
      <c r="AM10" s="120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20117.83</v>
      </c>
      <c r="C11" s="42" t="n">
        <v>20249.13</v>
      </c>
      <c r="D11" s="42" t="n">
        <v>26571.5</v>
      </c>
      <c r="E11" s="42" t="n">
        <v>19831.28</v>
      </c>
      <c r="F11" s="42" t="n">
        <v>18403.03</v>
      </c>
      <c r="G11" s="42" t="n">
        <v>17457.45</v>
      </c>
      <c r="H11" s="42" t="n">
        <v>24037.05</v>
      </c>
      <c r="I11" s="42" t="n">
        <v>10930.69</v>
      </c>
      <c r="J11" s="42" t="n">
        <v>13199.67</v>
      </c>
      <c r="K11" s="42" t="n">
        <v>14024.35</v>
      </c>
      <c r="L11" s="42" t="n">
        <v>12673.34</v>
      </c>
      <c r="M11" s="42" t="n">
        <v>38658.63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3">
        <f>SUM(AI8:AI10)</f>
        <v/>
      </c>
      <c r="AJ11" s="124">
        <f>SUM(AJ8:AJ10)</f>
        <v/>
      </c>
      <c r="AK11" s="124">
        <f>SUM(AK8:AK10)</f>
        <v/>
      </c>
      <c r="AL11" s="124">
        <f>SUM(AL8:AL10)</f>
        <v/>
      </c>
      <c r="AM11" s="124">
        <f>SUM(AM8:AM10)</f>
        <v/>
      </c>
      <c r="AN11" s="123">
        <f>SUM(AN8:AN10)</f>
        <v/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7" t="n">
        <v>0</v>
      </c>
      <c r="AJ12" s="128" t="n">
        <v>0</v>
      </c>
      <c r="AK12" s="128" t="n">
        <v>0</v>
      </c>
      <c r="AL12" s="128" t="n">
        <v>0</v>
      </c>
      <c r="AM12" s="129" t="n">
        <v>0</v>
      </c>
      <c r="AN12" s="127" t="n">
        <v>0</v>
      </c>
      <c r="AO12" s="121">
        <f>SUM(AC12:AH12)+SUM(AI12:AN12)</f>
        <v/>
      </c>
      <c r="AP12" s="122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 t="n">
        <v>0</v>
      </c>
      <c r="AJ13" s="131" t="n">
        <v>0</v>
      </c>
      <c r="AK13" s="131" t="n">
        <v>0</v>
      </c>
      <c r="AL13" s="131" t="n">
        <v>0</v>
      </c>
      <c r="AM13" s="132" t="n">
        <v>0</v>
      </c>
      <c r="AN13" s="130" t="n">
        <v>0</v>
      </c>
      <c r="AO13" s="133">
        <f>SUM(AC13:AH13)+SUM(AI13:AN13)</f>
        <v/>
      </c>
      <c r="AP13" s="122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13853.25</v>
      </c>
      <c r="C16" s="35" t="n">
        <v>13920.39</v>
      </c>
      <c r="D16" s="35" t="n">
        <v>10885.86</v>
      </c>
      <c r="E16" s="35" t="n">
        <v>11734.94</v>
      </c>
      <c r="F16" s="35" t="n">
        <v>11884.27</v>
      </c>
      <c r="G16" s="35" t="n">
        <v>11731.04</v>
      </c>
      <c r="H16" s="35" t="n">
        <v>15058.12</v>
      </c>
      <c r="I16" s="35" t="n">
        <v>12658.92</v>
      </c>
      <c r="J16" s="35" t="n">
        <v>12033.38</v>
      </c>
      <c r="K16" s="35" t="n">
        <v>14221.18</v>
      </c>
      <c r="L16" s="35" t="n">
        <v>14943.61</v>
      </c>
      <c r="M16" s="35" t="n">
        <v>12969.62</v>
      </c>
      <c r="N16" s="36">
        <f>SUM(B16:M16)</f>
        <v/>
      </c>
      <c r="O16" s="37">
        <f>SUMIF('YBN FH TB'!$R:$R,'FH P&amp;L'!$A16,'YBN FH TB'!C:C)</f>
        <v/>
      </c>
      <c r="P16" s="37">
        <f>SUMIF('YBN FH TB'!$R:$R,'FH P&amp;L'!$A16,'YBN FH TB'!D:D)</f>
        <v/>
      </c>
      <c r="Q16" s="37">
        <f>SUMIF('YBN FH TB'!$R:$R,'FH P&amp;L'!$A16,'YBN FH TB'!E:E)</f>
        <v/>
      </c>
      <c r="R16" s="37">
        <f>SUMIF('YBN FH TB'!$R:$R,'FH P&amp;L'!$A16,'YBN FH TB'!F:F)</f>
        <v/>
      </c>
      <c r="S16" s="37">
        <f>SUMIF('YBN FH TB'!$R:$R,'FH P&amp;L'!$A16,'YBN FH TB'!G:G)</f>
        <v/>
      </c>
      <c r="T16" s="37">
        <f>SUMIF('YBN FH TB'!$R:$R,'FH P&amp;L'!$A16,'YBN FH TB'!H:H)</f>
        <v/>
      </c>
      <c r="U16" s="37">
        <f>SUMIF('YBN FH TB'!$R:$R,'FH P&amp;L'!$A16,'YBN FH TB'!I:I)</f>
        <v/>
      </c>
      <c r="V16" s="38" t="n">
        <v>17344.06</v>
      </c>
      <c r="W16" s="38" t="n">
        <v>17344.06</v>
      </c>
      <c r="X16" s="38" t="n">
        <v>17344.06</v>
      </c>
      <c r="Y16" s="38" t="n">
        <v>17344.06</v>
      </c>
      <c r="Z16" s="38" t="n">
        <v>17344.06</v>
      </c>
      <c r="AA16" s="36">
        <f>SUM(O16:U16)</f>
        <v/>
      </c>
      <c r="AB16" s="36">
        <f>SUM(O16:Z16)</f>
        <v/>
      </c>
      <c r="AC16" s="38" t="n">
        <v>17344.06</v>
      </c>
      <c r="AD16" s="38" t="n">
        <v>17344.06</v>
      </c>
      <c r="AE16" s="38" t="n">
        <v>17344.06</v>
      </c>
      <c r="AF16" s="38" t="n">
        <v>17344.06</v>
      </c>
      <c r="AG16" s="38" t="n">
        <v>17344.06</v>
      </c>
      <c r="AH16" s="38" t="n">
        <v>17344.06</v>
      </c>
      <c r="AI16" s="118" t="n">
        <v>17344.06</v>
      </c>
      <c r="AJ16" s="119" t="n">
        <v>17344.06</v>
      </c>
      <c r="AK16" s="119" t="n">
        <v>17344.06</v>
      </c>
      <c r="AL16" s="119" t="n">
        <v>17344.06</v>
      </c>
      <c r="AM16" s="120" t="n">
        <v>17344.06</v>
      </c>
      <c r="AN16" s="118" t="n">
        <v>17344.06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1069.51</v>
      </c>
      <c r="C17" s="35" t="n">
        <v>1065.83</v>
      </c>
      <c r="D17" s="35" t="n">
        <v>730.8099999999999</v>
      </c>
      <c r="E17" s="35" t="n">
        <v>1121.54</v>
      </c>
      <c r="F17" s="35" t="n">
        <v>1145.85</v>
      </c>
      <c r="G17" s="35" t="n">
        <v>1120.74</v>
      </c>
      <c r="H17" s="35" t="n">
        <v>1457.54</v>
      </c>
      <c r="I17" s="35" t="n">
        <v>1187.6</v>
      </c>
      <c r="J17" s="35" t="n">
        <v>1147.14</v>
      </c>
      <c r="K17" s="35" t="n">
        <v>1417.58</v>
      </c>
      <c r="L17" s="35" t="n">
        <v>1470.89</v>
      </c>
      <c r="M17" s="35" t="n">
        <v>1237.76</v>
      </c>
      <c r="N17" s="36">
        <f>SUM(B17:M17)</f>
        <v/>
      </c>
      <c r="O17" s="37">
        <f>SUMIF('YBN FH TB'!$R:$R,'FH P&amp;L'!$A17,'YBN FH TB'!C:C)</f>
        <v/>
      </c>
      <c r="P17" s="37">
        <f>SUMIF('YBN FH TB'!$R:$R,'FH P&amp;L'!$A17,'YBN FH TB'!D:D)</f>
        <v/>
      </c>
      <c r="Q17" s="37">
        <f>SUMIF('YBN FH TB'!$R:$R,'FH P&amp;L'!$A17,'YBN FH TB'!E:E)</f>
        <v/>
      </c>
      <c r="R17" s="37">
        <f>SUMIF('YBN FH TB'!$R:$R,'FH P&amp;L'!$A17,'YBN FH TB'!F:F)</f>
        <v/>
      </c>
      <c r="S17" s="37">
        <f>SUMIF('YBN FH TB'!$R:$R,'FH P&amp;L'!$A17,'YBN FH TB'!G:G)</f>
        <v/>
      </c>
      <c r="T17" s="37">
        <f>SUMIF('YBN FH TB'!$R:$R,'FH P&amp;L'!$A17,'YBN FH TB'!H:H)</f>
        <v/>
      </c>
      <c r="U17" s="37">
        <f>SUMIF('YBN FH TB'!$R:$R,'FH P&amp;L'!$A17,'YBN FH TB'!I:I)</f>
        <v/>
      </c>
      <c r="V17" s="38" t="n">
        <v>1940.36</v>
      </c>
      <c r="W17" s="38" t="n">
        <v>1940.36</v>
      </c>
      <c r="X17" s="38" t="n">
        <v>1940.36</v>
      </c>
      <c r="Y17" s="38" t="n">
        <v>1940.36</v>
      </c>
      <c r="Z17" s="38" t="n">
        <v>1940.36</v>
      </c>
      <c r="AA17" s="36">
        <f>SUM(O17:U17)</f>
        <v/>
      </c>
      <c r="AB17" s="36">
        <f>SUM(O17:Z17)</f>
        <v/>
      </c>
      <c r="AC17" s="38" t="n">
        <v>1940.36</v>
      </c>
      <c r="AD17" s="38" t="n">
        <v>1940.36</v>
      </c>
      <c r="AE17" s="38" t="n">
        <v>1940.36</v>
      </c>
      <c r="AF17" s="38" t="n">
        <v>1940.36</v>
      </c>
      <c r="AG17" s="38" t="n">
        <v>1940.36</v>
      </c>
      <c r="AH17" s="38" t="n">
        <v>1940.36</v>
      </c>
      <c r="AI17" s="118" t="n">
        <v>1940.36</v>
      </c>
      <c r="AJ17" s="119" t="n">
        <v>1940.36</v>
      </c>
      <c r="AK17" s="119" t="n">
        <v>1940.36</v>
      </c>
      <c r="AL17" s="119" t="n">
        <v>1940.36</v>
      </c>
      <c r="AM17" s="120" t="n">
        <v>1940.36</v>
      </c>
      <c r="AN17" s="118" t="n">
        <v>1940.36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237.38</v>
      </c>
      <c r="C18" s="35" t="n">
        <v>236.58</v>
      </c>
      <c r="D18" s="35" t="n">
        <v>156.6</v>
      </c>
      <c r="E18" s="35" t="n">
        <v>179.38</v>
      </c>
      <c r="F18" s="35" t="n">
        <v>216.8</v>
      </c>
      <c r="G18" s="35" t="n">
        <v>211.77</v>
      </c>
      <c r="H18" s="35" t="n">
        <v>228</v>
      </c>
      <c r="I18" s="35" t="n">
        <v>221.31</v>
      </c>
      <c r="J18" s="35" t="n">
        <v>217.06</v>
      </c>
      <c r="K18" s="35" t="n">
        <v>234.2</v>
      </c>
      <c r="L18" s="35" t="n">
        <v>215.9</v>
      </c>
      <c r="M18" s="35" t="n">
        <v>203.98</v>
      </c>
      <c r="N18" s="36">
        <f>SUM(B18:M18)</f>
        <v/>
      </c>
      <c r="O18" s="37">
        <f>SUMIF('YBN FH TB'!$R:$R,'FH P&amp;L'!$A18,'YBN FH TB'!C:C)</f>
        <v/>
      </c>
      <c r="P18" s="37">
        <f>SUMIF('YBN FH TB'!$R:$R,'FH P&amp;L'!$A18,'YBN FH TB'!D:D)</f>
        <v/>
      </c>
      <c r="Q18" s="37">
        <f>SUMIF('YBN FH TB'!$R:$R,'FH P&amp;L'!$A18,'YBN FH TB'!E:E)</f>
        <v/>
      </c>
      <c r="R18" s="37">
        <f>SUMIF('YBN FH TB'!$R:$R,'FH P&amp;L'!$A18,'YBN FH TB'!F:F)</f>
        <v/>
      </c>
      <c r="S18" s="37">
        <f>SUMIF('YBN FH TB'!$R:$R,'FH P&amp;L'!$A18,'YBN FH TB'!G:G)</f>
        <v/>
      </c>
      <c r="T18" s="37">
        <f>SUMIF('YBN FH TB'!$R:$R,'FH P&amp;L'!$A18,'YBN FH TB'!H:H)</f>
        <v/>
      </c>
      <c r="U18" s="37">
        <f>SUMIF('YBN FH TB'!$R:$R,'FH P&amp;L'!$A18,'YBN FH TB'!I:I)</f>
        <v/>
      </c>
      <c r="V18" s="38" t="n">
        <v>282.56</v>
      </c>
      <c r="W18" s="38" t="n">
        <v>282.56</v>
      </c>
      <c r="X18" s="38" t="n">
        <v>282.56</v>
      </c>
      <c r="Y18" s="38" t="n">
        <v>282.56</v>
      </c>
      <c r="Z18" s="38" t="n">
        <v>282.56</v>
      </c>
      <c r="AA18" s="36">
        <f>SUM(O18:U18)</f>
        <v/>
      </c>
      <c r="AB18" s="36">
        <f>SUM(O18:Z18)</f>
        <v/>
      </c>
      <c r="AC18" s="38" t="n">
        <v>282.56</v>
      </c>
      <c r="AD18" s="38" t="n">
        <v>282.56</v>
      </c>
      <c r="AE18" s="38" t="n">
        <v>282.56</v>
      </c>
      <c r="AF18" s="38" t="n">
        <v>282.56</v>
      </c>
      <c r="AG18" s="38" t="n">
        <v>282.56</v>
      </c>
      <c r="AH18" s="38" t="n">
        <v>282.56</v>
      </c>
      <c r="AI18" s="118" t="n">
        <v>282.56</v>
      </c>
      <c r="AJ18" s="119" t="n">
        <v>282.56</v>
      </c>
      <c r="AK18" s="119" t="n">
        <v>282.56</v>
      </c>
      <c r="AL18" s="119" t="n">
        <v>282.56</v>
      </c>
      <c r="AM18" s="120" t="n">
        <v>282.56</v>
      </c>
      <c r="AN18" s="118" t="n">
        <v>282.56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97.16</v>
      </c>
      <c r="D19" s="35" t="n">
        <v>74.22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132.9</v>
      </c>
      <c r="K19" s="35" t="n">
        <v>0</v>
      </c>
      <c r="L19" s="35" t="n">
        <v>158.34</v>
      </c>
      <c r="M19" s="35" t="n">
        <v>0</v>
      </c>
      <c r="N19" s="36">
        <f>SUM(B19:M19)</f>
        <v/>
      </c>
      <c r="O19" s="37">
        <f>SUMIF('YBN FH TB'!$R:$R,'FH P&amp;L'!$A19,'YBN FH TB'!C:C)</f>
        <v/>
      </c>
      <c r="P19" s="37">
        <f>SUMIF('YBN FH TB'!$R:$R,'FH P&amp;L'!$A19,'YBN FH TB'!D:D)</f>
        <v/>
      </c>
      <c r="Q19" s="37">
        <f>SUMIF('YBN FH TB'!$R:$R,'FH P&amp;L'!$A19,'YBN FH TB'!E:E)</f>
        <v/>
      </c>
      <c r="R19" s="37">
        <f>SUMIF('YBN FH TB'!$R:$R,'FH P&amp;L'!$A19,'YBN FH TB'!F:F)</f>
        <v/>
      </c>
      <c r="S19" s="37">
        <f>SUMIF('YBN FH TB'!$R:$R,'FH P&amp;L'!$A19,'YBN FH TB'!G:G)</f>
        <v/>
      </c>
      <c r="T19" s="37">
        <f>SUMIF('YBN FH TB'!$R:$R,'FH P&amp;L'!$A19,'YBN FH TB'!H:H)</f>
        <v/>
      </c>
      <c r="U19" s="37">
        <f>SUMIF('YBN FH TB'!$R:$R,'FH P&amp;L'!$A19,'YBN FH TB'!I:I)</f>
        <v/>
      </c>
      <c r="V19" s="38" t="n">
        <v>34</v>
      </c>
      <c r="W19" s="38" t="n">
        <v>34</v>
      </c>
      <c r="X19" s="38" t="n">
        <v>34</v>
      </c>
      <c r="Y19" s="38" t="n">
        <v>34</v>
      </c>
      <c r="Z19" s="38" t="n">
        <v>34</v>
      </c>
      <c r="AA19" s="36">
        <f>SUM(O19:U19)</f>
        <v/>
      </c>
      <c r="AB19" s="36">
        <f>SUM(O19:Z19)</f>
        <v/>
      </c>
      <c r="AC19" s="38" t="n">
        <v>34</v>
      </c>
      <c r="AD19" s="38" t="n">
        <v>34</v>
      </c>
      <c r="AE19" s="38" t="n">
        <v>34</v>
      </c>
      <c r="AF19" s="38" t="n">
        <v>34</v>
      </c>
      <c r="AG19" s="38" t="n">
        <v>34</v>
      </c>
      <c r="AH19" s="38" t="n">
        <v>34</v>
      </c>
      <c r="AI19" s="118" t="n">
        <v>34</v>
      </c>
      <c r="AJ19" s="119" t="n">
        <v>34</v>
      </c>
      <c r="AK19" s="119" t="n">
        <v>34</v>
      </c>
      <c r="AL19" s="119" t="n">
        <v>34</v>
      </c>
      <c r="AM19" s="120" t="n">
        <v>34</v>
      </c>
      <c r="AN19" s="118" t="n">
        <v>34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24.98</v>
      </c>
      <c r="C20" s="35" t="n">
        <v>0</v>
      </c>
      <c r="D20" s="35" t="n">
        <v>0</v>
      </c>
      <c r="E20" s="35" t="n">
        <v>72</v>
      </c>
      <c r="F20" s="35" t="n">
        <v>31.2</v>
      </c>
      <c r="G20" s="35" t="n">
        <v>0</v>
      </c>
      <c r="H20" s="35" t="n">
        <v>61.2</v>
      </c>
      <c r="I20" s="35" t="n">
        <v>78</v>
      </c>
      <c r="J20" s="35" t="n">
        <v>37.2</v>
      </c>
      <c r="K20" s="35" t="n">
        <v>114</v>
      </c>
      <c r="L20" s="35" t="n">
        <v>496.9</v>
      </c>
      <c r="M20" s="35" t="n">
        <v>0</v>
      </c>
      <c r="N20" s="36">
        <f>SUM(B20:M20)</f>
        <v/>
      </c>
      <c r="O20" s="37">
        <f>SUMIF('YBN FH TB'!$R:$R,'FH P&amp;L'!$A20,'YBN FH TB'!C:C)</f>
        <v/>
      </c>
      <c r="P20" s="37">
        <f>SUMIF('YBN FH TB'!$R:$R,'FH P&amp;L'!$A20,'YBN FH TB'!D:D)</f>
        <v/>
      </c>
      <c r="Q20" s="37">
        <f>SUMIF('YBN FH TB'!$R:$R,'FH P&amp;L'!$A20,'YBN FH TB'!E:E)</f>
        <v/>
      </c>
      <c r="R20" s="37">
        <f>SUMIF('YBN FH TB'!$R:$R,'FH P&amp;L'!$A20,'YBN FH TB'!F:F)</f>
        <v/>
      </c>
      <c r="S20" s="37">
        <f>SUMIF('YBN FH TB'!$R:$R,'FH P&amp;L'!$A20,'YBN FH TB'!G:G)</f>
        <v/>
      </c>
      <c r="T20" s="37">
        <f>SUMIF('YBN FH TB'!$R:$R,'FH P&amp;L'!$A20,'YBN FH TB'!H:H)</f>
        <v/>
      </c>
      <c r="U20" s="37">
        <f>SUMIF('YBN FH TB'!$R:$R,'FH P&amp;L'!$A20,'YBN FH TB'!I:I)</f>
        <v/>
      </c>
      <c r="V20" s="38" t="n">
        <v>50</v>
      </c>
      <c r="W20" s="38" t="n">
        <v>50</v>
      </c>
      <c r="X20" s="38" t="n">
        <v>50</v>
      </c>
      <c r="Y20" s="38" t="n">
        <v>50</v>
      </c>
      <c r="Z20" s="38" t="n">
        <v>50</v>
      </c>
      <c r="AA20" s="36">
        <f>SUM(O20:U20)</f>
        <v/>
      </c>
      <c r="AB20" s="36">
        <f>SUM(O20:Z20)</f>
        <v/>
      </c>
      <c r="AC20" s="38" t="n">
        <v>50</v>
      </c>
      <c r="AD20" s="38" t="n">
        <v>50</v>
      </c>
      <c r="AE20" s="38" t="n">
        <v>50</v>
      </c>
      <c r="AF20" s="38" t="n">
        <v>50</v>
      </c>
      <c r="AG20" s="38" t="n">
        <v>50</v>
      </c>
      <c r="AH20" s="38" t="n">
        <v>50</v>
      </c>
      <c r="AI20" s="118" t="n">
        <v>50</v>
      </c>
      <c r="AJ20" s="119" t="n">
        <v>50</v>
      </c>
      <c r="AK20" s="119" t="n">
        <v>50</v>
      </c>
      <c r="AL20" s="119" t="n">
        <v>50</v>
      </c>
      <c r="AM20" s="120" t="n">
        <v>50</v>
      </c>
      <c r="AN20" s="118" t="n">
        <v>50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52.64</v>
      </c>
      <c r="C21" s="35" t="n">
        <v>83.47</v>
      </c>
      <c r="D21" s="35" t="n">
        <v>184.8</v>
      </c>
      <c r="E21" s="35" t="n">
        <v>82.88</v>
      </c>
      <c r="F21" s="35" t="n">
        <v>111.1</v>
      </c>
      <c r="G21" s="35" t="n">
        <v>58.14</v>
      </c>
      <c r="H21" s="35" t="n">
        <v>174.11</v>
      </c>
      <c r="I21" s="35" t="n">
        <v>101.97</v>
      </c>
      <c r="J21" s="35" t="n">
        <v>76.61</v>
      </c>
      <c r="K21" s="35" t="n">
        <v>140.2</v>
      </c>
      <c r="L21" s="35" t="n">
        <v>107.45</v>
      </c>
      <c r="M21" s="35" t="n">
        <v>154.31</v>
      </c>
      <c r="N21" s="36">
        <f>SUM(B21:M21)</f>
        <v/>
      </c>
      <c r="O21" s="37">
        <f>SUMIF('YBN FH TB'!$R:$R,'FH P&amp;L'!$A21,'YBN FH TB'!C:C)</f>
        <v/>
      </c>
      <c r="P21" s="37">
        <f>SUMIF('YBN FH TB'!$R:$R,'FH P&amp;L'!$A21,'YBN FH TB'!D:D)</f>
        <v/>
      </c>
      <c r="Q21" s="37">
        <f>SUMIF('YBN FH TB'!$R:$R,'FH P&amp;L'!$A21,'YBN FH TB'!E:E)</f>
        <v/>
      </c>
      <c r="R21" s="37">
        <f>SUMIF('YBN FH TB'!$R:$R,'FH P&amp;L'!$A21,'YBN FH TB'!F:F)</f>
        <v/>
      </c>
      <c r="S21" s="37">
        <f>SUMIF('YBN FH TB'!$R:$R,'FH P&amp;L'!$A21,'YBN FH TB'!G:G)</f>
        <v/>
      </c>
      <c r="T21" s="37">
        <f>SUMIF('YBN FH TB'!$R:$R,'FH P&amp;L'!$A21,'YBN FH TB'!H:H)</f>
        <v/>
      </c>
      <c r="U21" s="37">
        <f>SUMIF('YBN FH TB'!$R:$R,'FH P&amp;L'!$A21,'YBN FH TB'!I:I)</f>
        <v/>
      </c>
      <c r="V21" s="38" t="n">
        <v>70</v>
      </c>
      <c r="W21" s="38" t="n">
        <v>70</v>
      </c>
      <c r="X21" s="38" t="n">
        <v>70</v>
      </c>
      <c r="Y21" s="38" t="n">
        <v>70</v>
      </c>
      <c r="Z21" s="38" t="n">
        <v>70</v>
      </c>
      <c r="AA21" s="36">
        <f>SUM(O21:U21)</f>
        <v/>
      </c>
      <c r="AB21" s="36">
        <f>SUM(O21:Z21)</f>
        <v/>
      </c>
      <c r="AC21" s="38" t="n">
        <v>70</v>
      </c>
      <c r="AD21" s="38" t="n">
        <v>70</v>
      </c>
      <c r="AE21" s="38" t="n">
        <v>70</v>
      </c>
      <c r="AF21" s="38" t="n">
        <v>70</v>
      </c>
      <c r="AG21" s="38" t="n">
        <v>70</v>
      </c>
      <c r="AH21" s="38" t="n">
        <v>70</v>
      </c>
      <c r="AI21" s="118" t="n">
        <v>70</v>
      </c>
      <c r="AJ21" s="119" t="n">
        <v>70</v>
      </c>
      <c r="AK21" s="119" t="n">
        <v>70</v>
      </c>
      <c r="AL21" s="119" t="n">
        <v>70</v>
      </c>
      <c r="AM21" s="120" t="n">
        <v>70</v>
      </c>
      <c r="AN21" s="118" t="n">
        <v>70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SUMIF('YBN FH TB'!$R:$R,'FH P&amp;L'!$A22,'YBN FH TB'!C:C)</f>
        <v/>
      </c>
      <c r="P22" s="37">
        <f>SUMIF('YBN FH TB'!$R:$R,'FH P&amp;L'!$A22,'YBN FH TB'!D:D)</f>
        <v/>
      </c>
      <c r="Q22" s="37">
        <f>SUMIF('YBN FH TB'!$R:$R,'FH P&amp;L'!$A22,'YBN FH TB'!E:E)</f>
        <v/>
      </c>
      <c r="R22" s="37">
        <f>SUMIF('YBN FH TB'!$R:$R,'FH P&amp;L'!$A22,'YBN FH TB'!F:F)</f>
        <v/>
      </c>
      <c r="S22" s="37">
        <f>SUMIF('YBN FH TB'!$R:$R,'FH P&amp;L'!$A22,'YBN FH TB'!G:G)</f>
        <v/>
      </c>
      <c r="T22" s="37">
        <f>SUMIF('YBN FH TB'!$R:$R,'FH P&amp;L'!$A22,'YBN FH TB'!H:H)</f>
        <v/>
      </c>
      <c r="U22" s="37">
        <f>SUMIF('YBN FH TB'!$R:$R,'FH P&amp;L'!$A22,'YBN FH TB'!I:I)</f>
        <v/>
      </c>
      <c r="V22" s="38" t="n">
        <v>0</v>
      </c>
      <c r="W22" s="38" t="n">
        <v>0</v>
      </c>
      <c r="X22" s="38" t="n">
        <v>0</v>
      </c>
      <c r="Y22" s="38" t="n">
        <v>0</v>
      </c>
      <c r="Z22" s="38" t="n">
        <v>0</v>
      </c>
      <c r="AA22" s="36">
        <f>SUM(O22:U22)</f>
        <v/>
      </c>
      <c r="AB22" s="36">
        <f>SUM(O22:Z22)</f>
        <v/>
      </c>
      <c r="AC22" s="38" t="n">
        <v>0</v>
      </c>
      <c r="AD22" s="38" t="n">
        <v>0</v>
      </c>
      <c r="AE22" s="38" t="n">
        <v>0</v>
      </c>
      <c r="AF22" s="38" t="n">
        <v>0</v>
      </c>
      <c r="AG22" s="38" t="n">
        <v>0</v>
      </c>
      <c r="AH22" s="38" t="n">
        <v>0</v>
      </c>
      <c r="AI22" s="118" t="n">
        <v>0</v>
      </c>
      <c r="AJ22" s="119" t="n">
        <v>0</v>
      </c>
      <c r="AK22" s="119" t="n">
        <v>0</v>
      </c>
      <c r="AL22" s="119" t="n">
        <v>0</v>
      </c>
      <c r="AM22" s="120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15.98</v>
      </c>
      <c r="I23" s="35" t="n">
        <v>0</v>
      </c>
      <c r="J23" s="35" t="n">
        <v>0</v>
      </c>
      <c r="K23" s="35" t="n">
        <v>17.97</v>
      </c>
      <c r="L23" s="35" t="n">
        <v>0</v>
      </c>
      <c r="M23" s="35" t="n">
        <v>0</v>
      </c>
      <c r="N23" s="36">
        <f>SUM(B23:M23)</f>
        <v/>
      </c>
      <c r="O23" s="37">
        <f>SUMIF('YBN FH TB'!$R:$R,'FH P&amp;L'!$A23,'YBN FH TB'!C:C)</f>
        <v/>
      </c>
      <c r="P23" s="37">
        <f>SUMIF('YBN FH TB'!$R:$R,'FH P&amp;L'!$A23,'YBN FH TB'!D:D)</f>
        <v/>
      </c>
      <c r="Q23" s="37">
        <f>SUMIF('YBN FH TB'!$R:$R,'FH P&amp;L'!$A23,'YBN FH TB'!E:E)</f>
        <v/>
      </c>
      <c r="R23" s="37">
        <f>SUMIF('YBN FH TB'!$R:$R,'FH P&amp;L'!$A23,'YBN FH TB'!F:F)</f>
        <v/>
      </c>
      <c r="S23" s="37">
        <f>SUMIF('YBN FH TB'!$R:$R,'FH P&amp;L'!$A23,'YBN FH TB'!G:G)</f>
        <v/>
      </c>
      <c r="T23" s="37">
        <f>SUMIF('YBN FH TB'!$R:$R,'FH P&amp;L'!$A23,'YBN FH TB'!H:H)</f>
        <v/>
      </c>
      <c r="U23" s="37">
        <f>SUMIF('YBN FH TB'!$R:$R,'FH P&amp;L'!$A23,'YBN FH TB'!I:I)</f>
        <v/>
      </c>
      <c r="V23" s="38" t="n">
        <v>29</v>
      </c>
      <c r="W23" s="38" t="n">
        <v>29</v>
      </c>
      <c r="X23" s="38" t="n">
        <v>29</v>
      </c>
      <c r="Y23" s="38" t="n">
        <v>29</v>
      </c>
      <c r="Z23" s="38" t="n">
        <v>29</v>
      </c>
      <c r="AA23" s="36">
        <f>SUM(O23:U23)</f>
        <v/>
      </c>
      <c r="AB23" s="36">
        <f>SUM(O23:Z23)</f>
        <v/>
      </c>
      <c r="AC23" s="38" t="n">
        <v>29</v>
      </c>
      <c r="AD23" s="38" t="n">
        <v>29</v>
      </c>
      <c r="AE23" s="38" t="n">
        <v>29</v>
      </c>
      <c r="AF23" s="38" t="n">
        <v>29</v>
      </c>
      <c r="AG23" s="38" t="n">
        <v>29</v>
      </c>
      <c r="AH23" s="38" t="n">
        <v>29</v>
      </c>
      <c r="AI23" s="118" t="n">
        <v>29</v>
      </c>
      <c r="AJ23" s="119" t="n">
        <v>29</v>
      </c>
      <c r="AK23" s="119" t="n">
        <v>29</v>
      </c>
      <c r="AL23" s="119" t="n">
        <v>29</v>
      </c>
      <c r="AM23" s="120" t="n">
        <v>29</v>
      </c>
      <c r="AN23" s="118" t="n">
        <v>29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SUMIF('YBN FH TB'!$R:$R,'FH P&amp;L'!$A24,'YBN FH TB'!C:C)</f>
        <v/>
      </c>
      <c r="P24" s="37">
        <f>SUMIF('YBN FH TB'!$R:$R,'FH P&amp;L'!$A24,'YBN FH TB'!D:D)</f>
        <v/>
      </c>
      <c r="Q24" s="37">
        <f>SUMIF('YBN FH TB'!$R:$R,'FH P&amp;L'!$A24,'YBN FH TB'!E:E)</f>
        <v/>
      </c>
      <c r="R24" s="37">
        <f>SUMIF('YBN FH TB'!$R:$R,'FH P&amp;L'!$A24,'YBN FH TB'!F:F)</f>
        <v/>
      </c>
      <c r="S24" s="37">
        <f>SUMIF('YBN FH TB'!$R:$R,'FH P&amp;L'!$A24,'YBN FH TB'!G:G)</f>
        <v/>
      </c>
      <c r="T24" s="37">
        <f>SUMIF('YBN FH TB'!$R:$R,'FH P&amp;L'!$A24,'YBN FH TB'!H:H)</f>
        <v/>
      </c>
      <c r="U24" s="37">
        <f>SUMIF('YBN FH TB'!$R:$R,'FH P&amp;L'!$A24,'YBN FH TB'!I:I)</f>
        <v/>
      </c>
      <c r="V24" s="38" t="n">
        <v>0</v>
      </c>
      <c r="W24" s="38" t="n">
        <v>0</v>
      </c>
      <c r="X24" s="38" t="n">
        <v>0</v>
      </c>
      <c r="Y24" s="38" t="n">
        <v>0</v>
      </c>
      <c r="Z24" s="38" t="n">
        <v>0</v>
      </c>
      <c r="AA24" s="36">
        <f>SUM(O24:U24)</f>
        <v/>
      </c>
      <c r="AB24" s="36">
        <f>SUM(O24:Z24)</f>
        <v/>
      </c>
      <c r="AC24" s="38" t="n">
        <v>0</v>
      </c>
      <c r="AD24" s="38" t="n">
        <v>0</v>
      </c>
      <c r="AE24" s="38" t="n">
        <v>0</v>
      </c>
      <c r="AF24" s="38" t="n">
        <v>0</v>
      </c>
      <c r="AG24" s="38" t="n">
        <v>0</v>
      </c>
      <c r="AH24" s="38" t="n">
        <v>0</v>
      </c>
      <c r="AI24" s="118" t="n">
        <v>0</v>
      </c>
      <c r="AJ24" s="119" t="n">
        <v>0</v>
      </c>
      <c r="AK24" s="119" t="n">
        <v>0</v>
      </c>
      <c r="AL24" s="119" t="n">
        <v>0</v>
      </c>
      <c r="AM24" s="120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15237.76</v>
      </c>
      <c r="C25" s="42" t="n">
        <v>15403.43</v>
      </c>
      <c r="D25" s="42" t="n">
        <v>12032.29</v>
      </c>
      <c r="E25" s="42" t="n">
        <v>13190.74</v>
      </c>
      <c r="F25" s="42" t="n">
        <v>13389.22</v>
      </c>
      <c r="G25" s="42" t="n">
        <v>13121.69</v>
      </c>
      <c r="H25" s="42" t="n">
        <v>16994.95</v>
      </c>
      <c r="I25" s="42" t="n">
        <v>14247.8</v>
      </c>
      <c r="J25" s="42" t="n">
        <v>13644.29</v>
      </c>
      <c r="K25" s="42" t="n">
        <v>16145.13</v>
      </c>
      <c r="L25" s="42" t="n">
        <v>17393.09</v>
      </c>
      <c r="M25" s="42" t="n">
        <v>14565.67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3">
        <f>SUM(AI16:AI24)</f>
        <v/>
      </c>
      <c r="AJ25" s="124">
        <f>SUM(AJ16:AJ24)</f>
        <v/>
      </c>
      <c r="AK25" s="124">
        <f>SUM(AK16:AK24)</f>
        <v/>
      </c>
      <c r="AL25" s="124">
        <f>SUM(AL16:AL24)</f>
        <v/>
      </c>
      <c r="AM25" s="124">
        <f>SUM(AM16:AM24)</f>
        <v/>
      </c>
      <c r="AN25" s="123">
        <f>SUM(AN16:AN24)</f>
        <v/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7" t="n">
        <v>0</v>
      </c>
      <c r="AJ26" s="128" t="n">
        <v>0</v>
      </c>
      <c r="AK26" s="128" t="n">
        <v>0</v>
      </c>
      <c r="AL26" s="128" t="n">
        <v>0</v>
      </c>
      <c r="AM26" s="129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735.61</v>
      </c>
      <c r="C27" s="35" t="n">
        <v>683.37</v>
      </c>
      <c r="D27" s="35" t="n">
        <v>752.22</v>
      </c>
      <c r="E27" s="35" t="n">
        <v>536.96</v>
      </c>
      <c r="F27" s="35" t="n">
        <v>708.88</v>
      </c>
      <c r="G27" s="35" t="n">
        <v>538.97</v>
      </c>
      <c r="H27" s="35" t="n">
        <v>591.0500000000001</v>
      </c>
      <c r="I27" s="35" t="n">
        <v>562.48</v>
      </c>
      <c r="J27" s="35" t="n">
        <v>397.93</v>
      </c>
      <c r="K27" s="35" t="n">
        <v>604.29</v>
      </c>
      <c r="L27" s="35" t="n">
        <v>540.3200000000001</v>
      </c>
      <c r="M27" s="35" t="n">
        <v>400.26</v>
      </c>
      <c r="N27" s="36">
        <f>SUM(B27:M27)</f>
        <v/>
      </c>
      <c r="O27" s="37">
        <f>SUMIF('YBN FH TB'!$R:$R,'FH P&amp;L'!$A27,'YBN FH TB'!C:C)</f>
        <v/>
      </c>
      <c r="P27" s="37">
        <f>SUMIF('YBN FH TB'!$R:$R,'FH P&amp;L'!$A27,'YBN FH TB'!D:D)</f>
        <v/>
      </c>
      <c r="Q27" s="37">
        <f>SUMIF('YBN FH TB'!$R:$R,'FH P&amp;L'!$A27,'YBN FH TB'!E:E)</f>
        <v/>
      </c>
      <c r="R27" s="37">
        <f>SUMIF('YBN FH TB'!$R:$R,'FH P&amp;L'!$A27,'YBN FH TB'!F:F)</f>
        <v/>
      </c>
      <c r="S27" s="37">
        <f>SUMIF('YBN FH TB'!$R:$R,'FH P&amp;L'!$A27,'YBN FH TB'!G:G)</f>
        <v/>
      </c>
      <c r="T27" s="37">
        <f>SUMIF('YBN FH TB'!$R:$R,'FH P&amp;L'!$A27,'YBN FH TB'!H:H)</f>
        <v/>
      </c>
      <c r="U27" s="37">
        <f>SUMIF('YBN FH TB'!$R:$R,'FH P&amp;L'!$A27,'YBN FH TB'!I:I)</f>
        <v/>
      </c>
      <c r="V27" s="38">
        <f>V$8*$AI27</f>
        <v/>
      </c>
      <c r="W27" s="38">
        <f>W$8*$AI27</f>
        <v/>
      </c>
      <c r="X27" s="38">
        <f>X$8*$AI27</f>
        <v/>
      </c>
      <c r="Y27" s="38">
        <f>Y$8*$AI27</f>
        <v/>
      </c>
      <c r="Z27" s="38">
        <f>Z$8*$AI27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18" t="n">
        <v>0</v>
      </c>
      <c r="AJ27" s="119" t="n">
        <v>0</v>
      </c>
      <c r="AK27" s="119" t="n">
        <v>0</v>
      </c>
      <c r="AL27" s="119" t="n">
        <v>0</v>
      </c>
      <c r="AM27" s="120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111.07</v>
      </c>
      <c r="C28" s="35" t="n">
        <v>29.84</v>
      </c>
      <c r="D28" s="35" t="n">
        <v>112.62</v>
      </c>
      <c r="E28" s="35" t="n">
        <v>222.49</v>
      </c>
      <c r="F28" s="35" t="n">
        <v>143.88</v>
      </c>
      <c r="G28" s="35" t="n">
        <v>29.34</v>
      </c>
      <c r="H28" s="35" t="n">
        <v>10.94</v>
      </c>
      <c r="I28" s="35" t="n">
        <v>61.39000000000001</v>
      </c>
      <c r="J28" s="35" t="n">
        <v>0</v>
      </c>
      <c r="K28" s="35" t="n">
        <v>524.92</v>
      </c>
      <c r="L28" s="35" t="n">
        <v>5.57</v>
      </c>
      <c r="M28" s="35" t="n">
        <v>12</v>
      </c>
      <c r="N28" s="36">
        <f>SUM(B28:M28)</f>
        <v/>
      </c>
      <c r="O28" s="37">
        <f>SUMIF('YBN FH TB'!$R:$R,'FH P&amp;L'!$A28,'YBN FH TB'!C:C)</f>
        <v/>
      </c>
      <c r="P28" s="37">
        <f>SUMIF('YBN FH TB'!$R:$R,'FH P&amp;L'!$A28,'YBN FH TB'!D:D)</f>
        <v/>
      </c>
      <c r="Q28" s="37">
        <f>SUMIF('YBN FH TB'!$R:$R,'FH P&amp;L'!$A28,'YBN FH TB'!E:E)</f>
        <v/>
      </c>
      <c r="R28" s="37">
        <f>SUMIF('YBN FH TB'!$R:$R,'FH P&amp;L'!$A28,'YBN FH TB'!F:F)</f>
        <v/>
      </c>
      <c r="S28" s="37">
        <f>SUMIF('YBN FH TB'!$R:$R,'FH P&amp;L'!$A28,'YBN FH TB'!G:G)</f>
        <v/>
      </c>
      <c r="T28" s="37">
        <f>SUMIF('YBN FH TB'!$R:$R,'FH P&amp;L'!$A28,'YBN FH TB'!H:H)</f>
        <v/>
      </c>
      <c r="U28" s="37">
        <f>SUMIF('YBN FH TB'!$R:$R,'FH P&amp;L'!$A28,'YBN FH TB'!I:I)</f>
        <v/>
      </c>
      <c r="V28" s="38" t="n">
        <v>54</v>
      </c>
      <c r="W28" s="38" t="n">
        <v>55</v>
      </c>
      <c r="X28" s="38" t="n">
        <v>56</v>
      </c>
      <c r="Y28" s="38" t="n">
        <v>57</v>
      </c>
      <c r="Z28" s="38" t="n">
        <v>58</v>
      </c>
      <c r="AA28" s="36">
        <f>SUM(O28:U28)</f>
        <v/>
      </c>
      <c r="AB28" s="36">
        <f>SUM(O28:Z28)</f>
        <v/>
      </c>
      <c r="AC28" s="38" t="n">
        <v>58</v>
      </c>
      <c r="AD28" s="38" t="n">
        <v>58</v>
      </c>
      <c r="AE28" s="38" t="n">
        <v>58</v>
      </c>
      <c r="AF28" s="38" t="n">
        <v>58</v>
      </c>
      <c r="AG28" s="38" t="n">
        <v>58</v>
      </c>
      <c r="AH28" s="38" t="n">
        <v>58</v>
      </c>
      <c r="AI28" s="118" t="n">
        <v>58</v>
      </c>
      <c r="AJ28" s="119" t="n">
        <v>58</v>
      </c>
      <c r="AK28" s="119" t="n">
        <v>58</v>
      </c>
      <c r="AL28" s="119" t="n">
        <v>58</v>
      </c>
      <c r="AM28" s="120" t="n">
        <v>58</v>
      </c>
      <c r="AN28" s="118" t="n">
        <v>58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37.5</v>
      </c>
      <c r="C29" s="35" t="n">
        <v>30.89</v>
      </c>
      <c r="D29" s="35" t="n">
        <v>8.99</v>
      </c>
      <c r="E29" s="35" t="n">
        <v>28.67</v>
      </c>
      <c r="F29" s="35" t="n">
        <v>10.09</v>
      </c>
      <c r="G29" s="35" t="n">
        <v>-40.98</v>
      </c>
      <c r="H29" s="35" t="n">
        <v>35.19</v>
      </c>
      <c r="I29" s="35" t="n">
        <v>25.68</v>
      </c>
      <c r="J29" s="35" t="n">
        <v>43.93</v>
      </c>
      <c r="K29" s="35" t="n">
        <v>24.48</v>
      </c>
      <c r="L29" s="35" t="n">
        <v>110.18</v>
      </c>
      <c r="M29" s="35" t="n">
        <v>15.39</v>
      </c>
      <c r="N29" s="36">
        <f>SUM(B29:M29)</f>
        <v/>
      </c>
      <c r="O29" s="37">
        <f>SUMIF('YBN FH TB'!$R:$R,'FH P&amp;L'!$A29,'YBN FH TB'!C:C)</f>
        <v/>
      </c>
      <c r="P29" s="37">
        <f>SUMIF('YBN FH TB'!$R:$R,'FH P&amp;L'!$A29,'YBN FH TB'!D:D)</f>
        <v/>
      </c>
      <c r="Q29" s="37">
        <f>SUMIF('YBN FH TB'!$R:$R,'FH P&amp;L'!$A29,'YBN FH TB'!E:E)</f>
        <v/>
      </c>
      <c r="R29" s="37">
        <f>SUMIF('YBN FH TB'!$R:$R,'FH P&amp;L'!$A29,'YBN FH TB'!F:F)</f>
        <v/>
      </c>
      <c r="S29" s="37">
        <f>SUMIF('YBN FH TB'!$R:$R,'FH P&amp;L'!$A29,'YBN FH TB'!G:G)</f>
        <v/>
      </c>
      <c r="T29" s="37">
        <f>SUMIF('YBN FH TB'!$R:$R,'FH P&amp;L'!$A29,'YBN FH TB'!H:H)</f>
        <v/>
      </c>
      <c r="U29" s="37">
        <f>SUMIF('YBN FH TB'!$R:$R,'FH P&amp;L'!$A29,'YBN FH TB'!I:I)</f>
        <v/>
      </c>
      <c r="V29" s="38">
        <f>V$8*$AI29</f>
        <v/>
      </c>
      <c r="W29" s="38">
        <f>W$8*$AI29</f>
        <v/>
      </c>
      <c r="X29" s="38">
        <f>X$8*$AI29</f>
        <v/>
      </c>
      <c r="Y29" s="38">
        <f>Y$8*$AI29</f>
        <v/>
      </c>
      <c r="Z29" s="38">
        <f>Z$8*$AI29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18" t="n">
        <v>0</v>
      </c>
      <c r="AJ29" s="119" t="n">
        <v>0</v>
      </c>
      <c r="AK29" s="119" t="n">
        <v>0</v>
      </c>
      <c r="AL29" s="119" t="n">
        <v>0</v>
      </c>
      <c r="AM29" s="120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26.31</v>
      </c>
      <c r="C30" s="35" t="n">
        <v>20.61</v>
      </c>
      <c r="D30" s="35" t="n">
        <v>3.69</v>
      </c>
      <c r="E30" s="35" t="n">
        <v>0</v>
      </c>
      <c r="F30" s="35" t="n">
        <v>16.59</v>
      </c>
      <c r="G30" s="35" t="n">
        <v>13.46</v>
      </c>
      <c r="H30" s="35" t="n">
        <v>25.94</v>
      </c>
      <c r="I30" s="35" t="n">
        <v>27.14</v>
      </c>
      <c r="J30" s="35" t="n">
        <v>20.75</v>
      </c>
      <c r="K30" s="35" t="n">
        <v>24.9</v>
      </c>
      <c r="L30" s="35" t="n">
        <v>0</v>
      </c>
      <c r="M30" s="35" t="n">
        <v>4.99</v>
      </c>
      <c r="N30" s="36">
        <f>SUM(B30:M30)</f>
        <v/>
      </c>
      <c r="O30" s="37">
        <f>SUMIF('YBN FH TB'!$R:$R,'FH P&amp;L'!$A30,'YBN FH TB'!C:C)</f>
        <v/>
      </c>
      <c r="P30" s="37">
        <f>SUMIF('YBN FH TB'!$R:$R,'FH P&amp;L'!$A30,'YBN FH TB'!D:D)</f>
        <v/>
      </c>
      <c r="Q30" s="37">
        <f>SUMIF('YBN FH TB'!$R:$R,'FH P&amp;L'!$A30,'YBN FH TB'!E:E)</f>
        <v/>
      </c>
      <c r="R30" s="37">
        <f>SUMIF('YBN FH TB'!$R:$R,'FH P&amp;L'!$A30,'YBN FH TB'!F:F)</f>
        <v/>
      </c>
      <c r="S30" s="37">
        <f>SUMIF('YBN FH TB'!$R:$R,'FH P&amp;L'!$A30,'YBN FH TB'!G:G)</f>
        <v/>
      </c>
      <c r="T30" s="37">
        <f>SUMIF('YBN FH TB'!$R:$R,'FH P&amp;L'!$A30,'YBN FH TB'!H:H)</f>
        <v/>
      </c>
      <c r="U30" s="37">
        <f>SUMIF('YBN FH TB'!$R:$R,'FH P&amp;L'!$A30,'YBN FH TB'!I:I)</f>
        <v/>
      </c>
      <c r="V30" s="38" t="n">
        <v>70</v>
      </c>
      <c r="W30" s="38" t="n">
        <v>70</v>
      </c>
      <c r="X30" s="38" t="n">
        <v>70</v>
      </c>
      <c r="Y30" s="38" t="n">
        <v>70</v>
      </c>
      <c r="Z30" s="38" t="n">
        <v>70</v>
      </c>
      <c r="AA30" s="36">
        <f>SUM(O30:U30)</f>
        <v/>
      </c>
      <c r="AB30" s="36">
        <f>SUM(O30:Z30)</f>
        <v/>
      </c>
      <c r="AC30" s="38" t="n">
        <v>70</v>
      </c>
      <c r="AD30" s="38" t="n">
        <v>70</v>
      </c>
      <c r="AE30" s="38" t="n">
        <v>70</v>
      </c>
      <c r="AF30" s="38" t="n">
        <v>70</v>
      </c>
      <c r="AG30" s="38" t="n">
        <v>70</v>
      </c>
      <c r="AH30" s="38" t="n">
        <v>70</v>
      </c>
      <c r="AI30" s="118" t="n">
        <v>70</v>
      </c>
      <c r="AJ30" s="119" t="n">
        <v>70</v>
      </c>
      <c r="AK30" s="119" t="n">
        <v>70</v>
      </c>
      <c r="AL30" s="119" t="n">
        <v>70</v>
      </c>
      <c r="AM30" s="120" t="n">
        <v>70</v>
      </c>
      <c r="AN30" s="118" t="n">
        <v>70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0</v>
      </c>
      <c r="C31" s="35" t="n">
        <v>25.46</v>
      </c>
      <c r="D31" s="35" t="n">
        <v>30.22</v>
      </c>
      <c r="E31" s="35" t="n">
        <v>24.98</v>
      </c>
      <c r="F31" s="35" t="n">
        <v>0</v>
      </c>
      <c r="G31" s="35" t="n">
        <v>30.47</v>
      </c>
      <c r="H31" s="35" t="n">
        <v>34.33</v>
      </c>
      <c r="I31" s="35" t="n">
        <v>0</v>
      </c>
      <c r="J31" s="35" t="n">
        <v>273.99</v>
      </c>
      <c r="K31" s="35" t="n">
        <v>233.99</v>
      </c>
      <c r="L31" s="35" t="n">
        <v>0</v>
      </c>
      <c r="M31" s="35" t="n">
        <v>5.99</v>
      </c>
      <c r="N31" s="36">
        <f>SUM(B31:M31)</f>
        <v/>
      </c>
      <c r="O31" s="37">
        <f>SUMIF('YBN FH TB'!$R:$R,'FH P&amp;L'!$A31,'YBN FH TB'!C:C)</f>
        <v/>
      </c>
      <c r="P31" s="37">
        <f>SUMIF('YBN FH TB'!$R:$R,'FH P&amp;L'!$A31,'YBN FH TB'!D:D)</f>
        <v/>
      </c>
      <c r="Q31" s="37">
        <f>SUMIF('YBN FH TB'!$R:$R,'FH P&amp;L'!$A31,'YBN FH TB'!E:E)</f>
        <v/>
      </c>
      <c r="R31" s="37">
        <f>SUMIF('YBN FH TB'!$R:$R,'FH P&amp;L'!$A31,'YBN FH TB'!F:F)</f>
        <v/>
      </c>
      <c r="S31" s="37">
        <f>SUMIF('YBN FH TB'!$R:$R,'FH P&amp;L'!$A31,'YBN FH TB'!G:G)</f>
        <v/>
      </c>
      <c r="T31" s="37">
        <f>SUMIF('YBN FH TB'!$R:$R,'FH P&amp;L'!$A31,'YBN FH TB'!H:H)</f>
        <v/>
      </c>
      <c r="U31" s="37">
        <f>SUMIF('YBN FH TB'!$R:$R,'FH P&amp;L'!$A31,'YBN FH TB'!I:I)</f>
        <v/>
      </c>
      <c r="V31" s="38" t="n">
        <v>50</v>
      </c>
      <c r="W31" s="38" t="n">
        <v>50</v>
      </c>
      <c r="X31" s="38" t="n">
        <v>50</v>
      </c>
      <c r="Y31" s="38" t="n">
        <v>50</v>
      </c>
      <c r="Z31" s="38" t="n">
        <v>50</v>
      </c>
      <c r="AA31" s="36">
        <f>SUM(O31:U31)</f>
        <v/>
      </c>
      <c r="AB31" s="36">
        <f>SUM(O31:Z31)</f>
        <v/>
      </c>
      <c r="AC31" s="38" t="n">
        <v>50</v>
      </c>
      <c r="AD31" s="38" t="n">
        <v>50</v>
      </c>
      <c r="AE31" s="38" t="n">
        <v>50</v>
      </c>
      <c r="AF31" s="38" t="n">
        <v>50</v>
      </c>
      <c r="AG31" s="38" t="n">
        <v>50</v>
      </c>
      <c r="AH31" s="38" t="n">
        <v>50</v>
      </c>
      <c r="AI31" s="118" t="n">
        <v>50</v>
      </c>
      <c r="AJ31" s="119" t="n">
        <v>50</v>
      </c>
      <c r="AK31" s="119" t="n">
        <v>50</v>
      </c>
      <c r="AL31" s="119" t="n">
        <v>50</v>
      </c>
      <c r="AM31" s="120" t="n">
        <v>50</v>
      </c>
      <c r="AN31" s="118" t="n">
        <v>50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98.23999999999999</v>
      </c>
      <c r="C32" s="35" t="n">
        <v>25.47</v>
      </c>
      <c r="D32" s="35" t="n">
        <v>66.56</v>
      </c>
      <c r="E32" s="35" t="n">
        <v>37.94</v>
      </c>
      <c r="F32" s="35" t="n">
        <v>20.18</v>
      </c>
      <c r="G32" s="35" t="n">
        <v>111.77</v>
      </c>
      <c r="H32" s="35" t="n">
        <v>81.71000000000001</v>
      </c>
      <c r="I32" s="35" t="n">
        <v>36.6</v>
      </c>
      <c r="J32" s="35" t="n">
        <v>31.81</v>
      </c>
      <c r="K32" s="35" t="n">
        <v>48.4</v>
      </c>
      <c r="L32" s="35" t="n">
        <v>30.59</v>
      </c>
      <c r="M32" s="35" t="n">
        <v>87.74000000000001</v>
      </c>
      <c r="N32" s="36">
        <f>SUM(B32:M32)</f>
        <v/>
      </c>
      <c r="O32" s="37">
        <f>SUMIF('YBN FH TB'!$R:$R,'FH P&amp;L'!$A32,'YBN FH TB'!C:C)</f>
        <v/>
      </c>
      <c r="P32" s="37">
        <f>SUMIF('YBN FH TB'!$R:$R,'FH P&amp;L'!$A32,'YBN FH TB'!D:D)</f>
        <v/>
      </c>
      <c r="Q32" s="37">
        <f>SUMIF('YBN FH TB'!$R:$R,'FH P&amp;L'!$A32,'YBN FH TB'!E:E)</f>
        <v/>
      </c>
      <c r="R32" s="37">
        <f>SUMIF('YBN FH TB'!$R:$R,'FH P&amp;L'!$A32,'YBN FH TB'!F:F)</f>
        <v/>
      </c>
      <c r="S32" s="37">
        <f>SUMIF('YBN FH TB'!$R:$R,'FH P&amp;L'!$A32,'YBN FH TB'!G:G)</f>
        <v/>
      </c>
      <c r="T32" s="37">
        <f>SUMIF('YBN FH TB'!$R:$R,'FH P&amp;L'!$A32,'YBN FH TB'!H:H)</f>
        <v/>
      </c>
      <c r="U32" s="37">
        <f>SUMIF('YBN FH TB'!$R:$R,'FH P&amp;L'!$A32,'YBN FH TB'!I:I)</f>
        <v/>
      </c>
      <c r="V32" s="38">
        <f>V$8*$AI32</f>
        <v/>
      </c>
      <c r="W32" s="38">
        <f>W$8*$AI32</f>
        <v/>
      </c>
      <c r="X32" s="38">
        <f>X$8*$AI32</f>
        <v/>
      </c>
      <c r="Y32" s="38">
        <f>Y$8*$AI32</f>
        <v/>
      </c>
      <c r="Z32" s="38">
        <f>Z$8*$AI32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18" t="n">
        <v>0</v>
      </c>
      <c r="AJ32" s="119" t="n">
        <v>0</v>
      </c>
      <c r="AK32" s="119" t="n">
        <v>0</v>
      </c>
      <c r="AL32" s="119" t="n">
        <v>0</v>
      </c>
      <c r="AM32" s="120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SUMIF('YBN FH TB'!$R:$R,'FH P&amp;L'!$A33,'YBN FH TB'!C:C)</f>
        <v/>
      </c>
      <c r="P33" s="37">
        <f>SUMIF('YBN FH TB'!$R:$R,'FH P&amp;L'!$A33,'YBN FH TB'!D:D)</f>
        <v/>
      </c>
      <c r="Q33" s="37">
        <f>SUMIF('YBN FH TB'!$R:$R,'FH P&amp;L'!$A33,'YBN FH TB'!E:E)</f>
        <v/>
      </c>
      <c r="R33" s="37">
        <f>SUMIF('YBN FH TB'!$R:$R,'FH P&amp;L'!$A33,'YBN FH TB'!F:F)</f>
        <v/>
      </c>
      <c r="S33" s="37">
        <f>SUMIF('YBN FH TB'!$R:$R,'FH P&amp;L'!$A33,'YBN FH TB'!G:G)</f>
        <v/>
      </c>
      <c r="T33" s="37">
        <f>SUMIF('YBN FH TB'!$R:$R,'FH P&amp;L'!$A33,'YBN FH TB'!H:H)</f>
        <v/>
      </c>
      <c r="U33" s="37">
        <f>SUMIF('YBN FH TB'!$R:$R,'FH P&amp;L'!$A33,'YBN FH TB'!I:I)</f>
        <v/>
      </c>
      <c r="V33" s="38" t="n">
        <v>4</v>
      </c>
      <c r="W33" s="38" t="n">
        <v>5</v>
      </c>
      <c r="X33" s="38" t="n">
        <v>6</v>
      </c>
      <c r="Y33" s="38" t="n">
        <v>7</v>
      </c>
      <c r="Z33" s="38" t="n">
        <v>8</v>
      </c>
      <c r="AA33" s="36">
        <f>SUM(O33:U33)</f>
        <v/>
      </c>
      <c r="AB33" s="36">
        <f>SUM(O33:Z33)</f>
        <v/>
      </c>
      <c r="AC33" s="38" t="n">
        <v>8</v>
      </c>
      <c r="AD33" s="38" t="n">
        <v>8</v>
      </c>
      <c r="AE33" s="38" t="n">
        <v>8</v>
      </c>
      <c r="AF33" s="38" t="n">
        <v>8</v>
      </c>
      <c r="AG33" s="38" t="n">
        <v>8</v>
      </c>
      <c r="AH33" s="38" t="n">
        <v>8</v>
      </c>
      <c r="AI33" s="118" t="n">
        <v>8</v>
      </c>
      <c r="AJ33" s="119" t="n">
        <v>8</v>
      </c>
      <c r="AK33" s="119" t="n">
        <v>8</v>
      </c>
      <c r="AL33" s="119" t="n">
        <v>8</v>
      </c>
      <c r="AM33" s="120" t="n">
        <v>8</v>
      </c>
      <c r="AN33" s="118" t="n">
        <v>8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1008.73</v>
      </c>
      <c r="C34" s="42" t="n">
        <v>815.6400000000001</v>
      </c>
      <c r="D34" s="42" t="n">
        <v>974.3000000000002</v>
      </c>
      <c r="E34" s="42" t="n">
        <v>851.04</v>
      </c>
      <c r="F34" s="42" t="n">
        <v>899.62</v>
      </c>
      <c r="G34" s="42" t="n">
        <v>683.0300000000001</v>
      </c>
      <c r="H34" s="42" t="n">
        <v>779.1600000000002</v>
      </c>
      <c r="I34" s="42" t="n">
        <v>713.29</v>
      </c>
      <c r="J34" s="42" t="n">
        <v>768.41</v>
      </c>
      <c r="K34" s="42" t="n">
        <v>1460.98</v>
      </c>
      <c r="L34" s="42" t="n">
        <v>686.6600000000001</v>
      </c>
      <c r="M34" s="42" t="n">
        <v>526.37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3">
        <f>SUM(AI27:AI33)</f>
        <v/>
      </c>
      <c r="AJ34" s="124">
        <f>SUM(AJ27:AJ33)</f>
        <v/>
      </c>
      <c r="AK34" s="124">
        <f>SUM(AK27:AK33)</f>
        <v/>
      </c>
      <c r="AL34" s="124">
        <f>SUM(AL27:AL33)</f>
        <v/>
      </c>
      <c r="AM34" s="124">
        <f>SUM(AM27:AM33)</f>
        <v/>
      </c>
      <c r="AN34" s="123">
        <f>SUM(AN27:AN33)</f>
        <v/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7" t="n">
        <v>0</v>
      </c>
      <c r="AJ35" s="128" t="n">
        <v>0</v>
      </c>
      <c r="AK35" s="128" t="n">
        <v>0</v>
      </c>
      <c r="AL35" s="128" t="n">
        <v>0</v>
      </c>
      <c r="AM35" s="129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900</v>
      </c>
      <c r="C36" s="35" t="n">
        <v>900</v>
      </c>
      <c r="D36" s="35" t="n">
        <v>900</v>
      </c>
      <c r="E36" s="35" t="n">
        <v>900</v>
      </c>
      <c r="F36" s="35" t="n">
        <v>900</v>
      </c>
      <c r="G36" s="35" t="n">
        <v>900</v>
      </c>
      <c r="H36" s="35" t="n">
        <v>900</v>
      </c>
      <c r="I36" s="35" t="n">
        <v>900</v>
      </c>
      <c r="J36" s="35" t="n">
        <v>900</v>
      </c>
      <c r="K36" s="35" t="n">
        <v>900</v>
      </c>
      <c r="L36" s="35" t="n">
        <v>900</v>
      </c>
      <c r="M36" s="35" t="n">
        <v>900</v>
      </c>
      <c r="N36" s="36">
        <f>SUM(B36:M36)</f>
        <v/>
      </c>
      <c r="O36" s="37">
        <f>SUMIF('YBN FH TB'!$R:$R,'FH P&amp;L'!$A36,'YBN FH TB'!C:C)</f>
        <v/>
      </c>
      <c r="P36" s="37">
        <f>SUMIF('YBN FH TB'!$R:$R,'FH P&amp;L'!$A36,'YBN FH TB'!D:D)</f>
        <v/>
      </c>
      <c r="Q36" s="37">
        <f>SUMIF('YBN FH TB'!$R:$R,'FH P&amp;L'!$A36,'YBN FH TB'!E:E)</f>
        <v/>
      </c>
      <c r="R36" s="37">
        <f>SUMIF('YBN FH TB'!$R:$R,'FH P&amp;L'!$A36,'YBN FH TB'!F:F)</f>
        <v/>
      </c>
      <c r="S36" s="37">
        <f>SUMIF('YBN FH TB'!$R:$R,'FH P&amp;L'!$A36,'YBN FH TB'!G:G)</f>
        <v/>
      </c>
      <c r="T36" s="37">
        <f>SUMIF('YBN FH TB'!$R:$R,'FH P&amp;L'!$A36,'YBN FH TB'!H:H)</f>
        <v/>
      </c>
      <c r="U36" s="37">
        <f>SUMIF('YBN FH TB'!$R:$R,'FH P&amp;L'!$A36,'YBN FH TB'!I:I)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8" t="n">
        <v>0</v>
      </c>
      <c r="AJ36" s="119" t="n">
        <v>0</v>
      </c>
      <c r="AK36" s="119" t="n">
        <v>0</v>
      </c>
      <c r="AL36" s="119" t="n">
        <v>0</v>
      </c>
      <c r="AM36" s="120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665.33</v>
      </c>
      <c r="C37" s="35" t="n">
        <v>665.33</v>
      </c>
      <c r="D37" s="35" t="n">
        <v>665.33</v>
      </c>
      <c r="E37" s="35" t="n">
        <v>665.33</v>
      </c>
      <c r="F37" s="35" t="n">
        <v>665.33</v>
      </c>
      <c r="G37" s="35" t="n">
        <v>665.33</v>
      </c>
      <c r="H37" s="35" t="n">
        <v>665.33</v>
      </c>
      <c r="I37" s="35" t="n">
        <v>665.33</v>
      </c>
      <c r="J37" s="35" t="n">
        <v>665.33</v>
      </c>
      <c r="K37" s="35" t="n">
        <v>665.33</v>
      </c>
      <c r="L37" s="35" t="n">
        <v>665.33</v>
      </c>
      <c r="M37" s="35" t="n">
        <v>665.33</v>
      </c>
      <c r="N37" s="36">
        <f>SUM(B37:M37)</f>
        <v/>
      </c>
      <c r="O37" s="37">
        <f>SUMIF('YBN FH TB'!$R:$R,'FH P&amp;L'!$A37,'YBN FH TB'!C:C)</f>
        <v/>
      </c>
      <c r="P37" s="37">
        <f>SUMIF('YBN FH TB'!$R:$R,'FH P&amp;L'!$A37,'YBN FH TB'!D:D)</f>
        <v/>
      </c>
      <c r="Q37" s="37">
        <f>SUMIF('YBN FH TB'!$R:$R,'FH P&amp;L'!$A37,'YBN FH TB'!E:E)</f>
        <v/>
      </c>
      <c r="R37" s="37">
        <f>SUMIF('YBN FH TB'!$R:$R,'FH P&amp;L'!$A37,'YBN FH TB'!F:F)</f>
        <v/>
      </c>
      <c r="S37" s="37">
        <f>SUMIF('YBN FH TB'!$R:$R,'FH P&amp;L'!$A37,'YBN FH TB'!G:G)</f>
        <v/>
      </c>
      <c r="T37" s="37">
        <f>SUMIF('YBN FH TB'!$R:$R,'FH P&amp;L'!$A37,'YBN FH TB'!H:H)</f>
        <v/>
      </c>
      <c r="U37" s="37">
        <f>SUMIF('YBN FH TB'!$R:$R,'FH P&amp;L'!$A37,'YBN FH TB'!I:I)</f>
        <v/>
      </c>
      <c r="V37" s="38" t="n">
        <v>765</v>
      </c>
      <c r="W37" s="38" t="n">
        <v>765</v>
      </c>
      <c r="X37" s="38" t="n">
        <v>765</v>
      </c>
      <c r="Y37" s="38" t="n">
        <v>765</v>
      </c>
      <c r="Z37" s="38" t="n">
        <v>765</v>
      </c>
      <c r="AA37" s="36">
        <f>SUM(O37:U37)</f>
        <v/>
      </c>
      <c r="AB37" s="36">
        <f>SUM(O37:Z37)</f>
        <v/>
      </c>
      <c r="AC37" s="38" t="n">
        <v>765</v>
      </c>
      <c r="AD37" s="38" t="n">
        <v>765</v>
      </c>
      <c r="AE37" s="38" t="n">
        <v>765</v>
      </c>
      <c r="AF37" s="38" t="n">
        <v>765</v>
      </c>
      <c r="AG37" s="38" t="n">
        <v>765</v>
      </c>
      <c r="AH37" s="38" t="n">
        <v>765</v>
      </c>
      <c r="AI37" s="118" t="n">
        <v>765</v>
      </c>
      <c r="AJ37" s="119" t="n">
        <v>765</v>
      </c>
      <c r="AK37" s="119" t="n">
        <v>765</v>
      </c>
      <c r="AL37" s="119" t="n">
        <v>765</v>
      </c>
      <c r="AM37" s="120" t="n">
        <v>765</v>
      </c>
      <c r="AN37" s="118" t="n">
        <v>765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1473.89</v>
      </c>
      <c r="C38" s="35" t="n">
        <v>1366.4</v>
      </c>
      <c r="D38" s="35" t="n">
        <v>2603.3</v>
      </c>
      <c r="E38" s="35" t="n">
        <v>1870.5</v>
      </c>
      <c r="F38" s="35" t="n">
        <v>1063.68</v>
      </c>
      <c r="G38" s="35" t="n">
        <v>1396.75</v>
      </c>
      <c r="H38" s="35" t="n">
        <v>1107.36</v>
      </c>
      <c r="I38" s="35" t="n">
        <v>1181</v>
      </c>
      <c r="J38" s="35" t="n">
        <v>-275.1799999999999</v>
      </c>
      <c r="K38" s="35" t="n">
        <v>839.92</v>
      </c>
      <c r="L38" s="35" t="n">
        <v>1036.6</v>
      </c>
      <c r="M38" s="35" t="n">
        <v>2199.25</v>
      </c>
      <c r="N38" s="36">
        <f>SUM(B38:M38)</f>
        <v/>
      </c>
      <c r="O38" s="37">
        <f>SUMIF('YBN FH TB'!$R:$R,'FH P&amp;L'!$A38,'YBN FH TB'!C:C)</f>
        <v/>
      </c>
      <c r="P38" s="37">
        <f>SUMIF('YBN FH TB'!$R:$R,'FH P&amp;L'!$A38,'YBN FH TB'!D:D)</f>
        <v/>
      </c>
      <c r="Q38" s="37">
        <f>SUMIF('YBN FH TB'!$R:$R,'FH P&amp;L'!$A38,'YBN FH TB'!E:E)</f>
        <v/>
      </c>
      <c r="R38" s="37">
        <f>SUMIF('YBN FH TB'!$R:$R,'FH P&amp;L'!$A38,'YBN FH TB'!F:F)</f>
        <v/>
      </c>
      <c r="S38" s="37">
        <f>SUMIF('YBN FH TB'!$R:$R,'FH P&amp;L'!$A38,'YBN FH TB'!G:G)</f>
        <v/>
      </c>
      <c r="T38" s="37">
        <f>SUMIF('YBN FH TB'!$R:$R,'FH P&amp;L'!$A38,'YBN FH TB'!H:H)</f>
        <v/>
      </c>
      <c r="U38" s="37">
        <f>SUMIF('YBN FH TB'!$R:$R,'FH P&amp;L'!$A38,'YBN FH TB'!I:I)</f>
        <v/>
      </c>
      <c r="V38" s="38" t="n">
        <v>1340</v>
      </c>
      <c r="W38" s="38" t="n">
        <v>1340</v>
      </c>
      <c r="X38" s="38" t="n">
        <v>1340</v>
      </c>
      <c r="Y38" s="38" t="n">
        <v>1340</v>
      </c>
      <c r="Z38" s="38" t="n">
        <v>1340</v>
      </c>
      <c r="AA38" s="36">
        <f>SUM(O38:U38)</f>
        <v/>
      </c>
      <c r="AB38" s="36">
        <f>SUM(O38:Z38)</f>
        <v/>
      </c>
      <c r="AC38" s="38" t="n">
        <v>1340</v>
      </c>
      <c r="AD38" s="38" t="n">
        <v>1340</v>
      </c>
      <c r="AE38" s="38" t="n">
        <v>1340</v>
      </c>
      <c r="AF38" s="38" t="n">
        <v>1340</v>
      </c>
      <c r="AG38" s="38" t="n">
        <v>1340</v>
      </c>
      <c r="AH38" s="38" t="n">
        <v>1340</v>
      </c>
      <c r="AI38" s="118" t="n">
        <v>1340</v>
      </c>
      <c r="AJ38" s="119" t="n">
        <v>1340</v>
      </c>
      <c r="AK38" s="119" t="n">
        <v>1340</v>
      </c>
      <c r="AL38" s="119" t="n">
        <v>1340</v>
      </c>
      <c r="AM38" s="120" t="n">
        <v>1340</v>
      </c>
      <c r="AN38" s="118" t="n">
        <v>1340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190.89</v>
      </c>
      <c r="C39" s="35" t="n">
        <v>334.56</v>
      </c>
      <c r="D39" s="35" t="n">
        <v>31.18</v>
      </c>
      <c r="E39" s="35" t="n">
        <v>140.03</v>
      </c>
      <c r="F39" s="35" t="n">
        <v>268.7</v>
      </c>
      <c r="G39" s="35" t="n">
        <v>6.98</v>
      </c>
      <c r="H39" s="35" t="n">
        <v>375.45</v>
      </c>
      <c r="I39" s="35" t="n">
        <v>68.62</v>
      </c>
      <c r="J39" s="35" t="n">
        <v>190.13</v>
      </c>
      <c r="K39" s="35" t="n">
        <v>37.19</v>
      </c>
      <c r="L39" s="35" t="n">
        <v>367.46</v>
      </c>
      <c r="M39" s="35" t="n">
        <v>121.98</v>
      </c>
      <c r="N39" s="36">
        <f>SUM(B39:M39)</f>
        <v/>
      </c>
      <c r="O39" s="37">
        <f>SUMIF('YBN FH TB'!$R:$R,'FH P&amp;L'!$A39,'YBN FH TB'!C:C)</f>
        <v/>
      </c>
      <c r="P39" s="37">
        <f>SUMIF('YBN FH TB'!$R:$R,'FH P&amp;L'!$A39,'YBN FH TB'!D:D)</f>
        <v/>
      </c>
      <c r="Q39" s="37">
        <f>SUMIF('YBN FH TB'!$R:$R,'FH P&amp;L'!$A39,'YBN FH TB'!E:E)</f>
        <v/>
      </c>
      <c r="R39" s="37">
        <f>SUMIF('YBN FH TB'!$R:$R,'FH P&amp;L'!$A39,'YBN FH TB'!F:F)</f>
        <v/>
      </c>
      <c r="S39" s="37">
        <f>SUMIF('YBN FH TB'!$R:$R,'FH P&amp;L'!$A39,'YBN FH TB'!G:G)</f>
        <v/>
      </c>
      <c r="T39" s="37">
        <f>SUMIF('YBN FH TB'!$R:$R,'FH P&amp;L'!$A39,'YBN FH TB'!H:H)</f>
        <v/>
      </c>
      <c r="U39" s="37">
        <f>SUMIF('YBN FH TB'!$R:$R,'FH P&amp;L'!$A39,'YBN FH TB'!I:I)</f>
        <v/>
      </c>
      <c r="V39" s="38" t="n">
        <v>0</v>
      </c>
      <c r="W39" s="38" t="n">
        <v>0</v>
      </c>
      <c r="X39" s="38" t="n">
        <v>0</v>
      </c>
      <c r="Y39" s="38" t="n">
        <v>0</v>
      </c>
      <c r="Z39" s="38" t="n">
        <v>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8" t="n">
        <v>0</v>
      </c>
      <c r="AJ39" s="119" t="n">
        <v>0</v>
      </c>
      <c r="AK39" s="119" t="n">
        <v>0</v>
      </c>
      <c r="AL39" s="119" t="n">
        <v>0</v>
      </c>
      <c r="AM39" s="120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190.06</v>
      </c>
      <c r="C40" s="35" t="n">
        <v>202.06</v>
      </c>
      <c r="D40" s="35" t="n">
        <v>55.16999999999999</v>
      </c>
      <c r="E40" s="35" t="n">
        <v>160.01</v>
      </c>
      <c r="F40" s="35" t="n">
        <v>83.73999999999999</v>
      </c>
      <c r="G40" s="35" t="n">
        <v>65.2</v>
      </c>
      <c r="H40" s="35" t="n">
        <v>159.27</v>
      </c>
      <c r="I40" s="35" t="n">
        <v>99.89</v>
      </c>
      <c r="J40" s="35" t="n">
        <v>134.23</v>
      </c>
      <c r="K40" s="35" t="n">
        <v>129.5</v>
      </c>
      <c r="L40" s="35" t="n">
        <v>136.31</v>
      </c>
      <c r="M40" s="35" t="n">
        <v>5.71</v>
      </c>
      <c r="N40" s="36">
        <f>SUM(B40:M40)</f>
        <v/>
      </c>
      <c r="O40" s="37">
        <f>SUMIF('YBN FH TB'!$R:$R,'FH P&amp;L'!$A40,'YBN FH TB'!C:C)</f>
        <v/>
      </c>
      <c r="P40" s="37">
        <f>SUMIF('YBN FH TB'!$R:$R,'FH P&amp;L'!$A40,'YBN FH TB'!D:D)</f>
        <v/>
      </c>
      <c r="Q40" s="37">
        <f>SUMIF('YBN FH TB'!$R:$R,'FH P&amp;L'!$A40,'YBN FH TB'!E:E)</f>
        <v/>
      </c>
      <c r="R40" s="37">
        <f>SUMIF('YBN FH TB'!$R:$R,'FH P&amp;L'!$A40,'YBN FH TB'!F:F)</f>
        <v/>
      </c>
      <c r="S40" s="37">
        <f>SUMIF('YBN FH TB'!$R:$R,'FH P&amp;L'!$A40,'YBN FH TB'!G:G)</f>
        <v/>
      </c>
      <c r="T40" s="37">
        <f>SUMIF('YBN FH TB'!$R:$R,'FH P&amp;L'!$A40,'YBN FH TB'!H:H)</f>
        <v/>
      </c>
      <c r="U40" s="37">
        <f>SUMIF('YBN FH TB'!$R:$R,'FH P&amp;L'!$A40,'YBN FH TB'!I:I)</f>
        <v/>
      </c>
      <c r="V40" s="38" t="n">
        <v>128</v>
      </c>
      <c r="W40" s="38" t="n">
        <v>128</v>
      </c>
      <c r="X40" s="38" t="n">
        <v>128</v>
      </c>
      <c r="Y40" s="38" t="n">
        <v>128</v>
      </c>
      <c r="Z40" s="38" t="n">
        <v>128</v>
      </c>
      <c r="AA40" s="36">
        <f>SUM(O40:U40)</f>
        <v/>
      </c>
      <c r="AB40" s="36">
        <f>SUM(O40:Z40)</f>
        <v/>
      </c>
      <c r="AC40" s="38" t="n">
        <v>128</v>
      </c>
      <c r="AD40" s="38" t="n">
        <v>128</v>
      </c>
      <c r="AE40" s="38" t="n">
        <v>128</v>
      </c>
      <c r="AF40" s="38" t="n">
        <v>128</v>
      </c>
      <c r="AG40" s="38" t="n">
        <v>128</v>
      </c>
      <c r="AH40" s="38" t="n">
        <v>128</v>
      </c>
      <c r="AI40" s="118" t="n">
        <v>128</v>
      </c>
      <c r="AJ40" s="119" t="n">
        <v>128</v>
      </c>
      <c r="AK40" s="119" t="n">
        <v>128</v>
      </c>
      <c r="AL40" s="119" t="n">
        <v>128</v>
      </c>
      <c r="AM40" s="120" t="n">
        <v>128</v>
      </c>
      <c r="AN40" s="118" t="n">
        <v>128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370.63</v>
      </c>
      <c r="C41" s="35" t="n">
        <v>434.89</v>
      </c>
      <c r="D41" s="35" t="n">
        <v>421.63</v>
      </c>
      <c r="E41" s="35" t="n">
        <v>380.28</v>
      </c>
      <c r="F41" s="35" t="n">
        <v>383.48</v>
      </c>
      <c r="G41" s="35" t="n">
        <v>436.89</v>
      </c>
      <c r="H41" s="35" t="n">
        <v>383.48</v>
      </c>
      <c r="I41" s="35" t="n">
        <v>491.1800000000001</v>
      </c>
      <c r="J41" s="35" t="n">
        <v>436.89</v>
      </c>
      <c r="K41" s="35" t="n">
        <v>392.44</v>
      </c>
      <c r="L41" s="35" t="n">
        <v>399.43</v>
      </c>
      <c r="M41" s="35" t="n">
        <v>470.88</v>
      </c>
      <c r="N41" s="36">
        <f>SUM(B41:M41)</f>
        <v/>
      </c>
      <c r="O41" s="37">
        <f>SUMIF('YBN FH TB'!$R:$R,'FH P&amp;L'!$A41,'YBN FH TB'!C:C)</f>
        <v/>
      </c>
      <c r="P41" s="37">
        <f>SUMIF('YBN FH TB'!$R:$R,'FH P&amp;L'!$A41,'YBN FH TB'!D:D)</f>
        <v/>
      </c>
      <c r="Q41" s="37">
        <f>SUMIF('YBN FH TB'!$R:$R,'FH P&amp;L'!$A41,'YBN FH TB'!E:E)</f>
        <v/>
      </c>
      <c r="R41" s="37">
        <f>SUMIF('YBN FH TB'!$R:$R,'FH P&amp;L'!$A41,'YBN FH TB'!F:F)</f>
        <v/>
      </c>
      <c r="S41" s="37">
        <f>SUMIF('YBN FH TB'!$R:$R,'FH P&amp;L'!$A41,'YBN FH TB'!G:G)</f>
        <v/>
      </c>
      <c r="T41" s="37">
        <f>SUMIF('YBN FH TB'!$R:$R,'FH P&amp;L'!$A41,'YBN FH TB'!H:H)</f>
        <v/>
      </c>
      <c r="U41" s="37">
        <f>SUMIF('YBN FH TB'!$R:$R,'FH P&amp;L'!$A41,'YBN FH TB'!I:I)</f>
        <v/>
      </c>
      <c r="V41" s="38" t="n">
        <v>414</v>
      </c>
      <c r="W41" s="38" t="n">
        <v>414</v>
      </c>
      <c r="X41" s="38" t="n">
        <v>414</v>
      </c>
      <c r="Y41" s="38" t="n">
        <v>414</v>
      </c>
      <c r="Z41" s="38" t="n">
        <v>414</v>
      </c>
      <c r="AA41" s="36">
        <f>SUM(O41:U41)</f>
        <v/>
      </c>
      <c r="AB41" s="36">
        <f>SUM(O41:Z41)</f>
        <v/>
      </c>
      <c r="AC41" s="38" t="n">
        <v>414</v>
      </c>
      <c r="AD41" s="38" t="n">
        <v>414</v>
      </c>
      <c r="AE41" s="38" t="n">
        <v>414</v>
      </c>
      <c r="AF41" s="38" t="n">
        <v>414</v>
      </c>
      <c r="AG41" s="38" t="n">
        <v>414</v>
      </c>
      <c r="AH41" s="38" t="n">
        <v>414</v>
      </c>
      <c r="AI41" s="118" t="n">
        <v>414</v>
      </c>
      <c r="AJ41" s="119" t="n">
        <v>414</v>
      </c>
      <c r="AK41" s="119" t="n">
        <v>414</v>
      </c>
      <c r="AL41" s="119" t="n">
        <v>414</v>
      </c>
      <c r="AM41" s="120" t="n">
        <v>414</v>
      </c>
      <c r="AN41" s="118" t="n">
        <v>414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48.91</v>
      </c>
      <c r="C42" s="35" t="n">
        <v>26.65</v>
      </c>
      <c r="D42" s="35" t="n">
        <v>48.28</v>
      </c>
      <c r="E42" s="35" t="n">
        <v>37.56</v>
      </c>
      <c r="F42" s="35" t="n">
        <v>22.48</v>
      </c>
      <c r="G42" s="35" t="n">
        <v>32.72</v>
      </c>
      <c r="H42" s="35" t="n">
        <v>59.91</v>
      </c>
      <c r="I42" s="35" t="n">
        <v>27.53</v>
      </c>
      <c r="J42" s="35" t="n">
        <v>29.07</v>
      </c>
      <c r="K42" s="35" t="n">
        <v>54.09999999999999</v>
      </c>
      <c r="L42" s="35" t="n">
        <v>30.14</v>
      </c>
      <c r="M42" s="35" t="n">
        <v>11.04</v>
      </c>
      <c r="N42" s="36">
        <f>SUM(B42:M42)</f>
        <v/>
      </c>
      <c r="O42" s="37">
        <f>SUMIF('YBN FH TB'!$R:$R,'FH P&amp;L'!$A42,'YBN FH TB'!C:C)</f>
        <v/>
      </c>
      <c r="P42" s="37">
        <f>SUMIF('YBN FH TB'!$R:$R,'FH P&amp;L'!$A42,'YBN FH TB'!D:D)</f>
        <v/>
      </c>
      <c r="Q42" s="37">
        <f>SUMIF('YBN FH TB'!$R:$R,'FH P&amp;L'!$A42,'YBN FH TB'!E:E)</f>
        <v/>
      </c>
      <c r="R42" s="37">
        <f>SUMIF('YBN FH TB'!$R:$R,'FH P&amp;L'!$A42,'YBN FH TB'!F:F)</f>
        <v/>
      </c>
      <c r="S42" s="37">
        <f>SUMIF('YBN FH TB'!$R:$R,'FH P&amp;L'!$A42,'YBN FH TB'!G:G)</f>
        <v/>
      </c>
      <c r="T42" s="37">
        <f>SUMIF('YBN FH TB'!$R:$R,'FH P&amp;L'!$A42,'YBN FH TB'!H:H)</f>
        <v/>
      </c>
      <c r="U42" s="37">
        <f>SUMIF('YBN FH TB'!$R:$R,'FH P&amp;L'!$A42,'YBN FH TB'!I:I)</f>
        <v/>
      </c>
      <c r="V42" s="38" t="n">
        <v>0</v>
      </c>
      <c r="W42" s="38" t="n">
        <v>0</v>
      </c>
      <c r="X42" s="38" t="n">
        <v>0</v>
      </c>
      <c r="Y42" s="38" t="n">
        <v>0</v>
      </c>
      <c r="Z42" s="38" t="n">
        <v>0</v>
      </c>
      <c r="AA42" s="36">
        <f>SUM(O42:U42)</f>
        <v/>
      </c>
      <c r="AB42" s="36">
        <f>SUM(O42:Z42)</f>
        <v/>
      </c>
      <c r="AC42" s="38" t="n">
        <v>0</v>
      </c>
      <c r="AD42" s="38" t="n">
        <v>0</v>
      </c>
      <c r="AE42" s="38" t="n">
        <v>0</v>
      </c>
      <c r="AF42" s="38" t="n">
        <v>0</v>
      </c>
      <c r="AG42" s="38" t="n">
        <v>0</v>
      </c>
      <c r="AH42" s="38" t="n">
        <v>0</v>
      </c>
      <c r="AI42" s="118" t="n">
        <v>0</v>
      </c>
      <c r="AJ42" s="119" t="n">
        <v>0</v>
      </c>
      <c r="AK42" s="119" t="n">
        <v>0</v>
      </c>
      <c r="AL42" s="119" t="n">
        <v>0</v>
      </c>
      <c r="AM42" s="120" t="n">
        <v>0</v>
      </c>
      <c r="AN42" s="118" t="n">
        <v>0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SUMIF('YBN FH TB'!$R:$R,'FH P&amp;L'!$A43,'YBN FH TB'!C:C)</f>
        <v/>
      </c>
      <c r="P43" s="37">
        <f>SUMIF('YBN FH TB'!$R:$R,'FH P&amp;L'!$A43,'YBN FH TB'!D:D)</f>
        <v/>
      </c>
      <c r="Q43" s="37">
        <f>SUMIF('YBN FH TB'!$R:$R,'FH P&amp;L'!$A43,'YBN FH TB'!E:E)</f>
        <v/>
      </c>
      <c r="R43" s="37">
        <f>SUMIF('YBN FH TB'!$R:$R,'FH P&amp;L'!$A43,'YBN FH TB'!F:F)</f>
        <v/>
      </c>
      <c r="S43" s="37">
        <f>SUMIF('YBN FH TB'!$R:$R,'FH P&amp;L'!$A43,'YBN FH TB'!G:G)</f>
        <v/>
      </c>
      <c r="T43" s="37">
        <f>SUMIF('YBN FH TB'!$R:$R,'FH P&amp;L'!$A43,'YBN FH TB'!H:H)</f>
        <v/>
      </c>
      <c r="U43" s="37">
        <f>SUMIF('YBN FH TB'!$R:$R,'FH P&amp;L'!$A43,'YBN FH TB'!I:I)</f>
        <v/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6">
        <f>SUM(O43:U43)</f>
        <v/>
      </c>
      <c r="AB43" s="36">
        <f>SUM(O43:Z43)</f>
        <v/>
      </c>
      <c r="AC43" s="38" t="n">
        <v>0</v>
      </c>
      <c r="AD43" s="38" t="n">
        <v>0</v>
      </c>
      <c r="AE43" s="38" t="n">
        <v>0</v>
      </c>
      <c r="AF43" s="38" t="n">
        <v>0</v>
      </c>
      <c r="AG43" s="38" t="n">
        <v>0</v>
      </c>
      <c r="AH43" s="38" t="n">
        <v>0</v>
      </c>
      <c r="AI43" s="118" t="n">
        <v>0</v>
      </c>
      <c r="AJ43" s="119" t="n">
        <v>0</v>
      </c>
      <c r="AK43" s="119" t="n">
        <v>0</v>
      </c>
      <c r="AL43" s="119" t="n">
        <v>0</v>
      </c>
      <c r="AM43" s="120" t="n">
        <v>0</v>
      </c>
      <c r="AN43" s="118" t="n">
        <v>0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SUMIF('YBN FH TB'!$R:$R,'FH P&amp;L'!$A44,'YBN FH TB'!C:C)</f>
        <v/>
      </c>
      <c r="P44" s="37">
        <f>SUMIF('YBN FH TB'!$R:$R,'FH P&amp;L'!$A44,'YBN FH TB'!D:D)</f>
        <v/>
      </c>
      <c r="Q44" s="37">
        <f>SUMIF('YBN FH TB'!$R:$R,'FH P&amp;L'!$A44,'YBN FH TB'!E:E)</f>
        <v/>
      </c>
      <c r="R44" s="37">
        <f>SUMIF('YBN FH TB'!$R:$R,'FH P&amp;L'!$A44,'YBN FH TB'!F:F)</f>
        <v/>
      </c>
      <c r="S44" s="37">
        <f>SUMIF('YBN FH TB'!$R:$R,'FH P&amp;L'!$A44,'YBN FH TB'!G:G)</f>
        <v/>
      </c>
      <c r="T44" s="37">
        <f>SUMIF('YBN FH TB'!$R:$R,'FH P&amp;L'!$A44,'YBN FH TB'!H:H)</f>
        <v/>
      </c>
      <c r="U44" s="37">
        <f>SUMIF('YBN FH TB'!$R:$R,'FH P&amp;L'!$A44,'YBN FH TB'!I:I)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>
        <v>0</v>
      </c>
      <c r="AD44" s="38" t="n">
        <v>0</v>
      </c>
      <c r="AE44" s="38" t="n">
        <v>0</v>
      </c>
      <c r="AF44" s="38" t="n">
        <v>0</v>
      </c>
      <c r="AG44" s="38" t="n">
        <v>0</v>
      </c>
      <c r="AH44" s="38" t="n">
        <v>0</v>
      </c>
      <c r="AI44" s="118" t="n">
        <v>0</v>
      </c>
      <c r="AJ44" s="119" t="n">
        <v>0</v>
      </c>
      <c r="AK44" s="119" t="n">
        <v>0</v>
      </c>
      <c r="AL44" s="119" t="n">
        <v>0</v>
      </c>
      <c r="AM44" s="120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137.5</v>
      </c>
      <c r="L45" s="35" t="n">
        <v>137.5</v>
      </c>
      <c r="M45" s="35" t="n">
        <v>137.5</v>
      </c>
      <c r="N45" s="36">
        <f>SUM(B45:M45)</f>
        <v/>
      </c>
      <c r="O45" s="37">
        <f>SUMIF('YBN FH TB'!$R:$R,'FH P&amp;L'!$A45,'YBN FH TB'!C:C)</f>
        <v/>
      </c>
      <c r="P45" s="37">
        <f>SUMIF('YBN FH TB'!$R:$R,'FH P&amp;L'!$A45,'YBN FH TB'!D:D)</f>
        <v/>
      </c>
      <c r="Q45" s="37">
        <f>SUMIF('YBN FH TB'!$R:$R,'FH P&amp;L'!$A45,'YBN FH TB'!E:E)</f>
        <v/>
      </c>
      <c r="R45" s="37">
        <f>SUMIF('YBN FH TB'!$R:$R,'FH P&amp;L'!$A45,'YBN FH TB'!F:F)</f>
        <v/>
      </c>
      <c r="S45" s="37">
        <f>SUMIF('YBN FH TB'!$R:$R,'FH P&amp;L'!$A45,'YBN FH TB'!G:G)</f>
        <v/>
      </c>
      <c r="T45" s="37">
        <f>SUMIF('YBN FH TB'!$R:$R,'FH P&amp;L'!$A45,'YBN FH TB'!H:H)</f>
        <v/>
      </c>
      <c r="U45" s="37">
        <f>SUMIF('YBN FH TB'!$R:$R,'FH P&amp;L'!$A45,'YBN FH TB'!I:I)</f>
        <v/>
      </c>
      <c r="V45" s="38" t="n">
        <v>138</v>
      </c>
      <c r="W45" s="38" t="n">
        <v>138</v>
      </c>
      <c r="X45" s="38" t="n">
        <v>138</v>
      </c>
      <c r="Y45" s="38" t="n">
        <v>138</v>
      </c>
      <c r="Z45" s="38" t="n">
        <v>138</v>
      </c>
      <c r="AA45" s="36">
        <f>SUM(O45:U45)</f>
        <v/>
      </c>
      <c r="AB45" s="36">
        <f>SUM(O45:Z45)</f>
        <v/>
      </c>
      <c r="AC45" s="38" t="n">
        <v>138</v>
      </c>
      <c r="AD45" s="38" t="n">
        <v>138</v>
      </c>
      <c r="AE45" s="38" t="n">
        <v>138</v>
      </c>
      <c r="AF45" s="38" t="n">
        <v>138</v>
      </c>
      <c r="AG45" s="38" t="n">
        <v>138</v>
      </c>
      <c r="AH45" s="38" t="n">
        <v>138</v>
      </c>
      <c r="AI45" s="118" t="n">
        <v>138</v>
      </c>
      <c r="AJ45" s="119" t="n">
        <v>138</v>
      </c>
      <c r="AK45" s="119" t="n">
        <v>138</v>
      </c>
      <c r="AL45" s="119" t="n">
        <v>138</v>
      </c>
      <c r="AM45" s="120" t="n">
        <v>138</v>
      </c>
      <c r="AN45" s="118" t="n">
        <v>138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SUMIF('YBN FH TB'!$R:$R,'FH P&amp;L'!$A46,'YBN FH TB'!C:C)</f>
        <v/>
      </c>
      <c r="P46" s="37">
        <f>SUMIF('YBN FH TB'!$R:$R,'FH P&amp;L'!$A46,'YBN FH TB'!D:D)</f>
        <v/>
      </c>
      <c r="Q46" s="37">
        <f>SUMIF('YBN FH TB'!$R:$R,'FH P&amp;L'!$A46,'YBN FH TB'!E:E)</f>
        <v/>
      </c>
      <c r="R46" s="37">
        <f>SUMIF('YBN FH TB'!$R:$R,'FH P&amp;L'!$A46,'YBN FH TB'!F:F)</f>
        <v/>
      </c>
      <c r="S46" s="37">
        <f>SUMIF('YBN FH TB'!$R:$R,'FH P&amp;L'!$A46,'YBN FH TB'!G:G)</f>
        <v/>
      </c>
      <c r="T46" s="37">
        <f>SUMIF('YBN FH TB'!$R:$R,'FH P&amp;L'!$A46,'YBN FH TB'!H:H)</f>
        <v/>
      </c>
      <c r="U46" s="37">
        <f>SUMIF('YBN FH TB'!$R:$R,'FH P&amp;L'!$A46,'YBN FH TB'!I:I)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>
        <v>0</v>
      </c>
      <c r="AD46" s="38" t="n">
        <v>0</v>
      </c>
      <c r="AE46" s="38" t="n">
        <v>0</v>
      </c>
      <c r="AF46" s="38" t="n">
        <v>0</v>
      </c>
      <c r="AG46" s="38" t="n">
        <v>0</v>
      </c>
      <c r="AH46" s="38" t="n">
        <v>0</v>
      </c>
      <c r="AI46" s="118" t="n">
        <v>0</v>
      </c>
      <c r="AJ46" s="119" t="n">
        <v>0</v>
      </c>
      <c r="AK46" s="119" t="n">
        <v>0</v>
      </c>
      <c r="AL46" s="119" t="n">
        <v>0</v>
      </c>
      <c r="AM46" s="120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3839.71</v>
      </c>
      <c r="C47" s="42" t="n">
        <v>3929.89</v>
      </c>
      <c r="D47" s="42" t="n">
        <v>4724.89</v>
      </c>
      <c r="E47" s="42" t="n">
        <v>4153.71</v>
      </c>
      <c r="F47" s="42" t="n">
        <v>3387.41</v>
      </c>
      <c r="G47" s="42" t="n">
        <v>3503.869999999999</v>
      </c>
      <c r="H47" s="42" t="n">
        <v>3650.799999999999</v>
      </c>
      <c r="I47" s="42" t="n">
        <v>3433.55</v>
      </c>
      <c r="J47" s="42" t="n">
        <v>2080.47</v>
      </c>
      <c r="K47" s="42" t="n">
        <v>3155.98</v>
      </c>
      <c r="L47" s="42" t="n">
        <v>3672.77</v>
      </c>
      <c r="M47" s="42" t="n">
        <v>4511.69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3">
        <f>SUM(AI36:AI46)</f>
        <v/>
      </c>
      <c r="AJ47" s="124">
        <f>SUM(AJ36:AJ46)</f>
        <v/>
      </c>
      <c r="AK47" s="124">
        <f>SUM(AK36:AK46)</f>
        <v/>
      </c>
      <c r="AL47" s="124">
        <f>SUM(AL36:AL46)</f>
        <v/>
      </c>
      <c r="AM47" s="137">
        <f>SUM(AM36:AM46)</f>
        <v/>
      </c>
      <c r="AN47" s="123">
        <f>SUM(AN36:AN46)</f>
        <v/>
      </c>
      <c r="AO47" s="125">
        <f>SUM(AC47:AH47)+SUM(AI47:AN47)</f>
        <v/>
      </c>
      <c r="AP47" s="126">
        <f>IF(AB47&lt;&gt;0,(AO47-AB47)/ABS(AB47),0)</f>
        <v/>
      </c>
    </row>
    <row r="48">
      <c r="A48" s="22" t="inlineStr">
        <is>
          <t>Total Direct Costs</t>
        </is>
      </c>
      <c r="B48" s="23" t="n">
        <v>20086.2</v>
      </c>
      <c r="C48" s="23" t="n">
        <v>20148.96</v>
      </c>
      <c r="D48" s="23" t="n">
        <v>17731.48</v>
      </c>
      <c r="E48" s="23" t="n">
        <v>18195.49</v>
      </c>
      <c r="F48" s="23" t="n">
        <v>17676.25</v>
      </c>
      <c r="G48" s="23" t="n">
        <v>17308.59</v>
      </c>
      <c r="H48" s="23" t="n">
        <v>21424.91</v>
      </c>
      <c r="I48" s="23" t="n">
        <v>18394.64</v>
      </c>
      <c r="J48" s="23" t="n">
        <v>16493.17</v>
      </c>
      <c r="K48" s="23" t="n">
        <v>20762.09</v>
      </c>
      <c r="L48" s="23" t="n">
        <v>21752.52</v>
      </c>
      <c r="M48" s="23" t="n">
        <v>19603.73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>
        <f>AC25+AC34+AC47</f>
        <v/>
      </c>
      <c r="AD48" s="26">
        <f>AD25+AD34+AD47</f>
        <v/>
      </c>
      <c r="AE48" s="26">
        <f>AE25+AE34+AE47</f>
        <v/>
      </c>
      <c r="AF48" s="26">
        <f>AF25+AF34+AF47</f>
        <v/>
      </c>
      <c r="AG48" s="26">
        <f>AG25+AG34+AG47</f>
        <v/>
      </c>
      <c r="AH48" s="26">
        <f>AH25+AH34+AH47</f>
        <v/>
      </c>
      <c r="AI48" s="123">
        <f>AI25+AI34+AI47</f>
        <v/>
      </c>
      <c r="AJ48" s="147">
        <f>AJ25+AJ34+AJ47</f>
        <v/>
      </c>
      <c r="AK48" s="147">
        <f>AK25+AK34+AK47</f>
        <v/>
      </c>
      <c r="AL48" s="147">
        <f>AL25+AL34+AL47</f>
        <v/>
      </c>
      <c r="AM48" s="147">
        <f>AM25+AM34+AM47</f>
        <v/>
      </c>
      <c r="AN48" s="123">
        <f>AN25+AN34+AN47</f>
        <v/>
      </c>
      <c r="AO48" s="121">
        <f>SUM(AC48:AH48)+SUM(AI48:AN48)</f>
        <v/>
      </c>
      <c r="AP48" s="122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31.63000000000102</v>
      </c>
      <c r="C50" s="55" t="n">
        <v>100.1700000000019</v>
      </c>
      <c r="D50" s="55" t="n">
        <v>8840.02</v>
      </c>
      <c r="E50" s="55" t="n">
        <v>1635.790000000001</v>
      </c>
      <c r="F50" s="55" t="n">
        <v>726.7799999999988</v>
      </c>
      <c r="G50" s="55" t="n">
        <v>148.8600000000006</v>
      </c>
      <c r="H50" s="55" t="n">
        <v>2612.139999999999</v>
      </c>
      <c r="I50" s="55" t="n">
        <v>-7463.949999999999</v>
      </c>
      <c r="J50" s="55" t="n">
        <v>-3293.499999999998</v>
      </c>
      <c r="K50" s="55" t="n">
        <v>-6737.74</v>
      </c>
      <c r="L50" s="55" t="n">
        <v>-9079.180000000004</v>
      </c>
      <c r="M50" s="55" t="n">
        <v>19054.90000000001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0">
        <f>AI11-AI48</f>
        <v/>
      </c>
      <c r="AJ50" s="140">
        <f>AJ11-AJ48</f>
        <v/>
      </c>
      <c r="AK50" s="140">
        <f>AK11-AK48</f>
        <v/>
      </c>
      <c r="AL50" s="140">
        <f>AL11-AL48</f>
        <v/>
      </c>
      <c r="AM50" s="140">
        <f>AM11-AM48</f>
        <v/>
      </c>
      <c r="AN50" s="140">
        <f>AN11-AN48</f>
        <v/>
      </c>
      <c r="AO50" s="141">
        <f>SUM(AC50:AH50)+SUM(AI50:AN50)</f>
        <v/>
      </c>
      <c r="AP50" s="14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SUMIF('YBN FH TB'!$R:$R,'FH P&amp;L'!$A53,'YBN FH TB'!C:C)</f>
        <v/>
      </c>
      <c r="P53" s="37">
        <f>SUMIF('YBN FH TB'!$R:$R,'FH P&amp;L'!$A53,'YBN FH TB'!D:D)</f>
        <v/>
      </c>
      <c r="Q53" s="37">
        <f>SUMIF('YBN FH TB'!$R:$R,'FH P&amp;L'!$A53,'YBN FH TB'!E:E)</f>
        <v/>
      </c>
      <c r="R53" s="37">
        <f>SUMIF('YBN FH TB'!$R:$R,'FH P&amp;L'!$A53,'YBN FH TB'!F:F)</f>
        <v/>
      </c>
      <c r="S53" s="37">
        <f>SUMIF('YBN FH TB'!$R:$R,'FH P&amp;L'!$A53,'YBN FH TB'!G:G)</f>
        <v/>
      </c>
      <c r="T53" s="37">
        <f>SUMIF('YBN FH TB'!$R:$R,'FH P&amp;L'!$A53,'YBN FH TB'!H:H)</f>
        <v/>
      </c>
      <c r="U53" s="37">
        <f>SUMIF('YBN FH TB'!$R:$R,'FH P&amp;L'!$A53,'YBN FH TB'!I:I)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8" t="n">
        <v>0</v>
      </c>
      <c r="AJ53" s="119" t="n">
        <v>0</v>
      </c>
      <c r="AK53" s="119" t="n">
        <v>0</v>
      </c>
      <c r="AL53" s="119" t="n">
        <v>0</v>
      </c>
      <c r="AM53" s="120" t="n">
        <v>0</v>
      </c>
      <c r="AN53" s="118" t="n">
        <v>0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SUMIF('YBN FH TB'!$R:$R,'FH P&amp;L'!$A54,'YBN FH TB'!C:C)</f>
        <v/>
      </c>
      <c r="P54" s="37">
        <f>SUMIF('YBN FH TB'!$R:$R,'FH P&amp;L'!$A54,'YBN FH TB'!D:D)</f>
        <v/>
      </c>
      <c r="Q54" s="37">
        <f>SUMIF('YBN FH TB'!$R:$R,'FH P&amp;L'!$A54,'YBN FH TB'!E:E)</f>
        <v/>
      </c>
      <c r="R54" s="37">
        <f>SUMIF('YBN FH TB'!$R:$R,'FH P&amp;L'!$A54,'YBN FH TB'!F:F)</f>
        <v/>
      </c>
      <c r="S54" s="37">
        <f>SUMIF('YBN FH TB'!$R:$R,'FH P&amp;L'!$A54,'YBN FH TB'!G:G)</f>
        <v/>
      </c>
      <c r="T54" s="37">
        <f>SUMIF('YBN FH TB'!$R:$R,'FH P&amp;L'!$A54,'YBN FH TB'!H:H)</f>
        <v/>
      </c>
      <c r="U54" s="37">
        <f>SUMIF('YBN FH TB'!$R:$R,'FH P&amp;L'!$A54,'YBN FH TB'!I:I)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8" t="n">
        <v>0</v>
      </c>
      <c r="AJ54" s="119" t="n">
        <v>0</v>
      </c>
      <c r="AK54" s="119" t="n">
        <v>0</v>
      </c>
      <c r="AL54" s="119" t="n">
        <v>0</v>
      </c>
      <c r="AM54" s="120" t="n">
        <v>0</v>
      </c>
      <c r="AN54" s="118" t="n">
        <v>0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SUMIF('YBN FH TB'!$R:$R,'FH P&amp;L'!$A55,'YBN FH TB'!C:C)</f>
        <v/>
      </c>
      <c r="P55" s="37">
        <f>SUMIF('YBN FH TB'!$R:$R,'FH P&amp;L'!$A55,'YBN FH TB'!D:D)</f>
        <v/>
      </c>
      <c r="Q55" s="37">
        <f>SUMIF('YBN FH TB'!$R:$R,'FH P&amp;L'!$A55,'YBN FH TB'!E:E)</f>
        <v/>
      </c>
      <c r="R55" s="37">
        <f>SUMIF('YBN FH TB'!$R:$R,'FH P&amp;L'!$A55,'YBN FH TB'!F:F)</f>
        <v/>
      </c>
      <c r="S55" s="37">
        <f>SUMIF('YBN FH TB'!$R:$R,'FH P&amp;L'!$A55,'YBN FH TB'!G:G)</f>
        <v/>
      </c>
      <c r="T55" s="37">
        <f>SUMIF('YBN FH TB'!$R:$R,'FH P&amp;L'!$A55,'YBN FH TB'!H:H)</f>
        <v/>
      </c>
      <c r="U55" s="37">
        <f>SUMIF('YBN FH TB'!$R:$R,'FH P&amp;L'!$A55,'YBN FH TB'!I:I)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8" t="n">
        <v>0</v>
      </c>
      <c r="AJ55" s="119" t="n">
        <v>0</v>
      </c>
      <c r="AK55" s="119" t="n">
        <v>0</v>
      </c>
      <c r="AL55" s="119" t="n">
        <v>0</v>
      </c>
      <c r="AM55" s="120" t="n">
        <v>0</v>
      </c>
      <c r="AN55" s="118" t="n">
        <v>0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SUMIF('YBN FH TB'!$R:$R,'FH P&amp;L'!$A56,'YBN FH TB'!C:C)</f>
        <v/>
      </c>
      <c r="P56" s="37">
        <f>SUMIF('YBN FH TB'!$R:$R,'FH P&amp;L'!$A56,'YBN FH TB'!D:D)</f>
        <v/>
      </c>
      <c r="Q56" s="37">
        <f>SUMIF('YBN FH TB'!$R:$R,'FH P&amp;L'!$A56,'YBN FH TB'!E:E)</f>
        <v/>
      </c>
      <c r="R56" s="37">
        <f>SUMIF('YBN FH TB'!$R:$R,'FH P&amp;L'!$A56,'YBN FH TB'!F:F)</f>
        <v/>
      </c>
      <c r="S56" s="37">
        <f>SUMIF('YBN FH TB'!$R:$R,'FH P&amp;L'!$A56,'YBN FH TB'!G:G)</f>
        <v/>
      </c>
      <c r="T56" s="37">
        <f>SUMIF('YBN FH TB'!$R:$R,'FH P&amp;L'!$A56,'YBN FH TB'!H:H)</f>
        <v/>
      </c>
      <c r="U56" s="37">
        <f>SUMIF('YBN FH TB'!$R:$R,'FH P&amp;L'!$A56,'YBN FH TB'!I:I)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8" t="n">
        <v>0</v>
      </c>
      <c r="AJ56" s="119" t="n">
        <v>0</v>
      </c>
      <c r="AK56" s="119" t="n">
        <v>0</v>
      </c>
      <c r="AL56" s="119" t="n">
        <v>0</v>
      </c>
      <c r="AM56" s="120" t="n">
        <v>0</v>
      </c>
      <c r="AN56" s="118" t="n">
        <v>0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180</v>
      </c>
      <c r="M57" s="35" t="n">
        <v>0</v>
      </c>
      <c r="N57" s="36">
        <f>SUM(B57:M57)</f>
        <v/>
      </c>
      <c r="O57" s="37">
        <f>SUMIF('YBN FH TB'!$R:$R,'FH P&amp;L'!$A57,'YBN FH TB'!C:C)</f>
        <v/>
      </c>
      <c r="P57" s="37">
        <f>SUMIF('YBN FH TB'!$R:$R,'FH P&amp;L'!$A57,'YBN FH TB'!D:D)</f>
        <v/>
      </c>
      <c r="Q57" s="37">
        <f>SUMIF('YBN FH TB'!$R:$R,'FH P&amp;L'!$A57,'YBN FH TB'!E:E)</f>
        <v/>
      </c>
      <c r="R57" s="37">
        <f>SUMIF('YBN FH TB'!$R:$R,'FH P&amp;L'!$A57,'YBN FH TB'!F:F)</f>
        <v/>
      </c>
      <c r="S57" s="37">
        <f>SUMIF('YBN FH TB'!$R:$R,'FH P&amp;L'!$A57,'YBN FH TB'!G:G)</f>
        <v/>
      </c>
      <c r="T57" s="37">
        <f>SUMIF('YBN FH TB'!$R:$R,'FH P&amp;L'!$A57,'YBN FH TB'!H:H)</f>
        <v/>
      </c>
      <c r="U57" s="37">
        <f>SUMIF('YBN FH TB'!$R:$R,'FH P&amp;L'!$A57,'YBN FH TB'!I:I)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18" t="n">
        <v>0</v>
      </c>
      <c r="AJ57" s="119" t="n">
        <v>0</v>
      </c>
      <c r="AK57" s="119" t="n">
        <v>0</v>
      </c>
      <c r="AL57" s="119" t="n">
        <v>0</v>
      </c>
      <c r="AM57" s="120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SUMIF('YBN FH TB'!$R:$R,'FH P&amp;L'!$A58,'YBN FH TB'!C:C)</f>
        <v/>
      </c>
      <c r="P58" s="37">
        <f>SUMIF('YBN FH TB'!$R:$R,'FH P&amp;L'!$A58,'YBN FH TB'!D:D)</f>
        <v/>
      </c>
      <c r="Q58" s="37">
        <f>SUMIF('YBN FH TB'!$R:$R,'FH P&amp;L'!$A58,'YBN FH TB'!E:E)</f>
        <v/>
      </c>
      <c r="R58" s="37">
        <f>SUMIF('YBN FH TB'!$R:$R,'FH P&amp;L'!$A58,'YBN FH TB'!F:F)</f>
        <v/>
      </c>
      <c r="S58" s="37">
        <f>SUMIF('YBN FH TB'!$R:$R,'FH P&amp;L'!$A58,'YBN FH TB'!G:G)</f>
        <v/>
      </c>
      <c r="T58" s="37">
        <f>SUMIF('YBN FH TB'!$R:$R,'FH P&amp;L'!$A58,'YBN FH TB'!H:H)</f>
        <v/>
      </c>
      <c r="U58" s="37">
        <f>SUMIF('YBN FH TB'!$R:$R,'FH P&amp;L'!$A58,'YBN FH TB'!I:I)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8" t="n">
        <v>0</v>
      </c>
      <c r="AJ58" s="119" t="n">
        <v>0</v>
      </c>
      <c r="AK58" s="119" t="n">
        <v>0</v>
      </c>
      <c r="AL58" s="119" t="n">
        <v>0</v>
      </c>
      <c r="AM58" s="120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201.38</v>
      </c>
      <c r="C59" s="35" t="n">
        <v>201.38</v>
      </c>
      <c r="D59" s="35" t="n">
        <v>201.38</v>
      </c>
      <c r="E59" s="35" t="n">
        <v>201.38</v>
      </c>
      <c r="F59" s="35" t="n">
        <v>201.37</v>
      </c>
      <c r="G59" s="35" t="n">
        <v>201.38</v>
      </c>
      <c r="H59" s="35" t="n">
        <v>201.38</v>
      </c>
      <c r="I59" s="35" t="n">
        <v>201.38</v>
      </c>
      <c r="J59" s="35" t="n">
        <v>201.38</v>
      </c>
      <c r="K59" s="35" t="n">
        <v>214.8</v>
      </c>
      <c r="L59" s="35" t="n">
        <v>214.8</v>
      </c>
      <c r="M59" s="35" t="n">
        <v>214.8</v>
      </c>
      <c r="N59" s="36">
        <f>SUM(B59:M59)</f>
        <v/>
      </c>
      <c r="O59" s="37">
        <f>SUMIF('YBN FH TB'!$R:$R,'FH P&amp;L'!$A59,'YBN FH TB'!C:C)</f>
        <v/>
      </c>
      <c r="P59" s="37">
        <f>SUMIF('YBN FH TB'!$R:$R,'FH P&amp;L'!$A59,'YBN FH TB'!D:D)</f>
        <v/>
      </c>
      <c r="Q59" s="37">
        <f>SUMIF('YBN FH TB'!$R:$R,'FH P&amp;L'!$A59,'YBN FH TB'!E:E)</f>
        <v/>
      </c>
      <c r="R59" s="37">
        <f>SUMIF('YBN FH TB'!$R:$R,'FH P&amp;L'!$A59,'YBN FH TB'!F:F)</f>
        <v/>
      </c>
      <c r="S59" s="37">
        <f>SUMIF('YBN FH TB'!$R:$R,'FH P&amp;L'!$A59,'YBN FH TB'!G:G)</f>
        <v/>
      </c>
      <c r="T59" s="37">
        <f>SUMIF('YBN FH TB'!$R:$R,'FH P&amp;L'!$A59,'YBN FH TB'!H:H)</f>
        <v/>
      </c>
      <c r="U59" s="37">
        <f>SUMIF('YBN FH TB'!$R:$R,'FH P&amp;L'!$A59,'YBN FH TB'!I:I)</f>
        <v/>
      </c>
      <c r="V59" s="38" t="n">
        <v>215</v>
      </c>
      <c r="W59" s="38" t="n">
        <v>215</v>
      </c>
      <c r="X59" s="38" t="n">
        <v>215</v>
      </c>
      <c r="Y59" s="38" t="n">
        <v>215</v>
      </c>
      <c r="Z59" s="38" t="n">
        <v>215</v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18" t="n">
        <v>0</v>
      </c>
      <c r="AJ59" s="119" t="n">
        <v>0</v>
      </c>
      <c r="AK59" s="119" t="n">
        <v>0</v>
      </c>
      <c r="AL59" s="119" t="n">
        <v>0</v>
      </c>
      <c r="AM59" s="120" t="n">
        <v>0</v>
      </c>
      <c r="AN59" s="118" t="n">
        <v>0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3</v>
      </c>
      <c r="C60" s="35" t="n">
        <v>2.4</v>
      </c>
      <c r="D60" s="35" t="n">
        <v>137.61</v>
      </c>
      <c r="E60" s="35" t="n">
        <v>1.8</v>
      </c>
      <c r="F60" s="35" t="n">
        <v>2.4</v>
      </c>
      <c r="G60" s="35" t="n">
        <v>47.40000000000001</v>
      </c>
      <c r="H60" s="35" t="n">
        <v>1.2</v>
      </c>
      <c r="I60" s="35" t="n">
        <v>1.8</v>
      </c>
      <c r="J60" s="35" t="n">
        <v>2.4</v>
      </c>
      <c r="K60" s="35" t="n">
        <v>68.8</v>
      </c>
      <c r="L60" s="35" t="n">
        <v>1.8</v>
      </c>
      <c r="M60" s="35" t="n">
        <v>3</v>
      </c>
      <c r="N60" s="36">
        <f>SUM(B60:M60)</f>
        <v/>
      </c>
      <c r="O60" s="37">
        <f>SUMIF('YBN FH TB'!$R:$R,'FH P&amp;L'!$A60,'YBN FH TB'!C:C)</f>
        <v/>
      </c>
      <c r="P60" s="37">
        <f>SUMIF('YBN FH TB'!$R:$R,'FH P&amp;L'!$A60,'YBN FH TB'!D:D)</f>
        <v/>
      </c>
      <c r="Q60" s="37">
        <f>SUMIF('YBN FH TB'!$R:$R,'FH P&amp;L'!$A60,'YBN FH TB'!E:E)</f>
        <v/>
      </c>
      <c r="R60" s="37">
        <f>SUMIF('YBN FH TB'!$R:$R,'FH P&amp;L'!$A60,'YBN FH TB'!F:F)</f>
        <v/>
      </c>
      <c r="S60" s="37">
        <f>SUMIF('YBN FH TB'!$R:$R,'FH P&amp;L'!$A60,'YBN FH TB'!G:G)</f>
        <v/>
      </c>
      <c r="T60" s="37">
        <f>SUMIF('YBN FH TB'!$R:$R,'FH P&amp;L'!$A60,'YBN FH TB'!H:H)</f>
        <v/>
      </c>
      <c r="U60" s="37">
        <f>SUMIF('YBN FH TB'!$R:$R,'FH P&amp;L'!$A60,'YBN FH TB'!I:I)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8" t="n">
        <v>0</v>
      </c>
      <c r="AJ60" s="119" t="n">
        <v>0</v>
      </c>
      <c r="AK60" s="119" t="n">
        <v>0</v>
      </c>
      <c r="AL60" s="119" t="n">
        <v>0</v>
      </c>
      <c r="AM60" s="120" t="n">
        <v>0</v>
      </c>
      <c r="AN60" s="118" t="n">
        <v>0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8.539999999999999</v>
      </c>
      <c r="D61" s="35" t="n">
        <v>0</v>
      </c>
      <c r="E61" s="35" t="n">
        <v>0</v>
      </c>
      <c r="F61" s="35" t="n">
        <v>34.24</v>
      </c>
      <c r="G61" s="35" t="n">
        <v>60.11</v>
      </c>
      <c r="H61" s="35" t="n">
        <v>33.5</v>
      </c>
      <c r="I61" s="35" t="n">
        <v>0</v>
      </c>
      <c r="J61" s="35" t="n">
        <v>0</v>
      </c>
      <c r="K61" s="35" t="n">
        <v>0</v>
      </c>
      <c r="L61" s="35" t="n">
        <v>0</v>
      </c>
      <c r="M61" s="35" t="n">
        <v>20.52</v>
      </c>
      <c r="N61" s="36">
        <f>SUM(B61:M61)</f>
        <v/>
      </c>
      <c r="O61" s="37">
        <f>SUMIF('YBN FH TB'!$R:$R,'FH P&amp;L'!$A61,'YBN FH TB'!C:C)</f>
        <v/>
      </c>
      <c r="P61" s="37">
        <f>SUMIF('YBN FH TB'!$R:$R,'FH P&amp;L'!$A61,'YBN FH TB'!D:D)</f>
        <v/>
      </c>
      <c r="Q61" s="37">
        <f>SUMIF('YBN FH TB'!$R:$R,'FH P&amp;L'!$A61,'YBN FH TB'!E:E)</f>
        <v/>
      </c>
      <c r="R61" s="37">
        <f>SUMIF('YBN FH TB'!$R:$R,'FH P&amp;L'!$A61,'YBN FH TB'!F:F)</f>
        <v/>
      </c>
      <c r="S61" s="37">
        <f>SUMIF('YBN FH TB'!$R:$R,'FH P&amp;L'!$A61,'YBN FH TB'!G:G)</f>
        <v/>
      </c>
      <c r="T61" s="37">
        <f>SUMIF('YBN FH TB'!$R:$R,'FH P&amp;L'!$A61,'YBN FH TB'!H:H)</f>
        <v/>
      </c>
      <c r="U61" s="37">
        <f>SUMIF('YBN FH TB'!$R:$R,'FH P&amp;L'!$A61,'YBN FH TB'!I:I)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8" t="n">
        <v>0</v>
      </c>
      <c r="AJ61" s="119" t="n">
        <v>0</v>
      </c>
      <c r="AK61" s="119" t="n">
        <v>0</v>
      </c>
      <c r="AL61" s="119" t="n">
        <v>0</v>
      </c>
      <c r="AM61" s="120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164</v>
      </c>
      <c r="F62" s="35" t="n">
        <v>0</v>
      </c>
      <c r="G62" s="35" t="n">
        <v>0</v>
      </c>
      <c r="H62" s="35" t="n">
        <v>0</v>
      </c>
      <c r="I62" s="35" t="n">
        <v>260</v>
      </c>
      <c r="J62" s="35" t="n">
        <v>0</v>
      </c>
      <c r="K62" s="35" t="n">
        <v>0</v>
      </c>
      <c r="L62" s="35" t="n">
        <v>37</v>
      </c>
      <c r="M62" s="35" t="n">
        <v>231</v>
      </c>
      <c r="N62" s="36">
        <f>SUM(B62:M62)</f>
        <v/>
      </c>
      <c r="O62" s="37">
        <f>SUMIF('YBN FH TB'!$R:$R,'FH P&amp;L'!$A62,'YBN FH TB'!C:C)</f>
        <v/>
      </c>
      <c r="P62" s="37">
        <f>SUMIF('YBN FH TB'!$R:$R,'FH P&amp;L'!$A62,'YBN FH TB'!D:D)</f>
        <v/>
      </c>
      <c r="Q62" s="37">
        <f>SUMIF('YBN FH TB'!$R:$R,'FH P&amp;L'!$A62,'YBN FH TB'!E:E)</f>
        <v/>
      </c>
      <c r="R62" s="37">
        <f>SUMIF('YBN FH TB'!$R:$R,'FH P&amp;L'!$A62,'YBN FH TB'!F:F)</f>
        <v/>
      </c>
      <c r="S62" s="37">
        <f>SUMIF('YBN FH TB'!$R:$R,'FH P&amp;L'!$A62,'YBN FH TB'!G:G)</f>
        <v/>
      </c>
      <c r="T62" s="37">
        <f>SUMIF('YBN FH TB'!$R:$R,'FH P&amp;L'!$A62,'YBN FH TB'!H:H)</f>
        <v/>
      </c>
      <c r="U62" s="37">
        <f>SUMIF('YBN FH TB'!$R:$R,'FH P&amp;L'!$A62,'YBN FH TB'!I:I)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8" t="n">
        <v>0</v>
      </c>
      <c r="AJ62" s="119" t="n">
        <v>0</v>
      </c>
      <c r="AK62" s="119" t="n">
        <v>0</v>
      </c>
      <c r="AL62" s="119" t="n">
        <v>0</v>
      </c>
      <c r="AM62" s="120" t="n">
        <v>0</v>
      </c>
      <c r="AN62" s="118" t="n">
        <v>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SUMIF('YBN FH TB'!$R:$R,'FH P&amp;L'!$A63,'YBN FH TB'!C:C)</f>
        <v/>
      </c>
      <c r="P63" s="37">
        <f>SUMIF('YBN FH TB'!$R:$R,'FH P&amp;L'!$A63,'YBN FH TB'!D:D)</f>
        <v/>
      </c>
      <c r="Q63" s="37">
        <f>SUMIF('YBN FH TB'!$R:$R,'FH P&amp;L'!$A63,'YBN FH TB'!E:E)</f>
        <v/>
      </c>
      <c r="R63" s="37">
        <f>SUMIF('YBN FH TB'!$R:$R,'FH P&amp;L'!$A63,'YBN FH TB'!F:F)</f>
        <v/>
      </c>
      <c r="S63" s="37">
        <f>SUMIF('YBN FH TB'!$R:$R,'FH P&amp;L'!$A63,'YBN FH TB'!G:G)</f>
        <v/>
      </c>
      <c r="T63" s="37">
        <f>SUMIF('YBN FH TB'!$R:$R,'FH P&amp;L'!$A63,'YBN FH TB'!H:H)</f>
        <v/>
      </c>
      <c r="U63" s="37">
        <f>SUMIF('YBN FH TB'!$R:$R,'FH P&amp;L'!$A63,'YBN FH TB'!I:I)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8" t="n">
        <v>0</v>
      </c>
      <c r="AJ63" s="119" t="n">
        <v>0</v>
      </c>
      <c r="AK63" s="119" t="n">
        <v>0</v>
      </c>
      <c r="AL63" s="119" t="n">
        <v>0</v>
      </c>
      <c r="AM63" s="120" t="n">
        <v>0</v>
      </c>
      <c r="AN63" s="118" t="n">
        <v>0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SUMIF('YBN FH TB'!$R:$R,'FH P&amp;L'!$A64,'YBN FH TB'!C:C)</f>
        <v/>
      </c>
      <c r="P64" s="37">
        <f>SUMIF('YBN FH TB'!$R:$R,'FH P&amp;L'!$A64,'YBN FH TB'!D:D)</f>
        <v/>
      </c>
      <c r="Q64" s="37">
        <f>SUMIF('YBN FH TB'!$R:$R,'FH P&amp;L'!$A64,'YBN FH TB'!E:E)</f>
        <v/>
      </c>
      <c r="R64" s="37">
        <f>SUMIF('YBN FH TB'!$R:$R,'FH P&amp;L'!$A64,'YBN FH TB'!F:F)</f>
        <v/>
      </c>
      <c r="S64" s="37">
        <f>SUMIF('YBN FH TB'!$R:$R,'FH P&amp;L'!$A64,'YBN FH TB'!G:G)</f>
        <v/>
      </c>
      <c r="T64" s="37">
        <f>SUMIF('YBN FH TB'!$R:$R,'FH P&amp;L'!$A64,'YBN FH TB'!H:H)</f>
        <v/>
      </c>
      <c r="U64" s="37">
        <f>SUMIF('YBN FH TB'!$R:$R,'FH P&amp;L'!$A64,'YBN FH TB'!I:I)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8" t="n">
        <v>0</v>
      </c>
      <c r="AJ64" s="119" t="n">
        <v>0</v>
      </c>
      <c r="AK64" s="119" t="n">
        <v>0</v>
      </c>
      <c r="AL64" s="119" t="n">
        <v>0</v>
      </c>
      <c r="AM64" s="120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SUMIF('YBN FH TB'!$R:$R,'FH P&amp;L'!$A65,'YBN FH TB'!C:C)</f>
        <v/>
      </c>
      <c r="P65" s="37">
        <f>SUMIF('YBN FH TB'!$R:$R,'FH P&amp;L'!$A65,'YBN FH TB'!D:D)</f>
        <v/>
      </c>
      <c r="Q65" s="37">
        <f>SUMIF('YBN FH TB'!$R:$R,'FH P&amp;L'!$A65,'YBN FH TB'!E:E)</f>
        <v/>
      </c>
      <c r="R65" s="37">
        <f>SUMIF('YBN FH TB'!$R:$R,'FH P&amp;L'!$A65,'YBN FH TB'!F:F)</f>
        <v/>
      </c>
      <c r="S65" s="37">
        <f>SUMIF('YBN FH TB'!$R:$R,'FH P&amp;L'!$A65,'YBN FH TB'!G:G)</f>
        <v/>
      </c>
      <c r="T65" s="37">
        <f>SUMIF('YBN FH TB'!$R:$R,'FH P&amp;L'!$A65,'YBN FH TB'!H:H)</f>
        <v/>
      </c>
      <c r="U65" s="37">
        <f>SUMIF('YBN FH TB'!$R:$R,'FH P&amp;L'!$A65,'YBN FH TB'!I:I)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8" t="n">
        <v>0</v>
      </c>
      <c r="AJ65" s="119" t="n">
        <v>0</v>
      </c>
      <c r="AK65" s="119" t="n">
        <v>0</v>
      </c>
      <c r="AL65" s="119" t="n">
        <v>0</v>
      </c>
      <c r="AM65" s="120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SUMIF('YBN FH TB'!$R:$R,'FH P&amp;L'!$A66,'YBN FH TB'!C:C)</f>
        <v/>
      </c>
      <c r="P66" s="37">
        <f>SUMIF('YBN FH TB'!$R:$R,'FH P&amp;L'!$A66,'YBN FH TB'!D:D)</f>
        <v/>
      </c>
      <c r="Q66" s="37">
        <f>SUMIF('YBN FH TB'!$R:$R,'FH P&amp;L'!$A66,'YBN FH TB'!E:E)</f>
        <v/>
      </c>
      <c r="R66" s="37">
        <f>SUMIF('YBN FH TB'!$R:$R,'FH P&amp;L'!$A66,'YBN FH TB'!F:F)</f>
        <v/>
      </c>
      <c r="S66" s="37">
        <f>SUMIF('YBN FH TB'!$R:$R,'FH P&amp;L'!$A66,'YBN FH TB'!G:G)</f>
        <v/>
      </c>
      <c r="T66" s="37">
        <f>SUMIF('YBN FH TB'!$R:$R,'FH P&amp;L'!$A66,'YBN FH TB'!H:H)</f>
        <v/>
      </c>
      <c r="U66" s="37">
        <f>SUMIF('YBN FH TB'!$R:$R,'FH P&amp;L'!$A66,'YBN FH TB'!I:I)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8" t="n">
        <v>0</v>
      </c>
      <c r="AJ66" s="119" t="n">
        <v>0</v>
      </c>
      <c r="AK66" s="119" t="n">
        <v>0</v>
      </c>
      <c r="AL66" s="119" t="n">
        <v>0</v>
      </c>
      <c r="AM66" s="120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42.75</v>
      </c>
      <c r="I67" s="35" t="n">
        <v>262.75</v>
      </c>
      <c r="J67" s="35" t="n">
        <v>42.75</v>
      </c>
      <c r="K67" s="35" t="n">
        <v>42.75</v>
      </c>
      <c r="L67" s="35" t="n">
        <v>42.75</v>
      </c>
      <c r="M67" s="35" t="n">
        <v>42.75</v>
      </c>
      <c r="N67" s="36">
        <f>SUM(B67:M67)</f>
        <v/>
      </c>
      <c r="O67" s="37">
        <f>SUMIF('YBN FH TB'!$R:$R,'FH P&amp;L'!$A67,'YBN FH TB'!C:C)</f>
        <v/>
      </c>
      <c r="P67" s="37">
        <f>SUMIF('YBN FH TB'!$R:$R,'FH P&amp;L'!$A67,'YBN FH TB'!D:D)</f>
        <v/>
      </c>
      <c r="Q67" s="37">
        <f>SUMIF('YBN FH TB'!$R:$R,'FH P&amp;L'!$A67,'YBN FH TB'!E:E)</f>
        <v/>
      </c>
      <c r="R67" s="37">
        <f>SUMIF('YBN FH TB'!$R:$R,'FH P&amp;L'!$A67,'YBN FH TB'!F:F)</f>
        <v/>
      </c>
      <c r="S67" s="37">
        <f>SUMIF('YBN FH TB'!$R:$R,'FH P&amp;L'!$A67,'YBN FH TB'!G:G)</f>
        <v/>
      </c>
      <c r="T67" s="37">
        <f>SUMIF('YBN FH TB'!$R:$R,'FH P&amp;L'!$A67,'YBN FH TB'!H:H)</f>
        <v/>
      </c>
      <c r="U67" s="37">
        <f>SUMIF('YBN FH TB'!$R:$R,'FH P&amp;L'!$A67,'YBN FH TB'!I:I)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8" t="n">
        <v>0</v>
      </c>
      <c r="AJ67" s="119" t="n">
        <v>0</v>
      </c>
      <c r="AK67" s="119" t="n">
        <v>0</v>
      </c>
      <c r="AL67" s="119" t="n">
        <v>0</v>
      </c>
      <c r="AM67" s="120" t="n">
        <v>0</v>
      </c>
      <c r="AN67" s="118" t="n">
        <v>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0</v>
      </c>
      <c r="J68" s="35" t="n">
        <v>-78.61</v>
      </c>
      <c r="K68" s="35" t="n">
        <v>0</v>
      </c>
      <c r="L68" s="35" t="n">
        <v>0</v>
      </c>
      <c r="M68" s="35" t="n">
        <v>0</v>
      </c>
      <c r="N68" s="36">
        <f>SUM(B68:M68)</f>
        <v/>
      </c>
      <c r="O68" s="37">
        <f>SUMIF('YBN FH TB'!$R:$R,'FH P&amp;L'!$A68,'YBN FH TB'!C:C)</f>
        <v/>
      </c>
      <c r="P68" s="37">
        <f>SUMIF('YBN FH TB'!$R:$R,'FH P&amp;L'!$A68,'YBN FH TB'!D:D)</f>
        <v/>
      </c>
      <c r="Q68" s="37">
        <f>SUMIF('YBN FH TB'!$R:$R,'FH P&amp;L'!$A68,'YBN FH TB'!E:E)</f>
        <v/>
      </c>
      <c r="R68" s="37">
        <f>SUMIF('YBN FH TB'!$R:$R,'FH P&amp;L'!$A68,'YBN FH TB'!F:F)</f>
        <v/>
      </c>
      <c r="S68" s="37">
        <f>SUMIF('YBN FH TB'!$R:$R,'FH P&amp;L'!$A68,'YBN FH TB'!G:G)</f>
        <v/>
      </c>
      <c r="T68" s="37">
        <f>SUMIF('YBN FH TB'!$R:$R,'FH P&amp;L'!$A68,'YBN FH TB'!H:H)</f>
        <v/>
      </c>
      <c r="U68" s="37">
        <f>SUMIF('YBN FH TB'!$R:$R,'FH P&amp;L'!$A68,'YBN FH TB'!I:I)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8" t="n">
        <v>0</v>
      </c>
      <c r="AJ68" s="119" t="n">
        <v>0</v>
      </c>
      <c r="AK68" s="119" t="n">
        <v>0</v>
      </c>
      <c r="AL68" s="119" t="n">
        <v>0</v>
      </c>
      <c r="AM68" s="120" t="n">
        <v>0</v>
      </c>
      <c r="AN68" s="118" t="n">
        <v>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204.38</v>
      </c>
      <c r="C69" s="42" t="n">
        <v>212.32</v>
      </c>
      <c r="D69" s="42" t="n">
        <v>338.99</v>
      </c>
      <c r="E69" s="42" t="n">
        <v>367.18</v>
      </c>
      <c r="F69" s="42" t="n">
        <v>238.01</v>
      </c>
      <c r="G69" s="42" t="n">
        <v>308.89</v>
      </c>
      <c r="H69" s="42" t="n">
        <v>278.83</v>
      </c>
      <c r="I69" s="42" t="n">
        <v>725.9300000000001</v>
      </c>
      <c r="J69" s="42" t="n">
        <v>167.92</v>
      </c>
      <c r="K69" s="42" t="n">
        <v>326.35</v>
      </c>
      <c r="L69" s="42" t="n">
        <v>476.35</v>
      </c>
      <c r="M69" s="42" t="n">
        <v>512.0700000000001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3">
        <f>SUM(AI53:AI68)</f>
        <v/>
      </c>
      <c r="AJ69" s="124">
        <f>SUM(AJ53:AJ68)</f>
        <v/>
      </c>
      <c r="AK69" s="124">
        <f>SUM(AK53:AK68)</f>
        <v/>
      </c>
      <c r="AL69" s="124">
        <f>SUM(AL53:AL68)</f>
        <v/>
      </c>
      <c r="AM69" s="124">
        <f>SUM(AM53:AM68)</f>
        <v/>
      </c>
      <c r="AN69" s="123">
        <f>SUM(AN53:AN68)</f>
        <v/>
      </c>
      <c r="AO69" s="125">
        <f>SUM(AC69:AH69)+SUM(AI69:AN69)</f>
        <v/>
      </c>
      <c r="AP69" s="126">
        <f>IF(AB69&lt;&gt;0,(AO69-AB69)/ABS(AB69),0)</f>
        <v/>
      </c>
    </row>
    <row r="70">
      <c r="A70" s="54" t="inlineStr">
        <is>
          <t>EBITDA</t>
        </is>
      </c>
      <c r="B70" s="55" t="n">
        <v>-172.749999999999</v>
      </c>
      <c r="C70" s="55" t="n">
        <v>-112.1499999999981</v>
      </c>
      <c r="D70" s="55" t="n">
        <v>8501.030000000001</v>
      </c>
      <c r="E70" s="55" t="n">
        <v>1268.610000000001</v>
      </c>
      <c r="F70" s="55" t="n">
        <v>488.7699999999988</v>
      </c>
      <c r="G70" s="55" t="n">
        <v>-160.0299999999994</v>
      </c>
      <c r="H70" s="55" t="n">
        <v>2333.309999999999</v>
      </c>
      <c r="I70" s="55" t="n">
        <v>-8189.879999999999</v>
      </c>
      <c r="J70" s="55" t="n">
        <v>-3461.419999999998</v>
      </c>
      <c r="K70" s="55" t="n">
        <v>-7064.09</v>
      </c>
      <c r="L70" s="55" t="n">
        <v>-9555.530000000004</v>
      </c>
      <c r="M70" s="55" t="n">
        <v>18542.83000000001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0">
        <f>AI50-AI69</f>
        <v/>
      </c>
      <c r="AJ70" s="140">
        <f>AJ50-AJ69</f>
        <v/>
      </c>
      <c r="AK70" s="140">
        <f>AK50-AK69</f>
        <v/>
      </c>
      <c r="AL70" s="140">
        <f>AL50-AL69</f>
        <v/>
      </c>
      <c r="AM70" s="140">
        <f>AM50-AM69</f>
        <v/>
      </c>
      <c r="AN70" s="140">
        <f>AN50-AN69</f>
        <v/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4">
        <f>SUM(AC72:AH72)+SUM(AI72:AN72)</f>
        <v/>
      </c>
      <c r="AP72" s="142">
        <f>IF(AB72&lt;&gt;0,(AO72-AB72)/ABS(AB72),0)</f>
        <v/>
      </c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118" t="n">
        <v>0</v>
      </c>
      <c r="AJ73" s="118" t="n">
        <v>0</v>
      </c>
      <c r="AK73" s="118" t="n">
        <v>0</v>
      </c>
      <c r="AL73" s="118" t="n">
        <v>0</v>
      </c>
      <c r="AM73" s="118" t="n">
        <v>0</v>
      </c>
      <c r="AN73" s="118" t="n">
        <v>0</v>
      </c>
      <c r="AO73" s="144">
        <f>SUM(AC73:AH73)+SUM(AI73:AN73)</f>
        <v/>
      </c>
      <c r="AP73" s="142">
        <f>IF(AB73&lt;&gt;0,(AO73-AB73)/ABS(AB73),0)</f>
        <v/>
      </c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118" t="n">
        <v>0</v>
      </c>
      <c r="AJ74" s="118" t="n">
        <v>0</v>
      </c>
      <c r="AK74" s="118" t="n">
        <v>0</v>
      </c>
      <c r="AL74" s="118" t="n">
        <v>0</v>
      </c>
      <c r="AM74" s="118" t="n">
        <v>0</v>
      </c>
      <c r="AN74" s="118" t="n">
        <v>0</v>
      </c>
      <c r="AO74" s="144">
        <f>SUM(AC74:AH74)+SUM(AI74:AN74)</f>
        <v/>
      </c>
      <c r="AP74" s="142">
        <f>IF(AB74&lt;&gt;0,(AO74-AB74)/ABS(AB74),0)</f>
        <v/>
      </c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118" t="n">
        <v>0</v>
      </c>
      <c r="AJ75" s="118" t="n">
        <v>0</v>
      </c>
      <c r="AK75" s="118" t="n">
        <v>0</v>
      </c>
      <c r="AL75" s="118" t="n">
        <v>0</v>
      </c>
      <c r="AM75" s="118" t="n">
        <v>0</v>
      </c>
      <c r="AN75" s="118" t="n">
        <v>0</v>
      </c>
      <c r="AO75" s="144">
        <f>SUM(AC75:AH75)+SUM(AI75:AN75)</f>
        <v/>
      </c>
      <c r="AP75" s="142">
        <f>IF(AB75&lt;&gt;0,(AO75-AB75)/ABS(AB75),0)</f>
        <v/>
      </c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118" t="n">
        <v>0</v>
      </c>
      <c r="AJ76" s="118" t="n">
        <v>0</v>
      </c>
      <c r="AK76" s="118" t="n">
        <v>0</v>
      </c>
      <c r="AL76" s="118" t="n">
        <v>0</v>
      </c>
      <c r="AM76" s="118" t="n">
        <v>0</v>
      </c>
      <c r="AN76" s="118" t="n">
        <v>0</v>
      </c>
      <c r="AO76" s="144">
        <f>SUM(AC76:AH76)+SUM(AI76:AN76)</f>
        <v/>
      </c>
      <c r="AP76" s="142">
        <f>IF(AB76&lt;&gt;0,(AO76-AB76)/ABS(AB76),0)</f>
        <v/>
      </c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118" t="n">
        <v>0</v>
      </c>
      <c r="AJ77" s="118" t="n">
        <v>0</v>
      </c>
      <c r="AK77" s="118" t="n">
        <v>0</v>
      </c>
      <c r="AL77" s="118" t="n">
        <v>0</v>
      </c>
      <c r="AM77" s="118" t="n">
        <v>0</v>
      </c>
      <c r="AN77" s="118" t="n">
        <v>0</v>
      </c>
      <c r="AO77" s="144">
        <f>SUM(AC77:AH77)+SUM(AI77:AN77)</f>
        <v/>
      </c>
      <c r="AP77" s="142">
        <f>IF(AB77&lt;&gt;0,(AO77-AB77)/ABS(AB77),0)</f>
        <v/>
      </c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-172.749999999999</v>
      </c>
      <c r="C79" s="57" t="n">
        <v>-112.1499999999981</v>
      </c>
      <c r="D79" s="57" t="n">
        <v>8501.030000000001</v>
      </c>
      <c r="E79" s="57" t="n">
        <v>1268.610000000001</v>
      </c>
      <c r="F79" s="57" t="n">
        <v>488.7699999999988</v>
      </c>
      <c r="G79" s="57" t="n">
        <v>-160.0299999999994</v>
      </c>
      <c r="H79" s="57" t="n">
        <v>2333.309999999999</v>
      </c>
      <c r="I79" s="57" t="n">
        <v>-8189.879999999999</v>
      </c>
      <c r="J79" s="57" t="n">
        <v>-3461.419999999998</v>
      </c>
      <c r="K79" s="57" t="n">
        <v>-7064.09</v>
      </c>
      <c r="L79" s="57" t="n">
        <v>-9555.530000000004</v>
      </c>
      <c r="M79" s="57" t="n">
        <v>18542.83000000001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5">
        <f>U70+SUM(U73:U78)</f>
        <v/>
      </c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127" t="n">
        <v>0</v>
      </c>
      <c r="AJ79" s="127" t="n">
        <v>0</v>
      </c>
      <c r="AK79" s="127" t="n">
        <v>0</v>
      </c>
      <c r="AL79" s="127" t="n">
        <v>0</v>
      </c>
      <c r="AM79" s="127" t="n">
        <v>0</v>
      </c>
      <c r="AN79" s="127" t="n">
        <v>0</v>
      </c>
      <c r="AO79" s="144">
        <f>SUM(AC79:AH79)+SUM(AI79:AN79)</f>
        <v/>
      </c>
      <c r="AP79" s="142">
        <f>IF(AB79&lt;&gt;0,(AO79-AB79)/ABS(AB79),0)</f>
        <v/>
      </c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22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60" t="inlineStr">
        <is>
          <t>Memo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60" t="inlineStr">
        <is>
          <t>Direct - Sales</t>
        </is>
      </c>
      <c r="B87" s="60" t="n">
        <v>20117.83</v>
      </c>
      <c r="C87" s="60" t="n">
        <v>20249.13</v>
      </c>
      <c r="D87" s="60" t="n">
        <v>26571.5</v>
      </c>
      <c r="E87" s="60" t="n">
        <v>19831.28</v>
      </c>
      <c r="F87" s="60" t="n">
        <v>18403.03</v>
      </c>
      <c r="G87" s="60" t="n">
        <v>17457.45</v>
      </c>
      <c r="H87" s="60" t="n">
        <v>24037.05</v>
      </c>
      <c r="I87" s="60" t="n">
        <v>10930.69</v>
      </c>
      <c r="J87" s="60" t="n">
        <v>13199.67</v>
      </c>
      <c r="K87" s="60" t="n">
        <v>14024.35</v>
      </c>
      <c r="L87" s="60" t="n">
        <v>12673.34</v>
      </c>
      <c r="M87" s="8" t="n"/>
      <c r="N87" s="8" t="n"/>
      <c r="O87" s="60">
        <f>-SUMIF('YBN FH TB'!$T:$T,'FH P&amp;L'!$A87,'YBN FH TB'!C:C)</f>
        <v/>
      </c>
      <c r="P87" s="60">
        <f>-SUMIF('YBN FH TB'!$T:$T,'FH P&amp;L'!$A87,'YBN FH TB'!D:D)</f>
        <v/>
      </c>
      <c r="Q87" s="60">
        <f>-SUMIF('YBN FH TB'!$T:$T,'FH P&amp;L'!$A87,'YBN FH TB'!E:E)</f>
        <v/>
      </c>
      <c r="R87" s="60">
        <f>-SUMIF('YBN FH TB'!$T:$T,'FH P&amp;L'!$A87,'YBN FH TB'!F:F)</f>
        <v/>
      </c>
      <c r="S87" s="60">
        <f>-SUMIF('YBN FH TB'!$T:$T,'FH P&amp;L'!$A87,'YBN FH TB'!G:G)</f>
        <v/>
      </c>
      <c r="T87" s="60">
        <f>-SUMIF('YBN FH TB'!$T:$T,'FH P&amp;L'!$A87,'YBN FH TB'!H:H)</f>
        <v/>
      </c>
      <c r="U87" s="60">
        <f>-SUMIF('YBN FH TB'!$T:$T,'FH P&amp;L'!$A87,'YBN FH TB'!I:I)</f>
        <v/>
      </c>
      <c r="V87" s="60">
        <f>-SUMIF('YBN FH TB'!$T:$T,'FH P&amp;L'!$A87,'YBN FH TB'!J:J)</f>
        <v/>
      </c>
      <c r="W87" s="60">
        <f>-SUMIF('YBN FH TB'!$T:$T,'FH P&amp;L'!$A87,'YBN FH TB'!K:K)</f>
        <v/>
      </c>
      <c r="X87" s="60">
        <f>-SUMIF('YBN FH TB'!$T:$T,'FH P&amp;L'!$A87,'YBN FH TB'!L:L)</f>
        <v/>
      </c>
      <c r="Y87" s="60">
        <f>-SUMIF('YBN FH TB'!$T:$T,'FH P&amp;L'!$A87,'YBN FH TB'!M:M)</f>
        <v/>
      </c>
      <c r="Z87" s="60">
        <f>-SUMIF('YBN FH TB'!$T:$T,'FH P&amp;L'!$A87,'YBN FH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134" t="n">
        <v>0</v>
      </c>
      <c r="AJ87" s="134" t="n">
        <v>0</v>
      </c>
      <c r="AK87" s="134" t="n">
        <v>0</v>
      </c>
      <c r="AL87" s="134" t="n">
        <v>0</v>
      </c>
      <c r="AM87" s="134" t="n">
        <v>0</v>
      </c>
      <c r="AN87" s="134" t="n">
        <v>0</v>
      </c>
      <c r="AO87" s="145">
        <f>SUM(AC87:AH87)+SUM(AI87:AN87)</f>
        <v/>
      </c>
      <c r="AP87" s="142">
        <f>IF(AB87&lt;&gt;0,(AO87-AB87)/ABS(AB87),0)</f>
        <v/>
      </c>
    </row>
    <row r="88">
      <c r="A88" s="34" t="inlineStr">
        <is>
          <t>Direct - Staff Cost</t>
        </is>
      </c>
      <c r="B88" s="18" t="n">
        <v>-15237.76</v>
      </c>
      <c r="C88" s="18" t="n">
        <v>-15403.43</v>
      </c>
      <c r="D88" s="18" t="n">
        <v>-12032.29</v>
      </c>
      <c r="E88" s="18" t="n">
        <v>-13190.74</v>
      </c>
      <c r="F88" s="18" t="n">
        <v>-13389.22</v>
      </c>
      <c r="G88" s="18" t="n">
        <v>-13121.69</v>
      </c>
      <c r="H88" s="18" t="n">
        <v>-16994.95</v>
      </c>
      <c r="I88" s="18" t="n">
        <v>-14247.8</v>
      </c>
      <c r="J88" s="18" t="n">
        <v>-13644.29</v>
      </c>
      <c r="K88" s="18" t="n">
        <v>-16145.13</v>
      </c>
      <c r="L88" s="18" t="n">
        <v>-17393.09</v>
      </c>
      <c r="M88" s="18" t="n"/>
      <c r="N88" s="8" t="n"/>
      <c r="O88" s="60">
        <f>-SUMIF('YBN FH TB'!$T:$T,'FH P&amp;L'!$A88,'YBN FH TB'!C:C)</f>
        <v/>
      </c>
      <c r="P88" s="60">
        <f>-SUMIF('YBN FH TB'!$T:$T,'FH P&amp;L'!$A88,'YBN FH TB'!D:D)</f>
        <v/>
      </c>
      <c r="Q88" s="60">
        <f>-SUMIF('YBN FH TB'!$T:$T,'FH P&amp;L'!$A88,'YBN FH TB'!E:E)</f>
        <v/>
      </c>
      <c r="R88" s="60">
        <f>-SUMIF('YBN FH TB'!$T:$T,'FH P&amp;L'!$A88,'YBN FH TB'!F:F)</f>
        <v/>
      </c>
      <c r="S88" s="60">
        <f>-SUMIF('YBN FH TB'!$T:$T,'FH P&amp;L'!$A88,'YBN FH TB'!G:G)</f>
        <v/>
      </c>
      <c r="T88" s="60">
        <f>-SUMIF('YBN FH TB'!$T:$T,'FH P&amp;L'!$A88,'YBN FH TB'!H:H)</f>
        <v/>
      </c>
      <c r="U88" s="60">
        <f>-SUMIF('YBN FH TB'!$T:$T,'FH P&amp;L'!$A88,'YBN FH TB'!I:I)</f>
        <v/>
      </c>
      <c r="V88" s="60">
        <f>-SUMIF('YBN FH TB'!$T:$T,'FH P&amp;L'!$A88,'YBN FH TB'!J:J)</f>
        <v/>
      </c>
      <c r="W88" s="60">
        <f>-SUMIF('YBN FH TB'!$T:$T,'FH P&amp;L'!$A88,'YBN FH TB'!K:K)</f>
        <v/>
      </c>
      <c r="X88" s="60">
        <f>-SUMIF('YBN FH TB'!$T:$T,'FH P&amp;L'!$A88,'YBN FH TB'!L:L)</f>
        <v/>
      </c>
      <c r="Y88" s="60">
        <f>-SUMIF('YBN FH TB'!$T:$T,'FH P&amp;L'!$A88,'YBN FH TB'!M:M)</f>
        <v/>
      </c>
      <c r="Z88" s="60">
        <f>-SUMIF('YBN FH TB'!$T:$T,'FH P&amp;L'!$A88,'YBN FH TB'!N:N)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134" t="n">
        <v>0</v>
      </c>
      <c r="AJ88" s="134" t="n">
        <v>0</v>
      </c>
      <c r="AK88" s="134" t="n">
        <v>0</v>
      </c>
      <c r="AL88" s="134" t="n">
        <v>0</v>
      </c>
      <c r="AM88" s="134" t="n">
        <v>0</v>
      </c>
      <c r="AN88" s="134" t="n">
        <v>0</v>
      </c>
      <c r="AO88" s="144">
        <f>SUM(AC88:AH88)+SUM(AI88:AN88)</f>
        <v/>
      </c>
      <c r="AP88" s="142">
        <f>IF(AB88&lt;&gt;0,(AO88-AB88)/ABS(AB88),0)</f>
        <v/>
      </c>
    </row>
    <row r="89">
      <c r="A89" s="60" t="inlineStr">
        <is>
          <t>Direct - Childcare Cost</t>
        </is>
      </c>
      <c r="B89" s="18" t="n">
        <v>-1008.73</v>
      </c>
      <c r="C89" s="18" t="n">
        <v>-815.6400000000001</v>
      </c>
      <c r="D89" s="18" t="n">
        <v>-974.3000000000002</v>
      </c>
      <c r="E89" s="18" t="n">
        <v>-851.04</v>
      </c>
      <c r="F89" s="18" t="n">
        <v>-899.62</v>
      </c>
      <c r="G89" s="18" t="n">
        <v>-683.0300000000001</v>
      </c>
      <c r="H89" s="18" t="n">
        <v>-779.1600000000002</v>
      </c>
      <c r="I89" s="18" t="n">
        <v>-713.29</v>
      </c>
      <c r="J89" s="18" t="n">
        <v>-768.41</v>
      </c>
      <c r="K89" s="18" t="n">
        <v>-1460.98</v>
      </c>
      <c r="L89" s="18" t="n">
        <v>-686.6600000000001</v>
      </c>
      <c r="M89" s="18" t="n">
        <v>-526.37</v>
      </c>
      <c r="N89" s="8" t="n"/>
      <c r="O89" s="60">
        <f>-SUMIF('YBN FH TB'!$T:$T,'FH P&amp;L'!$A89,'YBN FH TB'!C:C)</f>
        <v/>
      </c>
      <c r="P89" s="60">
        <f>-SUMIF('YBN FH TB'!$T:$T,'FH P&amp;L'!$A89,'YBN FH TB'!D:D)</f>
        <v/>
      </c>
      <c r="Q89" s="60">
        <f>-SUMIF('YBN FH TB'!$T:$T,'FH P&amp;L'!$A89,'YBN FH TB'!E:E)</f>
        <v/>
      </c>
      <c r="R89" s="60">
        <f>-SUMIF('YBN FH TB'!$T:$T,'FH P&amp;L'!$A89,'YBN FH TB'!F:F)</f>
        <v/>
      </c>
      <c r="S89" s="60">
        <f>-SUMIF('YBN FH TB'!$T:$T,'FH P&amp;L'!$A89,'YBN FH TB'!G:G)</f>
        <v/>
      </c>
      <c r="T89" s="60">
        <f>-SUMIF('YBN FH TB'!$T:$T,'FH P&amp;L'!$A89,'YBN FH TB'!H:H)</f>
        <v/>
      </c>
      <c r="U89" s="60">
        <f>-SUMIF('YBN FH TB'!$T:$T,'FH P&amp;L'!$A89,'YBN FH TB'!I:I)</f>
        <v/>
      </c>
      <c r="V89" s="60">
        <f>-SUMIF('YBN FH TB'!$T:$T,'FH P&amp;L'!$A89,'YBN FH TB'!J:J)</f>
        <v/>
      </c>
      <c r="W89" s="60">
        <f>-SUMIF('YBN FH TB'!$T:$T,'FH P&amp;L'!$A89,'YBN FH TB'!K:K)</f>
        <v/>
      </c>
      <c r="X89" s="60">
        <f>-SUMIF('YBN FH TB'!$T:$T,'FH P&amp;L'!$A89,'YBN FH TB'!L:L)</f>
        <v/>
      </c>
      <c r="Y89" s="60">
        <f>-SUMIF('YBN FH TB'!$T:$T,'FH P&amp;L'!$A89,'YBN FH TB'!M:M)</f>
        <v/>
      </c>
      <c r="Z89" s="60">
        <f>-SUMIF('YBN FH TB'!$T:$T,'FH P&amp;L'!$A89,'YBN FH TB'!N:N)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34" t="n">
        <v>0</v>
      </c>
      <c r="AJ89" s="134" t="n">
        <v>0</v>
      </c>
      <c r="AK89" s="134" t="n">
        <v>0</v>
      </c>
      <c r="AL89" s="134" t="n">
        <v>0</v>
      </c>
      <c r="AM89" s="134" t="n">
        <v>0</v>
      </c>
      <c r="AN89" s="134" t="n">
        <v>0</v>
      </c>
      <c r="AO89" s="144">
        <f>SUM(AC89:AH89)+SUM(AI89:AN89)</f>
        <v/>
      </c>
      <c r="AP89" s="142">
        <f>IF(AB89&lt;&gt;0,(AO89-AB89)/ABS(AB89),0)</f>
        <v/>
      </c>
    </row>
    <row r="90">
      <c r="A90" s="60" t="inlineStr">
        <is>
          <t>Direct - Premises &amp; Admin</t>
        </is>
      </c>
      <c r="B90" s="18" t="n">
        <v>-3839.71</v>
      </c>
      <c r="C90" s="18" t="n">
        <v>-3929.89</v>
      </c>
      <c r="D90" s="18" t="n">
        <v>-4724.89</v>
      </c>
      <c r="E90" s="18" t="n">
        <v>-4153.71</v>
      </c>
      <c r="F90" s="18" t="n">
        <v>-3387.41</v>
      </c>
      <c r="G90" s="18" t="n">
        <v>-3503.869999999999</v>
      </c>
      <c r="H90" s="18" t="n">
        <v>-3650.799999999999</v>
      </c>
      <c r="I90" s="18" t="n">
        <v>-3433.55</v>
      </c>
      <c r="J90" s="18" t="n">
        <v>-2080.47</v>
      </c>
      <c r="K90" s="18" t="n">
        <v>-3155.98</v>
      </c>
      <c r="L90" s="18" t="n">
        <v>-3672.77</v>
      </c>
      <c r="M90" s="18" t="n">
        <v>-4511.69</v>
      </c>
      <c r="N90" s="8" t="n"/>
      <c r="O90" s="60">
        <f>-SUMIF('YBN FH TB'!$T:$T,'FH P&amp;L'!$A90,'YBN FH TB'!C:C)</f>
        <v/>
      </c>
      <c r="P90" s="60">
        <f>-SUMIF('YBN FH TB'!$T:$T,'FH P&amp;L'!$A90,'YBN FH TB'!D:D)</f>
        <v/>
      </c>
      <c r="Q90" s="60">
        <f>-SUMIF('YBN FH TB'!$T:$T,'FH P&amp;L'!$A90,'YBN FH TB'!E:E)</f>
        <v/>
      </c>
      <c r="R90" s="60">
        <f>-SUMIF('YBN FH TB'!$T:$T,'FH P&amp;L'!$A90,'YBN FH TB'!F:F)</f>
        <v/>
      </c>
      <c r="S90" s="60">
        <f>-SUMIF('YBN FH TB'!$T:$T,'FH P&amp;L'!$A90,'YBN FH TB'!G:G)</f>
        <v/>
      </c>
      <c r="T90" s="60">
        <f>-SUMIF('YBN FH TB'!$T:$T,'FH P&amp;L'!$A90,'YBN FH TB'!H:H)</f>
        <v/>
      </c>
      <c r="U90" s="60">
        <f>-SUMIF('YBN FH TB'!$T:$T,'FH P&amp;L'!$A90,'YBN FH TB'!I:I)</f>
        <v/>
      </c>
      <c r="V90" s="60">
        <f>-SUMIF('YBN FH TB'!$T:$T,'FH P&amp;L'!$A90,'YBN FH TB'!J:J)</f>
        <v/>
      </c>
      <c r="W90" s="60">
        <f>-SUMIF('YBN FH TB'!$T:$T,'FH P&amp;L'!$A90,'YBN FH TB'!K:K)</f>
        <v/>
      </c>
      <c r="X90" s="60">
        <f>-SUMIF('YBN FH TB'!$T:$T,'FH P&amp;L'!$A90,'YBN FH TB'!L:L)</f>
        <v/>
      </c>
      <c r="Y90" s="60">
        <f>-SUMIF('YBN FH TB'!$T:$T,'FH P&amp;L'!$A90,'YBN FH TB'!M:M)</f>
        <v/>
      </c>
      <c r="Z90" s="60">
        <f>-SUMIF('YBN FH TB'!$T:$T,'FH P&amp;L'!$A90,'YBN FH TB'!N:N)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134" t="n">
        <v>0</v>
      </c>
      <c r="AJ90" s="134" t="n">
        <v>0</v>
      </c>
      <c r="AK90" s="134" t="n">
        <v>0</v>
      </c>
      <c r="AL90" s="134" t="n">
        <v>0</v>
      </c>
      <c r="AM90" s="134" t="n">
        <v>0</v>
      </c>
      <c r="AN90" s="134" t="n">
        <v>0</v>
      </c>
      <c r="AO90" s="144">
        <f>SUM(AC90:AH90)+SUM(AI90:AN90)</f>
        <v/>
      </c>
      <c r="AP90" s="142">
        <f>IF(AB90&lt;&gt;0,(AO90-AB90)/ABS(AB90),0)</f>
        <v/>
      </c>
    </row>
    <row r="91">
      <c r="A91" s="60" t="inlineStr">
        <is>
          <t>In-Direct - Staff Cost</t>
        </is>
      </c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0</v>
      </c>
      <c r="N91" s="8" t="n"/>
      <c r="O91" s="60">
        <f>-SUMIF('YBN FH TB'!$T:$T,'FH P&amp;L'!$A91,'YBN FH TB'!C:C)</f>
        <v/>
      </c>
      <c r="P91" s="60">
        <f>-SUMIF('YBN FH TB'!$T:$T,'FH P&amp;L'!$A91,'YBN FH TB'!D:D)</f>
        <v/>
      </c>
      <c r="Q91" s="60">
        <f>-SUMIF('YBN FH TB'!$T:$T,'FH P&amp;L'!$A91,'YBN FH TB'!E:E)</f>
        <v/>
      </c>
      <c r="R91" s="60">
        <f>-SUMIF('YBN FH TB'!$T:$T,'FH P&amp;L'!$A91,'YBN FH TB'!F:F)</f>
        <v/>
      </c>
      <c r="S91" s="60">
        <f>-SUMIF('YBN FH TB'!$T:$T,'FH P&amp;L'!$A91,'YBN FH TB'!G:G)</f>
        <v/>
      </c>
      <c r="T91" s="60">
        <f>-SUMIF('YBN FH TB'!$T:$T,'FH P&amp;L'!$A91,'YBN FH TB'!H:H)</f>
        <v/>
      </c>
      <c r="U91" s="60">
        <f>-SUMIF('YBN FH TB'!$T:$T,'FH P&amp;L'!$A91,'YBN FH TB'!I:I)</f>
        <v/>
      </c>
      <c r="V91" s="60">
        <f>-SUMIF('YBN FH TB'!$T:$T,'FH P&amp;L'!$A91,'YBN FH TB'!J:J)</f>
        <v/>
      </c>
      <c r="W91" s="60">
        <f>-SUMIF('YBN FH TB'!$T:$T,'FH P&amp;L'!$A91,'YBN FH TB'!K:K)</f>
        <v/>
      </c>
      <c r="X91" s="60">
        <f>-SUMIF('YBN FH TB'!$T:$T,'FH P&amp;L'!$A91,'YBN FH TB'!L:L)</f>
        <v/>
      </c>
      <c r="Y91" s="60">
        <f>-SUMIF('YBN FH TB'!$T:$T,'FH P&amp;L'!$A91,'YBN FH TB'!M:M)</f>
        <v/>
      </c>
      <c r="Z91" s="60">
        <f>-SUMIF('YBN FH TB'!$T:$T,'FH P&amp;L'!$A91,'YBN FH TB'!N:N)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134" t="n">
        <v>0</v>
      </c>
      <c r="AJ91" s="134" t="n">
        <v>0</v>
      </c>
      <c r="AK91" s="134" t="n">
        <v>0</v>
      </c>
      <c r="AL91" s="134" t="n">
        <v>0</v>
      </c>
      <c r="AM91" s="134" t="n">
        <v>0</v>
      </c>
      <c r="AN91" s="134" t="n">
        <v>0</v>
      </c>
      <c r="AO91" s="144">
        <f>SUM(AC91:AH91)+SUM(AI91:AN91)</f>
        <v/>
      </c>
      <c r="AP91" s="142">
        <f>IF(AB91&lt;&gt;0,(AO91-AB91)/ABS(AB91),0)</f>
        <v/>
      </c>
    </row>
    <row r="92">
      <c r="A92" s="60" t="inlineStr">
        <is>
          <t>In-Direct - Overheads</t>
        </is>
      </c>
      <c r="B92" s="18" t="n">
        <v>-204.38</v>
      </c>
      <c r="C92" s="18" t="n">
        <v>-212.32</v>
      </c>
      <c r="D92" s="18" t="n">
        <v>-338.99</v>
      </c>
      <c r="E92" s="18" t="n">
        <v>-367.18</v>
      </c>
      <c r="F92" s="18" t="n">
        <v>-238.01</v>
      </c>
      <c r="G92" s="18" t="n">
        <v>-308.89</v>
      </c>
      <c r="H92" s="18" t="n">
        <v>-278.83</v>
      </c>
      <c r="I92" s="18" t="n">
        <v>-725.9300000000001</v>
      </c>
      <c r="J92" s="18" t="n">
        <v>-167.92</v>
      </c>
      <c r="K92" s="18" t="n">
        <v>-326.35</v>
      </c>
      <c r="L92" s="18" t="n">
        <v>-476.35</v>
      </c>
      <c r="M92" s="18" t="n">
        <v>-512.0700000000001</v>
      </c>
      <c r="N92" s="8" t="n"/>
      <c r="O92" s="60">
        <f>-SUMIF('YBN FH TB'!$T:$T,'FH P&amp;L'!$A92,'YBN FH TB'!C:C)</f>
        <v/>
      </c>
      <c r="P92" s="60">
        <f>-SUMIF('YBN FH TB'!$T:$T,'FH P&amp;L'!$A92,'YBN FH TB'!D:D)</f>
        <v/>
      </c>
      <c r="Q92" s="60">
        <f>-SUMIF('YBN FH TB'!$T:$T,'FH P&amp;L'!$A92,'YBN FH TB'!E:E)</f>
        <v/>
      </c>
      <c r="R92" s="60">
        <f>-SUMIF('YBN FH TB'!$T:$T,'FH P&amp;L'!$A92,'YBN FH TB'!F:F)</f>
        <v/>
      </c>
      <c r="S92" s="60">
        <f>-SUMIF('YBN FH TB'!$T:$T,'FH P&amp;L'!$A92,'YBN FH TB'!G:G)</f>
        <v/>
      </c>
      <c r="T92" s="60">
        <f>-SUMIF('YBN FH TB'!$T:$T,'FH P&amp;L'!$A92,'YBN FH TB'!H:H)</f>
        <v/>
      </c>
      <c r="U92" s="60">
        <f>-SUMIF('YBN FH TB'!$T:$T,'FH P&amp;L'!$A92,'YBN FH TB'!I:I)</f>
        <v/>
      </c>
      <c r="V92" s="60">
        <f>-SUMIF('YBN FH TB'!$T:$T,'FH P&amp;L'!$A92,'YBN FH TB'!J:J)</f>
        <v/>
      </c>
      <c r="W92" s="60">
        <f>-SUMIF('YBN FH TB'!$T:$T,'FH P&amp;L'!$A92,'YBN FH TB'!K:K)</f>
        <v/>
      </c>
      <c r="X92" s="60">
        <f>-SUMIF('YBN FH TB'!$T:$T,'FH P&amp;L'!$A92,'YBN FH TB'!L:L)</f>
        <v/>
      </c>
      <c r="Y92" s="60">
        <f>-SUMIF('YBN FH TB'!$T:$T,'FH P&amp;L'!$A92,'YBN FH TB'!M:M)</f>
        <v/>
      </c>
      <c r="Z92" s="60">
        <f>-SUMIF('YBN FH TB'!$T:$T,'FH P&amp;L'!$A92,'YBN FH TB'!N:N)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134" t="n">
        <v>0</v>
      </c>
      <c r="AJ92" s="134" t="n">
        <v>0</v>
      </c>
      <c r="AK92" s="134" t="n">
        <v>0</v>
      </c>
      <c r="AL92" s="134" t="n">
        <v>0</v>
      </c>
      <c r="AM92" s="134" t="n">
        <v>0</v>
      </c>
      <c r="AN92" s="134" t="n">
        <v>0</v>
      </c>
      <c r="AO92" s="144">
        <f>SUM(AC92:AH92)+SUM(AI92:AN92)</f>
        <v/>
      </c>
      <c r="AP92" s="142">
        <f>IF(AB92&lt;&gt;0,(AO92-AB92)/ABS(AB92),0)</f>
        <v/>
      </c>
    </row>
    <row r="93" ht="15.75" customHeight="1">
      <c r="A93" s="8" t="n"/>
      <c r="B93" s="67" t="n">
        <v>-172.7500000000003</v>
      </c>
      <c r="C93" s="67" t="n">
        <v>-112.1499999999976</v>
      </c>
      <c r="D93" s="67" t="n">
        <v>8501.030000000001</v>
      </c>
      <c r="E93" s="67" t="n">
        <v>1268.610000000001</v>
      </c>
      <c r="F93" s="67" t="n">
        <v>488.7699999999979</v>
      </c>
      <c r="G93" s="67" t="n">
        <v>-160.0299999999994</v>
      </c>
      <c r="H93" s="67" t="n">
        <v>2333.309999999999</v>
      </c>
      <c r="I93" s="67" t="n">
        <v>-8189.879999999999</v>
      </c>
      <c r="J93" s="67" t="n">
        <v>-3461.419999999999</v>
      </c>
      <c r="K93" s="67" t="n">
        <v>-7064.090000000002</v>
      </c>
      <c r="L93" s="67" t="n">
        <v>-9555.530000000004</v>
      </c>
      <c r="M93" s="67" t="n">
        <v>-5550.129999999999</v>
      </c>
      <c r="N93" s="8" t="n"/>
      <c r="O93" s="64">
        <f>SUM(O87:O92)</f>
        <v/>
      </c>
      <c r="P93" s="64">
        <f>SUM(P87:P92)</f>
        <v/>
      </c>
      <c r="Q93" s="64">
        <f>SUM(Q87:Q92)</f>
        <v/>
      </c>
      <c r="R93" s="64">
        <f>SUM(R87:R92)</f>
        <v/>
      </c>
      <c r="S93" s="64">
        <f>SUM(S87:S92)</f>
        <v/>
      </c>
      <c r="T93" s="64">
        <f>SUM(T87:T92)</f>
        <v/>
      </c>
      <c r="U93" s="64">
        <f>SUM(U87:U92)</f>
        <v/>
      </c>
      <c r="V93" s="64">
        <f>SUM(V87:V92)</f>
        <v/>
      </c>
      <c r="W93" s="64">
        <f>SUM(W87:W92)</f>
        <v/>
      </c>
      <c r="X93" s="64">
        <f>SUM(X87:X92)</f>
        <v/>
      </c>
      <c r="Y93" s="64">
        <f>SUM(Y87:Y92)</f>
        <v/>
      </c>
      <c r="Z93" s="64">
        <f>SUM(Z87:Z92)</f>
        <v/>
      </c>
      <c r="AA93" s="8" t="n"/>
      <c r="AB93" s="8" t="n"/>
      <c r="AC93" s="64" t="n"/>
      <c r="AD93" s="64" t="n"/>
      <c r="AE93" s="64" t="n"/>
      <c r="AF93" s="64" t="n"/>
      <c r="AG93" s="64" t="n"/>
      <c r="AH93" s="64" t="n"/>
      <c r="AI93" s="134" t="n">
        <v>0</v>
      </c>
      <c r="AJ93" s="134" t="n">
        <v>0</v>
      </c>
      <c r="AK93" s="134" t="n">
        <v>0</v>
      </c>
      <c r="AL93" s="134" t="n">
        <v>0</v>
      </c>
      <c r="AM93" s="134" t="n">
        <v>0</v>
      </c>
      <c r="AN93" s="134" t="n">
        <v>0</v>
      </c>
      <c r="AO93" s="144">
        <f>SUM(AC93:AH93)+SUM(AI93:AN93)</f>
        <v/>
      </c>
      <c r="AP93" s="142">
        <f>IF(AB93&lt;&gt;0,(AO93-AB93)/ABS(AB93),0)</f>
        <v/>
      </c>
    </row>
    <row r="94" ht="15.75" customHeight="1">
      <c r="A94" s="8" t="n"/>
      <c r="B94" s="18" t="n">
        <v>1.364242052659392e-12</v>
      </c>
      <c r="C94" s="18" t="n">
        <v>-4.547473508864641e-13</v>
      </c>
      <c r="D94" s="18" t="n">
        <v>0</v>
      </c>
      <c r="E94" s="18" t="n">
        <v>0</v>
      </c>
      <c r="F94" s="18" t="n">
        <v>9.094947017729282e-13</v>
      </c>
      <c r="G94" s="18" t="n">
        <v>0</v>
      </c>
      <c r="H94" s="18" t="n">
        <v>0</v>
      </c>
      <c r="I94" s="18" t="n">
        <v>0</v>
      </c>
      <c r="J94" s="18" t="n">
        <v>0</v>
      </c>
      <c r="K94" s="18" t="n">
        <v>0</v>
      </c>
      <c r="L94" s="18" t="n">
        <v>0</v>
      </c>
      <c r="M94" s="18" t="n">
        <v>24092.96000000001</v>
      </c>
      <c r="N94" s="8" t="n"/>
      <c r="O94" s="60">
        <f>+O70-O93</f>
        <v/>
      </c>
      <c r="P94" s="60">
        <f>+P70-P93</f>
        <v/>
      </c>
      <c r="Q94" s="60">
        <f>+Q70-Q93</f>
        <v/>
      </c>
      <c r="R94" s="60">
        <f>+R70-R93</f>
        <v/>
      </c>
      <c r="S94" s="60">
        <f>+S70-S93</f>
        <v/>
      </c>
      <c r="T94" s="60">
        <f>+T70-T93</f>
        <v/>
      </c>
      <c r="U94" s="60">
        <f>+U70-U93</f>
        <v/>
      </c>
      <c r="V94" s="60">
        <f>+V70-V93</f>
        <v/>
      </c>
      <c r="W94" s="60">
        <f>+W70-W93</f>
        <v/>
      </c>
      <c r="X94" s="60">
        <f>+X70-X93</f>
        <v/>
      </c>
      <c r="Y94" s="60">
        <f>+Y70-Y93</f>
        <v/>
      </c>
      <c r="Z94" s="60">
        <f>+Z70-Z93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134" t="n">
        <v>0</v>
      </c>
      <c r="AJ94" s="134" t="n">
        <v>0</v>
      </c>
      <c r="AK94" s="134" t="n">
        <v>0</v>
      </c>
      <c r="AL94" s="134" t="n">
        <v>0</v>
      </c>
      <c r="AM94" s="134" t="n">
        <v>0</v>
      </c>
      <c r="AN94" s="134" t="n">
        <v>0</v>
      </c>
      <c r="AO94" s="144">
        <f>SUM(AC94:AH94)+SUM(AI94:AN94)</f>
        <v/>
      </c>
      <c r="AP94" s="142">
        <f>IF(AB94&lt;&gt;0,(AO94-AB94)/ABS(AB94),0)</f>
        <v/>
      </c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>
        <v>1.335820343228988e-12</v>
      </c>
      <c r="C96" s="18" t="n">
        <v>9.379164112033322e-13</v>
      </c>
      <c r="D96" s="18" t="n">
        <v>0</v>
      </c>
      <c r="E96" s="18" t="n">
        <v>0</v>
      </c>
      <c r="F96" s="18" t="n">
        <v>1.13686837721616e-12</v>
      </c>
      <c r="G96" s="18" t="n">
        <v>1.477928890381008e-12</v>
      </c>
      <c r="H96" s="18" t="n">
        <v>0</v>
      </c>
      <c r="I96" s="18" t="n">
        <v>0</v>
      </c>
      <c r="J96" s="18" t="n">
        <v>78.61000000000058</v>
      </c>
      <c r="K96" s="18" t="n">
        <v>0</v>
      </c>
      <c r="L96" s="18" t="n">
        <v>0</v>
      </c>
      <c r="M96" s="18" t="n">
        <v>-24092.96000000001</v>
      </c>
      <c r="N96" s="8" t="n"/>
      <c r="O96" s="60">
        <f>O93+O97</f>
        <v/>
      </c>
      <c r="P96" s="60">
        <f>P93+P97</f>
        <v/>
      </c>
      <c r="Q96" s="60">
        <f>Q93+Q97</f>
        <v/>
      </c>
      <c r="R96" s="60">
        <f>R93+R97</f>
        <v/>
      </c>
      <c r="S96" s="60">
        <f>S93+S97</f>
        <v/>
      </c>
      <c r="T96" s="60">
        <f>T93+T97</f>
        <v/>
      </c>
      <c r="U96" s="60">
        <f>U93+U97</f>
        <v/>
      </c>
      <c r="V96" s="60">
        <f>V93+V97</f>
        <v/>
      </c>
      <c r="W96" s="60">
        <f>W93+W97</f>
        <v/>
      </c>
      <c r="X96" s="60">
        <f>X93+X97</f>
        <v/>
      </c>
      <c r="Y96" s="60">
        <f>Y93+Y97</f>
        <v/>
      </c>
      <c r="Z96" s="60">
        <f>Z93+Z97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134" t="n">
        <v>0</v>
      </c>
      <c r="AJ96" s="134" t="n">
        <v>0</v>
      </c>
      <c r="AK96" s="134" t="n">
        <v>0</v>
      </c>
      <c r="AL96" s="134" t="n">
        <v>0</v>
      </c>
      <c r="AM96" s="134" t="n">
        <v>0</v>
      </c>
      <c r="AN96" s="134" t="n">
        <v>0</v>
      </c>
      <c r="AO96" s="144">
        <f>SUM(AC96:AH96)+SUM(AI96:AN96)</f>
        <v/>
      </c>
      <c r="AP96" s="142">
        <f>IF(AB96&lt;&gt;0,(AO96-AB96)/ABS(AB96),0)</f>
        <v/>
      </c>
    </row>
    <row r="97">
      <c r="A97" s="8" t="n"/>
      <c r="B97" s="18" t="n">
        <v>172.7500000000017</v>
      </c>
      <c r="C97" s="18" t="n">
        <v>112.1499999999986</v>
      </c>
      <c r="D97" s="18" t="n">
        <v>-8501.030000000002</v>
      </c>
      <c r="E97" s="18" t="n">
        <v>-1268.609999999999</v>
      </c>
      <c r="F97" s="18" t="n">
        <v>-488.7699999999968</v>
      </c>
      <c r="G97" s="18" t="n">
        <v>160.0300000000009</v>
      </c>
      <c r="H97" s="18" t="n">
        <v>-2333.310000000001</v>
      </c>
      <c r="I97" s="18" t="n">
        <v>8189.879999999999</v>
      </c>
      <c r="J97" s="18" t="n">
        <v>3540.03</v>
      </c>
      <c r="K97" s="18" t="n">
        <v>7064.09</v>
      </c>
      <c r="L97" s="18" t="n">
        <v>9555.529999999997</v>
      </c>
      <c r="M97" s="18" t="n">
        <v>-18542.83000000001</v>
      </c>
      <c r="N97" s="8" t="n"/>
      <c r="O97" s="60">
        <f>SUM('YBN FH TB'!C2:C43)</f>
        <v/>
      </c>
      <c r="P97" s="60">
        <f>SUM('YBN FH TB'!D2:D43)</f>
        <v/>
      </c>
      <c r="Q97" s="60">
        <f>SUM('YBN FH TB'!E2:E43)</f>
        <v/>
      </c>
      <c r="R97" s="60">
        <f>SUM('YBN FH TB'!F2:F43)</f>
        <v/>
      </c>
      <c r="S97" s="60">
        <f>SUM('YBN FH TB'!G2:G43)</f>
        <v/>
      </c>
      <c r="T97" s="60">
        <f>SUM('YBN FH TB'!H2:H43)</f>
        <v/>
      </c>
      <c r="U97" s="60">
        <f>SUM('YBN FH TB'!I2:I43)</f>
        <v/>
      </c>
      <c r="V97" s="60">
        <f>SUM('YBN FH TB'!J2:J43)</f>
        <v/>
      </c>
      <c r="W97" s="60">
        <f>SUM('YBN FH TB'!K2:K43)</f>
        <v/>
      </c>
      <c r="X97" s="60">
        <f>SUM('YBN FH TB'!L2:L43)</f>
        <v/>
      </c>
      <c r="Y97" s="60">
        <f>SUM('YBN FH TB'!M2:M43)</f>
        <v/>
      </c>
      <c r="Z97" s="60">
        <f>SUM('YBN FH TB'!N2:N43)</f>
        <v/>
      </c>
      <c r="AA97" s="8" t="n"/>
      <c r="AB97" s="8" t="n"/>
      <c r="AC97" s="8" t="n"/>
      <c r="AD97" s="8" t="n"/>
      <c r="AE97" s="8" t="n"/>
      <c r="AF97" s="8" t="n"/>
      <c r="AG97" s="8" t="n"/>
      <c r="AH97" s="8" t="n"/>
      <c r="AI97" s="134" t="n">
        <v>0</v>
      </c>
      <c r="AJ97" s="134" t="n">
        <v>0</v>
      </c>
      <c r="AK97" s="134" t="n">
        <v>0</v>
      </c>
      <c r="AL97" s="134" t="n">
        <v>0</v>
      </c>
      <c r="AM97" s="134" t="n">
        <v>0</v>
      </c>
      <c r="AN97" s="134" t="n">
        <v>0</v>
      </c>
      <c r="AO97" s="144">
        <f>SUM(AC97:AH97)+SUM(AI97:AN97)</f>
        <v/>
      </c>
      <c r="AP97" s="142">
        <f>IF(AB97&lt;&gt;0,(AO97-AB97)/ABS(AB97),0)</f>
        <v/>
      </c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pane xSplit="13" ySplit="36" topLeftCell="N3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5703125" customWidth="1" min="27" max="27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KNL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0</v>
      </c>
      <c r="C8" s="35" t="n">
        <v>0</v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 t="n">
        <v>0</v>
      </c>
      <c r="J8" s="35" t="n">
        <v>0</v>
      </c>
      <c r="K8" s="35" t="n">
        <v>0</v>
      </c>
      <c r="L8" s="35" t="n">
        <v>0</v>
      </c>
      <c r="M8" s="35" t="n">
        <v>0</v>
      </c>
      <c r="N8" s="36">
        <f>SUM(B8:M8)</f>
        <v/>
      </c>
      <c r="O8" s="37">
        <f>-(SUMIF('KNL Blank TB'!$R:$R,'KNL HO P&amp;L'!$A8,'KNL Blank TB'!C:C)+(SUMIF('KNL HO TB'!$R:$R,'KNL HO P&amp;L'!$A8,'KNL HO TB'!C:C)))</f>
        <v/>
      </c>
      <c r="P8" s="37">
        <f>-(SUMIF('KNL Blank TB'!$R:$R,'KNL HO P&amp;L'!$A8,'KNL Blank TB'!D:D)+(SUMIF('KNL HO TB'!$R:$R,'KNL HO P&amp;L'!$A8,'KNL HO TB'!D:D)))</f>
        <v/>
      </c>
      <c r="Q8" s="37">
        <f>-(SUMIF('KNL Blank TB'!$R:$R,'KNL HO P&amp;L'!$A8,'KNL Blank TB'!E:E)+(SUMIF('KNL HO TB'!$R:$R,'KNL HO P&amp;L'!$A8,'KNL HO TB'!E:E)))</f>
        <v/>
      </c>
      <c r="R8" s="37">
        <f>-(SUMIF('KNL Blank TB'!$R:$R,'KNL HO P&amp;L'!$A8,'KNL Blank TB'!F:F)+(SUMIF('KNL HO TB'!$R:$R,'KNL HO P&amp;L'!$A8,'KNL HO TB'!F:F)))</f>
        <v/>
      </c>
      <c r="S8" s="37">
        <f>-(SUMIF('KNL Blank TB'!$R:$R,'KNL HO P&amp;L'!$A8,'KNL Blank TB'!G:G)+(SUMIF('KNL HO TB'!$R:$R,'KNL HO P&amp;L'!$A8,'KNL HO TB'!G:G)))</f>
        <v/>
      </c>
      <c r="T8" s="37">
        <f>-(SUMIF('KNL Blank TB'!$R:$R,'KNL HO P&amp;L'!$A8,'KNL Blank TB'!H:H)+(SUMIF('KNL HO TB'!$R:$R,'KNL HO P&amp;L'!$A8,'KNL HO TB'!H:H)))</f>
        <v/>
      </c>
      <c r="U8" s="37">
        <f>-(SUMIF('KNL Blank TB'!$R:$R,'KNL HO P&amp;L'!$A8,'KNL Blank TB'!I:I)+(SUMIF('KNL HO TB'!$R:$R,'KNL HO P&amp;L'!$A8,'KNL HO TB'!I:I)))</f>
        <v/>
      </c>
      <c r="V8" s="38" t="n"/>
      <c r="W8" s="38" t="n"/>
      <c r="X8" s="38" t="n"/>
      <c r="Y8" s="38" t="n"/>
      <c r="Z8" s="38" t="n"/>
      <c r="AA8" s="36">
        <f>SUM(O8:U8)</f>
        <v/>
      </c>
      <c r="AB8" s="36">
        <f>SUM(O8:Z8)</f>
        <v/>
      </c>
      <c r="AC8" s="38" t="n"/>
      <c r="AD8" s="38" t="n"/>
      <c r="AE8" s="38" t="n"/>
      <c r="AF8" s="38" t="n"/>
      <c r="AG8" s="38" t="n"/>
      <c r="AH8" s="38" t="n"/>
      <c r="AI8" s="118" t="n">
        <v>0</v>
      </c>
      <c r="AJ8" s="119" t="n">
        <v>0</v>
      </c>
      <c r="AK8" s="119" t="n">
        <v>0</v>
      </c>
      <c r="AL8" s="119" t="n">
        <v>0</v>
      </c>
      <c r="AM8" s="120" t="n">
        <v>0</v>
      </c>
      <c r="AN8" s="118" t="n">
        <v>0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0</v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  <c r="H9" s="35" t="n">
        <v>0</v>
      </c>
      <c r="I9" s="35" t="n">
        <v>0</v>
      </c>
      <c r="J9" s="35" t="n">
        <v>0</v>
      </c>
      <c r="K9" s="35" t="n">
        <v>0</v>
      </c>
      <c r="L9" s="35" t="n">
        <v>0</v>
      </c>
      <c r="M9" s="35" t="n">
        <v>0</v>
      </c>
      <c r="N9" s="36">
        <f>SUM(B9:M9)</f>
        <v/>
      </c>
      <c r="O9" s="37">
        <f>-(SUMIF('KNL Blank TB'!$R:$R,'KNL HO P&amp;L'!$A9,'KNL Blank TB'!C:C)+(SUMIF('KNL HO TB'!$R:$R,'KNL HO P&amp;L'!$A9,'KNL HO TB'!C:C)))</f>
        <v/>
      </c>
      <c r="P9" s="37">
        <f>-(SUMIF('KNL Blank TB'!$R:$R,'KNL HO P&amp;L'!$A9,'KNL Blank TB'!D:D)+(SUMIF('KNL HO TB'!$R:$R,'KNL HO P&amp;L'!$A9,'KNL HO TB'!D:D)))</f>
        <v/>
      </c>
      <c r="Q9" s="37">
        <f>-(SUMIF('KNL Blank TB'!$R:$R,'KNL HO P&amp;L'!$A9,'KNL Blank TB'!E:E)+(SUMIF('KNL HO TB'!$R:$R,'KNL HO P&amp;L'!$A9,'KNL HO TB'!E:E)))</f>
        <v/>
      </c>
      <c r="R9" s="37">
        <f>-(SUMIF('KNL Blank TB'!$R:$R,'KNL HO P&amp;L'!$A9,'KNL Blank TB'!F:F)+(SUMIF('KNL HO TB'!$R:$R,'KNL HO P&amp;L'!$A9,'KNL HO TB'!F:F)))</f>
        <v/>
      </c>
      <c r="S9" s="37">
        <f>-(SUMIF('KNL Blank TB'!$R:$R,'KNL HO P&amp;L'!$A9,'KNL Blank TB'!G:G)+(SUMIF('KNL HO TB'!$R:$R,'KNL HO P&amp;L'!$A9,'KNL HO TB'!G:G)))</f>
        <v/>
      </c>
      <c r="T9" s="37">
        <f>-(SUMIF('KNL Blank TB'!$R:$R,'KNL HO P&amp;L'!$A9,'KNL Blank TB'!H:H)+(SUMIF('KNL HO TB'!$R:$R,'KNL HO P&amp;L'!$A9,'KNL HO TB'!H:H)))</f>
        <v/>
      </c>
      <c r="U9" s="37">
        <f>-(SUMIF('KNL Blank TB'!$R:$R,'KNL HO P&amp;L'!$A9,'KNL Blank TB'!I:I)+(SUMIF('KNL HO TB'!$R:$R,'KNL HO P&amp;L'!$A9,'KNL HO TB'!I:I)))</f>
        <v/>
      </c>
      <c r="V9" s="38" t="n"/>
      <c r="W9" s="38" t="n"/>
      <c r="X9" s="38" t="n"/>
      <c r="Y9" s="38" t="n"/>
      <c r="Z9" s="38" t="n"/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8" t="n">
        <v>0</v>
      </c>
      <c r="AJ9" s="119" t="n">
        <v>0</v>
      </c>
      <c r="AK9" s="119" t="n">
        <v>0</v>
      </c>
      <c r="AL9" s="119" t="n">
        <v>0</v>
      </c>
      <c r="AM9" s="120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16.94</v>
      </c>
      <c r="H10" s="35" t="n">
        <v>0</v>
      </c>
      <c r="I10" s="35" t="n">
        <v>0</v>
      </c>
      <c r="J10" s="35" t="n">
        <v>850.5700000000001</v>
      </c>
      <c r="K10" s="35" t="n">
        <v>0</v>
      </c>
      <c r="L10" s="35" t="n">
        <v>730.24</v>
      </c>
      <c r="M10" s="35" t="n">
        <v>0</v>
      </c>
      <c r="N10" s="36">
        <f>SUM(B10:M10)</f>
        <v/>
      </c>
      <c r="O10" s="37">
        <f>-(SUMIF('KNL Blank TB'!$R:$R,'KNL HO P&amp;L'!$A10,'KNL Blank TB'!C:C)+(SUMIF('KNL HO TB'!$R:$R,'KNL HO P&amp;L'!$A10,'KNL HO TB'!C:C)))</f>
        <v/>
      </c>
      <c r="P10" s="37">
        <f>-(SUMIF('KNL Blank TB'!$R:$R,'KNL HO P&amp;L'!$A10,'KNL Blank TB'!D:D)+(SUMIF('KNL HO TB'!$R:$R,'KNL HO P&amp;L'!$A10,'KNL HO TB'!D:D)))</f>
        <v/>
      </c>
      <c r="Q10" s="37">
        <f>-(SUMIF('KNL Blank TB'!$R:$R,'KNL HO P&amp;L'!$A10,'KNL Blank TB'!E:E)+(SUMIF('KNL HO TB'!$R:$R,'KNL HO P&amp;L'!$A10,'KNL HO TB'!E:E)))</f>
        <v/>
      </c>
      <c r="R10" s="37">
        <f>-(SUMIF('KNL Blank TB'!$R:$R,'KNL HO P&amp;L'!$A10,'KNL Blank TB'!F:F)+(SUMIF('KNL HO TB'!$R:$R,'KNL HO P&amp;L'!$A10,'KNL HO TB'!F:F)))</f>
        <v/>
      </c>
      <c r="S10" s="37">
        <f>-(SUMIF('KNL Blank TB'!$R:$R,'KNL HO P&amp;L'!$A10,'KNL Blank TB'!G:G)+(SUMIF('KNL HO TB'!$R:$R,'KNL HO P&amp;L'!$A10,'KNL HO TB'!G:G)))</f>
        <v/>
      </c>
      <c r="T10" s="37">
        <f>-(SUMIF('KNL Blank TB'!$R:$R,'KNL HO P&amp;L'!$A10,'KNL Blank TB'!H:H)+(SUMIF('KNL HO TB'!$R:$R,'KNL HO P&amp;L'!$A10,'KNL HO TB'!H:H)))</f>
        <v/>
      </c>
      <c r="U10" s="37">
        <f>-(SUMIF('KNL Blank TB'!$R:$R,'KNL HO P&amp;L'!$A10,'KNL Blank TB'!I:I)+(SUMIF('KNL HO TB'!$R:$R,'KNL HO P&amp;L'!$A10,'KNL HO TB'!I:I)))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8" t="n">
        <v>0</v>
      </c>
      <c r="AJ10" s="119" t="n">
        <v>0</v>
      </c>
      <c r="AK10" s="119" t="n">
        <v>0</v>
      </c>
      <c r="AL10" s="119" t="n">
        <v>0</v>
      </c>
      <c r="AM10" s="120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0</v>
      </c>
      <c r="C11" s="42" t="n">
        <v>0</v>
      </c>
      <c r="D11" s="42" t="n">
        <v>0</v>
      </c>
      <c r="E11" s="42" t="n">
        <v>0</v>
      </c>
      <c r="F11" s="42" t="n">
        <v>0</v>
      </c>
      <c r="G11" s="42" t="n">
        <v>16.94</v>
      </c>
      <c r="H11" s="42" t="n">
        <v>0</v>
      </c>
      <c r="I11" s="42" t="n">
        <v>0</v>
      </c>
      <c r="J11" s="42" t="n">
        <v>850.5700000000001</v>
      </c>
      <c r="K11" s="42" t="n">
        <v>0</v>
      </c>
      <c r="L11" s="42" t="n">
        <v>730.24</v>
      </c>
      <c r="M11" s="42" t="n">
        <v>0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 t="n"/>
      <c r="AD11" s="45" t="n"/>
      <c r="AE11" s="45" t="n"/>
      <c r="AF11" s="45" t="n"/>
      <c r="AG11" s="45" t="n"/>
      <c r="AH11" s="45" t="n"/>
      <c r="AI11" s="134" t="n">
        <v>0</v>
      </c>
      <c r="AJ11" s="152" t="n">
        <v>0</v>
      </c>
      <c r="AK11" s="152" t="n">
        <v>0</v>
      </c>
      <c r="AL11" s="152" t="n">
        <v>0</v>
      </c>
      <c r="AM11" s="152" t="n">
        <v>0</v>
      </c>
      <c r="AN11" s="134" t="n">
        <v>0</v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7" t="n">
        <v>0</v>
      </c>
      <c r="AJ12" s="128" t="n">
        <v>0</v>
      </c>
      <c r="AK12" s="128" t="n">
        <v>0</v>
      </c>
      <c r="AL12" s="128" t="n">
        <v>0</v>
      </c>
      <c r="AM12" s="129" t="n">
        <v>0</v>
      </c>
      <c r="AN12" s="127" t="n">
        <v>0</v>
      </c>
      <c r="AO12" s="121">
        <f>SUM(AC12:AH12)+SUM(AI12:AN12)</f>
        <v/>
      </c>
      <c r="AP12" s="122">
        <f>IF(AB12&lt;&gt;0,(AO12-AB12)/ABS(AB12),0)</f>
        <v/>
      </c>
    </row>
    <row r="13">
      <c r="A13" s="46" t="n"/>
      <c r="B13" s="47" t="n"/>
      <c r="C13" s="47" t="n"/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  <c r="AA13" s="47" t="n"/>
      <c r="AB13" s="47" t="n"/>
      <c r="AC13" s="47" t="n"/>
      <c r="AD13" s="47" t="n"/>
      <c r="AE13" s="47" t="n"/>
      <c r="AF13" s="47" t="n"/>
      <c r="AG13" s="47" t="n"/>
      <c r="AH13" s="47" t="n"/>
      <c r="AI13" s="81" t="n"/>
      <c r="AJ13" s="49" t="n"/>
      <c r="AK13" s="49" t="n"/>
      <c r="AL13" s="49" t="n"/>
      <c r="AM13" s="50" t="n"/>
      <c r="AN13" s="40" t="n"/>
      <c r="AO13" s="49" t="n"/>
      <c r="AP13" s="49" t="n"/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0</v>
      </c>
      <c r="C16" s="35" t="n">
        <v>0</v>
      </c>
      <c r="D16" s="35" t="n">
        <v>0</v>
      </c>
      <c r="E16" s="35" t="n">
        <v>0</v>
      </c>
      <c r="F16" s="35" t="n">
        <v>0</v>
      </c>
      <c r="G16" s="35" t="n">
        <v>0</v>
      </c>
      <c r="H16" s="35" t="n">
        <v>0</v>
      </c>
      <c r="I16" s="35" t="n">
        <v>0</v>
      </c>
      <c r="J16" s="35" t="n">
        <v>0</v>
      </c>
      <c r="K16" s="35" t="n">
        <v>0</v>
      </c>
      <c r="L16" s="35" t="n">
        <v>0</v>
      </c>
      <c r="M16" s="35" t="n">
        <v>0</v>
      </c>
      <c r="N16" s="36">
        <f>SUM(B16:M16)</f>
        <v/>
      </c>
      <c r="O16" s="37">
        <f>(SUMIF('KNL Blank TB'!$R:$R,'KNL HO P&amp;L'!$A16,'KNL Blank TB'!C:C)+(SUMIF('KNL HO TB'!$R:$R,'KNL HO P&amp;L'!$A16,'KNL HO TB'!C:C)))</f>
        <v/>
      </c>
      <c r="P16" s="37">
        <f>(SUMIF('KNL Blank TB'!$R:$R,'KNL HO P&amp;L'!$A16,'KNL Blank TB'!D:D)+(SUMIF('KNL HO TB'!$R:$R,'KNL HO P&amp;L'!$A16,'KNL HO TB'!D:D)))</f>
        <v/>
      </c>
      <c r="Q16" s="37">
        <f>(SUMIF('KNL Blank TB'!$R:$R,'KNL HO P&amp;L'!$A16,'KNL Blank TB'!E:E)+(SUMIF('KNL HO TB'!$R:$R,'KNL HO P&amp;L'!$A16,'KNL HO TB'!E:E)))</f>
        <v/>
      </c>
      <c r="R16" s="37">
        <f>(SUMIF('KNL Blank TB'!$R:$R,'KNL HO P&amp;L'!$A16,'KNL Blank TB'!F:F)+(SUMIF('KNL HO TB'!$R:$R,'KNL HO P&amp;L'!$A16,'KNL HO TB'!F:F)))</f>
        <v/>
      </c>
      <c r="S16" s="37">
        <f>(SUMIF('KNL Blank TB'!$R:$R,'KNL HO P&amp;L'!$A16,'KNL Blank TB'!G:G)+(SUMIF('KNL HO TB'!$R:$R,'KNL HO P&amp;L'!$A16,'KNL HO TB'!G:G)))</f>
        <v/>
      </c>
      <c r="T16" s="37">
        <f>(SUMIF('KNL Blank TB'!$R:$R,'KNL HO P&amp;L'!$A16,'KNL Blank TB'!H:H)+(SUMIF('KNL HO TB'!$R:$R,'KNL HO P&amp;L'!$A16,'KNL HO TB'!H:H)))</f>
        <v/>
      </c>
      <c r="U16" s="37">
        <f>(SUMIF('KNL Blank TB'!$R:$R,'KNL HO P&amp;L'!$A16,'KNL Blank TB'!I:I)+(SUMIF('KNL HO TB'!$R:$R,'KNL HO P&amp;L'!$A16,'KNL HO TB'!I:I)))</f>
        <v/>
      </c>
      <c r="V16" s="38" t="n"/>
      <c r="W16" s="38" t="n"/>
      <c r="X16" s="38" t="n"/>
      <c r="Y16" s="38" t="n"/>
      <c r="Z16" s="38" t="n"/>
      <c r="AA16" s="36">
        <f>SUM(O16:U16)</f>
        <v/>
      </c>
      <c r="AB16" s="36">
        <f>SUM(O16:Z16)</f>
        <v/>
      </c>
      <c r="AC16" s="38" t="n"/>
      <c r="AD16" s="38" t="n"/>
      <c r="AE16" s="38" t="n"/>
      <c r="AF16" s="38" t="n"/>
      <c r="AG16" s="38" t="n"/>
      <c r="AH16" s="38" t="n"/>
      <c r="AI16" s="118" t="n">
        <v>0</v>
      </c>
      <c r="AJ16" s="119" t="n">
        <v>0</v>
      </c>
      <c r="AK16" s="119" t="n">
        <v>0</v>
      </c>
      <c r="AL16" s="119" t="n">
        <v>0</v>
      </c>
      <c r="AM16" s="120" t="n">
        <v>0</v>
      </c>
      <c r="AN16" s="118" t="n">
        <v>0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0</v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0</v>
      </c>
      <c r="K17" s="35" t="n">
        <v>0</v>
      </c>
      <c r="L17" s="35" t="n">
        <v>0</v>
      </c>
      <c r="M17" s="35" t="n">
        <v>0</v>
      </c>
      <c r="N17" s="36">
        <f>SUM(B17:M17)</f>
        <v/>
      </c>
      <c r="O17" s="37">
        <f>(SUMIF('KNL Blank TB'!$R:$R,'KNL HO P&amp;L'!$A17,'KNL Blank TB'!C:C)+(SUMIF('KNL HO TB'!$R:$R,'KNL HO P&amp;L'!$A17,'KNL HO TB'!C:C)))</f>
        <v/>
      </c>
      <c r="P17" s="37">
        <f>(SUMIF('KNL Blank TB'!$R:$R,'KNL HO P&amp;L'!$A17,'KNL Blank TB'!D:D)+(SUMIF('KNL HO TB'!$R:$R,'KNL HO P&amp;L'!$A17,'KNL HO TB'!D:D)))</f>
        <v/>
      </c>
      <c r="Q17" s="37">
        <f>(SUMIF('KNL Blank TB'!$R:$R,'KNL HO P&amp;L'!$A17,'KNL Blank TB'!E:E)+(SUMIF('KNL HO TB'!$R:$R,'KNL HO P&amp;L'!$A17,'KNL HO TB'!E:E)))</f>
        <v/>
      </c>
      <c r="R17" s="37">
        <f>(SUMIF('KNL Blank TB'!$R:$R,'KNL HO P&amp;L'!$A17,'KNL Blank TB'!F:F)+(SUMIF('KNL HO TB'!$R:$R,'KNL HO P&amp;L'!$A17,'KNL HO TB'!F:F)))</f>
        <v/>
      </c>
      <c r="S17" s="37">
        <f>(SUMIF('KNL Blank TB'!$R:$R,'KNL HO P&amp;L'!$A17,'KNL Blank TB'!G:G)+(SUMIF('KNL HO TB'!$R:$R,'KNL HO P&amp;L'!$A17,'KNL HO TB'!G:G)))</f>
        <v/>
      </c>
      <c r="T17" s="37">
        <f>(SUMIF('KNL Blank TB'!$R:$R,'KNL HO P&amp;L'!$A17,'KNL Blank TB'!H:H)+(SUMIF('KNL HO TB'!$R:$R,'KNL HO P&amp;L'!$A17,'KNL HO TB'!H:H)))</f>
        <v/>
      </c>
      <c r="U17" s="37">
        <f>(SUMIF('KNL Blank TB'!$R:$R,'KNL HO P&amp;L'!$A17,'KNL Blank TB'!I:I)+(SUMIF('KNL HO TB'!$R:$R,'KNL HO P&amp;L'!$A17,'KNL HO TB'!I:I)))</f>
        <v/>
      </c>
      <c r="V17" s="38" t="n"/>
      <c r="W17" s="38" t="n"/>
      <c r="X17" s="38" t="n"/>
      <c r="Y17" s="38" t="n"/>
      <c r="Z17" s="38" t="n"/>
      <c r="AA17" s="36">
        <f>SUM(O17:U17)</f>
        <v/>
      </c>
      <c r="AB17" s="36">
        <f>SUM(O17:Z17)</f>
        <v/>
      </c>
      <c r="AC17" s="38" t="n"/>
      <c r="AD17" s="38" t="n"/>
      <c r="AE17" s="38" t="n"/>
      <c r="AF17" s="38" t="n"/>
      <c r="AG17" s="38" t="n"/>
      <c r="AH17" s="38" t="n"/>
      <c r="AI17" s="118" t="n">
        <v>0</v>
      </c>
      <c r="AJ17" s="119" t="n">
        <v>0</v>
      </c>
      <c r="AK17" s="119" t="n">
        <v>0</v>
      </c>
      <c r="AL17" s="119" t="n">
        <v>0</v>
      </c>
      <c r="AM17" s="120" t="n">
        <v>0</v>
      </c>
      <c r="AN17" s="118" t="n">
        <v>0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0</v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  <c r="H18" s="35" t="n">
        <v>0</v>
      </c>
      <c r="I18" s="35" t="n">
        <v>0</v>
      </c>
      <c r="J18" s="35" t="n">
        <v>0</v>
      </c>
      <c r="K18" s="35" t="n">
        <v>0</v>
      </c>
      <c r="L18" s="35" t="n">
        <v>0</v>
      </c>
      <c r="M18" s="35" t="n">
        <v>0</v>
      </c>
      <c r="N18" s="36">
        <f>SUM(B18:M18)</f>
        <v/>
      </c>
      <c r="O18" s="37">
        <f>(SUMIF('KNL Blank TB'!$R:$R,'KNL HO P&amp;L'!$A18,'KNL Blank TB'!C:C)+(SUMIF('KNL HO TB'!$R:$R,'KNL HO P&amp;L'!$A18,'KNL HO TB'!C:C)))</f>
        <v/>
      </c>
      <c r="P18" s="37">
        <f>(SUMIF('KNL Blank TB'!$R:$R,'KNL HO P&amp;L'!$A18,'KNL Blank TB'!D:D)+(SUMIF('KNL HO TB'!$R:$R,'KNL HO P&amp;L'!$A18,'KNL HO TB'!D:D)))</f>
        <v/>
      </c>
      <c r="Q18" s="37">
        <f>(SUMIF('KNL Blank TB'!$R:$R,'KNL HO P&amp;L'!$A18,'KNL Blank TB'!E:E)+(SUMIF('KNL HO TB'!$R:$R,'KNL HO P&amp;L'!$A18,'KNL HO TB'!E:E)))</f>
        <v/>
      </c>
      <c r="R18" s="37">
        <f>(SUMIF('KNL Blank TB'!$R:$R,'KNL HO P&amp;L'!$A18,'KNL Blank TB'!F:F)+(SUMIF('KNL HO TB'!$R:$R,'KNL HO P&amp;L'!$A18,'KNL HO TB'!F:F)))</f>
        <v/>
      </c>
      <c r="S18" s="37">
        <f>(SUMIF('KNL Blank TB'!$R:$R,'KNL HO P&amp;L'!$A18,'KNL Blank TB'!G:G)+(SUMIF('KNL HO TB'!$R:$R,'KNL HO P&amp;L'!$A18,'KNL HO TB'!G:G)))</f>
        <v/>
      </c>
      <c r="T18" s="37">
        <f>(SUMIF('KNL Blank TB'!$R:$R,'KNL HO P&amp;L'!$A18,'KNL Blank TB'!H:H)+(SUMIF('KNL HO TB'!$R:$R,'KNL HO P&amp;L'!$A18,'KNL HO TB'!H:H)))</f>
        <v/>
      </c>
      <c r="U18" s="37">
        <f>(SUMIF('KNL Blank TB'!$R:$R,'KNL HO P&amp;L'!$A18,'KNL Blank TB'!I:I)+(SUMIF('KNL HO TB'!$R:$R,'KNL HO P&amp;L'!$A18,'KNL HO TB'!I:I)))</f>
        <v/>
      </c>
      <c r="V18" s="38" t="n"/>
      <c r="W18" s="38" t="n"/>
      <c r="X18" s="38" t="n"/>
      <c r="Y18" s="38" t="n"/>
      <c r="Z18" s="38" t="n"/>
      <c r="AA18" s="36">
        <f>SUM(O18:U18)</f>
        <v/>
      </c>
      <c r="AB18" s="36">
        <f>SUM(O18:Z18)</f>
        <v/>
      </c>
      <c r="AC18" s="38" t="n"/>
      <c r="AD18" s="38" t="n"/>
      <c r="AE18" s="38" t="n"/>
      <c r="AF18" s="38" t="n"/>
      <c r="AG18" s="38" t="n"/>
      <c r="AH18" s="38" t="n"/>
      <c r="AI18" s="118" t="n">
        <v>0</v>
      </c>
      <c r="AJ18" s="119" t="n">
        <v>0</v>
      </c>
      <c r="AK18" s="119" t="n">
        <v>0</v>
      </c>
      <c r="AL18" s="119" t="n">
        <v>0</v>
      </c>
      <c r="AM18" s="120" t="n">
        <v>0</v>
      </c>
      <c r="AN18" s="118" t="n">
        <v>0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251.32</v>
      </c>
      <c r="C19" s="35" t="n">
        <v>-1</v>
      </c>
      <c r="D19" s="35" t="n">
        <v>42.98</v>
      </c>
      <c r="E19" s="35" t="n">
        <v>0</v>
      </c>
      <c r="F19" s="35" t="n">
        <v>0</v>
      </c>
      <c r="G19" s="35" t="n">
        <v>20.28</v>
      </c>
      <c r="H19" s="35" t="n">
        <v>53</v>
      </c>
      <c r="I19" s="35" t="n">
        <v>0</v>
      </c>
      <c r="J19" s="35" t="n">
        <v>125.58</v>
      </c>
      <c r="K19" s="35" t="n">
        <v>0</v>
      </c>
      <c r="L19" s="35" t="n">
        <v>43.34</v>
      </c>
      <c r="M19" s="35" t="n">
        <v>30.98</v>
      </c>
      <c r="N19" s="36">
        <f>SUM(B19:M19)</f>
        <v/>
      </c>
      <c r="O19" s="37">
        <f>(SUMIF('KNL Blank TB'!$R:$R,'KNL HO P&amp;L'!$A19,'KNL Blank TB'!C:C)+(SUMIF('KNL HO TB'!$R:$R,'KNL HO P&amp;L'!$A19,'KNL HO TB'!C:C)))</f>
        <v/>
      </c>
      <c r="P19" s="37">
        <f>(SUMIF('KNL Blank TB'!$R:$R,'KNL HO P&amp;L'!$A19,'KNL Blank TB'!D:D)+(SUMIF('KNL HO TB'!$R:$R,'KNL HO P&amp;L'!$A19,'KNL HO TB'!D:D)))</f>
        <v/>
      </c>
      <c r="Q19" s="37">
        <f>(SUMIF('KNL Blank TB'!$R:$R,'KNL HO P&amp;L'!$A19,'KNL Blank TB'!E:E)+(SUMIF('KNL HO TB'!$R:$R,'KNL HO P&amp;L'!$A19,'KNL HO TB'!E:E)))</f>
        <v/>
      </c>
      <c r="R19" s="37">
        <f>(SUMIF('KNL Blank TB'!$R:$R,'KNL HO P&amp;L'!$A19,'KNL Blank TB'!F:F)+(SUMIF('KNL HO TB'!$R:$R,'KNL HO P&amp;L'!$A19,'KNL HO TB'!F:F)))</f>
        <v/>
      </c>
      <c r="S19" s="37">
        <f>(SUMIF('KNL Blank TB'!$R:$R,'KNL HO P&amp;L'!$A19,'KNL Blank TB'!G:G)+(SUMIF('KNL HO TB'!$R:$R,'KNL HO P&amp;L'!$A19,'KNL HO TB'!G:G)))</f>
        <v/>
      </c>
      <c r="T19" s="37">
        <f>(SUMIF('KNL Blank TB'!$R:$R,'KNL HO P&amp;L'!$A19,'KNL Blank TB'!H:H)+(SUMIF('KNL HO TB'!$R:$R,'KNL HO P&amp;L'!$A19,'KNL HO TB'!H:H)))</f>
        <v/>
      </c>
      <c r="U19" s="37">
        <f>(SUMIF('KNL Blank TB'!$R:$R,'KNL HO P&amp;L'!$A19,'KNL Blank TB'!I:I)+(SUMIF('KNL HO TB'!$R:$R,'KNL HO P&amp;L'!$A19,'KNL HO TB'!I:I)))</f>
        <v/>
      </c>
      <c r="V19" s="38" t="n"/>
      <c r="W19" s="38" t="n"/>
      <c r="X19" s="38" t="n"/>
      <c r="Y19" s="38" t="n"/>
      <c r="Z19" s="38" t="n"/>
      <c r="AA19" s="36">
        <f>SUM(O19:U19)</f>
        <v/>
      </c>
      <c r="AB19" s="36">
        <f>SUM(O19:Z19)</f>
        <v/>
      </c>
      <c r="AC19" s="38" t="n"/>
      <c r="AD19" s="38" t="n"/>
      <c r="AE19" s="38" t="n"/>
      <c r="AF19" s="38" t="n"/>
      <c r="AG19" s="38" t="n"/>
      <c r="AH19" s="38" t="n"/>
      <c r="AI19" s="118" t="n">
        <v>0</v>
      </c>
      <c r="AJ19" s="119" t="n">
        <v>0</v>
      </c>
      <c r="AK19" s="119" t="n">
        <v>0</v>
      </c>
      <c r="AL19" s="119" t="n">
        <v>0</v>
      </c>
      <c r="AM19" s="120" t="n">
        <v>0</v>
      </c>
      <c r="AN19" s="118" t="n">
        <v>0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2093.6</v>
      </c>
      <c r="C20" s="35" t="n">
        <v>7064.880000000001</v>
      </c>
      <c r="D20" s="35" t="n">
        <v>2725.99</v>
      </c>
      <c r="E20" s="35" t="n">
        <v>2100.8</v>
      </c>
      <c r="F20" s="35" t="n">
        <v>1948.2</v>
      </c>
      <c r="G20" s="35" t="n">
        <v>1535.64</v>
      </c>
      <c r="H20" s="35" t="n">
        <v>1763.2</v>
      </c>
      <c r="I20" s="35" t="n">
        <v>2601.5</v>
      </c>
      <c r="J20" s="35" t="n">
        <v>1643.2</v>
      </c>
      <c r="K20" s="35" t="n">
        <v>6098.6</v>
      </c>
      <c r="L20" s="35" t="n">
        <v>440</v>
      </c>
      <c r="M20" s="35" t="n">
        <v>95.7</v>
      </c>
      <c r="N20" s="36">
        <f>SUM(B20:M20)</f>
        <v/>
      </c>
      <c r="O20" s="37">
        <f>(SUMIF('KNL Blank TB'!$R:$R,'KNL HO P&amp;L'!$A20,'KNL Blank TB'!C:C)+(SUMIF('KNL HO TB'!$R:$R,'KNL HO P&amp;L'!$A20,'KNL HO TB'!C:C)))</f>
        <v/>
      </c>
      <c r="P20" s="37">
        <f>(SUMIF('KNL Blank TB'!$R:$R,'KNL HO P&amp;L'!$A20,'KNL Blank TB'!D:D)+(SUMIF('KNL HO TB'!$R:$R,'KNL HO P&amp;L'!$A20,'KNL HO TB'!D:D)))</f>
        <v/>
      </c>
      <c r="Q20" s="37">
        <f>(SUMIF('KNL Blank TB'!$R:$R,'KNL HO P&amp;L'!$A20,'KNL Blank TB'!E:E)+(SUMIF('KNL HO TB'!$R:$R,'KNL HO P&amp;L'!$A20,'KNL HO TB'!E:E)))</f>
        <v/>
      </c>
      <c r="R20" s="37">
        <f>(SUMIF('KNL Blank TB'!$R:$R,'KNL HO P&amp;L'!$A20,'KNL Blank TB'!F:F)+(SUMIF('KNL HO TB'!$R:$R,'KNL HO P&amp;L'!$A20,'KNL HO TB'!F:F)))</f>
        <v/>
      </c>
      <c r="S20" s="37">
        <f>(SUMIF('KNL Blank TB'!$R:$R,'KNL HO P&amp;L'!$A20,'KNL Blank TB'!G:G)+(SUMIF('KNL HO TB'!$R:$R,'KNL HO P&amp;L'!$A20,'KNL HO TB'!G:G)))</f>
        <v/>
      </c>
      <c r="T20" s="37">
        <f>(SUMIF('KNL Blank TB'!$R:$R,'KNL HO P&amp;L'!$A20,'KNL Blank TB'!H:H)+(SUMIF('KNL HO TB'!$R:$R,'KNL HO P&amp;L'!$A20,'KNL HO TB'!H:H)))</f>
        <v/>
      </c>
      <c r="U20" s="37">
        <f>(SUMIF('KNL Blank TB'!$R:$R,'KNL HO P&amp;L'!$A20,'KNL Blank TB'!I:I)+(SUMIF('KNL HO TB'!$R:$R,'KNL HO P&amp;L'!$A20,'KNL HO TB'!I:I)))</f>
        <v/>
      </c>
      <c r="V20" s="38" t="n"/>
      <c r="W20" s="38" t="n"/>
      <c r="X20" s="38" t="n"/>
      <c r="Y20" s="38" t="n"/>
      <c r="Z20" s="38" t="n"/>
      <c r="AA20" s="36">
        <f>SUM(O20:U20)</f>
        <v/>
      </c>
      <c r="AB20" s="36">
        <f>SUM(O20:Z20)</f>
        <v/>
      </c>
      <c r="AC20" s="38" t="n"/>
      <c r="AD20" s="38" t="n"/>
      <c r="AE20" s="38" t="n"/>
      <c r="AF20" s="38" t="n"/>
      <c r="AG20" s="38" t="n"/>
      <c r="AH20" s="38" t="n"/>
      <c r="AI20" s="118" t="n">
        <v>0</v>
      </c>
      <c r="AJ20" s="119" t="n">
        <v>0</v>
      </c>
      <c r="AK20" s="119" t="n">
        <v>0</v>
      </c>
      <c r="AL20" s="119" t="n">
        <v>0</v>
      </c>
      <c r="AM20" s="120" t="n">
        <v>0</v>
      </c>
      <c r="AN20" s="118" t="n">
        <v>0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3746.52</v>
      </c>
      <c r="C21" s="35" t="n">
        <v>1951.9</v>
      </c>
      <c r="D21" s="35" t="n">
        <v>1552.85</v>
      </c>
      <c r="E21" s="35" t="n">
        <v>2180.94</v>
      </c>
      <c r="F21" s="35" t="n">
        <v>2227.49</v>
      </c>
      <c r="G21" s="35" t="n">
        <v>824.1799999999999</v>
      </c>
      <c r="H21" s="35" t="n">
        <v>932.1799999999999</v>
      </c>
      <c r="I21" s="35" t="n">
        <v>379.18</v>
      </c>
      <c r="J21" s="35" t="n">
        <v>512.5699999999999</v>
      </c>
      <c r="K21" s="35" t="n">
        <v>787.26</v>
      </c>
      <c r="L21" s="35" t="n">
        <v>1075.18</v>
      </c>
      <c r="M21" s="35" t="n">
        <v>862.24</v>
      </c>
      <c r="N21" s="36">
        <f>SUM(B21:M21)</f>
        <v/>
      </c>
      <c r="O21" s="37">
        <f>(SUMIF('KNL Blank TB'!$R:$R,'KNL HO P&amp;L'!$A21,'KNL Blank TB'!C:C)+(SUMIF('KNL HO TB'!$R:$R,'KNL HO P&amp;L'!$A21,'KNL HO TB'!C:C)))</f>
        <v/>
      </c>
      <c r="P21" s="37">
        <f>(SUMIF('KNL Blank TB'!$R:$R,'KNL HO P&amp;L'!$A21,'KNL Blank TB'!D:D)+(SUMIF('KNL HO TB'!$R:$R,'KNL HO P&amp;L'!$A21,'KNL HO TB'!D:D)))</f>
        <v/>
      </c>
      <c r="Q21" s="37">
        <f>(SUMIF('KNL Blank TB'!$R:$R,'KNL HO P&amp;L'!$A21,'KNL Blank TB'!E:E)+(SUMIF('KNL HO TB'!$R:$R,'KNL HO P&amp;L'!$A21,'KNL HO TB'!E:E)))</f>
        <v/>
      </c>
      <c r="R21" s="37">
        <f>(SUMIF('KNL Blank TB'!$R:$R,'KNL HO P&amp;L'!$A21,'KNL Blank TB'!F:F)+(SUMIF('KNL HO TB'!$R:$R,'KNL HO P&amp;L'!$A21,'KNL HO TB'!F:F)))</f>
        <v/>
      </c>
      <c r="S21" s="37">
        <f>(SUMIF('KNL Blank TB'!$R:$R,'KNL HO P&amp;L'!$A21,'KNL Blank TB'!G:G)+(SUMIF('KNL HO TB'!$R:$R,'KNL HO P&amp;L'!$A21,'KNL HO TB'!G:G)))</f>
        <v/>
      </c>
      <c r="T21" s="37">
        <f>(SUMIF('KNL Blank TB'!$R:$R,'KNL HO P&amp;L'!$A21,'KNL Blank TB'!H:H)+(SUMIF('KNL HO TB'!$R:$R,'KNL HO P&amp;L'!$A21,'KNL HO TB'!H:H)))</f>
        <v/>
      </c>
      <c r="U21" s="37">
        <f>(SUMIF('KNL Blank TB'!$R:$R,'KNL HO P&amp;L'!$A21,'KNL Blank TB'!I:I)+(SUMIF('KNL HO TB'!$R:$R,'KNL HO P&amp;L'!$A21,'KNL HO TB'!I:I)))</f>
        <v/>
      </c>
      <c r="V21" s="38" t="n"/>
      <c r="W21" s="38" t="n"/>
      <c r="X21" s="38" t="n"/>
      <c r="Y21" s="38" t="n"/>
      <c r="Z21" s="38" t="n"/>
      <c r="AA21" s="36">
        <f>SUM(O21:U21)</f>
        <v/>
      </c>
      <c r="AB21" s="36">
        <f>SUM(O21:Z21)</f>
        <v/>
      </c>
      <c r="AC21" s="38" t="n"/>
      <c r="AD21" s="38" t="n"/>
      <c r="AE21" s="38" t="n"/>
      <c r="AF21" s="38" t="n"/>
      <c r="AG21" s="38" t="n"/>
      <c r="AH21" s="38" t="n"/>
      <c r="AI21" s="118" t="n">
        <v>0</v>
      </c>
      <c r="AJ21" s="119" t="n">
        <v>0</v>
      </c>
      <c r="AK21" s="119" t="n">
        <v>0</v>
      </c>
      <c r="AL21" s="119" t="n">
        <v>0</v>
      </c>
      <c r="AM21" s="120" t="n">
        <v>0</v>
      </c>
      <c r="AN21" s="118" t="n">
        <v>0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69.98999999999999</v>
      </c>
      <c r="E22" s="35" t="n">
        <v>0</v>
      </c>
      <c r="F22" s="35" t="n">
        <v>69.05</v>
      </c>
      <c r="G22" s="35" t="n">
        <v>4876.26</v>
      </c>
      <c r="H22" s="35" t="n">
        <v>528.17</v>
      </c>
      <c r="I22" s="35" t="n">
        <v>0</v>
      </c>
      <c r="J22" s="35" t="n">
        <v>600</v>
      </c>
      <c r="K22" s="35" t="n">
        <v>39.89</v>
      </c>
      <c r="L22" s="35" t="n">
        <v>0</v>
      </c>
      <c r="M22" s="35" t="n">
        <v>0</v>
      </c>
      <c r="N22" s="36">
        <f>SUM(B22:M22)</f>
        <v/>
      </c>
      <c r="O22" s="37">
        <f>(SUMIF('KNL Blank TB'!$R:$R,'KNL HO P&amp;L'!$A22,'KNL Blank TB'!C:C)+(SUMIF('KNL HO TB'!$R:$R,'KNL HO P&amp;L'!$A22,'KNL HO TB'!C:C)))</f>
        <v/>
      </c>
      <c r="P22" s="37">
        <f>(SUMIF('KNL Blank TB'!$R:$R,'KNL HO P&amp;L'!$A22,'KNL Blank TB'!D:D)+(SUMIF('KNL HO TB'!$R:$R,'KNL HO P&amp;L'!$A22,'KNL HO TB'!D:D)))</f>
        <v/>
      </c>
      <c r="Q22" s="37">
        <f>(SUMIF('KNL Blank TB'!$R:$R,'KNL HO P&amp;L'!$A22,'KNL Blank TB'!E:E)+(SUMIF('KNL HO TB'!$R:$R,'KNL HO P&amp;L'!$A22,'KNL HO TB'!E:E)))</f>
        <v/>
      </c>
      <c r="R22" s="37">
        <f>(SUMIF('KNL Blank TB'!$R:$R,'KNL HO P&amp;L'!$A22,'KNL Blank TB'!F:F)+(SUMIF('KNL HO TB'!$R:$R,'KNL HO P&amp;L'!$A22,'KNL HO TB'!F:F)))</f>
        <v/>
      </c>
      <c r="S22" s="37">
        <f>(SUMIF('KNL Blank TB'!$R:$R,'KNL HO P&amp;L'!$A22,'KNL Blank TB'!G:G)+(SUMIF('KNL HO TB'!$R:$R,'KNL HO P&amp;L'!$A22,'KNL HO TB'!G:G)))</f>
        <v/>
      </c>
      <c r="T22" s="37">
        <f>(SUMIF('KNL Blank TB'!$R:$R,'KNL HO P&amp;L'!$A22,'KNL Blank TB'!H:H)+(SUMIF('KNL HO TB'!$R:$R,'KNL HO P&amp;L'!$A22,'KNL HO TB'!H:H)))</f>
        <v/>
      </c>
      <c r="U22" s="37">
        <f>(SUMIF('KNL Blank TB'!$R:$R,'KNL HO P&amp;L'!$A22,'KNL Blank TB'!I:I)+(SUMIF('KNL HO TB'!$R:$R,'KNL HO P&amp;L'!$A22,'KNL HO TB'!I:I)))</f>
        <v/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118" t="n">
        <v>0</v>
      </c>
      <c r="AJ22" s="119" t="n">
        <v>0</v>
      </c>
      <c r="AK22" s="119" t="n">
        <v>0</v>
      </c>
      <c r="AL22" s="119" t="n">
        <v>0</v>
      </c>
      <c r="AM22" s="120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1630</v>
      </c>
      <c r="H23" s="35" t="n">
        <v>1755</v>
      </c>
      <c r="I23" s="35" t="n">
        <v>1000</v>
      </c>
      <c r="J23" s="35" t="n">
        <v>2060</v>
      </c>
      <c r="K23" s="35" t="n">
        <v>988.3</v>
      </c>
      <c r="L23" s="35" t="n">
        <v>3534</v>
      </c>
      <c r="M23" s="35" t="n">
        <v>1700</v>
      </c>
      <c r="N23" s="36">
        <f>SUM(B23:M23)</f>
        <v/>
      </c>
      <c r="O23" s="37">
        <f>(SUMIF('KNL Blank TB'!$R:$R,'KNL HO P&amp;L'!$A23,'KNL Blank TB'!C:C)+(SUMIF('KNL HO TB'!$R:$R,'KNL HO P&amp;L'!$A23,'KNL HO TB'!C:C)))</f>
        <v/>
      </c>
      <c r="P23" s="37">
        <f>(SUMIF('KNL Blank TB'!$R:$R,'KNL HO P&amp;L'!$A23,'KNL Blank TB'!D:D)+(SUMIF('KNL HO TB'!$R:$R,'KNL HO P&amp;L'!$A23,'KNL HO TB'!D:D)))</f>
        <v/>
      </c>
      <c r="Q23" s="37">
        <f>(SUMIF('KNL Blank TB'!$R:$R,'KNL HO P&amp;L'!$A23,'KNL Blank TB'!E:E)+(SUMIF('KNL HO TB'!$R:$R,'KNL HO P&amp;L'!$A23,'KNL HO TB'!E:E)))</f>
        <v/>
      </c>
      <c r="R23" s="37">
        <f>(SUMIF('KNL Blank TB'!$R:$R,'KNL HO P&amp;L'!$A23,'KNL Blank TB'!F:F)+(SUMIF('KNL HO TB'!$R:$R,'KNL HO P&amp;L'!$A23,'KNL HO TB'!F:F)))</f>
        <v/>
      </c>
      <c r="S23" s="37">
        <f>(SUMIF('KNL Blank TB'!$R:$R,'KNL HO P&amp;L'!$A23,'KNL Blank TB'!G:G)+(SUMIF('KNL HO TB'!$R:$R,'KNL HO P&amp;L'!$A23,'KNL HO TB'!G:G)))</f>
        <v/>
      </c>
      <c r="T23" s="37">
        <f>(SUMIF('KNL Blank TB'!$R:$R,'KNL HO P&amp;L'!$A23,'KNL Blank TB'!H:H)+(SUMIF('KNL HO TB'!$R:$R,'KNL HO P&amp;L'!$A23,'KNL HO TB'!H:H)))</f>
        <v/>
      </c>
      <c r="U23" s="37">
        <f>(SUMIF('KNL Blank TB'!$R:$R,'KNL HO P&amp;L'!$A23,'KNL Blank TB'!I:I)+(SUMIF('KNL HO TB'!$R:$R,'KNL HO P&amp;L'!$A23,'KNL HO TB'!I:I)))</f>
        <v/>
      </c>
      <c r="V23" s="38" t="n"/>
      <c r="W23" s="38" t="n"/>
      <c r="X23" s="38" t="n"/>
      <c r="Y23" s="38" t="n"/>
      <c r="Z23" s="38" t="n"/>
      <c r="AA23" s="36">
        <f>SUM(O23:U23)</f>
        <v/>
      </c>
      <c r="AB23" s="36">
        <f>SUM(O23:Z23)</f>
        <v/>
      </c>
      <c r="AC23" s="38" t="n"/>
      <c r="AD23" s="38" t="n"/>
      <c r="AE23" s="38" t="n"/>
      <c r="AF23" s="38" t="n"/>
      <c r="AG23" s="38" t="n"/>
      <c r="AH23" s="38" t="n"/>
      <c r="AI23" s="118" t="n">
        <v>0</v>
      </c>
      <c r="AJ23" s="119" t="n">
        <v>0</v>
      </c>
      <c r="AK23" s="119" t="n">
        <v>0</v>
      </c>
      <c r="AL23" s="119" t="n">
        <v>0</v>
      </c>
      <c r="AM23" s="120" t="n">
        <v>0</v>
      </c>
      <c r="AN23" s="118" t="n">
        <v>0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(SUMIF('KNL Blank TB'!$R:$R,'KNL HO P&amp;L'!$A24,'KNL Blank TB'!C:C)+(SUMIF('KNL HO TB'!$R:$R,'KNL HO P&amp;L'!$A24,'KNL HO TB'!C:C)))</f>
        <v/>
      </c>
      <c r="P24" s="37">
        <f>(SUMIF('KNL Blank TB'!$R:$R,'KNL HO P&amp;L'!$A24,'KNL Blank TB'!D:D)+(SUMIF('KNL HO TB'!$R:$R,'KNL HO P&amp;L'!$A24,'KNL HO TB'!D:D)))</f>
        <v/>
      </c>
      <c r="Q24" s="37">
        <f>(SUMIF('KNL Blank TB'!$R:$R,'KNL HO P&amp;L'!$A24,'KNL Blank TB'!E:E)+(SUMIF('KNL HO TB'!$R:$R,'KNL HO P&amp;L'!$A24,'KNL HO TB'!E:E)))</f>
        <v/>
      </c>
      <c r="R24" s="37">
        <f>(SUMIF('KNL Blank TB'!$R:$R,'KNL HO P&amp;L'!$A24,'KNL Blank TB'!F:F)+(SUMIF('KNL HO TB'!$R:$R,'KNL HO P&amp;L'!$A24,'KNL HO TB'!F:F)))</f>
        <v/>
      </c>
      <c r="S24" s="37">
        <f>(SUMIF('KNL Blank TB'!$R:$R,'KNL HO P&amp;L'!$A24,'KNL Blank TB'!G:G)+(SUMIF('KNL HO TB'!$R:$R,'KNL HO P&amp;L'!$A24,'KNL HO TB'!G:G)))</f>
        <v/>
      </c>
      <c r="T24" s="37">
        <f>(SUMIF('KNL Blank TB'!$R:$R,'KNL HO P&amp;L'!$A24,'KNL Blank TB'!H:H)+(SUMIF('KNL HO TB'!$R:$R,'KNL HO P&amp;L'!$A24,'KNL HO TB'!H:H)))</f>
        <v/>
      </c>
      <c r="U24" s="37">
        <f>(SUMIF('KNL Blank TB'!$R:$R,'KNL HO P&amp;L'!$A24,'KNL Blank TB'!I:I)+(SUMIF('KNL HO TB'!$R:$R,'KNL HO P&amp;L'!$A24,'KNL HO TB'!I:I)))</f>
        <v/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118" t="n">
        <v>0</v>
      </c>
      <c r="AJ24" s="119" t="n">
        <v>0</v>
      </c>
      <c r="AK24" s="119" t="n">
        <v>0</v>
      </c>
      <c r="AL24" s="119" t="n">
        <v>0</v>
      </c>
      <c r="AM24" s="120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6091.440000000001</v>
      </c>
      <c r="C25" s="42" t="n">
        <v>9015.780000000001</v>
      </c>
      <c r="D25" s="42" t="n">
        <v>4391.809999999999</v>
      </c>
      <c r="E25" s="42" t="n">
        <v>4281.74</v>
      </c>
      <c r="F25" s="42" t="n">
        <v>4244.740000000001</v>
      </c>
      <c r="G25" s="42" t="n">
        <v>8886.360000000001</v>
      </c>
      <c r="H25" s="42" t="n">
        <v>5031.55</v>
      </c>
      <c r="I25" s="42" t="n">
        <v>3980.68</v>
      </c>
      <c r="J25" s="42" t="n">
        <v>4941.35</v>
      </c>
      <c r="K25" s="42" t="n">
        <v>7914.050000000001</v>
      </c>
      <c r="L25" s="42" t="n">
        <v>5092.52</v>
      </c>
      <c r="M25" s="42" t="n">
        <v>2688.92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 t="n"/>
      <c r="AD25" s="45" t="n"/>
      <c r="AE25" s="45" t="n"/>
      <c r="AF25" s="45" t="n"/>
      <c r="AG25" s="45" t="n"/>
      <c r="AH25" s="45" t="n"/>
      <c r="AI25" s="134" t="n">
        <v>0</v>
      </c>
      <c r="AJ25" s="152" t="n">
        <v>0</v>
      </c>
      <c r="AK25" s="152" t="n">
        <v>0</v>
      </c>
      <c r="AL25" s="152" t="n">
        <v>0</v>
      </c>
      <c r="AM25" s="152" t="n">
        <v>0</v>
      </c>
      <c r="AN25" s="134" t="n">
        <v>0</v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7" t="n">
        <v>0</v>
      </c>
      <c r="AJ26" s="128" t="n">
        <v>0</v>
      </c>
      <c r="AK26" s="128" t="n">
        <v>0</v>
      </c>
      <c r="AL26" s="128" t="n">
        <v>0</v>
      </c>
      <c r="AM26" s="129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0</v>
      </c>
      <c r="C27" s="35" t="n">
        <v>0</v>
      </c>
      <c r="D27" s="35" t="n">
        <v>280.37</v>
      </c>
      <c r="E27" s="35" t="n">
        <v>101.16</v>
      </c>
      <c r="F27" s="35" t="n">
        <v>0</v>
      </c>
      <c r="G27" s="35" t="n">
        <v>0</v>
      </c>
      <c r="H27" s="35" t="n">
        <v>0</v>
      </c>
      <c r="I27" s="35" t="n">
        <v>0</v>
      </c>
      <c r="J27" s="35" t="n">
        <v>0</v>
      </c>
      <c r="K27" s="35" t="n">
        <v>0</v>
      </c>
      <c r="L27" s="35" t="n">
        <v>3.15</v>
      </c>
      <c r="M27" s="35" t="n">
        <v>0</v>
      </c>
      <c r="N27" s="36">
        <f>SUM(B27:M27)</f>
        <v/>
      </c>
      <c r="O27" s="37">
        <f>(SUMIF('KNL Blank TB'!$R:$R,'KNL HO P&amp;L'!$A27,'KNL Blank TB'!C:C)+(SUMIF('KNL HO TB'!$R:$R,'KNL HO P&amp;L'!$A27,'KNL HO TB'!C:C)))</f>
        <v/>
      </c>
      <c r="P27" s="37">
        <f>(SUMIF('KNL Blank TB'!$R:$R,'KNL HO P&amp;L'!$A27,'KNL Blank TB'!D:D)+(SUMIF('KNL HO TB'!$R:$R,'KNL HO P&amp;L'!$A27,'KNL HO TB'!D:D)))</f>
        <v/>
      </c>
      <c r="Q27" s="37">
        <f>(SUMIF('KNL Blank TB'!$R:$R,'KNL HO P&amp;L'!$A27,'KNL Blank TB'!E:E)+(SUMIF('KNL HO TB'!$R:$R,'KNL HO P&amp;L'!$A27,'KNL HO TB'!E:E)))</f>
        <v/>
      </c>
      <c r="R27" s="37">
        <f>(SUMIF('KNL Blank TB'!$R:$R,'KNL HO P&amp;L'!$A27,'KNL Blank TB'!F:F)+(SUMIF('KNL HO TB'!$R:$R,'KNL HO P&amp;L'!$A27,'KNL HO TB'!F:F)))</f>
        <v/>
      </c>
      <c r="S27" s="37">
        <f>(SUMIF('KNL Blank TB'!$R:$R,'KNL HO P&amp;L'!$A27,'KNL Blank TB'!G:G)+(SUMIF('KNL HO TB'!$R:$R,'KNL HO P&amp;L'!$A27,'KNL HO TB'!G:G)))</f>
        <v/>
      </c>
      <c r="T27" s="37">
        <f>(SUMIF('KNL Blank TB'!$R:$R,'KNL HO P&amp;L'!$A27,'KNL Blank TB'!H:H)+(SUMIF('KNL HO TB'!$R:$R,'KNL HO P&amp;L'!$A27,'KNL HO TB'!H:H)))</f>
        <v/>
      </c>
      <c r="U27" s="37">
        <f>(SUMIF('KNL Blank TB'!$R:$R,'KNL HO P&amp;L'!$A27,'KNL Blank TB'!I:I)+(SUMIF('KNL HO TB'!$R:$R,'KNL HO P&amp;L'!$A27,'KNL HO TB'!I:I)))</f>
        <v/>
      </c>
      <c r="V27" s="38" t="n"/>
      <c r="W27" s="38" t="n"/>
      <c r="X27" s="38" t="n"/>
      <c r="Y27" s="38" t="n"/>
      <c r="Z27" s="38" t="n"/>
      <c r="AA27" s="36">
        <f>SUM(O27:U27)</f>
        <v/>
      </c>
      <c r="AB27" s="36">
        <f>SUM(O27:Z27)</f>
        <v/>
      </c>
      <c r="AC27" s="38" t="n"/>
      <c r="AD27" s="38" t="n"/>
      <c r="AE27" s="38" t="n"/>
      <c r="AF27" s="38" t="n"/>
      <c r="AG27" s="38" t="n"/>
      <c r="AH27" s="38" t="n"/>
      <c r="AI27" s="118" t="n">
        <v>0</v>
      </c>
      <c r="AJ27" s="119" t="n">
        <v>0</v>
      </c>
      <c r="AK27" s="119" t="n">
        <v>0</v>
      </c>
      <c r="AL27" s="119" t="n">
        <v>0</v>
      </c>
      <c r="AM27" s="120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12.33</v>
      </c>
      <c r="H28" s="35" t="n">
        <v>0</v>
      </c>
      <c r="I28" s="35" t="n">
        <v>0</v>
      </c>
      <c r="J28" s="35" t="n">
        <v>0</v>
      </c>
      <c r="K28" s="35" t="n">
        <v>7.97</v>
      </c>
      <c r="L28" s="35" t="n">
        <v>0</v>
      </c>
      <c r="M28" s="35" t="n">
        <v>0</v>
      </c>
      <c r="N28" s="36">
        <f>SUM(B28:M28)</f>
        <v/>
      </c>
      <c r="O28" s="37">
        <f>(SUMIF('KNL Blank TB'!$R:$R,'KNL HO P&amp;L'!$A28,'KNL Blank TB'!C:C)+(SUMIF('KNL HO TB'!$R:$R,'KNL HO P&amp;L'!$A28,'KNL HO TB'!C:C)))</f>
        <v/>
      </c>
      <c r="P28" s="37">
        <f>(SUMIF('KNL Blank TB'!$R:$R,'KNL HO P&amp;L'!$A28,'KNL Blank TB'!D:D)+(SUMIF('KNL HO TB'!$R:$R,'KNL HO P&amp;L'!$A28,'KNL HO TB'!D:D)))</f>
        <v/>
      </c>
      <c r="Q28" s="37">
        <f>(SUMIF('KNL Blank TB'!$R:$R,'KNL HO P&amp;L'!$A28,'KNL Blank TB'!E:E)+(SUMIF('KNL HO TB'!$R:$R,'KNL HO P&amp;L'!$A28,'KNL HO TB'!E:E)))</f>
        <v/>
      </c>
      <c r="R28" s="37">
        <f>(SUMIF('KNL Blank TB'!$R:$R,'KNL HO P&amp;L'!$A28,'KNL Blank TB'!F:F)+(SUMIF('KNL HO TB'!$R:$R,'KNL HO P&amp;L'!$A28,'KNL HO TB'!F:F)))</f>
        <v/>
      </c>
      <c r="S28" s="37">
        <f>(SUMIF('KNL Blank TB'!$R:$R,'KNL HO P&amp;L'!$A28,'KNL Blank TB'!G:G)+(SUMIF('KNL HO TB'!$R:$R,'KNL HO P&amp;L'!$A28,'KNL HO TB'!G:G)))</f>
        <v/>
      </c>
      <c r="T28" s="37">
        <f>(SUMIF('KNL Blank TB'!$R:$R,'KNL HO P&amp;L'!$A28,'KNL Blank TB'!H:H)+(SUMIF('KNL HO TB'!$R:$R,'KNL HO P&amp;L'!$A28,'KNL HO TB'!H:H)))</f>
        <v/>
      </c>
      <c r="U28" s="37">
        <f>(SUMIF('KNL Blank TB'!$R:$R,'KNL HO P&amp;L'!$A28,'KNL Blank TB'!I:I)+(SUMIF('KNL HO TB'!$R:$R,'KNL HO P&amp;L'!$A28,'KNL HO TB'!I:I)))</f>
        <v/>
      </c>
      <c r="V28" s="38" t="n"/>
      <c r="W28" s="38" t="n"/>
      <c r="X28" s="38" t="n"/>
      <c r="Y28" s="38" t="n"/>
      <c r="Z28" s="38" t="n"/>
      <c r="AA28" s="36">
        <f>SUM(O28:U28)</f>
        <v/>
      </c>
      <c r="AB28" s="36">
        <f>SUM(O28:Z28)</f>
        <v/>
      </c>
      <c r="AC28" s="38" t="n"/>
      <c r="AD28" s="38" t="n"/>
      <c r="AE28" s="38" t="n"/>
      <c r="AF28" s="38" t="n"/>
      <c r="AG28" s="38" t="n"/>
      <c r="AH28" s="38" t="n"/>
      <c r="AI28" s="118" t="n">
        <v>0</v>
      </c>
      <c r="AJ28" s="119" t="n">
        <v>0</v>
      </c>
      <c r="AK28" s="119" t="n">
        <v>0</v>
      </c>
      <c r="AL28" s="119" t="n">
        <v>0</v>
      </c>
      <c r="AM28" s="120" t="n">
        <v>0</v>
      </c>
      <c r="AN28" s="118" t="n">
        <v>0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5" t="n">
        <v>0</v>
      </c>
      <c r="J29" s="35" t="n">
        <v>0</v>
      </c>
      <c r="K29" s="35" t="n">
        <v>5.98</v>
      </c>
      <c r="L29" s="35" t="n">
        <v>0</v>
      </c>
      <c r="M29" s="35" t="n">
        <v>0</v>
      </c>
      <c r="N29" s="36">
        <f>SUM(B29:M29)</f>
        <v/>
      </c>
      <c r="O29" s="37">
        <f>(SUMIF('KNL Blank TB'!$R:$R,'KNL HO P&amp;L'!$A29,'KNL Blank TB'!C:C)+(SUMIF('KNL HO TB'!$R:$R,'KNL HO P&amp;L'!$A29,'KNL HO TB'!C:C)))</f>
        <v/>
      </c>
      <c r="P29" s="37">
        <f>(SUMIF('KNL Blank TB'!$R:$R,'KNL HO P&amp;L'!$A29,'KNL Blank TB'!D:D)+(SUMIF('KNL HO TB'!$R:$R,'KNL HO P&amp;L'!$A29,'KNL HO TB'!D:D)))</f>
        <v/>
      </c>
      <c r="Q29" s="37">
        <f>(SUMIF('KNL Blank TB'!$R:$R,'KNL HO P&amp;L'!$A29,'KNL Blank TB'!E:E)+(SUMIF('KNL HO TB'!$R:$R,'KNL HO P&amp;L'!$A29,'KNL HO TB'!E:E)))</f>
        <v/>
      </c>
      <c r="R29" s="37">
        <f>(SUMIF('KNL Blank TB'!$R:$R,'KNL HO P&amp;L'!$A29,'KNL Blank TB'!F:F)+(SUMIF('KNL HO TB'!$R:$R,'KNL HO P&amp;L'!$A29,'KNL HO TB'!F:F)))</f>
        <v/>
      </c>
      <c r="S29" s="37">
        <f>(SUMIF('KNL Blank TB'!$R:$R,'KNL HO P&amp;L'!$A29,'KNL Blank TB'!G:G)+(SUMIF('KNL HO TB'!$R:$R,'KNL HO P&amp;L'!$A29,'KNL HO TB'!G:G)))</f>
        <v/>
      </c>
      <c r="T29" s="37">
        <f>(SUMIF('KNL Blank TB'!$R:$R,'KNL HO P&amp;L'!$A29,'KNL Blank TB'!H:H)+(SUMIF('KNL HO TB'!$R:$R,'KNL HO P&amp;L'!$A29,'KNL HO TB'!H:H)))</f>
        <v/>
      </c>
      <c r="U29" s="37">
        <f>(SUMIF('KNL Blank TB'!$R:$R,'KNL HO P&amp;L'!$A29,'KNL Blank TB'!I:I)+(SUMIF('KNL HO TB'!$R:$R,'KNL HO P&amp;L'!$A29,'KNL HO TB'!I:I)))</f>
        <v/>
      </c>
      <c r="V29" s="38" t="n"/>
      <c r="W29" s="38" t="n"/>
      <c r="X29" s="38" t="n"/>
      <c r="Y29" s="38" t="n"/>
      <c r="Z29" s="38" t="n"/>
      <c r="AA29" s="36">
        <f>SUM(O29:U29)</f>
        <v/>
      </c>
      <c r="AB29" s="36">
        <f>SUM(O29:Z29)</f>
        <v/>
      </c>
      <c r="AC29" s="38" t="n"/>
      <c r="AD29" s="38" t="n"/>
      <c r="AE29" s="38" t="n"/>
      <c r="AF29" s="38" t="n"/>
      <c r="AG29" s="38" t="n"/>
      <c r="AH29" s="38" t="n"/>
      <c r="AI29" s="118" t="n">
        <v>0</v>
      </c>
      <c r="AJ29" s="119" t="n">
        <v>0</v>
      </c>
      <c r="AK29" s="119" t="n">
        <v>0</v>
      </c>
      <c r="AL29" s="119" t="n">
        <v>0</v>
      </c>
      <c r="AM29" s="120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174.71</v>
      </c>
      <c r="C30" s="35" t="n">
        <v>146.94</v>
      </c>
      <c r="D30" s="35" t="n">
        <v>35.89</v>
      </c>
      <c r="E30" s="35" t="n">
        <v>125.98</v>
      </c>
      <c r="F30" s="35" t="n">
        <v>44.48</v>
      </c>
      <c r="G30" s="35" t="n">
        <v>112.97</v>
      </c>
      <c r="H30" s="35" t="n">
        <v>461.6200000000001</v>
      </c>
      <c r="I30" s="35" t="n">
        <v>125.85</v>
      </c>
      <c r="J30" s="35" t="n">
        <v>73.06999999999999</v>
      </c>
      <c r="K30" s="35" t="n">
        <v>78.53999999999999</v>
      </c>
      <c r="L30" s="35" t="n">
        <v>113.5</v>
      </c>
      <c r="M30" s="35" t="n">
        <v>50.44</v>
      </c>
      <c r="N30" s="36">
        <f>SUM(B30:M30)</f>
        <v/>
      </c>
      <c r="O30" s="37">
        <f>(SUMIF('KNL Blank TB'!$R:$R,'KNL HO P&amp;L'!$A30,'KNL Blank TB'!C:C)+(SUMIF('KNL HO TB'!$R:$R,'KNL HO P&amp;L'!$A30,'KNL HO TB'!C:C)))</f>
        <v/>
      </c>
      <c r="P30" s="37">
        <f>(SUMIF('KNL Blank TB'!$R:$R,'KNL HO P&amp;L'!$A30,'KNL Blank TB'!D:D)+(SUMIF('KNL HO TB'!$R:$R,'KNL HO P&amp;L'!$A30,'KNL HO TB'!D:D)))</f>
        <v/>
      </c>
      <c r="Q30" s="37">
        <f>(SUMIF('KNL Blank TB'!$R:$R,'KNL HO P&amp;L'!$A30,'KNL Blank TB'!E:E)+(SUMIF('KNL HO TB'!$R:$R,'KNL HO P&amp;L'!$A30,'KNL HO TB'!E:E)))</f>
        <v/>
      </c>
      <c r="R30" s="37">
        <f>(SUMIF('KNL Blank TB'!$R:$R,'KNL HO P&amp;L'!$A30,'KNL Blank TB'!F:F)+(SUMIF('KNL HO TB'!$R:$R,'KNL HO P&amp;L'!$A30,'KNL HO TB'!F:F)))</f>
        <v/>
      </c>
      <c r="S30" s="37">
        <f>(SUMIF('KNL Blank TB'!$R:$R,'KNL HO P&amp;L'!$A30,'KNL Blank TB'!G:G)+(SUMIF('KNL HO TB'!$R:$R,'KNL HO P&amp;L'!$A30,'KNL HO TB'!G:G)))</f>
        <v/>
      </c>
      <c r="T30" s="37">
        <f>(SUMIF('KNL Blank TB'!$R:$R,'KNL HO P&amp;L'!$A30,'KNL Blank TB'!H:H)+(SUMIF('KNL HO TB'!$R:$R,'KNL HO P&amp;L'!$A30,'KNL HO TB'!H:H)))</f>
        <v/>
      </c>
      <c r="U30" s="37">
        <f>(SUMIF('KNL Blank TB'!$R:$R,'KNL HO P&amp;L'!$A30,'KNL Blank TB'!I:I)+(SUMIF('KNL HO TB'!$R:$R,'KNL HO P&amp;L'!$A30,'KNL HO TB'!I:I)))</f>
        <v/>
      </c>
      <c r="V30" s="38" t="n"/>
      <c r="W30" s="38" t="n"/>
      <c r="X30" s="38" t="n"/>
      <c r="Y30" s="38" t="n"/>
      <c r="Z30" s="38" t="n"/>
      <c r="AA30" s="36">
        <f>SUM(O30:U30)</f>
        <v/>
      </c>
      <c r="AB30" s="36">
        <f>SUM(O30:Z30)</f>
        <v/>
      </c>
      <c r="AC30" s="38" t="n"/>
      <c r="AD30" s="38" t="n"/>
      <c r="AE30" s="38" t="n"/>
      <c r="AF30" s="38" t="n"/>
      <c r="AG30" s="38" t="n"/>
      <c r="AH30" s="38" t="n"/>
      <c r="AI30" s="118" t="n">
        <v>0</v>
      </c>
      <c r="AJ30" s="119" t="n">
        <v>0</v>
      </c>
      <c r="AK30" s="119" t="n">
        <v>0</v>
      </c>
      <c r="AL30" s="119" t="n">
        <v>0</v>
      </c>
      <c r="AM30" s="120" t="n">
        <v>0</v>
      </c>
      <c r="AN30" s="118" t="n">
        <v>0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498</v>
      </c>
      <c r="C31" s="35" t="n">
        <v>0</v>
      </c>
      <c r="D31" s="35" t="n">
        <v>0</v>
      </c>
      <c r="E31" s="35" t="n">
        <v>0</v>
      </c>
      <c r="F31" s="35" t="n">
        <v>0</v>
      </c>
      <c r="G31" s="35" t="n">
        <v>0</v>
      </c>
      <c r="H31" s="35" t="n">
        <v>0</v>
      </c>
      <c r="I31" s="35" t="n">
        <v>0</v>
      </c>
      <c r="J31" s="35" t="n">
        <v>0</v>
      </c>
      <c r="K31" s="35" t="n">
        <v>0</v>
      </c>
      <c r="L31" s="35" t="n">
        <v>0</v>
      </c>
      <c r="M31" s="35" t="n">
        <v>0</v>
      </c>
      <c r="N31" s="36">
        <f>SUM(B31:M31)</f>
        <v/>
      </c>
      <c r="O31" s="37">
        <f>(SUMIF('KNL Blank TB'!$R:$R,'KNL HO P&amp;L'!$A31,'KNL Blank TB'!C:C)+(SUMIF('KNL HO TB'!$R:$R,'KNL HO P&amp;L'!$A31,'KNL HO TB'!C:C)))</f>
        <v/>
      </c>
      <c r="P31" s="37">
        <f>(SUMIF('KNL Blank TB'!$R:$R,'KNL HO P&amp;L'!$A31,'KNL Blank TB'!D:D)+(SUMIF('KNL HO TB'!$R:$R,'KNL HO P&amp;L'!$A31,'KNL HO TB'!D:D)))</f>
        <v/>
      </c>
      <c r="Q31" s="37">
        <f>(SUMIF('KNL Blank TB'!$R:$R,'KNL HO P&amp;L'!$A31,'KNL Blank TB'!E:E)+(SUMIF('KNL HO TB'!$R:$R,'KNL HO P&amp;L'!$A31,'KNL HO TB'!E:E)))</f>
        <v/>
      </c>
      <c r="R31" s="37">
        <f>(SUMIF('KNL Blank TB'!$R:$R,'KNL HO P&amp;L'!$A31,'KNL Blank TB'!F:F)+(SUMIF('KNL HO TB'!$R:$R,'KNL HO P&amp;L'!$A31,'KNL HO TB'!F:F)))</f>
        <v/>
      </c>
      <c r="S31" s="37">
        <f>(SUMIF('KNL Blank TB'!$R:$R,'KNL HO P&amp;L'!$A31,'KNL Blank TB'!G:G)+(SUMIF('KNL HO TB'!$R:$R,'KNL HO P&amp;L'!$A31,'KNL HO TB'!G:G)))</f>
        <v/>
      </c>
      <c r="T31" s="37">
        <f>(SUMIF('KNL Blank TB'!$R:$R,'KNL HO P&amp;L'!$A31,'KNL Blank TB'!H:H)+(SUMIF('KNL HO TB'!$R:$R,'KNL HO P&amp;L'!$A31,'KNL HO TB'!H:H)))</f>
        <v/>
      </c>
      <c r="U31" s="37">
        <f>(SUMIF('KNL Blank TB'!$R:$R,'KNL HO P&amp;L'!$A31,'KNL Blank TB'!I:I)+(SUMIF('KNL HO TB'!$R:$R,'KNL HO P&amp;L'!$A31,'KNL HO TB'!I:I)))</f>
        <v/>
      </c>
      <c r="V31" s="38" t="n"/>
      <c r="W31" s="38" t="n"/>
      <c r="X31" s="38" t="n"/>
      <c r="Y31" s="38" t="n"/>
      <c r="Z31" s="38" t="n"/>
      <c r="AA31" s="36">
        <f>SUM(O31:U31)</f>
        <v/>
      </c>
      <c r="AB31" s="36">
        <f>SUM(O31:Z31)</f>
        <v/>
      </c>
      <c r="AC31" s="38" t="n"/>
      <c r="AD31" s="38" t="n"/>
      <c r="AE31" s="38" t="n"/>
      <c r="AF31" s="38" t="n"/>
      <c r="AG31" s="38" t="n"/>
      <c r="AH31" s="38" t="n"/>
      <c r="AI31" s="118" t="n">
        <v>0</v>
      </c>
      <c r="AJ31" s="119" t="n">
        <v>0</v>
      </c>
      <c r="AK31" s="119" t="n">
        <v>0</v>
      </c>
      <c r="AL31" s="119" t="n">
        <v>0</v>
      </c>
      <c r="AM31" s="120" t="n">
        <v>0</v>
      </c>
      <c r="AN31" s="118" t="n">
        <v>0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30.44</v>
      </c>
      <c r="C32" s="35" t="n">
        <v>36.5</v>
      </c>
      <c r="D32" s="35" t="n">
        <v>0</v>
      </c>
      <c r="E32" s="35" t="n">
        <v>13.65</v>
      </c>
      <c r="F32" s="35" t="n">
        <v>0</v>
      </c>
      <c r="G32" s="35" t="n">
        <v>0</v>
      </c>
      <c r="H32" s="35" t="n">
        <v>0</v>
      </c>
      <c r="I32" s="35" t="n">
        <v>0</v>
      </c>
      <c r="J32" s="35" t="n">
        <v>0</v>
      </c>
      <c r="K32" s="35" t="n">
        <v>0</v>
      </c>
      <c r="L32" s="35" t="n">
        <v>0</v>
      </c>
      <c r="M32" s="35" t="n">
        <v>0</v>
      </c>
      <c r="N32" s="36">
        <f>SUM(B32:M32)</f>
        <v/>
      </c>
      <c r="O32" s="37">
        <f>(SUMIF('KNL Blank TB'!$R:$R,'KNL HO P&amp;L'!$A32,'KNL Blank TB'!C:C)+(SUMIF('KNL HO TB'!$R:$R,'KNL HO P&amp;L'!$A32,'KNL HO TB'!C:C)))</f>
        <v/>
      </c>
      <c r="P32" s="37">
        <f>(SUMIF('KNL Blank TB'!$R:$R,'KNL HO P&amp;L'!$A32,'KNL Blank TB'!D:D)+(SUMIF('KNL HO TB'!$R:$R,'KNL HO P&amp;L'!$A32,'KNL HO TB'!D:D)))</f>
        <v/>
      </c>
      <c r="Q32" s="37">
        <f>(SUMIF('KNL Blank TB'!$R:$R,'KNL HO P&amp;L'!$A32,'KNL Blank TB'!E:E)+(SUMIF('KNL HO TB'!$R:$R,'KNL HO P&amp;L'!$A32,'KNL HO TB'!E:E)))</f>
        <v/>
      </c>
      <c r="R32" s="37">
        <f>(SUMIF('KNL Blank TB'!$R:$R,'KNL HO P&amp;L'!$A32,'KNL Blank TB'!F:F)+(SUMIF('KNL HO TB'!$R:$R,'KNL HO P&amp;L'!$A32,'KNL HO TB'!F:F)))</f>
        <v/>
      </c>
      <c r="S32" s="37">
        <f>(SUMIF('KNL Blank TB'!$R:$R,'KNL HO P&amp;L'!$A32,'KNL Blank TB'!G:G)+(SUMIF('KNL HO TB'!$R:$R,'KNL HO P&amp;L'!$A32,'KNL HO TB'!G:G)))</f>
        <v/>
      </c>
      <c r="T32" s="37">
        <f>(SUMIF('KNL Blank TB'!$R:$R,'KNL HO P&amp;L'!$A32,'KNL Blank TB'!H:H)+(SUMIF('KNL HO TB'!$R:$R,'KNL HO P&amp;L'!$A32,'KNL HO TB'!H:H)))</f>
        <v/>
      </c>
      <c r="U32" s="37">
        <f>(SUMIF('KNL Blank TB'!$R:$R,'KNL HO P&amp;L'!$A32,'KNL Blank TB'!I:I)+(SUMIF('KNL HO TB'!$R:$R,'KNL HO P&amp;L'!$A32,'KNL HO TB'!I:I)))</f>
        <v/>
      </c>
      <c r="V32" s="38" t="n"/>
      <c r="W32" s="38" t="n"/>
      <c r="X32" s="38" t="n"/>
      <c r="Y32" s="38" t="n"/>
      <c r="Z32" s="38" t="n"/>
      <c r="AA32" s="36">
        <f>SUM(O32:U32)</f>
        <v/>
      </c>
      <c r="AB32" s="36">
        <f>SUM(O32:Z32)</f>
        <v/>
      </c>
      <c r="AC32" s="38" t="n"/>
      <c r="AD32" s="38" t="n"/>
      <c r="AE32" s="38" t="n"/>
      <c r="AF32" s="38" t="n"/>
      <c r="AG32" s="38" t="n"/>
      <c r="AH32" s="38" t="n"/>
      <c r="AI32" s="118" t="n">
        <v>0</v>
      </c>
      <c r="AJ32" s="119" t="n">
        <v>0</v>
      </c>
      <c r="AK32" s="119" t="n">
        <v>0</v>
      </c>
      <c r="AL32" s="119" t="n">
        <v>0</v>
      </c>
      <c r="AM32" s="120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(SUMIF('KNL Blank TB'!$R:$R,'KNL HO P&amp;L'!$A33,'KNL Blank TB'!C:C)+(SUMIF('KNL HO TB'!$R:$R,'KNL HO P&amp;L'!$A33,'KNL HO TB'!C:C)))</f>
        <v/>
      </c>
      <c r="P33" s="37">
        <f>(SUMIF('KNL Blank TB'!$R:$R,'KNL HO P&amp;L'!$A33,'KNL Blank TB'!D:D)+(SUMIF('KNL HO TB'!$R:$R,'KNL HO P&amp;L'!$A33,'KNL HO TB'!D:D)))</f>
        <v/>
      </c>
      <c r="Q33" s="37">
        <f>(SUMIF('KNL Blank TB'!$R:$R,'KNL HO P&amp;L'!$A33,'KNL Blank TB'!E:E)+(SUMIF('KNL HO TB'!$R:$R,'KNL HO P&amp;L'!$A33,'KNL HO TB'!E:E)))</f>
        <v/>
      </c>
      <c r="R33" s="37">
        <f>(SUMIF('KNL Blank TB'!$R:$R,'KNL HO P&amp;L'!$A33,'KNL Blank TB'!F:F)+(SUMIF('KNL HO TB'!$R:$R,'KNL HO P&amp;L'!$A33,'KNL HO TB'!F:F)))</f>
        <v/>
      </c>
      <c r="S33" s="37">
        <f>(SUMIF('KNL Blank TB'!$R:$R,'KNL HO P&amp;L'!$A33,'KNL Blank TB'!G:G)+(SUMIF('KNL HO TB'!$R:$R,'KNL HO P&amp;L'!$A33,'KNL HO TB'!G:G)))</f>
        <v/>
      </c>
      <c r="T33" s="37">
        <f>(SUMIF('KNL Blank TB'!$R:$R,'KNL HO P&amp;L'!$A33,'KNL Blank TB'!H:H)+(SUMIF('KNL HO TB'!$R:$R,'KNL HO P&amp;L'!$A33,'KNL HO TB'!H:H)))</f>
        <v/>
      </c>
      <c r="U33" s="37">
        <f>(SUMIF('KNL Blank TB'!$R:$R,'KNL HO P&amp;L'!$A33,'KNL Blank TB'!I:I)+(SUMIF('KNL HO TB'!$R:$R,'KNL HO P&amp;L'!$A33,'KNL HO TB'!I:I)))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8" t="n">
        <v>0</v>
      </c>
      <c r="AJ33" s="119" t="n">
        <v>0</v>
      </c>
      <c r="AK33" s="119" t="n">
        <v>0</v>
      </c>
      <c r="AL33" s="119" t="n">
        <v>0</v>
      </c>
      <c r="AM33" s="120" t="n">
        <v>0</v>
      </c>
      <c r="AN33" s="118" t="n">
        <v>0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703.1500000000001</v>
      </c>
      <c r="C34" s="42" t="n">
        <v>183.44</v>
      </c>
      <c r="D34" s="42" t="n">
        <v>316.26</v>
      </c>
      <c r="E34" s="42" t="n">
        <v>240.79</v>
      </c>
      <c r="F34" s="42" t="n">
        <v>44.48</v>
      </c>
      <c r="G34" s="42" t="n">
        <v>125.3</v>
      </c>
      <c r="H34" s="42" t="n">
        <v>461.6200000000001</v>
      </c>
      <c r="I34" s="42" t="n">
        <v>125.85</v>
      </c>
      <c r="J34" s="42" t="n">
        <v>73.06999999999999</v>
      </c>
      <c r="K34" s="42" t="n">
        <v>92.48999999999999</v>
      </c>
      <c r="L34" s="42" t="n">
        <v>116.65</v>
      </c>
      <c r="M34" s="42" t="n">
        <v>50.44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 t="n"/>
      <c r="AD34" s="45" t="n"/>
      <c r="AE34" s="45" t="n"/>
      <c r="AF34" s="45" t="n"/>
      <c r="AG34" s="45" t="n"/>
      <c r="AH34" s="45" t="n"/>
      <c r="AI34" s="134" t="n">
        <v>0</v>
      </c>
      <c r="AJ34" s="152" t="n">
        <v>0</v>
      </c>
      <c r="AK34" s="152" t="n">
        <v>0</v>
      </c>
      <c r="AL34" s="152" t="n">
        <v>0</v>
      </c>
      <c r="AM34" s="152" t="n">
        <v>0</v>
      </c>
      <c r="AN34" s="134" t="n">
        <v>0</v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7" t="n">
        <v>0</v>
      </c>
      <c r="AJ35" s="128" t="n">
        <v>0</v>
      </c>
      <c r="AK35" s="128" t="n">
        <v>0</v>
      </c>
      <c r="AL35" s="128" t="n">
        <v>0</v>
      </c>
      <c r="AM35" s="129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(SUMIF('KNL Blank TB'!$R:$R,'KNL HO P&amp;L'!$A36,'KNL Blank TB'!C:C)+(SUMIF('KNL HO TB'!$R:$R,'KNL HO P&amp;L'!$A36,'KNL HO TB'!C:C)))</f>
        <v/>
      </c>
      <c r="P36" s="37">
        <f>(SUMIF('KNL Blank TB'!$R:$R,'KNL HO P&amp;L'!$A36,'KNL Blank TB'!D:D)+(SUMIF('KNL HO TB'!$R:$R,'KNL HO P&amp;L'!$A36,'KNL HO TB'!D:D)))</f>
        <v/>
      </c>
      <c r="Q36" s="37">
        <f>(SUMIF('KNL Blank TB'!$R:$R,'KNL HO P&amp;L'!$A36,'KNL Blank TB'!E:E)+(SUMIF('KNL HO TB'!$R:$R,'KNL HO P&amp;L'!$A36,'KNL HO TB'!E:E)))</f>
        <v/>
      </c>
      <c r="R36" s="37">
        <f>(SUMIF('KNL Blank TB'!$R:$R,'KNL HO P&amp;L'!$A36,'KNL Blank TB'!F:F)+(SUMIF('KNL HO TB'!$R:$R,'KNL HO P&amp;L'!$A36,'KNL HO TB'!F:F)))</f>
        <v/>
      </c>
      <c r="S36" s="37">
        <f>(SUMIF('KNL Blank TB'!$R:$R,'KNL HO P&amp;L'!$A36,'KNL Blank TB'!G:G)+(SUMIF('KNL HO TB'!$R:$R,'KNL HO P&amp;L'!$A36,'KNL HO TB'!G:G)))</f>
        <v/>
      </c>
      <c r="T36" s="37">
        <f>(SUMIF('KNL Blank TB'!$R:$R,'KNL HO P&amp;L'!$A36,'KNL Blank TB'!H:H)+(SUMIF('KNL HO TB'!$R:$R,'KNL HO P&amp;L'!$A36,'KNL HO TB'!H:H)))</f>
        <v/>
      </c>
      <c r="U36" s="37">
        <f>(SUMIF('KNL Blank TB'!$R:$R,'KNL HO P&amp;L'!$A36,'KNL Blank TB'!I:I)+(SUMIF('KNL HO TB'!$R:$R,'KNL HO P&amp;L'!$A36,'KNL HO TB'!I:I)))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8" t="n">
        <v>0</v>
      </c>
      <c r="AJ36" s="119" t="n">
        <v>0</v>
      </c>
      <c r="AK36" s="119" t="n">
        <v>0</v>
      </c>
      <c r="AL36" s="119" t="n">
        <v>0</v>
      </c>
      <c r="AM36" s="120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769.29</v>
      </c>
      <c r="C37" s="35" t="n">
        <v>769.29</v>
      </c>
      <c r="D37" s="35" t="n">
        <v>769.29</v>
      </c>
      <c r="E37" s="35" t="n">
        <v>769.29</v>
      </c>
      <c r="F37" s="35" t="n">
        <v>769.29</v>
      </c>
      <c r="G37" s="35" t="n">
        <v>769.29</v>
      </c>
      <c r="H37" s="35" t="n">
        <v>769.29</v>
      </c>
      <c r="I37" s="35" t="n">
        <v>769.29</v>
      </c>
      <c r="J37" s="35" t="n">
        <v>769.29</v>
      </c>
      <c r="K37" s="35" t="n">
        <v>769.29</v>
      </c>
      <c r="L37" s="35" t="n">
        <v>769.29</v>
      </c>
      <c r="M37" s="35" t="n">
        <v>769.29</v>
      </c>
      <c r="N37" s="36">
        <f>SUM(B37:M37)</f>
        <v/>
      </c>
      <c r="O37" s="37">
        <f>(SUMIF('KNL Blank TB'!$R:$R,'KNL HO P&amp;L'!$A37,'KNL Blank TB'!C:C)+(SUMIF('KNL HO TB'!$R:$R,'KNL HO P&amp;L'!$A37,'KNL HO TB'!C:C)))</f>
        <v/>
      </c>
      <c r="P37" s="37">
        <f>(SUMIF('KNL Blank TB'!$R:$R,'KNL HO P&amp;L'!$A37,'KNL Blank TB'!D:D)+(SUMIF('KNL HO TB'!$R:$R,'KNL HO P&amp;L'!$A37,'KNL HO TB'!D:D)))</f>
        <v/>
      </c>
      <c r="Q37" s="37">
        <f>(SUMIF('KNL Blank TB'!$R:$R,'KNL HO P&amp;L'!$A37,'KNL Blank TB'!E:E)+(SUMIF('KNL HO TB'!$R:$R,'KNL HO P&amp;L'!$A37,'KNL HO TB'!E:E)))</f>
        <v/>
      </c>
      <c r="R37" s="37">
        <f>(SUMIF('KNL Blank TB'!$R:$R,'KNL HO P&amp;L'!$A37,'KNL Blank TB'!F:F)+(SUMIF('KNL HO TB'!$R:$R,'KNL HO P&amp;L'!$A37,'KNL HO TB'!F:F)))</f>
        <v/>
      </c>
      <c r="S37" s="37">
        <f>(SUMIF('KNL Blank TB'!$R:$R,'KNL HO P&amp;L'!$A37,'KNL Blank TB'!G:G)+(SUMIF('KNL HO TB'!$R:$R,'KNL HO P&amp;L'!$A37,'KNL HO TB'!G:G)))</f>
        <v/>
      </c>
      <c r="T37" s="37">
        <f>(SUMIF('KNL Blank TB'!$R:$R,'KNL HO P&amp;L'!$A37,'KNL Blank TB'!H:H)+(SUMIF('KNL HO TB'!$R:$R,'KNL HO P&amp;L'!$A37,'KNL HO TB'!H:H)))</f>
        <v/>
      </c>
      <c r="U37" s="37">
        <f>(SUMIF('KNL Blank TB'!$R:$R,'KNL HO P&amp;L'!$A37,'KNL Blank TB'!I:I)+(SUMIF('KNL HO TB'!$R:$R,'KNL HO P&amp;L'!$A37,'KNL HO TB'!I:I)))</f>
        <v/>
      </c>
      <c r="V37" s="38" t="n">
        <v>736.67</v>
      </c>
      <c r="W37" s="38" t="n">
        <v>736.67</v>
      </c>
      <c r="X37" s="38" t="n">
        <v>736.67</v>
      </c>
      <c r="Y37" s="38" t="n">
        <v>736.67</v>
      </c>
      <c r="Z37" s="38" t="n">
        <v>736.67</v>
      </c>
      <c r="AA37" s="36">
        <f>SUM(O37:U37)</f>
        <v/>
      </c>
      <c r="AB37" s="36">
        <f>SUM(O37:Z37)</f>
        <v/>
      </c>
      <c r="AC37" s="38" t="n"/>
      <c r="AD37" s="38" t="n"/>
      <c r="AE37" s="38" t="n"/>
      <c r="AF37" s="38" t="n"/>
      <c r="AG37" s="38" t="n"/>
      <c r="AH37" s="38" t="n"/>
      <c r="AI37" s="118" t="n">
        <v>0</v>
      </c>
      <c r="AJ37" s="119" t="n">
        <v>0</v>
      </c>
      <c r="AK37" s="119" t="n">
        <v>0</v>
      </c>
      <c r="AL37" s="119" t="n">
        <v>0</v>
      </c>
      <c r="AM37" s="120" t="n">
        <v>0</v>
      </c>
      <c r="AN37" s="118" t="n">
        <v>0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628.96</v>
      </c>
      <c r="C38" s="35" t="n">
        <v>300.63</v>
      </c>
      <c r="D38" s="35" t="n">
        <v>271.59</v>
      </c>
      <c r="E38" s="35" t="n">
        <v>-778.0699999999999</v>
      </c>
      <c r="F38" s="35" t="n">
        <v>178.3700000000001</v>
      </c>
      <c r="G38" s="35" t="n">
        <v>243.71</v>
      </c>
      <c r="H38" s="35" t="n">
        <v>283.43</v>
      </c>
      <c r="I38" s="35" t="n">
        <v>288.92</v>
      </c>
      <c r="J38" s="35" t="n">
        <v>180.98</v>
      </c>
      <c r="K38" s="35" t="n">
        <v>399.15</v>
      </c>
      <c r="L38" s="35" t="n">
        <v>273.05</v>
      </c>
      <c r="M38" s="35" t="n">
        <v>-1949.84</v>
      </c>
      <c r="N38" s="36">
        <f>SUM(B38:M38)</f>
        <v/>
      </c>
      <c r="O38" s="37">
        <f>(SUMIF('KNL Blank TB'!$R:$R,'KNL HO P&amp;L'!$A38,'KNL Blank TB'!C:C)+(SUMIF('KNL HO TB'!$R:$R,'KNL HO P&amp;L'!$A38,'KNL HO TB'!C:C)))</f>
        <v/>
      </c>
      <c r="P38" s="37">
        <f>(SUMIF('KNL Blank TB'!$R:$R,'KNL HO P&amp;L'!$A38,'KNL Blank TB'!D:D)+(SUMIF('KNL HO TB'!$R:$R,'KNL HO P&amp;L'!$A38,'KNL HO TB'!D:D)))</f>
        <v/>
      </c>
      <c r="Q38" s="37">
        <f>(SUMIF('KNL Blank TB'!$R:$R,'KNL HO P&amp;L'!$A38,'KNL Blank TB'!E:E)+(SUMIF('KNL HO TB'!$R:$R,'KNL HO P&amp;L'!$A38,'KNL HO TB'!E:E)))</f>
        <v/>
      </c>
      <c r="R38" s="37">
        <f>(SUMIF('KNL Blank TB'!$R:$R,'KNL HO P&amp;L'!$A38,'KNL Blank TB'!F:F)+(SUMIF('KNL HO TB'!$R:$R,'KNL HO P&amp;L'!$A38,'KNL HO TB'!F:F)))</f>
        <v/>
      </c>
      <c r="S38" s="37">
        <f>(SUMIF('KNL Blank TB'!$R:$R,'KNL HO P&amp;L'!$A38,'KNL Blank TB'!G:G)+(SUMIF('KNL HO TB'!$R:$R,'KNL HO P&amp;L'!$A38,'KNL HO TB'!G:G)))</f>
        <v/>
      </c>
      <c r="T38" s="37">
        <f>(SUMIF('KNL Blank TB'!$R:$R,'KNL HO P&amp;L'!$A38,'KNL Blank TB'!H:H)+(SUMIF('KNL HO TB'!$R:$R,'KNL HO P&amp;L'!$A38,'KNL HO TB'!H:H)))</f>
        <v/>
      </c>
      <c r="U38" s="37">
        <f>(SUMIF('KNL Blank TB'!$R:$R,'KNL HO P&amp;L'!$A38,'KNL Blank TB'!I:I)+(SUMIF('KNL HO TB'!$R:$R,'KNL HO P&amp;L'!$A38,'KNL HO TB'!I:I)))</f>
        <v/>
      </c>
      <c r="V38" s="38" t="n">
        <v>200</v>
      </c>
      <c r="W38" s="38" t="n">
        <v>200</v>
      </c>
      <c r="X38" s="38" t="n">
        <v>200</v>
      </c>
      <c r="Y38" s="38" t="n">
        <v>200</v>
      </c>
      <c r="Z38" s="38" t="n">
        <v>200</v>
      </c>
      <c r="AA38" s="36">
        <f>SUM(O38:U38)</f>
        <v/>
      </c>
      <c r="AB38" s="36">
        <f>SUM(O38:Z38)</f>
        <v/>
      </c>
      <c r="AC38" s="38" t="n"/>
      <c r="AD38" s="38" t="n"/>
      <c r="AE38" s="38" t="n"/>
      <c r="AF38" s="38" t="n"/>
      <c r="AG38" s="38" t="n"/>
      <c r="AH38" s="38" t="n"/>
      <c r="AI38" s="118" t="n">
        <v>0</v>
      </c>
      <c r="AJ38" s="119" t="n">
        <v>0</v>
      </c>
      <c r="AK38" s="119" t="n">
        <v>0</v>
      </c>
      <c r="AL38" s="119" t="n">
        <v>0</v>
      </c>
      <c r="AM38" s="120" t="n">
        <v>0</v>
      </c>
      <c r="AN38" s="118" t="n">
        <v>0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1783.02</v>
      </c>
      <c r="C39" s="35" t="n">
        <v>1160.22</v>
      </c>
      <c r="D39" s="35" t="n">
        <v>1766.9</v>
      </c>
      <c r="E39" s="35" t="n">
        <v>854.3</v>
      </c>
      <c r="F39" s="35" t="n">
        <v>1437.47</v>
      </c>
      <c r="G39" s="35" t="n">
        <v>1109.24</v>
      </c>
      <c r="H39" s="35" t="n">
        <v>616.9200000000001</v>
      </c>
      <c r="I39" s="35" t="n">
        <v>297.62</v>
      </c>
      <c r="J39" s="35" t="n">
        <v>910.5200000000002</v>
      </c>
      <c r="K39" s="35" t="n">
        <v>1882.44</v>
      </c>
      <c r="L39" s="35" t="n">
        <v>133.83</v>
      </c>
      <c r="M39" s="35" t="n">
        <v>382.66</v>
      </c>
      <c r="N39" s="36">
        <f>SUM(B39:M39)</f>
        <v/>
      </c>
      <c r="O39" s="37">
        <f>(SUMIF('KNL Blank TB'!$R:$R,'KNL HO P&amp;L'!$A39,'KNL Blank TB'!C:C)+(SUMIF('KNL HO TB'!$R:$R,'KNL HO P&amp;L'!$A39,'KNL HO TB'!C:C)))</f>
        <v/>
      </c>
      <c r="P39" s="37">
        <f>(SUMIF('KNL Blank TB'!$R:$R,'KNL HO P&amp;L'!$A39,'KNL Blank TB'!D:D)+(SUMIF('KNL HO TB'!$R:$R,'KNL HO P&amp;L'!$A39,'KNL HO TB'!D:D)))</f>
        <v/>
      </c>
      <c r="Q39" s="37">
        <f>(SUMIF('KNL Blank TB'!$R:$R,'KNL HO P&amp;L'!$A39,'KNL Blank TB'!E:E)+(SUMIF('KNL HO TB'!$R:$R,'KNL HO P&amp;L'!$A39,'KNL HO TB'!E:E)))</f>
        <v/>
      </c>
      <c r="R39" s="37">
        <f>(SUMIF('KNL Blank TB'!$R:$R,'KNL HO P&amp;L'!$A39,'KNL Blank TB'!F:F)+(SUMIF('KNL HO TB'!$R:$R,'KNL HO P&amp;L'!$A39,'KNL HO TB'!F:F)))</f>
        <v/>
      </c>
      <c r="S39" s="37">
        <f>(SUMIF('KNL Blank TB'!$R:$R,'KNL HO P&amp;L'!$A39,'KNL Blank TB'!G:G)+(SUMIF('KNL HO TB'!$R:$R,'KNL HO P&amp;L'!$A39,'KNL HO TB'!G:G)))</f>
        <v/>
      </c>
      <c r="T39" s="37">
        <f>(SUMIF('KNL Blank TB'!$R:$R,'KNL HO P&amp;L'!$A39,'KNL Blank TB'!H:H)+(SUMIF('KNL HO TB'!$R:$R,'KNL HO P&amp;L'!$A39,'KNL HO TB'!H:H)))</f>
        <v/>
      </c>
      <c r="U39" s="37">
        <f>(SUMIF('KNL Blank TB'!$R:$R,'KNL HO P&amp;L'!$A39,'KNL Blank TB'!I:I)+(SUMIF('KNL HO TB'!$R:$R,'KNL HO P&amp;L'!$A39,'KNL HO TB'!I:I)))</f>
        <v/>
      </c>
      <c r="V39" s="38" t="n">
        <v>3500</v>
      </c>
      <c r="W39" s="38" t="n">
        <v>3500</v>
      </c>
      <c r="X39" s="38" t="n">
        <v>3500</v>
      </c>
      <c r="Y39" s="38" t="n">
        <v>3500</v>
      </c>
      <c r="Z39" s="38" t="n">
        <v>3500</v>
      </c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8" t="n">
        <v>0</v>
      </c>
      <c r="AJ39" s="119" t="n">
        <v>0</v>
      </c>
      <c r="AK39" s="119" t="n">
        <v>0</v>
      </c>
      <c r="AL39" s="119" t="n">
        <v>0</v>
      </c>
      <c r="AM39" s="120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76.42</v>
      </c>
      <c r="C40" s="35" t="n">
        <v>180</v>
      </c>
      <c r="D40" s="35" t="n">
        <v>1122.03</v>
      </c>
      <c r="E40" s="35" t="n">
        <v>144.95</v>
      </c>
      <c r="F40" s="35" t="n">
        <v>0</v>
      </c>
      <c r="G40" s="35" t="n">
        <v>1122.03</v>
      </c>
      <c r="H40" s="35" t="n">
        <v>1262.02</v>
      </c>
      <c r="I40" s="35" t="n">
        <v>0</v>
      </c>
      <c r="J40" s="35" t="n">
        <v>0</v>
      </c>
      <c r="K40" s="35" t="n">
        <v>0</v>
      </c>
      <c r="L40" s="35" t="n">
        <v>0</v>
      </c>
      <c r="M40" s="35" t="n">
        <v>0</v>
      </c>
      <c r="N40" s="36">
        <f>SUM(B40:M40)</f>
        <v/>
      </c>
      <c r="O40" s="37">
        <f>(SUMIF('KNL Blank TB'!$R:$R,'KNL HO P&amp;L'!$A40,'KNL Blank TB'!C:C)+(SUMIF('KNL HO TB'!$R:$R,'KNL HO P&amp;L'!$A40,'KNL HO TB'!C:C)))</f>
        <v/>
      </c>
      <c r="P40" s="37">
        <f>(SUMIF('KNL Blank TB'!$R:$R,'KNL HO P&amp;L'!$A40,'KNL Blank TB'!D:D)+(SUMIF('KNL HO TB'!$R:$R,'KNL HO P&amp;L'!$A40,'KNL HO TB'!D:D)))</f>
        <v/>
      </c>
      <c r="Q40" s="37">
        <f>(SUMIF('KNL Blank TB'!$R:$R,'KNL HO P&amp;L'!$A40,'KNL Blank TB'!E:E)+(SUMIF('KNL HO TB'!$R:$R,'KNL HO P&amp;L'!$A40,'KNL HO TB'!E:E)))</f>
        <v/>
      </c>
      <c r="R40" s="37">
        <f>(SUMIF('KNL Blank TB'!$R:$R,'KNL HO P&amp;L'!$A40,'KNL Blank TB'!F:F)+(SUMIF('KNL HO TB'!$R:$R,'KNL HO P&amp;L'!$A40,'KNL HO TB'!F:F)))</f>
        <v/>
      </c>
      <c r="S40" s="37">
        <f>(SUMIF('KNL Blank TB'!$R:$R,'KNL HO P&amp;L'!$A40,'KNL Blank TB'!G:G)+(SUMIF('KNL HO TB'!$R:$R,'KNL HO P&amp;L'!$A40,'KNL HO TB'!G:G)))</f>
        <v/>
      </c>
      <c r="T40" s="37">
        <f>(SUMIF('KNL Blank TB'!$R:$R,'KNL HO P&amp;L'!$A40,'KNL Blank TB'!H:H)+(SUMIF('KNL HO TB'!$R:$R,'KNL HO P&amp;L'!$A40,'KNL HO TB'!H:H)))</f>
        <v/>
      </c>
      <c r="U40" s="37">
        <f>(SUMIF('KNL Blank TB'!$R:$R,'KNL HO P&amp;L'!$A40,'KNL Blank TB'!I:I)+(SUMIF('KNL HO TB'!$R:$R,'KNL HO P&amp;L'!$A40,'KNL HO TB'!I:I)))</f>
        <v/>
      </c>
      <c r="V40" s="38" t="n">
        <v>0</v>
      </c>
      <c r="W40" s="38" t="n">
        <v>0</v>
      </c>
      <c r="X40" s="38" t="n">
        <v>0</v>
      </c>
      <c r="Y40" s="38" t="n">
        <v>0</v>
      </c>
      <c r="Z40" s="38" t="n">
        <v>0</v>
      </c>
      <c r="AA40" s="36">
        <f>SUM(O40:U40)</f>
        <v/>
      </c>
      <c r="AB40" s="36">
        <f>SUM(O40:Z40)</f>
        <v/>
      </c>
      <c r="AC40" s="38" t="n"/>
      <c r="AD40" s="38" t="n"/>
      <c r="AE40" s="38" t="n"/>
      <c r="AF40" s="38" t="n"/>
      <c r="AG40" s="38" t="n"/>
      <c r="AH40" s="38" t="n"/>
      <c r="AI40" s="118" t="n">
        <v>0</v>
      </c>
      <c r="AJ40" s="119" t="n">
        <v>0</v>
      </c>
      <c r="AK40" s="119" t="n">
        <v>0</v>
      </c>
      <c r="AL40" s="119" t="n">
        <v>0</v>
      </c>
      <c r="AM40" s="120" t="n">
        <v>0</v>
      </c>
      <c r="AN40" s="118" t="n">
        <v>0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112.74</v>
      </c>
      <c r="C41" s="35" t="n">
        <v>112.74</v>
      </c>
      <c r="D41" s="35" t="n">
        <v>113.22</v>
      </c>
      <c r="E41" s="35" t="n">
        <v>113.22</v>
      </c>
      <c r="F41" s="35" t="n">
        <v>590.5</v>
      </c>
      <c r="G41" s="35" t="n">
        <v>261.85</v>
      </c>
      <c r="H41" s="35" t="n">
        <v>229.12</v>
      </c>
      <c r="I41" s="35" t="n">
        <v>266.82</v>
      </c>
      <c r="J41" s="35" t="n">
        <v>118.37</v>
      </c>
      <c r="K41" s="35" t="n">
        <v>118.37</v>
      </c>
      <c r="L41" s="35" t="n">
        <v>-31.22999999999999</v>
      </c>
      <c r="M41" s="35" t="n">
        <v>222.77</v>
      </c>
      <c r="N41" s="36">
        <f>SUM(B41:M41)</f>
        <v/>
      </c>
      <c r="O41" s="37">
        <f>(SUMIF('KNL Blank TB'!$R:$R,'KNL HO P&amp;L'!$A41,'KNL Blank TB'!C:C)+(SUMIF('KNL HO TB'!$R:$R,'KNL HO P&amp;L'!$A41,'KNL HO TB'!C:C)))</f>
        <v/>
      </c>
      <c r="P41" s="37">
        <f>(SUMIF('KNL Blank TB'!$R:$R,'KNL HO P&amp;L'!$A41,'KNL Blank TB'!D:D)+(SUMIF('KNL HO TB'!$R:$R,'KNL HO P&amp;L'!$A41,'KNL HO TB'!D:D)))</f>
        <v/>
      </c>
      <c r="Q41" s="37">
        <f>(SUMIF('KNL Blank TB'!$R:$R,'KNL HO P&amp;L'!$A41,'KNL Blank TB'!E:E)+(SUMIF('KNL HO TB'!$R:$R,'KNL HO P&amp;L'!$A41,'KNL HO TB'!E:E)))</f>
        <v/>
      </c>
      <c r="R41" s="37">
        <f>(SUMIF('KNL Blank TB'!$R:$R,'KNL HO P&amp;L'!$A41,'KNL Blank TB'!F:F)+(SUMIF('KNL HO TB'!$R:$R,'KNL HO P&amp;L'!$A41,'KNL HO TB'!F:F)))</f>
        <v/>
      </c>
      <c r="S41" s="37">
        <f>(SUMIF('KNL Blank TB'!$R:$R,'KNL HO P&amp;L'!$A41,'KNL Blank TB'!G:G)+(SUMIF('KNL HO TB'!$R:$R,'KNL HO P&amp;L'!$A41,'KNL HO TB'!G:G)))</f>
        <v/>
      </c>
      <c r="T41" s="37">
        <f>(SUMIF('KNL Blank TB'!$R:$R,'KNL HO P&amp;L'!$A41,'KNL Blank TB'!H:H)+(SUMIF('KNL HO TB'!$R:$R,'KNL HO P&amp;L'!$A41,'KNL HO TB'!H:H)))</f>
        <v/>
      </c>
      <c r="U41" s="37">
        <f>(SUMIF('KNL Blank TB'!$R:$R,'KNL HO P&amp;L'!$A41,'KNL Blank TB'!I:I)+(SUMIF('KNL HO TB'!$R:$R,'KNL HO P&amp;L'!$A41,'KNL HO TB'!I:I)))</f>
        <v/>
      </c>
      <c r="V41" s="38" t="n">
        <v>240</v>
      </c>
      <c r="W41" s="38" t="n">
        <v>240</v>
      </c>
      <c r="X41" s="38" t="n">
        <v>240</v>
      </c>
      <c r="Y41" s="38" t="n">
        <v>240</v>
      </c>
      <c r="Z41" s="38" t="n">
        <v>240</v>
      </c>
      <c r="AA41" s="36">
        <f>SUM(O41:U41)</f>
        <v/>
      </c>
      <c r="AB41" s="36">
        <f>SUM(O41:Z41)</f>
        <v/>
      </c>
      <c r="AC41" s="38" t="n"/>
      <c r="AD41" s="38" t="n"/>
      <c r="AE41" s="38" t="n"/>
      <c r="AF41" s="38" t="n"/>
      <c r="AG41" s="38" t="n"/>
      <c r="AH41" s="38" t="n"/>
      <c r="AI41" s="118" t="n">
        <v>0</v>
      </c>
      <c r="AJ41" s="119" t="n">
        <v>0</v>
      </c>
      <c r="AK41" s="119" t="n">
        <v>0</v>
      </c>
      <c r="AL41" s="119" t="n">
        <v>0</v>
      </c>
      <c r="AM41" s="120" t="n">
        <v>0</v>
      </c>
      <c r="AN41" s="118" t="n">
        <v>0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1386.33</v>
      </c>
      <c r="C42" s="35" t="n">
        <v>548.5699999999999</v>
      </c>
      <c r="D42" s="35" t="n">
        <v>171.22</v>
      </c>
      <c r="E42" s="35" t="n">
        <v>79.02</v>
      </c>
      <c r="F42" s="35" t="n">
        <v>363.68</v>
      </c>
      <c r="G42" s="35" t="n">
        <v>87.47</v>
      </c>
      <c r="H42" s="35" t="n">
        <v>301.23</v>
      </c>
      <c r="I42" s="35" t="n">
        <v>218.49</v>
      </c>
      <c r="J42" s="35" t="n">
        <v>213.11</v>
      </c>
      <c r="K42" s="35" t="n">
        <v>30.72</v>
      </c>
      <c r="L42" s="35" t="n">
        <v>196.04</v>
      </c>
      <c r="M42" s="35" t="n">
        <v>730.47</v>
      </c>
      <c r="N42" s="36">
        <f>SUM(B42:M42)</f>
        <v/>
      </c>
      <c r="O42" s="37">
        <f>(SUMIF('KNL Blank TB'!$R:$R,'KNL HO P&amp;L'!$A42,'KNL Blank TB'!C:C)+(SUMIF('KNL HO TB'!$R:$R,'KNL HO P&amp;L'!$A42,'KNL HO TB'!C:C)))</f>
        <v/>
      </c>
      <c r="P42" s="37">
        <f>(SUMIF('KNL Blank TB'!$R:$R,'KNL HO P&amp;L'!$A42,'KNL Blank TB'!D:D)+(SUMIF('KNL HO TB'!$R:$R,'KNL HO P&amp;L'!$A42,'KNL HO TB'!D:D)))</f>
        <v/>
      </c>
      <c r="Q42" s="37">
        <f>(SUMIF('KNL Blank TB'!$R:$R,'KNL HO P&amp;L'!$A42,'KNL Blank TB'!E:E)+(SUMIF('KNL HO TB'!$R:$R,'KNL HO P&amp;L'!$A42,'KNL HO TB'!E:E)))</f>
        <v/>
      </c>
      <c r="R42" s="37">
        <f>(SUMIF('KNL Blank TB'!$R:$R,'KNL HO P&amp;L'!$A42,'KNL Blank TB'!F:F)+(SUMIF('KNL HO TB'!$R:$R,'KNL HO P&amp;L'!$A42,'KNL HO TB'!F:F)))</f>
        <v/>
      </c>
      <c r="S42" s="37">
        <f>(SUMIF('KNL Blank TB'!$R:$R,'KNL HO P&amp;L'!$A42,'KNL Blank TB'!G:G)+(SUMIF('KNL HO TB'!$R:$R,'KNL HO P&amp;L'!$A42,'KNL HO TB'!G:G)))</f>
        <v/>
      </c>
      <c r="T42" s="37">
        <f>(SUMIF('KNL Blank TB'!$R:$R,'KNL HO P&amp;L'!$A42,'KNL Blank TB'!H:H)+(SUMIF('KNL HO TB'!$R:$R,'KNL HO P&amp;L'!$A42,'KNL HO TB'!H:H)))</f>
        <v/>
      </c>
      <c r="U42" s="37">
        <f>(SUMIF('KNL Blank TB'!$R:$R,'KNL HO P&amp;L'!$A42,'KNL Blank TB'!I:I)+(SUMIF('KNL HO TB'!$R:$R,'KNL HO P&amp;L'!$A42,'KNL HO TB'!I:I)))</f>
        <v/>
      </c>
      <c r="V42" s="38" t="n">
        <v>200</v>
      </c>
      <c r="W42" s="38" t="n">
        <v>200</v>
      </c>
      <c r="X42" s="38" t="n">
        <v>200</v>
      </c>
      <c r="Y42" s="38" t="n">
        <v>200</v>
      </c>
      <c r="Z42" s="38" t="n">
        <v>200</v>
      </c>
      <c r="AA42" s="36">
        <f>SUM(O42:U42)</f>
        <v/>
      </c>
      <c r="AB42" s="36">
        <f>SUM(O42:Z42)</f>
        <v/>
      </c>
      <c r="AC42" s="38" t="n"/>
      <c r="AD42" s="38" t="n"/>
      <c r="AE42" s="38" t="n"/>
      <c r="AF42" s="38" t="n"/>
      <c r="AG42" s="38" t="n"/>
      <c r="AH42" s="38" t="n"/>
      <c r="AI42" s="118" t="n">
        <v>0</v>
      </c>
      <c r="AJ42" s="119" t="n">
        <v>0</v>
      </c>
      <c r="AK42" s="119" t="n">
        <v>0</v>
      </c>
      <c r="AL42" s="119" t="n">
        <v>0</v>
      </c>
      <c r="AM42" s="120" t="n">
        <v>0</v>
      </c>
      <c r="AN42" s="118" t="n">
        <v>0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3312.7</v>
      </c>
      <c r="C43" s="35" t="n">
        <v>3286.88</v>
      </c>
      <c r="D43" s="35" t="n">
        <v>3825.05</v>
      </c>
      <c r="E43" s="35" t="n">
        <v>3504.24</v>
      </c>
      <c r="F43" s="35" t="n">
        <v>3500.68</v>
      </c>
      <c r="G43" s="35" t="n">
        <v>3505.49</v>
      </c>
      <c r="H43" s="35" t="n">
        <v>3652.43</v>
      </c>
      <c r="I43" s="35" t="n">
        <v>3507.11</v>
      </c>
      <c r="J43" s="35" t="n">
        <v>3516.05</v>
      </c>
      <c r="K43" s="35" t="n">
        <v>3345.18</v>
      </c>
      <c r="L43" s="35" t="n">
        <v>3519.39</v>
      </c>
      <c r="M43" s="35" t="n">
        <v>3907.98</v>
      </c>
      <c r="N43" s="36">
        <f>SUM(B43:M43)</f>
        <v/>
      </c>
      <c r="O43" s="37">
        <f>(SUMIF('KNL Blank TB'!$R:$R,'KNL HO P&amp;L'!$A43,'KNL Blank TB'!C:C)+(SUMIF('KNL HO TB'!$R:$R,'KNL HO P&amp;L'!$A43,'KNL HO TB'!C:C)))</f>
        <v/>
      </c>
      <c r="P43" s="37">
        <f>(SUMIF('KNL Blank TB'!$R:$R,'KNL HO P&amp;L'!$A43,'KNL Blank TB'!D:D)+(SUMIF('KNL HO TB'!$R:$R,'KNL HO P&amp;L'!$A43,'KNL HO TB'!D:D)))</f>
        <v/>
      </c>
      <c r="Q43" s="37">
        <f>(SUMIF('KNL Blank TB'!$R:$R,'KNL HO P&amp;L'!$A43,'KNL Blank TB'!E:E)+(SUMIF('KNL HO TB'!$R:$R,'KNL HO P&amp;L'!$A43,'KNL HO TB'!E:E)))</f>
        <v/>
      </c>
      <c r="R43" s="37">
        <f>(SUMIF('KNL Blank TB'!$R:$R,'KNL HO P&amp;L'!$A43,'KNL Blank TB'!F:F)+(SUMIF('KNL HO TB'!$R:$R,'KNL HO P&amp;L'!$A43,'KNL HO TB'!F:F)))</f>
        <v/>
      </c>
      <c r="S43" s="37">
        <f>(SUMIF('KNL Blank TB'!$R:$R,'KNL HO P&amp;L'!$A43,'KNL Blank TB'!G:G)+(SUMIF('KNL HO TB'!$R:$R,'KNL HO P&amp;L'!$A43,'KNL HO TB'!G:G)))</f>
        <v/>
      </c>
      <c r="T43" s="37">
        <f>(SUMIF('KNL Blank TB'!$R:$R,'KNL HO P&amp;L'!$A43,'KNL Blank TB'!H:H)+(SUMIF('KNL HO TB'!$R:$R,'KNL HO P&amp;L'!$A43,'KNL HO TB'!H:H)))</f>
        <v/>
      </c>
      <c r="U43" s="37">
        <f>(SUMIF('KNL Blank TB'!$R:$R,'KNL HO P&amp;L'!$A43,'KNL Blank TB'!I:I)+(SUMIF('KNL HO TB'!$R:$R,'KNL HO P&amp;L'!$A43,'KNL HO TB'!I:I)))</f>
        <v/>
      </c>
      <c r="V43" s="38" t="n">
        <v>3500</v>
      </c>
      <c r="W43" s="38" t="n">
        <v>3500</v>
      </c>
      <c r="X43" s="38" t="n">
        <v>8500</v>
      </c>
      <c r="Y43" s="38" t="n">
        <v>3500</v>
      </c>
      <c r="Z43" s="38" t="n">
        <v>3500</v>
      </c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118" t="n">
        <v>0</v>
      </c>
      <c r="AJ43" s="119" t="n">
        <v>0</v>
      </c>
      <c r="AK43" s="119" t="n">
        <v>0</v>
      </c>
      <c r="AL43" s="119" t="n">
        <v>0</v>
      </c>
      <c r="AM43" s="120" t="n">
        <v>0</v>
      </c>
      <c r="AN43" s="118" t="n">
        <v>0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(SUMIF('KNL Blank TB'!$R:$R,'KNL HO P&amp;L'!$A44,'KNL Blank TB'!C:C)+(SUMIF('KNL HO TB'!$R:$R,'KNL HO P&amp;L'!$A44,'KNL HO TB'!C:C)))</f>
        <v/>
      </c>
      <c r="P44" s="37">
        <f>(SUMIF('KNL Blank TB'!$R:$R,'KNL HO P&amp;L'!$A44,'KNL Blank TB'!D:D)+(SUMIF('KNL HO TB'!$R:$R,'KNL HO P&amp;L'!$A44,'KNL HO TB'!D:D)))</f>
        <v/>
      </c>
      <c r="Q44" s="37">
        <f>(SUMIF('KNL Blank TB'!$R:$R,'KNL HO P&amp;L'!$A44,'KNL Blank TB'!E:E)+(SUMIF('KNL HO TB'!$R:$R,'KNL HO P&amp;L'!$A44,'KNL HO TB'!E:E)))</f>
        <v/>
      </c>
      <c r="R44" s="37">
        <f>(SUMIF('KNL Blank TB'!$R:$R,'KNL HO P&amp;L'!$A44,'KNL Blank TB'!F:F)+(SUMIF('KNL HO TB'!$R:$R,'KNL HO P&amp;L'!$A44,'KNL HO TB'!F:F)))</f>
        <v/>
      </c>
      <c r="S44" s="37">
        <f>(SUMIF('KNL Blank TB'!$R:$R,'KNL HO P&amp;L'!$A44,'KNL Blank TB'!G:G)+(SUMIF('KNL HO TB'!$R:$R,'KNL HO P&amp;L'!$A44,'KNL HO TB'!G:G)))</f>
        <v/>
      </c>
      <c r="T44" s="37">
        <f>(SUMIF('KNL Blank TB'!$R:$R,'KNL HO P&amp;L'!$A44,'KNL Blank TB'!H:H)+(SUMIF('KNL HO TB'!$R:$R,'KNL HO P&amp;L'!$A44,'KNL HO TB'!H:H)))</f>
        <v/>
      </c>
      <c r="U44" s="37">
        <f>(SUMIF('KNL Blank TB'!$R:$R,'KNL HO P&amp;L'!$A44,'KNL Blank TB'!I:I)+(SUMIF('KNL HO TB'!$R:$R,'KNL HO P&amp;L'!$A44,'KNL HO TB'!I:I)))</f>
        <v/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118" t="n">
        <v>0</v>
      </c>
      <c r="AJ44" s="119" t="n">
        <v>0</v>
      </c>
      <c r="AK44" s="119" t="n">
        <v>0</v>
      </c>
      <c r="AL44" s="119" t="n">
        <v>0</v>
      </c>
      <c r="AM44" s="120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4653.46</v>
      </c>
      <c r="C45" s="35" t="n">
        <v>4592.05</v>
      </c>
      <c r="D45" s="35" t="n">
        <v>1826.47</v>
      </c>
      <c r="E45" s="35" t="n">
        <v>3771.9</v>
      </c>
      <c r="F45" s="35" t="n">
        <v>2115.33</v>
      </c>
      <c r="G45" s="35" t="n">
        <v>9287.91</v>
      </c>
      <c r="H45" s="35" t="n">
        <v>2622.49</v>
      </c>
      <c r="I45" s="35" t="n">
        <v>3476.43</v>
      </c>
      <c r="J45" s="35" t="n">
        <v>4380.61</v>
      </c>
      <c r="K45" s="35" t="n">
        <v>2639.55</v>
      </c>
      <c r="L45" s="35" t="n">
        <v>2333.38</v>
      </c>
      <c r="M45" s="35" t="n">
        <v>1559.54</v>
      </c>
      <c r="N45" s="36">
        <f>SUM(B45:M45)</f>
        <v/>
      </c>
      <c r="O45" s="37">
        <f>(SUMIF('KNL Blank TB'!$R:$R,'KNL HO P&amp;L'!$A45,'KNL Blank TB'!C:C)+(SUMIF('KNL HO TB'!$R:$R,'KNL HO P&amp;L'!$A45,'KNL HO TB'!C:C)))</f>
        <v/>
      </c>
      <c r="P45" s="37">
        <f>(SUMIF('KNL Blank TB'!$R:$R,'KNL HO P&amp;L'!$A45,'KNL Blank TB'!D:D)+(SUMIF('KNL HO TB'!$R:$R,'KNL HO P&amp;L'!$A45,'KNL HO TB'!D:D)))</f>
        <v/>
      </c>
      <c r="Q45" s="37">
        <f>(SUMIF('KNL Blank TB'!$R:$R,'KNL HO P&amp;L'!$A45,'KNL Blank TB'!E:E)+(SUMIF('KNL HO TB'!$R:$R,'KNL HO P&amp;L'!$A45,'KNL HO TB'!E:E)))</f>
        <v/>
      </c>
      <c r="R45" s="37">
        <f>(SUMIF('KNL Blank TB'!$R:$R,'KNL HO P&amp;L'!$A45,'KNL Blank TB'!F:F)+(SUMIF('KNL HO TB'!$R:$R,'KNL HO P&amp;L'!$A45,'KNL HO TB'!F:F)))</f>
        <v/>
      </c>
      <c r="S45" s="37">
        <f>(SUMIF('KNL Blank TB'!$R:$R,'KNL HO P&amp;L'!$A45,'KNL Blank TB'!G:G)+(SUMIF('KNL HO TB'!$R:$R,'KNL HO P&amp;L'!$A45,'KNL HO TB'!G:G)))</f>
        <v/>
      </c>
      <c r="T45" s="37">
        <f>(SUMIF('KNL Blank TB'!$R:$R,'KNL HO P&amp;L'!$A45,'KNL Blank TB'!H:H)+(SUMIF('KNL HO TB'!$R:$R,'KNL HO P&amp;L'!$A45,'KNL HO TB'!H:H)))</f>
        <v/>
      </c>
      <c r="U45" s="37">
        <f>(SUMIF('KNL Blank TB'!$R:$R,'KNL HO P&amp;L'!$A45,'KNL Blank TB'!I:I)+(SUMIF('KNL HO TB'!$R:$R,'KNL HO P&amp;L'!$A45,'KNL HO TB'!I:I)))</f>
        <v/>
      </c>
      <c r="V45" s="38" t="n">
        <v>2500</v>
      </c>
      <c r="W45" s="38" t="n">
        <v>2500</v>
      </c>
      <c r="X45" s="38" t="n">
        <v>2500</v>
      </c>
      <c r="Y45" s="38" t="n">
        <v>2500</v>
      </c>
      <c r="Z45" s="38" t="n">
        <v>2500</v>
      </c>
      <c r="AA45" s="36">
        <f>SUM(O45:U45)</f>
        <v/>
      </c>
      <c r="AB45" s="36">
        <f>SUM(O45:Z45)</f>
        <v/>
      </c>
      <c r="AC45" s="38" t="n"/>
      <c r="AD45" s="38" t="n"/>
      <c r="AE45" s="38" t="n"/>
      <c r="AF45" s="38" t="n"/>
      <c r="AG45" s="38" t="n"/>
      <c r="AH45" s="38" t="n"/>
      <c r="AI45" s="118" t="n">
        <v>0</v>
      </c>
      <c r="AJ45" s="119" t="n">
        <v>0</v>
      </c>
      <c r="AK45" s="119" t="n">
        <v>0</v>
      </c>
      <c r="AL45" s="119" t="n">
        <v>0</v>
      </c>
      <c r="AM45" s="120" t="n">
        <v>0</v>
      </c>
      <c r="AN45" s="118" t="n">
        <v>0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460.32</v>
      </c>
      <c r="I46" s="35" t="n">
        <v>475.15</v>
      </c>
      <c r="J46" s="35" t="n">
        <v>212.63</v>
      </c>
      <c r="K46" s="35" t="n">
        <v>102.57</v>
      </c>
      <c r="L46" s="35" t="n">
        <v>0</v>
      </c>
      <c r="M46" s="35" t="n">
        <v>55.85</v>
      </c>
      <c r="N46" s="36">
        <f>SUM(B46:M46)</f>
        <v/>
      </c>
      <c r="O46" s="37">
        <f>(SUMIF('KNL Blank TB'!$R:$R,'KNL HO P&amp;L'!$A46,'KNL Blank TB'!C:C)+(SUMIF('KNL HO TB'!$R:$R,'KNL HO P&amp;L'!$A46,'KNL HO TB'!C:C)))</f>
        <v/>
      </c>
      <c r="P46" s="37">
        <f>(SUMIF('KNL Blank TB'!$R:$R,'KNL HO P&amp;L'!$A46,'KNL Blank TB'!D:D)+(SUMIF('KNL HO TB'!$R:$R,'KNL HO P&amp;L'!$A46,'KNL HO TB'!D:D)))</f>
        <v/>
      </c>
      <c r="Q46" s="37">
        <f>(SUMIF('KNL Blank TB'!$R:$R,'KNL HO P&amp;L'!$A46,'KNL Blank TB'!E:E)+(SUMIF('KNL HO TB'!$R:$R,'KNL HO P&amp;L'!$A46,'KNL HO TB'!E:E)))</f>
        <v/>
      </c>
      <c r="R46" s="37">
        <f>(SUMIF('KNL Blank TB'!$R:$R,'KNL HO P&amp;L'!$A46,'KNL Blank TB'!F:F)+(SUMIF('KNL HO TB'!$R:$R,'KNL HO P&amp;L'!$A46,'KNL HO TB'!F:F)))</f>
        <v/>
      </c>
      <c r="S46" s="37">
        <f>(SUMIF('KNL Blank TB'!$R:$R,'KNL HO P&amp;L'!$A46,'KNL Blank TB'!G:G)+(SUMIF('KNL HO TB'!$R:$R,'KNL HO P&amp;L'!$A46,'KNL HO TB'!G:G)))</f>
        <v/>
      </c>
      <c r="T46" s="37">
        <f>(SUMIF('KNL Blank TB'!$R:$R,'KNL HO P&amp;L'!$A46,'KNL Blank TB'!H:H)+(SUMIF('KNL HO TB'!$R:$R,'KNL HO P&amp;L'!$A46,'KNL HO TB'!H:H)))</f>
        <v/>
      </c>
      <c r="U46" s="37">
        <f>(SUMIF('KNL Blank TB'!$R:$R,'KNL HO P&amp;L'!$A46,'KNL Blank TB'!I:I)+(SUMIF('KNL HO TB'!$R:$R,'KNL HO P&amp;L'!$A46,'KNL HO TB'!I:I)))</f>
        <v/>
      </c>
      <c r="V46" s="38" t="n">
        <v>0</v>
      </c>
      <c r="W46" s="38" t="n">
        <v>0</v>
      </c>
      <c r="X46" s="38" t="n">
        <v>0</v>
      </c>
      <c r="Y46" s="38" t="n">
        <v>0</v>
      </c>
      <c r="Z46" s="38" t="n">
        <v>0</v>
      </c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118" t="n">
        <v>0</v>
      </c>
      <c r="AJ46" s="119" t="n">
        <v>0</v>
      </c>
      <c r="AK46" s="119" t="n">
        <v>0</v>
      </c>
      <c r="AL46" s="119" t="n">
        <v>0</v>
      </c>
      <c r="AM46" s="120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12722.92</v>
      </c>
      <c r="C47" s="42" t="n">
        <v>10950.38</v>
      </c>
      <c r="D47" s="42" t="n">
        <v>9865.769999999999</v>
      </c>
      <c r="E47" s="42" t="n">
        <v>8458.85</v>
      </c>
      <c r="F47" s="42" t="n">
        <v>8955.32</v>
      </c>
      <c r="G47" s="42" t="n">
        <v>16386.99</v>
      </c>
      <c r="H47" s="42" t="n">
        <v>10197.25</v>
      </c>
      <c r="I47" s="42" t="n">
        <v>9299.83</v>
      </c>
      <c r="J47" s="42" t="n">
        <v>10301.56</v>
      </c>
      <c r="K47" s="42" t="n">
        <v>9287.27</v>
      </c>
      <c r="L47" s="42" t="n">
        <v>7193.75</v>
      </c>
      <c r="M47" s="42" t="n">
        <v>5678.72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 t="n"/>
      <c r="AD47" s="45" t="n"/>
      <c r="AE47" s="45" t="n"/>
      <c r="AF47" s="45" t="n"/>
      <c r="AG47" s="45" t="n"/>
      <c r="AH47" s="45" t="n"/>
      <c r="AI47" s="134" t="n">
        <v>0</v>
      </c>
      <c r="AJ47" s="152" t="n">
        <v>0</v>
      </c>
      <c r="AK47" s="152" t="n">
        <v>0</v>
      </c>
      <c r="AL47" s="152" t="n">
        <v>0</v>
      </c>
      <c r="AM47" s="153" t="n">
        <v>0</v>
      </c>
      <c r="AN47" s="134" t="n">
        <v>0</v>
      </c>
      <c r="AO47" s="125">
        <f>SUM(AC47:AH47)+SUM(AI47:AN47)</f>
        <v/>
      </c>
      <c r="AP47" s="126">
        <f>IF(AB47&lt;&gt;0,(AO47-AB47)/ABS(AB47),0)</f>
        <v/>
      </c>
    </row>
    <row r="48">
      <c r="A48" s="22" t="inlineStr">
        <is>
          <t>Total Direct Costs</t>
        </is>
      </c>
      <c r="B48" s="23" t="n">
        <v>19517.51</v>
      </c>
      <c r="C48" s="23" t="n">
        <v>20149.6</v>
      </c>
      <c r="D48" s="23" t="n">
        <v>14573.84</v>
      </c>
      <c r="E48" s="23" t="n">
        <v>12981.38</v>
      </c>
      <c r="F48" s="23" t="n">
        <v>13244.54</v>
      </c>
      <c r="G48" s="23" t="n">
        <v>25398.65</v>
      </c>
      <c r="H48" s="23" t="n">
        <v>15690.42</v>
      </c>
      <c r="I48" s="23" t="n">
        <v>13406.36</v>
      </c>
      <c r="J48" s="23" t="n">
        <v>15315.98</v>
      </c>
      <c r="K48" s="23" t="n">
        <v>17293.81</v>
      </c>
      <c r="L48" s="23" t="n">
        <v>12402.92</v>
      </c>
      <c r="M48" s="23" t="n">
        <v>8418.08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 t="n"/>
      <c r="AD48" s="26" t="n"/>
      <c r="AE48" s="26" t="n"/>
      <c r="AF48" s="26" t="n"/>
      <c r="AG48" s="26" t="n"/>
      <c r="AH48" s="26" t="n"/>
      <c r="AI48" s="134" t="n">
        <v>0</v>
      </c>
      <c r="AJ48" s="135" t="n">
        <v>0</v>
      </c>
      <c r="AK48" s="135" t="n">
        <v>0</v>
      </c>
      <c r="AL48" s="135" t="n">
        <v>0</v>
      </c>
      <c r="AM48" s="135" t="n">
        <v>0</v>
      </c>
      <c r="AN48" s="134" t="n">
        <v>0</v>
      </c>
      <c r="AO48" s="121">
        <f>SUM(AC48:AH48)+SUM(AI48:AN48)</f>
        <v/>
      </c>
      <c r="AP48" s="122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-19517.51</v>
      </c>
      <c r="C50" s="55" t="n">
        <v>-20149.6</v>
      </c>
      <c r="D50" s="55" t="n">
        <v>-14573.84</v>
      </c>
      <c r="E50" s="55" t="n">
        <v>-12981.38</v>
      </c>
      <c r="F50" s="55" t="n">
        <v>-13244.54</v>
      </c>
      <c r="G50" s="55" t="n">
        <v>-25381.71</v>
      </c>
      <c r="H50" s="55" t="n">
        <v>-15690.42</v>
      </c>
      <c r="I50" s="55" t="n">
        <v>-13406.36</v>
      </c>
      <c r="J50" s="55" t="n">
        <v>-14465.41</v>
      </c>
      <c r="K50" s="55" t="n">
        <v>-17293.81</v>
      </c>
      <c r="L50" s="55" t="n">
        <v>-11672.68</v>
      </c>
      <c r="M50" s="55" t="n">
        <v>-8418.08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 t="n"/>
      <c r="AD50" s="55" t="n"/>
      <c r="AE50" s="55" t="n"/>
      <c r="AF50" s="55" t="n"/>
      <c r="AG50" s="55" t="n"/>
      <c r="AH50" s="55" t="n"/>
      <c r="AI50" s="127" t="n">
        <v>0</v>
      </c>
      <c r="AJ50" s="127" t="n">
        <v>0</v>
      </c>
      <c r="AK50" s="127" t="n">
        <v>0</v>
      </c>
      <c r="AL50" s="127" t="n">
        <v>0</v>
      </c>
      <c r="AM50" s="127" t="n">
        <v>0</v>
      </c>
      <c r="AN50" s="127" t="n">
        <v>0</v>
      </c>
      <c r="AO50" s="141">
        <f>SUM(AC50:AH50)+SUM(AI50:AN50)</f>
        <v/>
      </c>
      <c r="AP50" s="14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82089.10000000001</v>
      </c>
      <c r="C53" s="35" t="n">
        <v>83145.28</v>
      </c>
      <c r="D53" s="35" t="n">
        <v>82791.22</v>
      </c>
      <c r="E53" s="35" t="n">
        <v>134235.96</v>
      </c>
      <c r="F53" s="35" t="n">
        <v>81426.45999999999</v>
      </c>
      <c r="G53" s="35" t="n">
        <v>97910.46000000001</v>
      </c>
      <c r="H53" s="35" t="n">
        <v>97978.69</v>
      </c>
      <c r="I53" s="35" t="n">
        <v>112374.73</v>
      </c>
      <c r="J53" s="35" t="n">
        <v>137394</v>
      </c>
      <c r="K53" s="35" t="n">
        <v>102166.94</v>
      </c>
      <c r="L53" s="35" t="n">
        <v>108279</v>
      </c>
      <c r="M53" s="35" t="n">
        <v>384692.96</v>
      </c>
      <c r="N53" s="36">
        <f>SUM(B53:M53)</f>
        <v/>
      </c>
      <c r="O53" s="37">
        <f>(SUMIF('KNL Blank TB'!$R:$R,'KNL HO P&amp;L'!$A53,'KNL Blank TB'!C:C)+(SUMIF('KNL HO TB'!$R:$R,'KNL HO P&amp;L'!$A53,'KNL HO TB'!C:C)))</f>
        <v/>
      </c>
      <c r="P53" s="37">
        <f>(SUMIF('KNL Blank TB'!$R:$R,'KNL HO P&amp;L'!$A53,'KNL Blank TB'!D:D)+(SUMIF('KNL HO TB'!$R:$R,'KNL HO P&amp;L'!$A53,'KNL HO TB'!D:D)))</f>
        <v/>
      </c>
      <c r="Q53" s="37">
        <f>(SUMIF('KNL Blank TB'!$R:$R,'KNL HO P&amp;L'!$A53,'KNL Blank TB'!E:E)+(SUMIF('KNL HO TB'!$R:$R,'KNL HO P&amp;L'!$A53,'KNL HO TB'!E:E)))</f>
        <v/>
      </c>
      <c r="R53" s="37">
        <f>(SUMIF('KNL Blank TB'!$R:$R,'KNL HO P&amp;L'!$A53,'KNL Blank TB'!F:F)+(SUMIF('KNL HO TB'!$R:$R,'KNL HO P&amp;L'!$A53,'KNL HO TB'!F:F)))</f>
        <v/>
      </c>
      <c r="S53" s="37">
        <f>(SUMIF('KNL Blank TB'!$R:$R,'KNL HO P&amp;L'!$A53,'KNL Blank TB'!G:G)+(SUMIF('KNL HO TB'!$R:$R,'KNL HO P&amp;L'!$A53,'KNL HO TB'!G:G)))</f>
        <v/>
      </c>
      <c r="T53" s="37">
        <f>(SUMIF('KNL Blank TB'!$R:$R,'KNL HO P&amp;L'!$A53,'KNL Blank TB'!H:H)+(SUMIF('KNL HO TB'!$R:$R,'KNL HO P&amp;L'!$A53,'KNL HO TB'!H:H)))</f>
        <v/>
      </c>
      <c r="U53" s="37">
        <f>(SUMIF('KNL Blank TB'!$R:$R,'KNL HO P&amp;L'!$A53,'KNL Blank TB'!I:I)+(SUMIF('KNL HO TB'!$R:$R,'KNL HO P&amp;L'!$A53,'KNL HO TB'!I:I)))</f>
        <v/>
      </c>
      <c r="V53" s="38" t="n">
        <v>117439</v>
      </c>
      <c r="W53" s="38" t="n">
        <v>117439</v>
      </c>
      <c r="X53" s="38" t="n">
        <v>117439</v>
      </c>
      <c r="Y53" s="38" t="n">
        <v>117439</v>
      </c>
      <c r="Z53" s="38">
        <f>117439+281000</f>
        <v/>
      </c>
      <c r="AA53" s="36">
        <f>SUM(O53:U53)</f>
        <v/>
      </c>
      <c r="AB53" s="36">
        <f>SUM(O53:Z53)</f>
        <v/>
      </c>
      <c r="AC53" s="38" t="n">
        <v>117439</v>
      </c>
      <c r="AD53" s="38" t="n">
        <v>117439</v>
      </c>
      <c r="AE53" s="38" t="n">
        <v>117439</v>
      </c>
      <c r="AF53" s="38" t="n">
        <v>117439</v>
      </c>
      <c r="AG53" s="38" t="n">
        <v>117439</v>
      </c>
      <c r="AH53" s="38" t="n">
        <v>117439</v>
      </c>
      <c r="AI53" s="118" t="n">
        <v>117439</v>
      </c>
      <c r="AJ53" s="119" t="n">
        <v>117439</v>
      </c>
      <c r="AK53" s="119" t="n">
        <v>117439</v>
      </c>
      <c r="AL53" s="119" t="n">
        <v>117439</v>
      </c>
      <c r="AM53" s="120" t="n">
        <v>117439</v>
      </c>
      <c r="AN53" s="118" t="n">
        <v>117439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9992.110000000001</v>
      </c>
      <c r="C54" s="35" t="n">
        <v>11326.84</v>
      </c>
      <c r="D54" s="35" t="n">
        <v>11325.06</v>
      </c>
      <c r="E54" s="35" t="n">
        <v>20699.56</v>
      </c>
      <c r="F54" s="35" t="n">
        <v>12797.69</v>
      </c>
      <c r="G54" s="35" t="n">
        <v>15261.34</v>
      </c>
      <c r="H54" s="35" t="n">
        <v>15170.04</v>
      </c>
      <c r="I54" s="35" t="n">
        <v>17278.08</v>
      </c>
      <c r="J54" s="35" t="n">
        <v>15614.88</v>
      </c>
      <c r="K54" s="35" t="n">
        <v>14827.88</v>
      </c>
      <c r="L54" s="35" t="n">
        <v>15458.86</v>
      </c>
      <c r="M54" s="35" t="n">
        <v>57020.84</v>
      </c>
      <c r="N54" s="36">
        <f>SUM(B54:M54)</f>
        <v/>
      </c>
      <c r="O54" s="37">
        <f>(SUMIF('KNL Blank TB'!$R:$R,'KNL HO P&amp;L'!$A54,'KNL Blank TB'!C:C)+(SUMIF('KNL HO TB'!$R:$R,'KNL HO P&amp;L'!$A54,'KNL HO TB'!C:C)))</f>
        <v/>
      </c>
      <c r="P54" s="37">
        <f>(SUMIF('KNL Blank TB'!$R:$R,'KNL HO P&amp;L'!$A54,'KNL Blank TB'!D:D)+(SUMIF('KNL HO TB'!$R:$R,'KNL HO P&amp;L'!$A54,'KNL HO TB'!D:D)))</f>
        <v/>
      </c>
      <c r="Q54" s="37">
        <f>(SUMIF('KNL Blank TB'!$R:$R,'KNL HO P&amp;L'!$A54,'KNL Blank TB'!E:E)+(SUMIF('KNL HO TB'!$R:$R,'KNL HO P&amp;L'!$A54,'KNL HO TB'!E:E)))</f>
        <v/>
      </c>
      <c r="R54" s="37">
        <f>(SUMIF('KNL Blank TB'!$R:$R,'KNL HO P&amp;L'!$A54,'KNL Blank TB'!F:F)+(SUMIF('KNL HO TB'!$R:$R,'KNL HO P&amp;L'!$A54,'KNL HO TB'!F:F)))</f>
        <v/>
      </c>
      <c r="S54" s="37">
        <f>(SUMIF('KNL Blank TB'!$R:$R,'KNL HO P&amp;L'!$A54,'KNL Blank TB'!G:G)+(SUMIF('KNL HO TB'!$R:$R,'KNL HO P&amp;L'!$A54,'KNL HO TB'!G:G)))</f>
        <v/>
      </c>
      <c r="T54" s="37">
        <f>(SUMIF('KNL Blank TB'!$R:$R,'KNL HO P&amp;L'!$A54,'KNL Blank TB'!H:H)+(SUMIF('KNL HO TB'!$R:$R,'KNL HO P&amp;L'!$A54,'KNL HO TB'!H:H)))</f>
        <v/>
      </c>
      <c r="U54" s="37">
        <f>(SUMIF('KNL Blank TB'!$R:$R,'KNL HO P&amp;L'!$A54,'KNL Blank TB'!I:I)+(SUMIF('KNL HO TB'!$R:$R,'KNL HO P&amp;L'!$A54,'KNL HO TB'!I:I)))</f>
        <v/>
      </c>
      <c r="V54" s="38" t="n">
        <v>16773</v>
      </c>
      <c r="W54" s="38" t="n">
        <v>16773</v>
      </c>
      <c r="X54" s="38" t="n">
        <v>16773</v>
      </c>
      <c r="Y54" s="38" t="n">
        <v>16773</v>
      </c>
      <c r="Z54" s="38" t="n">
        <v>16773</v>
      </c>
      <c r="AA54" s="36">
        <f>SUM(O54:U54)</f>
        <v/>
      </c>
      <c r="AB54" s="36">
        <f>SUM(O54:Z54)</f>
        <v/>
      </c>
      <c r="AC54" s="38" t="n">
        <v>16773</v>
      </c>
      <c r="AD54" s="38" t="n">
        <v>16773</v>
      </c>
      <c r="AE54" s="38" t="n">
        <v>16773</v>
      </c>
      <c r="AF54" s="38" t="n">
        <v>16773</v>
      </c>
      <c r="AG54" s="38" t="n">
        <v>16773</v>
      </c>
      <c r="AH54" s="38" t="n">
        <v>16773</v>
      </c>
      <c r="AI54" s="118" t="n">
        <v>16773</v>
      </c>
      <c r="AJ54" s="119" t="n">
        <v>16773</v>
      </c>
      <c r="AK54" s="119" t="n">
        <v>16773</v>
      </c>
      <c r="AL54" s="119" t="n">
        <v>16773</v>
      </c>
      <c r="AM54" s="120" t="n">
        <v>16773</v>
      </c>
      <c r="AN54" s="118" t="n">
        <v>16773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697.8300000000002</v>
      </c>
      <c r="C55" s="35" t="n">
        <v>754.1500000000001</v>
      </c>
      <c r="D55" s="35" t="n">
        <v>754.1500000000001</v>
      </c>
      <c r="E55" s="35" t="n">
        <v>754.1500000000001</v>
      </c>
      <c r="F55" s="35" t="n">
        <v>754.1500000000001</v>
      </c>
      <c r="G55" s="35" t="n">
        <v>645.13</v>
      </c>
      <c r="H55" s="35" t="n">
        <v>711.13</v>
      </c>
      <c r="I55" s="35" t="n">
        <v>711.13</v>
      </c>
      <c r="J55" s="35" t="n">
        <v>711.13</v>
      </c>
      <c r="K55" s="35" t="n">
        <v>343.6</v>
      </c>
      <c r="L55" s="35" t="n">
        <v>397.55</v>
      </c>
      <c r="M55" s="35" t="n">
        <v>397.55</v>
      </c>
      <c r="N55" s="36">
        <f>SUM(B55:M55)</f>
        <v/>
      </c>
      <c r="O55" s="37">
        <f>(SUMIF('KNL Blank TB'!$R:$R,'KNL HO P&amp;L'!$A55,'KNL Blank TB'!C:C)+(SUMIF('KNL HO TB'!$R:$R,'KNL HO P&amp;L'!$A55,'KNL HO TB'!C:C)))</f>
        <v/>
      </c>
      <c r="P55" s="37">
        <f>(SUMIF('KNL Blank TB'!$R:$R,'KNL HO P&amp;L'!$A55,'KNL Blank TB'!D:D)+(SUMIF('KNL HO TB'!$R:$R,'KNL HO P&amp;L'!$A55,'KNL HO TB'!D:D)))</f>
        <v/>
      </c>
      <c r="Q55" s="37">
        <f>(SUMIF('KNL Blank TB'!$R:$R,'KNL HO P&amp;L'!$A55,'KNL Blank TB'!E:E)+(SUMIF('KNL HO TB'!$R:$R,'KNL HO P&amp;L'!$A55,'KNL HO TB'!E:E)))</f>
        <v/>
      </c>
      <c r="R55" s="37">
        <f>(SUMIF('KNL Blank TB'!$R:$R,'KNL HO P&amp;L'!$A55,'KNL Blank TB'!F:F)+(SUMIF('KNL HO TB'!$R:$R,'KNL HO P&amp;L'!$A55,'KNL HO TB'!F:F)))</f>
        <v/>
      </c>
      <c r="S55" s="37">
        <f>(SUMIF('KNL Blank TB'!$R:$R,'KNL HO P&amp;L'!$A55,'KNL Blank TB'!G:G)+(SUMIF('KNL HO TB'!$R:$R,'KNL HO P&amp;L'!$A55,'KNL HO TB'!G:G)))</f>
        <v/>
      </c>
      <c r="T55" s="37">
        <f>(SUMIF('KNL Blank TB'!$R:$R,'KNL HO P&amp;L'!$A55,'KNL Blank TB'!H:H)+(SUMIF('KNL HO TB'!$R:$R,'KNL HO P&amp;L'!$A55,'KNL HO TB'!H:H)))</f>
        <v/>
      </c>
      <c r="U55" s="37">
        <f>(SUMIF('KNL Blank TB'!$R:$R,'KNL HO P&amp;L'!$A55,'KNL Blank TB'!I:I)+(SUMIF('KNL HO TB'!$R:$R,'KNL HO P&amp;L'!$A55,'KNL HO TB'!I:I)))</f>
        <v/>
      </c>
      <c r="V55" s="38" t="n">
        <v>695</v>
      </c>
      <c r="W55" s="38" t="n">
        <v>695</v>
      </c>
      <c r="X55" s="38" t="n">
        <v>695</v>
      </c>
      <c r="Y55" s="38" t="n">
        <v>695</v>
      </c>
      <c r="Z55" s="38" t="n">
        <v>695</v>
      </c>
      <c r="AA55" s="36">
        <f>SUM(O55:U55)</f>
        <v/>
      </c>
      <c r="AB55" s="36">
        <f>SUM(O55:Z55)</f>
        <v/>
      </c>
      <c r="AC55" s="38" t="n">
        <v>695</v>
      </c>
      <c r="AD55" s="38" t="n">
        <v>695</v>
      </c>
      <c r="AE55" s="38" t="n">
        <v>695</v>
      </c>
      <c r="AF55" s="38" t="n">
        <v>695</v>
      </c>
      <c r="AG55" s="38" t="n">
        <v>695</v>
      </c>
      <c r="AH55" s="38" t="n">
        <v>695</v>
      </c>
      <c r="AI55" s="118" t="n">
        <v>695</v>
      </c>
      <c r="AJ55" s="119" t="n">
        <v>695</v>
      </c>
      <c r="AK55" s="119" t="n">
        <v>695</v>
      </c>
      <c r="AL55" s="119" t="n">
        <v>695</v>
      </c>
      <c r="AM55" s="120" t="n">
        <v>695</v>
      </c>
      <c r="AN55" s="118" t="n">
        <v>695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832.4000000000001</v>
      </c>
      <c r="C56" s="35" t="n">
        <v>886.37</v>
      </c>
      <c r="D56" s="35" t="n">
        <v>987.53</v>
      </c>
      <c r="E56" s="35" t="n">
        <v>1010.72</v>
      </c>
      <c r="F56" s="35" t="n">
        <v>917.11</v>
      </c>
      <c r="G56" s="35" t="n">
        <v>900.63</v>
      </c>
      <c r="H56" s="35" t="n">
        <v>1072.08</v>
      </c>
      <c r="I56" s="35" t="n">
        <v>989.58</v>
      </c>
      <c r="J56" s="35" t="n">
        <v>823.79</v>
      </c>
      <c r="K56" s="35" t="n">
        <v>958.6500000000001</v>
      </c>
      <c r="L56" s="35" t="n">
        <v>1038.97</v>
      </c>
      <c r="M56" s="35" t="n">
        <v>980.35</v>
      </c>
      <c r="N56" s="36">
        <f>SUM(B56:M56)</f>
        <v/>
      </c>
      <c r="O56" s="37">
        <f>(SUMIF('KNL Blank TB'!$R:$R,'KNL HO P&amp;L'!$A56,'KNL Blank TB'!C:C)+(SUMIF('KNL HO TB'!$R:$R,'KNL HO P&amp;L'!$A56,'KNL HO TB'!C:C)))</f>
        <v/>
      </c>
      <c r="P56" s="37">
        <f>(SUMIF('KNL Blank TB'!$R:$R,'KNL HO P&amp;L'!$A56,'KNL Blank TB'!D:D)+(SUMIF('KNL HO TB'!$R:$R,'KNL HO P&amp;L'!$A56,'KNL HO TB'!D:D)))</f>
        <v/>
      </c>
      <c r="Q56" s="37">
        <f>(SUMIF('KNL Blank TB'!$R:$R,'KNL HO P&amp;L'!$A56,'KNL Blank TB'!E:E)+(SUMIF('KNL HO TB'!$R:$R,'KNL HO P&amp;L'!$A56,'KNL HO TB'!E:E)))</f>
        <v/>
      </c>
      <c r="R56" s="37">
        <f>(SUMIF('KNL Blank TB'!$R:$R,'KNL HO P&amp;L'!$A56,'KNL Blank TB'!F:F)+(SUMIF('KNL HO TB'!$R:$R,'KNL HO P&amp;L'!$A56,'KNL HO TB'!F:F)))</f>
        <v/>
      </c>
      <c r="S56" s="37">
        <f>(SUMIF('KNL Blank TB'!$R:$R,'KNL HO P&amp;L'!$A56,'KNL Blank TB'!G:G)+(SUMIF('KNL HO TB'!$R:$R,'KNL HO P&amp;L'!$A56,'KNL HO TB'!G:G)))</f>
        <v/>
      </c>
      <c r="T56" s="37">
        <f>(SUMIF('KNL Blank TB'!$R:$R,'KNL HO P&amp;L'!$A56,'KNL Blank TB'!H:H)+(SUMIF('KNL HO TB'!$R:$R,'KNL HO P&amp;L'!$A56,'KNL HO TB'!H:H)))</f>
        <v/>
      </c>
      <c r="U56" s="37">
        <f>(SUMIF('KNL Blank TB'!$R:$R,'KNL HO P&amp;L'!$A56,'KNL Blank TB'!I:I)+(SUMIF('KNL HO TB'!$R:$R,'KNL HO P&amp;L'!$A56,'KNL HO TB'!I:I)))</f>
        <v/>
      </c>
      <c r="V56" s="38" t="n">
        <v>1897.62</v>
      </c>
      <c r="W56" s="38" t="n">
        <v>1897.62</v>
      </c>
      <c r="X56" s="38" t="n">
        <v>1897.62</v>
      </c>
      <c r="Y56" s="38" t="n">
        <v>1897.62</v>
      </c>
      <c r="Z56" s="38" t="n">
        <v>1897.62</v>
      </c>
      <c r="AA56" s="36">
        <f>SUM(O56:U56)</f>
        <v/>
      </c>
      <c r="AB56" s="36">
        <f>SUM(O56:Z56)</f>
        <v/>
      </c>
      <c r="AC56" s="38" t="n">
        <v>1897.62</v>
      </c>
      <c r="AD56" s="38" t="n">
        <v>1897.62</v>
      </c>
      <c r="AE56" s="38" t="n">
        <v>1897.62</v>
      </c>
      <c r="AF56" s="38" t="n">
        <v>1897.62</v>
      </c>
      <c r="AG56" s="38" t="n">
        <v>1897.62</v>
      </c>
      <c r="AH56" s="38" t="n">
        <v>1897.62</v>
      </c>
      <c r="AI56" s="118" t="n">
        <v>1897.62</v>
      </c>
      <c r="AJ56" s="119" t="n">
        <v>1897.62</v>
      </c>
      <c r="AK56" s="119" t="n">
        <v>1897.62</v>
      </c>
      <c r="AL56" s="119" t="n">
        <v>1897.62</v>
      </c>
      <c r="AM56" s="120" t="n">
        <v>1897.62</v>
      </c>
      <c r="AN56" s="118" t="n">
        <v>1897.62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300.41</v>
      </c>
      <c r="J57" s="35" t="n">
        <v>16814</v>
      </c>
      <c r="K57" s="35" t="n">
        <v>0</v>
      </c>
      <c r="L57" s="35" t="n">
        <v>0</v>
      </c>
      <c r="M57" s="35" t="n">
        <v>1160.7</v>
      </c>
      <c r="N57" s="36">
        <f>SUM(B57:M57)</f>
        <v/>
      </c>
      <c r="O57" s="37">
        <f>(SUMIF('KNL Blank TB'!$R:$R,'KNL HO P&amp;L'!$A57,'KNL Blank TB'!C:C)+(SUMIF('KNL HO TB'!$R:$R,'KNL HO P&amp;L'!$A57,'KNL HO TB'!C:C)))</f>
        <v/>
      </c>
      <c r="P57" s="37">
        <f>(SUMIF('KNL Blank TB'!$R:$R,'KNL HO P&amp;L'!$A57,'KNL Blank TB'!D:D)+(SUMIF('KNL HO TB'!$R:$R,'KNL HO P&amp;L'!$A57,'KNL HO TB'!D:D)))</f>
        <v/>
      </c>
      <c r="Q57" s="37">
        <f>(SUMIF('KNL Blank TB'!$R:$R,'KNL HO P&amp;L'!$A57,'KNL Blank TB'!E:E)+(SUMIF('KNL HO TB'!$R:$R,'KNL HO P&amp;L'!$A57,'KNL HO TB'!E:E)))</f>
        <v/>
      </c>
      <c r="R57" s="37">
        <f>(SUMIF('KNL Blank TB'!$R:$R,'KNL HO P&amp;L'!$A57,'KNL Blank TB'!F:F)+(SUMIF('KNL HO TB'!$R:$R,'KNL HO P&amp;L'!$A57,'KNL HO TB'!F:F)))</f>
        <v/>
      </c>
      <c r="S57" s="37">
        <f>(SUMIF('KNL Blank TB'!$R:$R,'KNL HO P&amp;L'!$A57,'KNL Blank TB'!G:G)+(SUMIF('KNL HO TB'!$R:$R,'KNL HO P&amp;L'!$A57,'KNL HO TB'!G:G)))</f>
        <v/>
      </c>
      <c r="T57" s="37">
        <f>(SUMIF('KNL Blank TB'!$R:$R,'KNL HO P&amp;L'!$A57,'KNL Blank TB'!H:H)+(SUMIF('KNL HO TB'!$R:$R,'KNL HO P&amp;L'!$A57,'KNL HO TB'!H:H)))</f>
        <v/>
      </c>
      <c r="U57" s="37">
        <f>(SUMIF('KNL Blank TB'!$R:$R,'KNL HO P&amp;L'!$A57,'KNL Blank TB'!I:I)+(SUMIF('KNL HO TB'!$R:$R,'KNL HO P&amp;L'!$A57,'KNL HO TB'!I:I)))</f>
        <v/>
      </c>
      <c r="V57" s="38" t="n"/>
      <c r="W57" s="38" t="n"/>
      <c r="X57" s="38" t="n"/>
      <c r="Y57" s="38" t="n"/>
      <c r="Z57" s="38">
        <f>21*30</f>
        <v/>
      </c>
      <c r="AA57" s="36">
        <f>SUM(O57:U57)</f>
        <v/>
      </c>
      <c r="AB57" s="36">
        <f>SUM(O57:Z57)</f>
        <v/>
      </c>
      <c r="AC57" s="38" t="n"/>
      <c r="AD57" s="38" t="n"/>
      <c r="AE57" s="38" t="n"/>
      <c r="AF57" s="38" t="n"/>
      <c r="AG57" s="38" t="n"/>
      <c r="AH57" s="38" t="n"/>
      <c r="AI57" s="118" t="n">
        <v>0</v>
      </c>
      <c r="AJ57" s="119" t="n">
        <v>0</v>
      </c>
      <c r="AK57" s="119" t="n">
        <v>0</v>
      </c>
      <c r="AL57" s="119" t="n">
        <v>0</v>
      </c>
      <c r="AM57" s="120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465.62</v>
      </c>
      <c r="C58" s="35" t="n">
        <v>465.62</v>
      </c>
      <c r="D58" s="35" t="n">
        <v>465.62</v>
      </c>
      <c r="E58" s="35" t="n">
        <v>465.62</v>
      </c>
      <c r="F58" s="35" t="n">
        <v>465.62</v>
      </c>
      <c r="G58" s="35" t="n">
        <v>341.4</v>
      </c>
      <c r="H58" s="35" t="n">
        <v>341.4</v>
      </c>
      <c r="I58" s="35" t="n">
        <v>341.4</v>
      </c>
      <c r="J58" s="35" t="n">
        <v>341.4</v>
      </c>
      <c r="K58" s="35" t="n">
        <v>341.4</v>
      </c>
      <c r="L58" s="35" t="n">
        <v>341.4</v>
      </c>
      <c r="M58" s="35" t="n">
        <v>0</v>
      </c>
      <c r="N58" s="36">
        <f>SUM(B58:M58)</f>
        <v/>
      </c>
      <c r="O58" s="37">
        <f>(SUMIF('KNL Blank TB'!$R:$R,'KNL HO P&amp;L'!$A58,'KNL Blank TB'!C:C)+(SUMIF('KNL HO TB'!$R:$R,'KNL HO P&amp;L'!$A58,'KNL HO TB'!C:C)))</f>
        <v/>
      </c>
      <c r="P58" s="37">
        <f>(SUMIF('KNL Blank TB'!$R:$R,'KNL HO P&amp;L'!$A58,'KNL Blank TB'!D:D)+(SUMIF('KNL HO TB'!$R:$R,'KNL HO P&amp;L'!$A58,'KNL HO TB'!D:D)))</f>
        <v/>
      </c>
      <c r="Q58" s="37">
        <f>(SUMIF('KNL Blank TB'!$R:$R,'KNL HO P&amp;L'!$A58,'KNL Blank TB'!E:E)+(SUMIF('KNL HO TB'!$R:$R,'KNL HO P&amp;L'!$A58,'KNL HO TB'!E:E)))</f>
        <v/>
      </c>
      <c r="R58" s="37">
        <f>(SUMIF('KNL Blank TB'!$R:$R,'KNL HO P&amp;L'!$A58,'KNL Blank TB'!F:F)+(SUMIF('KNL HO TB'!$R:$R,'KNL HO P&amp;L'!$A58,'KNL HO TB'!F:F)))</f>
        <v/>
      </c>
      <c r="S58" s="37">
        <f>(SUMIF('KNL Blank TB'!$R:$R,'KNL HO P&amp;L'!$A58,'KNL Blank TB'!G:G)+(SUMIF('KNL HO TB'!$R:$R,'KNL HO P&amp;L'!$A58,'KNL HO TB'!G:G)))</f>
        <v/>
      </c>
      <c r="T58" s="37">
        <f>(SUMIF('KNL Blank TB'!$R:$R,'KNL HO P&amp;L'!$A58,'KNL Blank TB'!H:H)+(SUMIF('KNL HO TB'!$R:$R,'KNL HO P&amp;L'!$A58,'KNL HO TB'!H:H)))</f>
        <v/>
      </c>
      <c r="U58" s="37">
        <f>(SUMIF('KNL Blank TB'!$R:$R,'KNL HO P&amp;L'!$A58,'KNL Blank TB'!I:I)+(SUMIF('KNL HO TB'!$R:$R,'KNL HO P&amp;L'!$A58,'KNL HO TB'!I:I)))</f>
        <v/>
      </c>
      <c r="V58" s="38" t="n">
        <v>0</v>
      </c>
      <c r="W58" s="38" t="n">
        <v>0</v>
      </c>
      <c r="X58" s="38" t="n">
        <v>0</v>
      </c>
      <c r="Y58" s="38" t="n">
        <v>0</v>
      </c>
      <c r="Z58" s="38" t="n">
        <v>0</v>
      </c>
      <c r="AA58" s="36">
        <f>SUM(O58:U58)</f>
        <v/>
      </c>
      <c r="AB58" s="36">
        <f>SUM(O58:Z58)</f>
        <v/>
      </c>
      <c r="AC58" s="38" t="n">
        <v>0</v>
      </c>
      <c r="AD58" s="38" t="n">
        <v>0</v>
      </c>
      <c r="AE58" s="38" t="n">
        <v>0</v>
      </c>
      <c r="AF58" s="38" t="n">
        <v>0</v>
      </c>
      <c r="AG58" s="38" t="n">
        <v>0</v>
      </c>
      <c r="AH58" s="38" t="n">
        <v>0</v>
      </c>
      <c r="AI58" s="118" t="n">
        <v>0</v>
      </c>
      <c r="AJ58" s="119" t="n">
        <v>0</v>
      </c>
      <c r="AK58" s="119" t="n">
        <v>0</v>
      </c>
      <c r="AL58" s="119" t="n">
        <v>0</v>
      </c>
      <c r="AM58" s="120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2433.87</v>
      </c>
      <c r="C59" s="35" t="n">
        <v>3479.54</v>
      </c>
      <c r="D59" s="35" t="n">
        <v>2017.34</v>
      </c>
      <c r="E59" s="35" t="n">
        <v>2017.34</v>
      </c>
      <c r="F59" s="35" t="n">
        <v>1354.84</v>
      </c>
      <c r="G59" s="35" t="n">
        <v>2674.84</v>
      </c>
      <c r="H59" s="35" t="n">
        <v>2011.34</v>
      </c>
      <c r="I59" s="35" t="n">
        <v>3673.34</v>
      </c>
      <c r="J59" s="35" t="n">
        <v>8823.34</v>
      </c>
      <c r="K59" s="35" t="n">
        <v>1983.34</v>
      </c>
      <c r="L59" s="35" t="n">
        <v>2678.34</v>
      </c>
      <c r="M59" s="35" t="n">
        <v>2876.74</v>
      </c>
      <c r="N59" s="36">
        <f>SUM(B59:M59)</f>
        <v/>
      </c>
      <c r="O59" s="37">
        <f>(SUMIF('KNL Blank TB'!$R:$R,'KNL HO P&amp;L'!$A59,'KNL Blank TB'!C:C)+(SUMIF('KNL HO TB'!$R:$R,'KNL HO P&amp;L'!$A59,'KNL HO TB'!C:C)))</f>
        <v/>
      </c>
      <c r="P59" s="37">
        <f>(SUMIF('KNL Blank TB'!$R:$R,'KNL HO P&amp;L'!$A59,'KNL Blank TB'!D:D)+(SUMIF('KNL HO TB'!$R:$R,'KNL HO P&amp;L'!$A59,'KNL HO TB'!D:D)))</f>
        <v/>
      </c>
      <c r="Q59" s="37">
        <f>(SUMIF('KNL Blank TB'!$R:$R,'KNL HO P&amp;L'!$A59,'KNL Blank TB'!E:E)+(SUMIF('KNL HO TB'!$R:$R,'KNL HO P&amp;L'!$A59,'KNL HO TB'!E:E)))</f>
        <v/>
      </c>
      <c r="R59" s="37">
        <f>(SUMIF('KNL Blank TB'!$R:$R,'KNL HO P&amp;L'!$A59,'KNL Blank TB'!F:F)+(SUMIF('KNL HO TB'!$R:$R,'KNL HO P&amp;L'!$A59,'KNL HO TB'!F:F)))</f>
        <v/>
      </c>
      <c r="S59" s="37">
        <f>(SUMIF('KNL Blank TB'!$R:$R,'KNL HO P&amp;L'!$A59,'KNL Blank TB'!G:G)+(SUMIF('KNL HO TB'!$R:$R,'KNL HO P&amp;L'!$A59,'KNL HO TB'!G:G)))</f>
        <v/>
      </c>
      <c r="T59" s="37">
        <f>(SUMIF('KNL Blank TB'!$R:$R,'KNL HO P&amp;L'!$A59,'KNL Blank TB'!H:H)+(SUMIF('KNL HO TB'!$R:$R,'KNL HO P&amp;L'!$A59,'KNL HO TB'!H:H)))</f>
        <v/>
      </c>
      <c r="U59" s="37">
        <f>(SUMIF('KNL Blank TB'!$R:$R,'KNL HO P&amp;L'!$A59,'KNL Blank TB'!I:I)+(SUMIF('KNL HO TB'!$R:$R,'KNL HO P&amp;L'!$A59,'KNL HO TB'!I:I)))</f>
        <v/>
      </c>
      <c r="V59" s="38" t="n">
        <v>2856</v>
      </c>
      <c r="W59" s="38" t="n">
        <v>2856</v>
      </c>
      <c r="X59" s="38" t="n">
        <v>2856</v>
      </c>
      <c r="Y59" s="38" t="n">
        <v>2856</v>
      </c>
      <c r="Z59" s="38" t="n">
        <v>2856</v>
      </c>
      <c r="AA59" s="36">
        <f>SUM(O59:U59)</f>
        <v/>
      </c>
      <c r="AB59" s="36">
        <f>SUM(O59:Z59)</f>
        <v/>
      </c>
      <c r="AC59" s="38" t="n">
        <v>2856</v>
      </c>
      <c r="AD59" s="38" t="n">
        <v>2856</v>
      </c>
      <c r="AE59" s="38" t="n">
        <v>2856</v>
      </c>
      <c r="AF59" s="38" t="n">
        <v>2856</v>
      </c>
      <c r="AG59" s="38" t="n">
        <v>2856</v>
      </c>
      <c r="AH59" s="38" t="n">
        <v>2856</v>
      </c>
      <c r="AI59" s="118" t="n">
        <v>2856</v>
      </c>
      <c r="AJ59" s="119" t="n">
        <v>2856</v>
      </c>
      <c r="AK59" s="119" t="n">
        <v>2856</v>
      </c>
      <c r="AL59" s="119" t="n">
        <v>2856</v>
      </c>
      <c r="AM59" s="120" t="n">
        <v>2856</v>
      </c>
      <c r="AN59" s="118" t="n">
        <v>2856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623.3</v>
      </c>
      <c r="C60" s="35" t="n">
        <v>548.3099999999999</v>
      </c>
      <c r="D60" s="35" t="n">
        <v>633.3</v>
      </c>
      <c r="E60" s="35" t="n">
        <v>431.47</v>
      </c>
      <c r="F60" s="35" t="n">
        <v>431.68</v>
      </c>
      <c r="G60" s="35" t="n">
        <v>1051.67</v>
      </c>
      <c r="H60" s="35" t="n">
        <v>431.68</v>
      </c>
      <c r="I60" s="35" t="n">
        <v>454.54</v>
      </c>
      <c r="J60" s="35" t="n">
        <v>454.54</v>
      </c>
      <c r="K60" s="35" t="n">
        <v>954.54</v>
      </c>
      <c r="L60" s="35" t="n">
        <v>1174.54</v>
      </c>
      <c r="M60" s="35" t="n">
        <v>2465.74</v>
      </c>
      <c r="N60" s="36">
        <f>SUM(B60:M60)</f>
        <v/>
      </c>
      <c r="O60" s="37">
        <f>(SUMIF('KNL Blank TB'!$R:$R,'KNL HO P&amp;L'!$A60,'KNL Blank TB'!C:C)+(SUMIF('KNL HO TB'!$R:$R,'KNL HO P&amp;L'!$A60,'KNL HO TB'!C:C)))</f>
        <v/>
      </c>
      <c r="P60" s="37">
        <f>(SUMIF('KNL Blank TB'!$R:$R,'KNL HO P&amp;L'!$A60,'KNL Blank TB'!D:D)+(SUMIF('KNL HO TB'!$R:$R,'KNL HO P&amp;L'!$A60,'KNL HO TB'!D:D)))</f>
        <v/>
      </c>
      <c r="Q60" s="37">
        <f>(SUMIF('KNL Blank TB'!$R:$R,'KNL HO P&amp;L'!$A60,'KNL Blank TB'!E:E)+(SUMIF('KNL HO TB'!$R:$R,'KNL HO P&amp;L'!$A60,'KNL HO TB'!E:E)))</f>
        <v/>
      </c>
      <c r="R60" s="37">
        <f>(SUMIF('KNL Blank TB'!$R:$R,'KNL HO P&amp;L'!$A60,'KNL Blank TB'!F:F)+(SUMIF('KNL HO TB'!$R:$R,'KNL HO P&amp;L'!$A60,'KNL HO TB'!F:F)))</f>
        <v/>
      </c>
      <c r="S60" s="37">
        <f>(SUMIF('KNL Blank TB'!$R:$R,'KNL HO P&amp;L'!$A60,'KNL Blank TB'!G:G)+(SUMIF('KNL HO TB'!$R:$R,'KNL HO P&amp;L'!$A60,'KNL HO TB'!G:G)))</f>
        <v/>
      </c>
      <c r="T60" s="37">
        <f>(SUMIF('KNL Blank TB'!$R:$R,'KNL HO P&amp;L'!$A60,'KNL Blank TB'!H:H)+(SUMIF('KNL HO TB'!$R:$R,'KNL HO P&amp;L'!$A60,'KNL HO TB'!H:H)))</f>
        <v/>
      </c>
      <c r="U60" s="37">
        <f>(SUMIF('KNL Blank TB'!$R:$R,'KNL HO P&amp;L'!$A60,'KNL Blank TB'!I:I)+(SUMIF('KNL HO TB'!$R:$R,'KNL HO P&amp;L'!$A60,'KNL HO TB'!I:I)))</f>
        <v/>
      </c>
      <c r="V60" s="38" t="n">
        <v>2466</v>
      </c>
      <c r="W60" s="38" t="n">
        <v>2466</v>
      </c>
      <c r="X60" s="38" t="n">
        <v>2466</v>
      </c>
      <c r="Y60" s="38" t="n">
        <v>2466</v>
      </c>
      <c r="Z60" s="38" t="n">
        <v>2466</v>
      </c>
      <c r="AA60" s="36">
        <f>SUM(O60:U60)</f>
        <v/>
      </c>
      <c r="AB60" s="36">
        <f>SUM(O60:Z60)</f>
        <v/>
      </c>
      <c r="AC60" s="38" t="n">
        <v>2466</v>
      </c>
      <c r="AD60" s="38" t="n">
        <v>2466</v>
      </c>
      <c r="AE60" s="38" t="n">
        <v>2466</v>
      </c>
      <c r="AF60" s="38" t="n">
        <v>2466</v>
      </c>
      <c r="AG60" s="38" t="n">
        <v>2466</v>
      </c>
      <c r="AH60" s="38" t="n">
        <v>2466</v>
      </c>
      <c r="AI60" s="118" t="n">
        <v>2466</v>
      </c>
      <c r="AJ60" s="119" t="n">
        <v>2466</v>
      </c>
      <c r="AK60" s="119" t="n">
        <v>2466</v>
      </c>
      <c r="AL60" s="119" t="n">
        <v>2466</v>
      </c>
      <c r="AM60" s="120" t="n">
        <v>2466</v>
      </c>
      <c r="AN60" s="118" t="n">
        <v>2466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12.99</v>
      </c>
      <c r="C61" s="35" t="n">
        <v>0</v>
      </c>
      <c r="D61" s="35" t="n">
        <v>9.990000000000009</v>
      </c>
      <c r="E61" s="35" t="n">
        <v>0</v>
      </c>
      <c r="F61" s="35" t="n">
        <v>-5.13</v>
      </c>
      <c r="G61" s="35" t="n">
        <v>289.96</v>
      </c>
      <c r="H61" s="35" t="n">
        <v>2.92</v>
      </c>
      <c r="I61" s="35" t="n">
        <v>5.19</v>
      </c>
      <c r="J61" s="35" t="n">
        <v>5.69</v>
      </c>
      <c r="K61" s="35" t="n">
        <v>0</v>
      </c>
      <c r="L61" s="35" t="n">
        <v>2507.38</v>
      </c>
      <c r="M61" s="35" t="n">
        <v>254.99</v>
      </c>
      <c r="N61" s="36">
        <f>SUM(B61:M61)</f>
        <v/>
      </c>
      <c r="O61" s="37">
        <f>(SUMIF('KNL Blank TB'!$R:$R,'KNL HO P&amp;L'!$A61,'KNL Blank TB'!C:C)+(SUMIF('KNL HO TB'!$R:$R,'KNL HO P&amp;L'!$A61,'KNL HO TB'!C:C)))</f>
        <v/>
      </c>
      <c r="P61" s="37">
        <f>(SUMIF('KNL Blank TB'!$R:$R,'KNL HO P&amp;L'!$A61,'KNL Blank TB'!D:D)+(SUMIF('KNL HO TB'!$R:$R,'KNL HO P&amp;L'!$A61,'KNL HO TB'!D:D)))</f>
        <v/>
      </c>
      <c r="Q61" s="37">
        <f>(SUMIF('KNL Blank TB'!$R:$R,'KNL HO P&amp;L'!$A61,'KNL Blank TB'!E:E)+(SUMIF('KNL HO TB'!$R:$R,'KNL HO P&amp;L'!$A61,'KNL HO TB'!E:E)))</f>
        <v/>
      </c>
      <c r="R61" s="37">
        <f>(SUMIF('KNL Blank TB'!$R:$R,'KNL HO P&amp;L'!$A61,'KNL Blank TB'!F:F)+(SUMIF('KNL HO TB'!$R:$R,'KNL HO P&amp;L'!$A61,'KNL HO TB'!F:F)))</f>
        <v/>
      </c>
      <c r="S61" s="37">
        <f>(SUMIF('KNL Blank TB'!$R:$R,'KNL HO P&amp;L'!$A61,'KNL Blank TB'!G:G)+(SUMIF('KNL HO TB'!$R:$R,'KNL HO P&amp;L'!$A61,'KNL HO TB'!G:G)))</f>
        <v/>
      </c>
      <c r="T61" s="37">
        <f>(SUMIF('KNL Blank TB'!$R:$R,'KNL HO P&amp;L'!$A61,'KNL Blank TB'!H:H)+(SUMIF('KNL HO TB'!$R:$R,'KNL HO P&amp;L'!$A61,'KNL HO TB'!H:H)))</f>
        <v/>
      </c>
      <c r="U61" s="37">
        <f>(SUMIF('KNL Blank TB'!$R:$R,'KNL HO P&amp;L'!$A61,'KNL Blank TB'!I:I)+(SUMIF('KNL HO TB'!$R:$R,'KNL HO P&amp;L'!$A61,'KNL HO TB'!I:I)))</f>
        <v/>
      </c>
      <c r="V61" s="38" t="n">
        <v>0</v>
      </c>
      <c r="W61" s="38" t="n">
        <v>0</v>
      </c>
      <c r="X61" s="38" t="n">
        <v>0</v>
      </c>
      <c r="Y61" s="38" t="n">
        <v>0</v>
      </c>
      <c r="Z61" s="38" t="n">
        <v>0</v>
      </c>
      <c r="AA61" s="36">
        <f>SUM(O61:U61)</f>
        <v/>
      </c>
      <c r="AB61" s="36">
        <f>SUM(O61:Z61)</f>
        <v/>
      </c>
      <c r="AC61" s="38" t="n">
        <v>0</v>
      </c>
      <c r="AD61" s="38" t="n">
        <v>0</v>
      </c>
      <c r="AE61" s="38" t="n">
        <v>0</v>
      </c>
      <c r="AF61" s="38" t="n">
        <v>0</v>
      </c>
      <c r="AG61" s="38" t="n">
        <v>0</v>
      </c>
      <c r="AH61" s="38" t="n">
        <v>0</v>
      </c>
      <c r="AI61" s="118" t="n">
        <v>0</v>
      </c>
      <c r="AJ61" s="119" t="n">
        <v>0</v>
      </c>
      <c r="AK61" s="119" t="n">
        <v>0</v>
      </c>
      <c r="AL61" s="119" t="n">
        <v>0</v>
      </c>
      <c r="AM61" s="120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1194.76</v>
      </c>
      <c r="C62" s="35" t="n">
        <v>1981.34</v>
      </c>
      <c r="D62" s="35" t="n">
        <v>1997.94</v>
      </c>
      <c r="E62" s="35" t="n">
        <v>1411.23</v>
      </c>
      <c r="F62" s="35" t="n">
        <v>1075</v>
      </c>
      <c r="G62" s="35" t="n">
        <v>1494.6</v>
      </c>
      <c r="H62" s="35" t="n">
        <v>2705.84</v>
      </c>
      <c r="I62" s="35" t="n">
        <v>1179.39</v>
      </c>
      <c r="J62" s="35" t="n">
        <v>3300.01</v>
      </c>
      <c r="K62" s="35" t="n">
        <v>2471.48</v>
      </c>
      <c r="L62" s="35" t="n">
        <v>3585.76</v>
      </c>
      <c r="M62" s="35" t="n">
        <v>1496.43</v>
      </c>
      <c r="N62" s="36">
        <f>SUM(B62:M62)</f>
        <v/>
      </c>
      <c r="O62" s="37">
        <f>(SUMIF('KNL Blank TB'!$R:$R,'KNL HO P&amp;L'!$A62,'KNL Blank TB'!C:C)+(SUMIF('KNL HO TB'!$R:$R,'KNL HO P&amp;L'!$A62,'KNL HO TB'!C:C)))</f>
        <v/>
      </c>
      <c r="P62" s="37">
        <f>(SUMIF('KNL Blank TB'!$R:$R,'KNL HO P&amp;L'!$A62,'KNL Blank TB'!D:D)+(SUMIF('KNL HO TB'!$R:$R,'KNL HO P&amp;L'!$A62,'KNL HO TB'!D:D)))</f>
        <v/>
      </c>
      <c r="Q62" s="37">
        <f>(SUMIF('KNL Blank TB'!$R:$R,'KNL HO P&amp;L'!$A62,'KNL Blank TB'!E:E)+(SUMIF('KNL HO TB'!$R:$R,'KNL HO P&amp;L'!$A62,'KNL HO TB'!E:E)))</f>
        <v/>
      </c>
      <c r="R62" s="37">
        <f>(SUMIF('KNL Blank TB'!$R:$R,'KNL HO P&amp;L'!$A62,'KNL Blank TB'!F:F)+(SUMIF('KNL HO TB'!$R:$R,'KNL HO P&amp;L'!$A62,'KNL HO TB'!F:F)))</f>
        <v/>
      </c>
      <c r="S62" s="37">
        <f>(SUMIF('KNL Blank TB'!$R:$R,'KNL HO P&amp;L'!$A62,'KNL Blank TB'!G:G)+(SUMIF('KNL HO TB'!$R:$R,'KNL HO P&amp;L'!$A62,'KNL HO TB'!G:G)))</f>
        <v/>
      </c>
      <c r="T62" s="37">
        <f>(SUMIF('KNL Blank TB'!$R:$R,'KNL HO P&amp;L'!$A62,'KNL Blank TB'!H:H)+(SUMIF('KNL HO TB'!$R:$R,'KNL HO P&amp;L'!$A62,'KNL HO TB'!H:H)))</f>
        <v/>
      </c>
      <c r="U62" s="37">
        <f>(SUMIF('KNL Blank TB'!$R:$R,'KNL HO P&amp;L'!$A62,'KNL Blank TB'!I:I)+(SUMIF('KNL HO TB'!$R:$R,'KNL HO P&amp;L'!$A62,'KNL HO TB'!I:I)))</f>
        <v/>
      </c>
      <c r="V62" s="38" t="n">
        <v>1000</v>
      </c>
      <c r="W62" s="38" t="n">
        <v>1000</v>
      </c>
      <c r="X62" s="38" t="n">
        <v>1000</v>
      </c>
      <c r="Y62" s="38" t="n">
        <v>1000</v>
      </c>
      <c r="Z62" s="38" t="n">
        <v>1000</v>
      </c>
      <c r="AA62" s="36">
        <f>SUM(O62:U62)</f>
        <v/>
      </c>
      <c r="AB62" s="36">
        <f>SUM(O62:Z62)</f>
        <v/>
      </c>
      <c r="AC62" s="38" t="n">
        <v>1000</v>
      </c>
      <c r="AD62" s="38" t="n">
        <v>1000</v>
      </c>
      <c r="AE62" s="38" t="n">
        <v>1000</v>
      </c>
      <c r="AF62" s="38" t="n">
        <v>1000</v>
      </c>
      <c r="AG62" s="38" t="n">
        <v>1000</v>
      </c>
      <c r="AH62" s="38" t="n">
        <v>1000</v>
      </c>
      <c r="AI62" s="118" t="n">
        <v>1000</v>
      </c>
      <c r="AJ62" s="119" t="n">
        <v>1000</v>
      </c>
      <c r="AK62" s="119" t="n">
        <v>1000</v>
      </c>
      <c r="AL62" s="119" t="n">
        <v>1000</v>
      </c>
      <c r="AM62" s="120" t="n">
        <v>1000</v>
      </c>
      <c r="AN62" s="118" t="n">
        <v>1000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742.17</v>
      </c>
      <c r="C63" s="35" t="n">
        <v>1029.79</v>
      </c>
      <c r="D63" s="35" t="n">
        <v>1029.79</v>
      </c>
      <c r="E63" s="35" t="n">
        <v>1029.79</v>
      </c>
      <c r="F63" s="35" t="n">
        <v>1029.79</v>
      </c>
      <c r="G63" s="35" t="n">
        <v>1029.79</v>
      </c>
      <c r="H63" s="35" t="n">
        <v>1137.79</v>
      </c>
      <c r="I63" s="35" t="n">
        <v>1022.54</v>
      </c>
      <c r="J63" s="35" t="n">
        <v>1022.54</v>
      </c>
      <c r="K63" s="35" t="n">
        <v>1092.42</v>
      </c>
      <c r="L63" s="35" t="n">
        <v>1092.42</v>
      </c>
      <c r="M63" s="35" t="n">
        <v>1179.3</v>
      </c>
      <c r="N63" s="36">
        <f>SUM(B63:M63)</f>
        <v/>
      </c>
      <c r="O63" s="37">
        <f>(SUMIF('KNL Blank TB'!$R:$R,'KNL HO P&amp;L'!$A63,'KNL Blank TB'!C:C)+(SUMIF('KNL HO TB'!$R:$R,'KNL HO P&amp;L'!$A63,'KNL HO TB'!C:C)))</f>
        <v/>
      </c>
      <c r="P63" s="37">
        <f>(SUMIF('KNL Blank TB'!$R:$R,'KNL HO P&amp;L'!$A63,'KNL Blank TB'!D:D)+(SUMIF('KNL HO TB'!$R:$R,'KNL HO P&amp;L'!$A63,'KNL HO TB'!D:D)))</f>
        <v/>
      </c>
      <c r="Q63" s="37">
        <f>(SUMIF('KNL Blank TB'!$R:$R,'KNL HO P&amp;L'!$A63,'KNL Blank TB'!E:E)+(SUMIF('KNL HO TB'!$R:$R,'KNL HO P&amp;L'!$A63,'KNL HO TB'!E:E)))</f>
        <v/>
      </c>
      <c r="R63" s="37">
        <f>(SUMIF('KNL Blank TB'!$R:$R,'KNL HO P&amp;L'!$A63,'KNL Blank TB'!F:F)+(SUMIF('KNL HO TB'!$R:$R,'KNL HO P&amp;L'!$A63,'KNL HO TB'!F:F)))</f>
        <v/>
      </c>
      <c r="S63" s="37">
        <f>(SUMIF('KNL Blank TB'!$R:$R,'KNL HO P&amp;L'!$A63,'KNL Blank TB'!G:G)+(SUMIF('KNL HO TB'!$R:$R,'KNL HO P&amp;L'!$A63,'KNL HO TB'!G:G)))</f>
        <v/>
      </c>
      <c r="T63" s="37">
        <f>(SUMIF('KNL Blank TB'!$R:$R,'KNL HO P&amp;L'!$A63,'KNL Blank TB'!H:H)+(SUMIF('KNL HO TB'!$R:$R,'KNL HO P&amp;L'!$A63,'KNL HO TB'!H:H)))</f>
        <v/>
      </c>
      <c r="U63" s="37">
        <f>(SUMIF('KNL Blank TB'!$R:$R,'KNL HO P&amp;L'!$A63,'KNL Blank TB'!I:I)+(SUMIF('KNL HO TB'!$R:$R,'KNL HO P&amp;L'!$A63,'KNL HO TB'!I:I)))</f>
        <v/>
      </c>
      <c r="V63" s="38" t="n">
        <v>1041</v>
      </c>
      <c r="W63" s="38" t="n">
        <v>1041</v>
      </c>
      <c r="X63" s="38" t="n">
        <v>1041</v>
      </c>
      <c r="Y63" s="38" t="n">
        <v>1041</v>
      </c>
      <c r="Z63" s="38" t="n">
        <v>1041</v>
      </c>
      <c r="AA63" s="36">
        <f>SUM(O63:U63)</f>
        <v/>
      </c>
      <c r="AB63" s="36">
        <f>SUM(O63:Z63)</f>
        <v/>
      </c>
      <c r="AC63" s="38" t="n">
        <v>1041</v>
      </c>
      <c r="AD63" s="38" t="n">
        <v>1041</v>
      </c>
      <c r="AE63" s="38" t="n">
        <v>1041</v>
      </c>
      <c r="AF63" s="38" t="n">
        <v>1041</v>
      </c>
      <c r="AG63" s="38" t="n">
        <v>1041</v>
      </c>
      <c r="AH63" s="38" t="n">
        <v>1041</v>
      </c>
      <c r="AI63" s="118" t="n">
        <v>1041</v>
      </c>
      <c r="AJ63" s="119" t="n">
        <v>1041</v>
      </c>
      <c r="AK63" s="119" t="n">
        <v>1041</v>
      </c>
      <c r="AL63" s="119" t="n">
        <v>1041</v>
      </c>
      <c r="AM63" s="120" t="n">
        <v>1041</v>
      </c>
      <c r="AN63" s="118" t="n">
        <v>1041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(SUMIF('KNL Blank TB'!$R:$R,'KNL HO P&amp;L'!$A64,'KNL Blank TB'!C:C)+(SUMIF('KNL HO TB'!$R:$R,'KNL HO P&amp;L'!$A64,'KNL HO TB'!C:C)))</f>
        <v/>
      </c>
      <c r="P64" s="37">
        <f>(SUMIF('KNL Blank TB'!$R:$R,'KNL HO P&amp;L'!$A64,'KNL Blank TB'!D:D)+(SUMIF('KNL HO TB'!$R:$R,'KNL HO P&amp;L'!$A64,'KNL HO TB'!D:D)))</f>
        <v/>
      </c>
      <c r="Q64" s="37">
        <f>(SUMIF('KNL Blank TB'!$R:$R,'KNL HO P&amp;L'!$A64,'KNL Blank TB'!E:E)+(SUMIF('KNL HO TB'!$R:$R,'KNL HO P&amp;L'!$A64,'KNL HO TB'!E:E)))</f>
        <v/>
      </c>
      <c r="R64" s="37">
        <f>(SUMIF('KNL Blank TB'!$R:$R,'KNL HO P&amp;L'!$A64,'KNL Blank TB'!F:F)+(SUMIF('KNL HO TB'!$R:$R,'KNL HO P&amp;L'!$A64,'KNL HO TB'!F:F)))</f>
        <v/>
      </c>
      <c r="S64" s="37">
        <f>(SUMIF('KNL Blank TB'!$R:$R,'KNL HO P&amp;L'!$A64,'KNL Blank TB'!G:G)+(SUMIF('KNL HO TB'!$R:$R,'KNL HO P&amp;L'!$A64,'KNL HO TB'!G:G)))</f>
        <v/>
      </c>
      <c r="T64" s="37">
        <f>(SUMIF('KNL Blank TB'!$R:$R,'KNL HO P&amp;L'!$A64,'KNL Blank TB'!H:H)+(SUMIF('KNL HO TB'!$R:$R,'KNL HO P&amp;L'!$A64,'KNL HO TB'!H:H)))</f>
        <v/>
      </c>
      <c r="U64" s="37">
        <f>(SUMIF('KNL Blank TB'!$R:$R,'KNL HO P&amp;L'!$A64,'KNL Blank TB'!I:I)+(SUMIF('KNL HO TB'!$R:$R,'KNL HO P&amp;L'!$A64,'KNL HO TB'!I:I)))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8" t="n">
        <v>0</v>
      </c>
      <c r="AJ64" s="119" t="n">
        <v>0</v>
      </c>
      <c r="AK64" s="119" t="n">
        <v>0</v>
      </c>
      <c r="AL64" s="119" t="n">
        <v>0</v>
      </c>
      <c r="AM64" s="120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10532.4</v>
      </c>
      <c r="C65" s="35" t="n">
        <v>30</v>
      </c>
      <c r="D65" s="35" t="n">
        <v>22779.6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3504</v>
      </c>
      <c r="N65" s="36">
        <f>SUM(B65:M65)</f>
        <v/>
      </c>
      <c r="O65" s="37">
        <f>(SUMIF('KNL Blank TB'!$R:$R,'KNL HO P&amp;L'!$A65,'KNL Blank TB'!C:C)+(SUMIF('KNL HO TB'!$R:$R,'KNL HO P&amp;L'!$A65,'KNL HO TB'!C:C)))</f>
        <v/>
      </c>
      <c r="P65" s="37">
        <f>(SUMIF('KNL Blank TB'!$R:$R,'KNL HO P&amp;L'!$A65,'KNL Blank TB'!D:D)+(SUMIF('KNL HO TB'!$R:$R,'KNL HO P&amp;L'!$A65,'KNL HO TB'!D:D)))</f>
        <v/>
      </c>
      <c r="Q65" s="37">
        <f>(SUMIF('KNL Blank TB'!$R:$R,'KNL HO P&amp;L'!$A65,'KNL Blank TB'!E:E)+(SUMIF('KNL HO TB'!$R:$R,'KNL HO P&amp;L'!$A65,'KNL HO TB'!E:E)))</f>
        <v/>
      </c>
      <c r="R65" s="37">
        <f>(SUMIF('KNL Blank TB'!$R:$R,'KNL HO P&amp;L'!$A65,'KNL Blank TB'!F:F)+(SUMIF('KNL HO TB'!$R:$R,'KNL HO P&amp;L'!$A65,'KNL HO TB'!F:F)))</f>
        <v/>
      </c>
      <c r="S65" s="37">
        <f>(SUMIF('KNL Blank TB'!$R:$R,'KNL HO P&amp;L'!$A65,'KNL Blank TB'!G:G)+(SUMIF('KNL HO TB'!$R:$R,'KNL HO P&amp;L'!$A65,'KNL HO TB'!G:G)))</f>
        <v/>
      </c>
      <c r="T65" s="37">
        <f>(SUMIF('KNL Blank TB'!$R:$R,'KNL HO P&amp;L'!$A65,'KNL Blank TB'!H:H)+(SUMIF('KNL HO TB'!$R:$R,'KNL HO P&amp;L'!$A65,'KNL HO TB'!H:H)))</f>
        <v/>
      </c>
      <c r="U65" s="37">
        <f>(SUMIF('KNL Blank TB'!$R:$R,'KNL HO P&amp;L'!$A65,'KNL Blank TB'!I:I)+(SUMIF('KNL HO TB'!$R:$R,'KNL HO P&amp;L'!$A65,'KNL HO TB'!I:I)))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8" t="n">
        <v>0</v>
      </c>
      <c r="AJ65" s="119" t="n">
        <v>0</v>
      </c>
      <c r="AK65" s="119" t="n">
        <v>0</v>
      </c>
      <c r="AL65" s="119" t="n">
        <v>0</v>
      </c>
      <c r="AM65" s="120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(SUMIF('KNL Blank TB'!$R:$R,'KNL HO P&amp;L'!$A66,'KNL Blank TB'!C:C)+(SUMIF('KNL HO TB'!$R:$R,'KNL HO P&amp;L'!$A66,'KNL HO TB'!C:C)))</f>
        <v/>
      </c>
      <c r="P66" s="37">
        <f>(SUMIF('KNL Blank TB'!$R:$R,'KNL HO P&amp;L'!$A66,'KNL Blank TB'!D:D)+(SUMIF('KNL HO TB'!$R:$R,'KNL HO P&amp;L'!$A66,'KNL HO TB'!D:D)))</f>
        <v/>
      </c>
      <c r="Q66" s="37">
        <f>(SUMIF('KNL Blank TB'!$R:$R,'KNL HO P&amp;L'!$A66,'KNL Blank TB'!E:E)+(SUMIF('KNL HO TB'!$R:$R,'KNL HO P&amp;L'!$A66,'KNL HO TB'!E:E)))</f>
        <v/>
      </c>
      <c r="R66" s="37">
        <f>(SUMIF('KNL Blank TB'!$R:$R,'KNL HO P&amp;L'!$A66,'KNL Blank TB'!F:F)+(SUMIF('KNL HO TB'!$R:$R,'KNL HO P&amp;L'!$A66,'KNL HO TB'!F:F)))</f>
        <v/>
      </c>
      <c r="S66" s="37">
        <f>(SUMIF('KNL Blank TB'!$R:$R,'KNL HO P&amp;L'!$A66,'KNL Blank TB'!G:G)+(SUMIF('KNL HO TB'!$R:$R,'KNL HO P&amp;L'!$A66,'KNL HO TB'!G:G)))</f>
        <v/>
      </c>
      <c r="T66" s="37">
        <f>(SUMIF('KNL Blank TB'!$R:$R,'KNL HO P&amp;L'!$A66,'KNL Blank TB'!H:H)+(SUMIF('KNL HO TB'!$R:$R,'KNL HO P&amp;L'!$A66,'KNL HO TB'!H:H)))</f>
        <v/>
      </c>
      <c r="U66" s="37">
        <f>(SUMIF('KNL Blank TB'!$R:$R,'KNL HO P&amp;L'!$A66,'KNL Blank TB'!I:I)+(SUMIF('KNL HO TB'!$R:$R,'KNL HO P&amp;L'!$A66,'KNL HO TB'!I:I)))</f>
        <v/>
      </c>
      <c r="V66" s="38" t="n">
        <v>0</v>
      </c>
      <c r="W66" s="38" t="n">
        <v>0</v>
      </c>
      <c r="X66" s="38" t="n">
        <v>0</v>
      </c>
      <c r="Y66" s="38" t="n">
        <v>0</v>
      </c>
      <c r="Z66" s="38" t="n">
        <v>0</v>
      </c>
      <c r="AA66" s="36">
        <f>SUM(O66:U66)</f>
        <v/>
      </c>
      <c r="AB66" s="36">
        <f>SUM(O66:Z66)</f>
        <v/>
      </c>
      <c r="AC66" s="38" t="n">
        <v>0</v>
      </c>
      <c r="AD66" s="38" t="n">
        <v>0</v>
      </c>
      <c r="AE66" s="38" t="n">
        <v>0</v>
      </c>
      <c r="AF66" s="38" t="n">
        <v>0</v>
      </c>
      <c r="AG66" s="38" t="n">
        <v>0</v>
      </c>
      <c r="AH66" s="38" t="n">
        <v>0</v>
      </c>
      <c r="AI66" s="118" t="n">
        <v>0</v>
      </c>
      <c r="AJ66" s="119" t="n">
        <v>0</v>
      </c>
      <c r="AK66" s="119" t="n">
        <v>0</v>
      </c>
      <c r="AL66" s="119" t="n">
        <v>0</v>
      </c>
      <c r="AM66" s="120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-4290.96</v>
      </c>
      <c r="C67" s="35" t="n">
        <v>23918.81</v>
      </c>
      <c r="D67" s="35" t="n">
        <v>6956.65</v>
      </c>
      <c r="E67" s="35" t="n">
        <v>17731.11</v>
      </c>
      <c r="F67" s="35" t="n">
        <v>12608.06</v>
      </c>
      <c r="G67" s="35" t="n">
        <v>5374.48</v>
      </c>
      <c r="H67" s="35" t="n">
        <v>5758.32</v>
      </c>
      <c r="I67" s="35" t="n">
        <v>5661.030000000001</v>
      </c>
      <c r="J67" s="35" t="n">
        <v>17475.36</v>
      </c>
      <c r="K67" s="35" t="n">
        <v>7906.360000000001</v>
      </c>
      <c r="L67" s="35" t="n">
        <v>6674.92</v>
      </c>
      <c r="M67" s="35" t="n">
        <v>5464.04</v>
      </c>
      <c r="N67" s="36">
        <f>SUM(B67:M67)</f>
        <v/>
      </c>
      <c r="O67" s="37">
        <f>(SUMIF('KNL Blank TB'!$R:$R,'KNL HO P&amp;L'!$A67,'KNL Blank TB'!C:C)+(SUMIF('KNL HO TB'!$R:$R,'KNL HO P&amp;L'!$A67,'KNL HO TB'!C:C)))</f>
        <v/>
      </c>
      <c r="P67" s="37">
        <f>(SUMIF('KNL Blank TB'!$R:$R,'KNL HO P&amp;L'!$A67,'KNL Blank TB'!D:D)+(SUMIF('KNL HO TB'!$R:$R,'KNL HO P&amp;L'!$A67,'KNL HO TB'!D:D)))</f>
        <v/>
      </c>
      <c r="Q67" s="37">
        <f>(SUMIF('KNL Blank TB'!$R:$R,'KNL HO P&amp;L'!$A67,'KNL Blank TB'!E:E)+(SUMIF('KNL HO TB'!$R:$R,'KNL HO P&amp;L'!$A67,'KNL HO TB'!E:E)))</f>
        <v/>
      </c>
      <c r="R67" s="37">
        <f>(SUMIF('KNL Blank TB'!$R:$R,'KNL HO P&amp;L'!$A67,'KNL Blank TB'!F:F)+(SUMIF('KNL HO TB'!$R:$R,'KNL HO P&amp;L'!$A67,'KNL HO TB'!F:F)))</f>
        <v/>
      </c>
      <c r="S67" s="37">
        <f>(SUMIF('KNL Blank TB'!$R:$R,'KNL HO P&amp;L'!$A67,'KNL Blank TB'!G:G)+(SUMIF('KNL HO TB'!$R:$R,'KNL HO P&amp;L'!$A67,'KNL HO TB'!G:G)))</f>
        <v/>
      </c>
      <c r="T67" s="37">
        <f>(SUMIF('KNL Blank TB'!$R:$R,'KNL HO P&amp;L'!$A67,'KNL Blank TB'!H:H)+(SUMIF('KNL HO TB'!$R:$R,'KNL HO P&amp;L'!$A67,'KNL HO TB'!H:H)))</f>
        <v/>
      </c>
      <c r="U67" s="37">
        <f>(SUMIF('KNL Blank TB'!$R:$R,'KNL HO P&amp;L'!$A67,'KNL Blank TB'!I:I)+(SUMIF('KNL HO TB'!$R:$R,'KNL HO P&amp;L'!$A67,'KNL HO TB'!I:I)))</f>
        <v/>
      </c>
      <c r="V67" s="38" t="n">
        <v>6000</v>
      </c>
      <c r="W67" s="38" t="n">
        <v>6000</v>
      </c>
      <c r="X67" s="38" t="n">
        <v>6000</v>
      </c>
      <c r="Y67" s="38" t="n">
        <v>6000</v>
      </c>
      <c r="Z67" s="38" t="n">
        <v>6000</v>
      </c>
      <c r="AA67" s="36">
        <f>SUM(O67:U67)</f>
        <v/>
      </c>
      <c r="AB67" s="36">
        <f>SUM(O67:Z67)</f>
        <v/>
      </c>
      <c r="AC67" s="38" t="n">
        <v>6000</v>
      </c>
      <c r="AD67" s="38" t="n">
        <v>6000</v>
      </c>
      <c r="AE67" s="38" t="n">
        <v>6000</v>
      </c>
      <c r="AF67" s="38" t="n">
        <v>6000</v>
      </c>
      <c r="AG67" s="38" t="n">
        <v>6000</v>
      </c>
      <c r="AH67" s="38" t="n">
        <v>6000</v>
      </c>
      <c r="AI67" s="118" t="n">
        <v>6000</v>
      </c>
      <c r="AJ67" s="119" t="n">
        <v>6000</v>
      </c>
      <c r="AK67" s="119" t="n">
        <v>6000</v>
      </c>
      <c r="AL67" s="119" t="n">
        <v>6000</v>
      </c>
      <c r="AM67" s="120" t="n">
        <v>6000</v>
      </c>
      <c r="AN67" s="118" t="n">
        <v>6000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147.7</v>
      </c>
      <c r="C68" s="35" t="n">
        <v>172.2</v>
      </c>
      <c r="D68" s="35" t="n">
        <v>142.8</v>
      </c>
      <c r="E68" s="35" t="n">
        <v>191.45</v>
      </c>
      <c r="F68" s="35" t="n">
        <v>176.1</v>
      </c>
      <c r="G68" s="35" t="n">
        <v>144.45</v>
      </c>
      <c r="H68" s="35" t="n">
        <v>180.25</v>
      </c>
      <c r="I68" s="35" t="n">
        <v>154.35</v>
      </c>
      <c r="J68" s="35" t="n">
        <v>130.55</v>
      </c>
      <c r="K68" s="35" t="n">
        <v>140.7</v>
      </c>
      <c r="L68" s="35" t="n">
        <v>105.7</v>
      </c>
      <c r="M68" s="35" t="n">
        <v>156.45</v>
      </c>
      <c r="N68" s="36">
        <f>SUM(B68:M68)</f>
        <v/>
      </c>
      <c r="O68" s="37">
        <f>(SUMIF('KNL Blank TB'!$R:$R,'KNL HO P&amp;L'!$A68,'KNL Blank TB'!C:C)+(SUMIF('KNL HO TB'!$R:$R,'KNL HO P&amp;L'!$A68,'KNL HO TB'!C:C)))</f>
        <v/>
      </c>
      <c r="P68" s="37">
        <f>(SUMIF('KNL Blank TB'!$R:$R,'KNL HO P&amp;L'!$A68,'KNL Blank TB'!D:D)+(SUMIF('KNL HO TB'!$R:$R,'KNL HO P&amp;L'!$A68,'KNL HO TB'!D:D)))</f>
        <v/>
      </c>
      <c r="Q68" s="37">
        <f>(SUMIF('KNL Blank TB'!$R:$R,'KNL HO P&amp;L'!$A68,'KNL Blank TB'!E:E)+(SUMIF('KNL HO TB'!$R:$R,'KNL HO P&amp;L'!$A68,'KNL HO TB'!E:E)))</f>
        <v/>
      </c>
      <c r="R68" s="37">
        <f>(SUMIF('KNL Blank TB'!$R:$R,'KNL HO P&amp;L'!$A68,'KNL Blank TB'!F:F)+(SUMIF('KNL HO TB'!$R:$R,'KNL HO P&amp;L'!$A68,'KNL HO TB'!F:F)))</f>
        <v/>
      </c>
      <c r="S68" s="37">
        <f>(SUMIF('KNL Blank TB'!$R:$R,'KNL HO P&amp;L'!$A68,'KNL Blank TB'!G:G)+(SUMIF('KNL HO TB'!$R:$R,'KNL HO P&amp;L'!$A68,'KNL HO TB'!G:G)))</f>
        <v/>
      </c>
      <c r="T68" s="37">
        <f>(SUMIF('KNL Blank TB'!$R:$R,'KNL HO P&amp;L'!$A68,'KNL Blank TB'!H:H)+(SUMIF('KNL HO TB'!$R:$R,'KNL HO P&amp;L'!$A68,'KNL HO TB'!H:H)))</f>
        <v/>
      </c>
      <c r="U68" s="37">
        <f>(SUMIF('KNL Blank TB'!$R:$R,'KNL HO P&amp;L'!$A68,'KNL Blank TB'!I:I)+(SUMIF('KNL HO TB'!$R:$R,'KNL HO P&amp;L'!$A68,'KNL HO TB'!I:I)))</f>
        <v/>
      </c>
      <c r="V68" s="38" t="n">
        <v>2600</v>
      </c>
      <c r="W68" s="38" t="n">
        <v>2600</v>
      </c>
      <c r="X68" s="38" t="n">
        <v>2600</v>
      </c>
      <c r="Y68" s="38" t="n">
        <v>2600</v>
      </c>
      <c r="Z68" s="38" t="n">
        <v>2600</v>
      </c>
      <c r="AA68" s="36">
        <f>SUM(O68:U68)</f>
        <v/>
      </c>
      <c r="AB68" s="36">
        <f>SUM(O68:Z68)</f>
        <v/>
      </c>
      <c r="AC68" s="38" t="n">
        <v>2600</v>
      </c>
      <c r="AD68" s="38" t="n">
        <v>2600</v>
      </c>
      <c r="AE68" s="38" t="n">
        <v>2600</v>
      </c>
      <c r="AF68" s="38" t="n">
        <v>2600</v>
      </c>
      <c r="AG68" s="38" t="n">
        <v>2600</v>
      </c>
      <c r="AH68" s="38" t="n">
        <v>2600</v>
      </c>
      <c r="AI68" s="118" t="n">
        <v>2600</v>
      </c>
      <c r="AJ68" s="119" t="n">
        <v>2600</v>
      </c>
      <c r="AK68" s="119" t="n">
        <v>2600</v>
      </c>
      <c r="AL68" s="119" t="n">
        <v>2600</v>
      </c>
      <c r="AM68" s="120" t="n">
        <v>2600</v>
      </c>
      <c r="AN68" s="118" t="n">
        <v>2600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105473.29</v>
      </c>
      <c r="C69" s="42" t="n">
        <v>127738.25</v>
      </c>
      <c r="D69" s="42" t="n">
        <v>131890.99</v>
      </c>
      <c r="E69" s="42" t="n">
        <v>179978.4</v>
      </c>
      <c r="F69" s="42" t="n">
        <v>113031.37</v>
      </c>
      <c r="G69" s="42" t="n">
        <v>127118.75</v>
      </c>
      <c r="H69" s="42" t="n">
        <v>127501.48</v>
      </c>
      <c r="I69" s="42" t="n">
        <v>144145.71</v>
      </c>
      <c r="J69" s="42" t="n">
        <v>202911.23</v>
      </c>
      <c r="K69" s="42" t="n">
        <v>133187.31</v>
      </c>
      <c r="L69" s="42" t="n">
        <v>143334.84</v>
      </c>
      <c r="M69" s="42" t="n">
        <v>461650.09</v>
      </c>
      <c r="N69" s="43">
        <f>SUM(B69:M69)</f>
        <v/>
      </c>
      <c r="O69" s="44">
        <f>SUM(O53:O68)</f>
        <v/>
      </c>
      <c r="P69" s="44">
        <f>SUM(P53:P68)</f>
        <v/>
      </c>
      <c r="Q69" s="44">
        <f>SUM(Q53:Q68)</f>
        <v/>
      </c>
      <c r="R69" s="44">
        <f>SUM(R53:R68)</f>
        <v/>
      </c>
      <c r="S69" s="44">
        <f>SUM(S53:S68)</f>
        <v/>
      </c>
      <c r="T69" s="44">
        <f>SUM(T53:T68)</f>
        <v/>
      </c>
      <c r="U69" s="44">
        <f>SUM(U53:U68)</f>
        <v/>
      </c>
      <c r="V69" s="45">
        <f>SUM(V53:V68)</f>
        <v/>
      </c>
      <c r="W69" s="45">
        <f>SUM(W53:W68)</f>
        <v/>
      </c>
      <c r="X69" s="45">
        <f>SUM(X53:X68)</f>
        <v/>
      </c>
      <c r="Y69" s="45">
        <f>SUM(Y53:Y68)</f>
        <v/>
      </c>
      <c r="Z69" s="45">
        <f>SUM(Z53:Z68)</f>
        <v/>
      </c>
      <c r="AA69" s="43">
        <f>SUM(AA53:AA68)</f>
        <v/>
      </c>
      <c r="AB69" s="43">
        <f>SUM(AB53:AB68)</f>
        <v/>
      </c>
      <c r="AC69" s="45" t="n"/>
      <c r="AD69" s="45" t="n"/>
      <c r="AE69" s="45" t="n"/>
      <c r="AF69" s="45" t="n"/>
      <c r="AG69" s="45" t="n"/>
      <c r="AH69" s="45" t="n"/>
      <c r="AI69" s="134" t="n">
        <v>0</v>
      </c>
      <c r="AJ69" s="152" t="n">
        <v>0</v>
      </c>
      <c r="AK69" s="152" t="n">
        <v>0</v>
      </c>
      <c r="AL69" s="152" t="n">
        <v>0</v>
      </c>
      <c r="AM69" s="152" t="n">
        <v>0</v>
      </c>
      <c r="AN69" s="134" t="n">
        <v>0</v>
      </c>
      <c r="AO69" s="125">
        <f>SUM(AC69:AH69)+SUM(AI69:AN69)</f>
        <v/>
      </c>
      <c r="AP69" s="126">
        <f>IF(AB69&lt;&gt;0,(AO69-AB69)/ABS(AB69),0)</f>
        <v/>
      </c>
    </row>
    <row r="70">
      <c r="A70" s="54" t="inlineStr">
        <is>
          <t>EBITDA</t>
        </is>
      </c>
      <c r="B70" s="55" t="n">
        <v>-124990.8</v>
      </c>
      <c r="C70" s="55" t="n">
        <v>-147887.8499999999</v>
      </c>
      <c r="D70" s="55" t="n">
        <v>-146464.83</v>
      </c>
      <c r="E70" s="55" t="n">
        <v>-192959.78</v>
      </c>
      <c r="F70" s="55" t="n">
        <v>-126275.91</v>
      </c>
      <c r="G70" s="55" t="n">
        <v>-152500.46</v>
      </c>
      <c r="H70" s="55" t="n">
        <v>-143191.9</v>
      </c>
      <c r="I70" s="55" t="n">
        <v>-157552.07</v>
      </c>
      <c r="J70" s="55" t="n">
        <v>-217376.64</v>
      </c>
      <c r="K70" s="55" t="n">
        <v>-150481.12</v>
      </c>
      <c r="L70" s="55" t="n">
        <v>-155007.52</v>
      </c>
      <c r="M70" s="55" t="n">
        <v>-470068.17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 t="n"/>
      <c r="AD70" s="55" t="n"/>
      <c r="AE70" s="55" t="n"/>
      <c r="AF70" s="55" t="n"/>
      <c r="AG70" s="55" t="n"/>
      <c r="AH70" s="55" t="n"/>
      <c r="AI70" s="127" t="n">
        <v>0</v>
      </c>
      <c r="AJ70" s="127" t="n">
        <v>0</v>
      </c>
      <c r="AK70" s="127" t="n">
        <v>0</v>
      </c>
      <c r="AL70" s="127" t="n">
        <v>0</v>
      </c>
      <c r="AM70" s="127" t="n">
        <v>0</v>
      </c>
      <c r="AN70" s="127" t="n">
        <v>0</v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22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8" t="n"/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63" t="inlineStr">
        <is>
          <t>Memo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8" t="n"/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60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4">
        <f>SUM(AC72:AH72)+SUM(AI72:AN72)</f>
        <v/>
      </c>
      <c r="AP72" s="142">
        <f>IF(AB72&lt;&gt;0,(AO72-AB72)/ABS(AB72),0)</f>
        <v/>
      </c>
    </row>
    <row r="73">
      <c r="A73" s="34" t="inlineStr">
        <is>
          <t>Direct - Sales</t>
        </is>
      </c>
      <c r="B73" s="18" t="n">
        <v>0</v>
      </c>
      <c r="C73" s="18" t="n">
        <v>0</v>
      </c>
      <c r="D73" s="18" t="n">
        <v>0</v>
      </c>
      <c r="E73" s="18" t="n">
        <v>0</v>
      </c>
      <c r="F73" s="18" t="n">
        <v>0</v>
      </c>
      <c r="G73" s="18" t="n">
        <v>16.94</v>
      </c>
      <c r="H73" s="18" t="n">
        <v>0</v>
      </c>
      <c r="I73" s="18" t="n">
        <v>0</v>
      </c>
      <c r="J73" s="18" t="n">
        <v>850.5700000000001</v>
      </c>
      <c r="K73" s="18" t="n">
        <v>0</v>
      </c>
      <c r="L73" s="18" t="n">
        <v>730.24</v>
      </c>
      <c r="M73" s="18" t="n">
        <v>0</v>
      </c>
      <c r="N73" s="8" t="n"/>
      <c r="O73" s="60">
        <f>-SUMIF('KNL Blank TB'!$T:$T,'KNL HO P&amp;L'!$A73,'KNL Blank TB'!C:C)-SUMIF('KNL HO TB'!$T:$T,'KNL HO P&amp;L'!$A73,'KNL HO TB'!C:C)</f>
        <v/>
      </c>
      <c r="P73" s="60">
        <f>-SUMIF('KNL Blank TB'!$T:$T,'KNL HO P&amp;L'!$A73,'KNL Blank TB'!D:D)-SUMIF('KNL HO TB'!$T:$T,'KNL HO P&amp;L'!$A73,'KNL HO TB'!D:D)</f>
        <v/>
      </c>
      <c r="Q73" s="60">
        <f>-SUMIF('KNL Blank TB'!$T:$T,'KNL HO P&amp;L'!$A73,'KNL Blank TB'!E:E)-SUMIF('KNL HO TB'!$T:$T,'KNL HO P&amp;L'!$A73,'KNL HO TB'!E:E)</f>
        <v/>
      </c>
      <c r="R73" s="60">
        <f>-SUMIF('KNL Blank TB'!$T:$T,'KNL HO P&amp;L'!$A73,'KNL Blank TB'!F:F)-SUMIF('KNL HO TB'!$T:$T,'KNL HO P&amp;L'!$A73,'KNL HO TB'!F:F)</f>
        <v/>
      </c>
      <c r="S73" s="60">
        <f>-SUMIF('KNL Blank TB'!$T:$T,'KNL HO P&amp;L'!$A73,'KNL Blank TB'!G:G)-SUMIF('KNL HO TB'!$T:$T,'KNL HO P&amp;L'!$A73,'KNL HO TB'!G:G)</f>
        <v/>
      </c>
      <c r="T73" s="60">
        <f>-SUMIF('KNL Blank TB'!$T:$T,'KNL HO P&amp;L'!$A73,'KNL Blank TB'!H:H)-SUMIF('KNL HO TB'!$T:$T,'KNL HO P&amp;L'!$A73,'KNL HO TB'!H:H)</f>
        <v/>
      </c>
      <c r="U73" s="60">
        <f>-SUMIF('KNL Blank TB'!$T:$T,'KNL HO P&amp;L'!$A73,'KNL Blank TB'!I:I)-SUMIF('KNL HO TB'!$T:$T,'KNL HO P&amp;L'!$A73,'KNL HO TB'!I:I)</f>
        <v/>
      </c>
      <c r="V73" s="20" t="n"/>
      <c r="W73" s="20" t="n"/>
      <c r="X73" s="20" t="n"/>
      <c r="Y73" s="20" t="n"/>
      <c r="Z73" s="20" t="n"/>
      <c r="AA73" s="60">
        <f>SUM(O73:T73)</f>
        <v/>
      </c>
      <c r="AB73" s="56" t="n"/>
      <c r="AC73" s="20" t="n"/>
      <c r="AD73" s="20" t="n"/>
      <c r="AE73" s="20" t="n"/>
      <c r="AF73" s="20" t="n"/>
      <c r="AG73" s="20" t="n"/>
      <c r="AH73" s="20" t="n"/>
      <c r="AI73" s="134" t="n">
        <v>0</v>
      </c>
      <c r="AJ73" s="134" t="n">
        <v>0</v>
      </c>
      <c r="AK73" s="134" t="n">
        <v>0</v>
      </c>
      <c r="AL73" s="134" t="n">
        <v>0</v>
      </c>
      <c r="AM73" s="134" t="n">
        <v>0</v>
      </c>
      <c r="AN73" s="134" t="n">
        <v>0</v>
      </c>
      <c r="AO73" s="144">
        <f>SUM(AC73:AH73)+SUM(AI73:AN73)</f>
        <v/>
      </c>
      <c r="AP73" s="142">
        <f>IF(AB73&lt;&gt;0,(AO73-AB73)/ABS(AB73),0)</f>
        <v/>
      </c>
    </row>
    <row r="74">
      <c r="A74" s="34" t="inlineStr">
        <is>
          <t>Direct - Staff Cost</t>
        </is>
      </c>
      <c r="B74" s="18" t="n">
        <v>-6091.440000000001</v>
      </c>
      <c r="C74" s="18" t="n">
        <v>-9015.780000000001</v>
      </c>
      <c r="D74" s="18" t="n">
        <v>-4391.81</v>
      </c>
      <c r="E74" s="18" t="n">
        <v>-4281.74</v>
      </c>
      <c r="F74" s="18" t="n">
        <v>-4244.740000000001</v>
      </c>
      <c r="G74" s="18" t="n">
        <v>-8886.360000000001</v>
      </c>
      <c r="H74" s="18" t="n">
        <v>-5031.55</v>
      </c>
      <c r="I74" s="18" t="n">
        <v>-3980.68</v>
      </c>
      <c r="J74" s="18" t="n">
        <v>-4941.349999999999</v>
      </c>
      <c r="K74" s="18" t="n">
        <v>-7914.05</v>
      </c>
      <c r="L74" s="18" t="n">
        <v>-5092.52</v>
      </c>
      <c r="M74" s="18" t="n">
        <v>-2688.92</v>
      </c>
      <c r="N74" s="8" t="n"/>
      <c r="O74" s="60">
        <f>-SUMIF('KNL Blank TB'!$T:$T,'KNL HO P&amp;L'!$A74,'KNL Blank TB'!C:C)-SUMIF('KNL HO TB'!$T:$T,'KNL HO P&amp;L'!$A74,'KNL HO TB'!C:C)</f>
        <v/>
      </c>
      <c r="P74" s="60">
        <f>-SUMIF('KNL Blank TB'!$T:$T,'KNL HO P&amp;L'!$A74,'KNL Blank TB'!D:D)-SUMIF('KNL HO TB'!$T:$T,'KNL HO P&amp;L'!$A74,'KNL HO TB'!D:D)</f>
        <v/>
      </c>
      <c r="Q74" s="60">
        <f>-SUMIF('KNL Blank TB'!$T:$T,'KNL HO P&amp;L'!$A74,'KNL Blank TB'!E:E)-SUMIF('KNL HO TB'!$T:$T,'KNL HO P&amp;L'!$A74,'KNL HO TB'!E:E)</f>
        <v/>
      </c>
      <c r="R74" s="60">
        <f>-SUMIF('KNL Blank TB'!$T:$T,'KNL HO P&amp;L'!$A74,'KNL Blank TB'!F:F)-SUMIF('KNL HO TB'!$T:$T,'KNL HO P&amp;L'!$A74,'KNL HO TB'!F:F)</f>
        <v/>
      </c>
      <c r="S74" s="60">
        <f>-SUMIF('KNL Blank TB'!$T:$T,'KNL HO P&amp;L'!$A74,'KNL Blank TB'!G:G)-SUMIF('KNL HO TB'!$T:$T,'KNL HO P&amp;L'!$A74,'KNL HO TB'!G:G)</f>
        <v/>
      </c>
      <c r="T74" s="60">
        <f>-SUMIF('KNL Blank TB'!$T:$T,'KNL HO P&amp;L'!$A74,'KNL Blank TB'!H:H)-SUMIF('KNL HO TB'!$T:$T,'KNL HO P&amp;L'!$A74,'KNL HO TB'!H:H)</f>
        <v/>
      </c>
      <c r="U74" s="60">
        <f>-SUMIF('KNL Blank TB'!$T:$T,'KNL HO P&amp;L'!$A74,'KNL Blank TB'!I:I)-SUMIF('KNL HO TB'!$T:$T,'KNL HO P&amp;L'!$A74,'KNL HO TB'!I:I)</f>
        <v/>
      </c>
      <c r="V74" s="20" t="n"/>
      <c r="W74" s="20" t="n"/>
      <c r="X74" s="20" t="n"/>
      <c r="Y74" s="20" t="n"/>
      <c r="Z74" s="20" t="n"/>
      <c r="AA74" s="60">
        <f>SUM(O74:T74)</f>
        <v/>
      </c>
      <c r="AB74" s="8" t="n"/>
      <c r="AC74" s="20" t="n"/>
      <c r="AD74" s="20" t="n"/>
      <c r="AE74" s="20" t="n"/>
      <c r="AF74" s="20" t="n"/>
      <c r="AG74" s="20" t="n"/>
      <c r="AH74" s="20" t="n"/>
      <c r="AI74" s="134" t="n">
        <v>0</v>
      </c>
      <c r="AJ74" s="134" t="n">
        <v>0</v>
      </c>
      <c r="AK74" s="134" t="n">
        <v>0</v>
      </c>
      <c r="AL74" s="134" t="n">
        <v>0</v>
      </c>
      <c r="AM74" s="134" t="n">
        <v>0</v>
      </c>
      <c r="AN74" s="134" t="n">
        <v>0</v>
      </c>
      <c r="AO74" s="144">
        <f>SUM(AC74:AH74)+SUM(AI74:AN74)</f>
        <v/>
      </c>
      <c r="AP74" s="142">
        <f>IF(AB74&lt;&gt;0,(AO74-AB74)/ABS(AB74),0)</f>
        <v/>
      </c>
    </row>
    <row r="75">
      <c r="A75" s="60" t="inlineStr">
        <is>
          <t>Direct - Childcare Cost</t>
        </is>
      </c>
      <c r="B75" s="18" t="n">
        <v>-703.15</v>
      </c>
      <c r="C75" s="18" t="n">
        <v>-183.44</v>
      </c>
      <c r="D75" s="18" t="n">
        <v>-316.26</v>
      </c>
      <c r="E75" s="18" t="n">
        <v>-240.79</v>
      </c>
      <c r="F75" s="18" t="n">
        <v>-44.48</v>
      </c>
      <c r="G75" s="18" t="n">
        <v>-125.3</v>
      </c>
      <c r="H75" s="18" t="n">
        <v>-461.6200000000001</v>
      </c>
      <c r="I75" s="18" t="n">
        <v>-125.85</v>
      </c>
      <c r="J75" s="18" t="n">
        <v>-73.06999999999999</v>
      </c>
      <c r="K75" s="18" t="n">
        <v>-92.48999999999999</v>
      </c>
      <c r="L75" s="18" t="n">
        <v>-116.65</v>
      </c>
      <c r="M75" s="18" t="n">
        <v>-50.44</v>
      </c>
      <c r="N75" s="8" t="n"/>
      <c r="O75" s="60">
        <f>-SUMIF('KNL Blank TB'!$T:$T,'KNL HO P&amp;L'!$A75,'KNL Blank TB'!C:C)-SUMIF('KNL HO TB'!$T:$T,'KNL HO P&amp;L'!$A75,'KNL HO TB'!C:C)</f>
        <v/>
      </c>
      <c r="P75" s="60">
        <f>-SUMIF('KNL Blank TB'!$T:$T,'KNL HO P&amp;L'!$A75,'KNL Blank TB'!D:D)-SUMIF('KNL HO TB'!$T:$T,'KNL HO P&amp;L'!$A75,'KNL HO TB'!D:D)</f>
        <v/>
      </c>
      <c r="Q75" s="60">
        <f>-SUMIF('KNL Blank TB'!$T:$T,'KNL HO P&amp;L'!$A75,'KNL Blank TB'!E:E)-SUMIF('KNL HO TB'!$T:$T,'KNL HO P&amp;L'!$A75,'KNL HO TB'!E:E)</f>
        <v/>
      </c>
      <c r="R75" s="60">
        <f>-SUMIF('KNL Blank TB'!$T:$T,'KNL HO P&amp;L'!$A75,'KNL Blank TB'!F:F)-SUMIF('KNL HO TB'!$T:$T,'KNL HO P&amp;L'!$A75,'KNL HO TB'!F:F)</f>
        <v/>
      </c>
      <c r="S75" s="60">
        <f>-SUMIF('KNL Blank TB'!$T:$T,'KNL HO P&amp;L'!$A75,'KNL Blank TB'!G:G)-SUMIF('KNL HO TB'!$T:$T,'KNL HO P&amp;L'!$A75,'KNL HO TB'!G:G)</f>
        <v/>
      </c>
      <c r="T75" s="60">
        <f>-SUMIF('KNL Blank TB'!$T:$T,'KNL HO P&amp;L'!$A75,'KNL Blank TB'!H:H)-SUMIF('KNL HO TB'!$T:$T,'KNL HO P&amp;L'!$A75,'KNL HO TB'!H:H)</f>
        <v/>
      </c>
      <c r="U75" s="60">
        <f>-SUMIF('KNL Blank TB'!$T:$T,'KNL HO P&amp;L'!$A75,'KNL Blank TB'!I:I)-SUMIF('KNL HO TB'!$T:$T,'KNL HO P&amp;L'!$A75,'KNL HO TB'!I:I)</f>
        <v/>
      </c>
      <c r="V75" s="20" t="n"/>
      <c r="W75" s="20" t="n"/>
      <c r="X75" s="20" t="n"/>
      <c r="Y75" s="20" t="n"/>
      <c r="Z75" s="20" t="n"/>
      <c r="AA75" s="60">
        <f>SUM(O75:T75)</f>
        <v/>
      </c>
      <c r="AB75" s="8" t="n"/>
      <c r="AC75" s="20" t="n"/>
      <c r="AD75" s="20" t="n"/>
      <c r="AE75" s="20" t="n"/>
      <c r="AF75" s="20" t="n"/>
      <c r="AG75" s="20" t="n"/>
      <c r="AH75" s="20" t="n"/>
      <c r="AI75" s="134" t="n">
        <v>0</v>
      </c>
      <c r="AJ75" s="134" t="n">
        <v>0</v>
      </c>
      <c r="AK75" s="134" t="n">
        <v>0</v>
      </c>
      <c r="AL75" s="134" t="n">
        <v>0</v>
      </c>
      <c r="AM75" s="134" t="n">
        <v>0</v>
      </c>
      <c r="AN75" s="134" t="n">
        <v>0</v>
      </c>
      <c r="AO75" s="144">
        <f>SUM(AC75:AH75)+SUM(AI75:AN75)</f>
        <v/>
      </c>
      <c r="AP75" s="142">
        <f>IF(AB75&lt;&gt;0,(AO75-AB75)/ABS(AB75),0)</f>
        <v/>
      </c>
    </row>
    <row r="76">
      <c r="A76" s="60" t="inlineStr">
        <is>
          <t>Direct - Premises &amp; Admin</t>
        </is>
      </c>
      <c r="B76" s="18" t="n">
        <v>-12722.92</v>
      </c>
      <c r="C76" s="18" t="n">
        <v>-10950.38</v>
      </c>
      <c r="D76" s="18" t="n">
        <v>-9865.77</v>
      </c>
      <c r="E76" s="18" t="n">
        <v>-8458.85</v>
      </c>
      <c r="F76" s="18" t="n">
        <v>-8955.32</v>
      </c>
      <c r="G76" s="18" t="n">
        <v>-16386.99</v>
      </c>
      <c r="H76" s="18" t="n">
        <v>-10197.25</v>
      </c>
      <c r="I76" s="18" t="n">
        <v>-9299.83</v>
      </c>
      <c r="J76" s="18" t="n">
        <v>-10301.56</v>
      </c>
      <c r="K76" s="18" t="n">
        <v>-9287.27</v>
      </c>
      <c r="L76" s="18" t="n">
        <v>-7193.749999999999</v>
      </c>
      <c r="M76" s="18" t="n">
        <v>-5678.72</v>
      </c>
      <c r="N76" s="8" t="n"/>
      <c r="O76" s="60">
        <f>-SUMIF('KNL Blank TB'!$T:$T,'KNL HO P&amp;L'!$A76,'KNL Blank TB'!C:C)-SUMIF('KNL HO TB'!$T:$T,'KNL HO P&amp;L'!$A76,'KNL HO TB'!C:C)</f>
        <v/>
      </c>
      <c r="P76" s="60">
        <f>-SUMIF('KNL Blank TB'!$T:$T,'KNL HO P&amp;L'!$A76,'KNL Blank TB'!D:D)-SUMIF('KNL HO TB'!$T:$T,'KNL HO P&amp;L'!$A76,'KNL HO TB'!D:D)</f>
        <v/>
      </c>
      <c r="Q76" s="60">
        <f>-SUMIF('KNL Blank TB'!$T:$T,'KNL HO P&amp;L'!$A76,'KNL Blank TB'!E:E)-SUMIF('KNL HO TB'!$T:$T,'KNL HO P&amp;L'!$A76,'KNL HO TB'!E:E)</f>
        <v/>
      </c>
      <c r="R76" s="60">
        <f>-SUMIF('KNL Blank TB'!$T:$T,'KNL HO P&amp;L'!$A76,'KNL Blank TB'!F:F)-SUMIF('KNL HO TB'!$T:$T,'KNL HO P&amp;L'!$A76,'KNL HO TB'!F:F)</f>
        <v/>
      </c>
      <c r="S76" s="60">
        <f>-SUMIF('KNL Blank TB'!$T:$T,'KNL HO P&amp;L'!$A76,'KNL Blank TB'!G:G)-SUMIF('KNL HO TB'!$T:$T,'KNL HO P&amp;L'!$A76,'KNL HO TB'!G:G)</f>
        <v/>
      </c>
      <c r="T76" s="60">
        <f>-SUMIF('KNL Blank TB'!$T:$T,'KNL HO P&amp;L'!$A76,'KNL Blank TB'!H:H)-SUMIF('KNL HO TB'!$T:$T,'KNL HO P&amp;L'!$A76,'KNL HO TB'!H:H)</f>
        <v/>
      </c>
      <c r="U76" s="60">
        <f>-SUMIF('KNL Blank TB'!$T:$T,'KNL HO P&amp;L'!$A76,'KNL Blank TB'!I:I)-SUMIF('KNL HO TB'!$T:$T,'KNL HO P&amp;L'!$A76,'KNL HO TB'!I:I)</f>
        <v/>
      </c>
      <c r="V76" s="20" t="n"/>
      <c r="W76" s="20" t="n"/>
      <c r="X76" s="20" t="n"/>
      <c r="Y76" s="20" t="n"/>
      <c r="Z76" s="20" t="n"/>
      <c r="AA76" s="60">
        <f>SUM(O76:T76)</f>
        <v/>
      </c>
      <c r="AB76" s="8" t="n"/>
      <c r="AC76" s="20" t="n"/>
      <c r="AD76" s="20" t="n"/>
      <c r="AE76" s="20" t="n"/>
      <c r="AF76" s="20" t="n"/>
      <c r="AG76" s="20" t="n"/>
      <c r="AH76" s="20" t="n"/>
      <c r="AI76" s="134" t="n">
        <v>0</v>
      </c>
      <c r="AJ76" s="134" t="n">
        <v>0</v>
      </c>
      <c r="AK76" s="134" t="n">
        <v>0</v>
      </c>
      <c r="AL76" s="134" t="n">
        <v>0</v>
      </c>
      <c r="AM76" s="134" t="n">
        <v>0</v>
      </c>
      <c r="AN76" s="134" t="n">
        <v>0</v>
      </c>
      <c r="AO76" s="144">
        <f>SUM(AC76:AH76)+SUM(AI76:AN76)</f>
        <v/>
      </c>
      <c r="AP76" s="142">
        <f>IF(AB76&lt;&gt;0,(AO76-AB76)/ABS(AB76),0)</f>
        <v/>
      </c>
    </row>
    <row r="77">
      <c r="A77" s="60" t="inlineStr">
        <is>
          <t>In-Direct - Staff Cost</t>
        </is>
      </c>
      <c r="B77" s="18" t="n">
        <v>-93611.44</v>
      </c>
      <c r="C77" s="18" t="n">
        <v>-96112.64</v>
      </c>
      <c r="D77" s="18" t="n">
        <v>-95857.95999999999</v>
      </c>
      <c r="E77" s="18" t="n">
        <v>-156700.39</v>
      </c>
      <c r="F77" s="18" t="n">
        <v>-95895.40999999999</v>
      </c>
      <c r="G77" s="18" t="n">
        <v>-114717.56</v>
      </c>
      <c r="H77" s="18" t="n">
        <v>-114931.94</v>
      </c>
      <c r="I77" s="18" t="n">
        <v>-131353.52</v>
      </c>
      <c r="J77" s="18" t="n">
        <v>-154543.8</v>
      </c>
      <c r="K77" s="18" t="n">
        <v>-118297.07</v>
      </c>
      <c r="L77" s="18" t="n">
        <v>-125174.38</v>
      </c>
      <c r="M77" s="18" t="n">
        <v>-443091.7</v>
      </c>
      <c r="N77" s="8" t="n"/>
      <c r="O77" s="60">
        <f>-SUMIF('KNL Blank TB'!$T:$T,'KNL HO P&amp;L'!$A77,'KNL Blank TB'!C:C)-SUMIF('KNL HO TB'!$T:$T,'KNL HO P&amp;L'!$A77,'KNL HO TB'!C:C)</f>
        <v/>
      </c>
      <c r="P77" s="60">
        <f>-SUMIF('KNL Blank TB'!$T:$T,'KNL HO P&amp;L'!$A77,'KNL Blank TB'!D:D)-SUMIF('KNL HO TB'!$T:$T,'KNL HO P&amp;L'!$A77,'KNL HO TB'!D:D)</f>
        <v/>
      </c>
      <c r="Q77" s="60">
        <f>-SUMIF('KNL Blank TB'!$T:$T,'KNL HO P&amp;L'!$A77,'KNL Blank TB'!E:E)-SUMIF('KNL HO TB'!$T:$T,'KNL HO P&amp;L'!$A77,'KNL HO TB'!E:E)</f>
        <v/>
      </c>
      <c r="R77" s="60">
        <f>-SUMIF('KNL Blank TB'!$T:$T,'KNL HO P&amp;L'!$A77,'KNL Blank TB'!F:F)-SUMIF('KNL HO TB'!$T:$T,'KNL HO P&amp;L'!$A77,'KNL HO TB'!F:F)</f>
        <v/>
      </c>
      <c r="S77" s="60">
        <f>-SUMIF('KNL Blank TB'!$T:$T,'KNL HO P&amp;L'!$A77,'KNL Blank TB'!G:G)-SUMIF('KNL HO TB'!$T:$T,'KNL HO P&amp;L'!$A77,'KNL HO TB'!G:G)</f>
        <v/>
      </c>
      <c r="T77" s="60">
        <f>-SUMIF('KNL Blank TB'!$T:$T,'KNL HO P&amp;L'!$A77,'KNL Blank TB'!H:H)-SUMIF('KNL HO TB'!$T:$T,'KNL HO P&amp;L'!$A77,'KNL HO TB'!H:H)</f>
        <v/>
      </c>
      <c r="U77" s="60">
        <f>-SUMIF('KNL Blank TB'!$T:$T,'KNL HO P&amp;L'!$A77,'KNL Blank TB'!I:I)-SUMIF('KNL HO TB'!$T:$T,'KNL HO P&amp;L'!$A77,'KNL HO TB'!I:I)</f>
        <v/>
      </c>
      <c r="V77" s="20" t="n"/>
      <c r="W77" s="20" t="n"/>
      <c r="X77" s="20" t="n"/>
      <c r="Y77" s="20" t="n"/>
      <c r="Z77" s="20" t="n"/>
      <c r="AA77" s="60">
        <f>SUM(O77:T77)</f>
        <v/>
      </c>
      <c r="AB77" s="8" t="n"/>
      <c r="AC77" s="20" t="n"/>
      <c r="AD77" s="20" t="n"/>
      <c r="AE77" s="20" t="n"/>
      <c r="AF77" s="20" t="n"/>
      <c r="AG77" s="20" t="n"/>
      <c r="AH77" s="20" t="n"/>
      <c r="AI77" s="134" t="n">
        <v>0</v>
      </c>
      <c r="AJ77" s="134" t="n">
        <v>0</v>
      </c>
      <c r="AK77" s="134" t="n">
        <v>0</v>
      </c>
      <c r="AL77" s="134" t="n">
        <v>0</v>
      </c>
      <c r="AM77" s="134" t="n">
        <v>0</v>
      </c>
      <c r="AN77" s="134" t="n">
        <v>0</v>
      </c>
      <c r="AO77" s="144">
        <f>SUM(AC77:AH77)+SUM(AI77:AN77)</f>
        <v/>
      </c>
      <c r="AP77" s="142">
        <f>IF(AB77&lt;&gt;0,(AO77-AB77)/ABS(AB77),0)</f>
        <v/>
      </c>
    </row>
    <row r="78">
      <c r="A78" s="60" t="inlineStr">
        <is>
          <t>In-Direct - Overheads</t>
        </is>
      </c>
      <c r="B78" s="18" t="n">
        <v>-11861.85</v>
      </c>
      <c r="C78" s="18" t="n">
        <v>-31625.61</v>
      </c>
      <c r="D78" s="18" t="n">
        <v>-36033.03</v>
      </c>
      <c r="E78" s="18" t="n">
        <v>-23278.01</v>
      </c>
      <c r="F78" s="18" t="n">
        <v>-17135.96</v>
      </c>
      <c r="G78" s="18" t="n">
        <v>-12401.19</v>
      </c>
      <c r="H78" s="18" t="n">
        <v>-12569.54</v>
      </c>
      <c r="I78" s="18" t="n">
        <v>-12792.19</v>
      </c>
      <c r="J78" s="18" t="n">
        <v>-48367.43</v>
      </c>
      <c r="K78" s="18" t="n">
        <v>-14890.24</v>
      </c>
      <c r="L78" s="18" t="n">
        <v>-18160.46</v>
      </c>
      <c r="M78" s="18" t="n">
        <v>-18558.39</v>
      </c>
      <c r="N78" s="8" t="n"/>
      <c r="O78" s="60">
        <f>-SUMIF('KNL Blank TB'!$T:$T,'KNL HO P&amp;L'!$A78,'KNL Blank TB'!C:C)-SUMIF('KNL HO TB'!$T:$T,'KNL HO P&amp;L'!$A78,'KNL HO TB'!C:C)</f>
        <v/>
      </c>
      <c r="P78" s="60">
        <f>-SUMIF('KNL Blank TB'!$T:$T,'KNL HO P&amp;L'!$A78,'KNL Blank TB'!D:D)-SUMIF('KNL HO TB'!$T:$T,'KNL HO P&amp;L'!$A78,'KNL HO TB'!D:D)</f>
        <v/>
      </c>
      <c r="Q78" s="60">
        <f>-SUMIF('KNL Blank TB'!$T:$T,'KNL HO P&amp;L'!$A78,'KNL Blank TB'!E:E)-SUMIF('KNL HO TB'!$T:$T,'KNL HO P&amp;L'!$A78,'KNL HO TB'!E:E)</f>
        <v/>
      </c>
      <c r="R78" s="60">
        <f>-SUMIF('KNL Blank TB'!$T:$T,'KNL HO P&amp;L'!$A78,'KNL Blank TB'!F:F)-SUMIF('KNL HO TB'!$T:$T,'KNL HO P&amp;L'!$A78,'KNL HO TB'!F:F)</f>
        <v/>
      </c>
      <c r="S78" s="60">
        <f>-SUMIF('KNL Blank TB'!$T:$T,'KNL HO P&amp;L'!$A78,'KNL Blank TB'!G:G)-SUMIF('KNL HO TB'!$T:$T,'KNL HO P&amp;L'!$A78,'KNL HO TB'!G:G)</f>
        <v/>
      </c>
      <c r="T78" s="60">
        <f>-SUMIF('KNL Blank TB'!$T:$T,'KNL HO P&amp;L'!$A78,'KNL Blank TB'!H:H)-SUMIF('KNL HO TB'!$T:$T,'KNL HO P&amp;L'!$A78,'KNL HO TB'!H:H)</f>
        <v/>
      </c>
      <c r="U78" s="60">
        <f>-SUMIF('KNL Blank TB'!$T:$T,'KNL HO P&amp;L'!$A78,'KNL Blank TB'!I:I)-SUMIF('KNL HO TB'!$T:$T,'KNL HO P&amp;L'!$A78,'KNL HO TB'!I:I)</f>
        <v/>
      </c>
      <c r="V78" s="20" t="n"/>
      <c r="W78" s="20" t="n"/>
      <c r="X78" s="20" t="n"/>
      <c r="Y78" s="20" t="n"/>
      <c r="Z78" s="20" t="n"/>
      <c r="AA78" s="60">
        <f>SUM(O78:T78)</f>
        <v/>
      </c>
      <c r="AB78" s="8" t="n"/>
      <c r="AC78" s="20" t="n"/>
      <c r="AD78" s="20" t="n"/>
      <c r="AE78" s="20" t="n"/>
      <c r="AF78" s="20" t="n"/>
      <c r="AG78" s="20" t="n"/>
      <c r="AH78" s="20" t="n"/>
      <c r="AI78" s="134" t="n">
        <v>0</v>
      </c>
      <c r="AJ78" s="134" t="n">
        <v>0</v>
      </c>
      <c r="AK78" s="134" t="n">
        <v>0</v>
      </c>
      <c r="AL78" s="134" t="n">
        <v>0</v>
      </c>
      <c r="AM78" s="134" t="n">
        <v>0</v>
      </c>
      <c r="AN78" s="134" t="n">
        <v>0</v>
      </c>
      <c r="AO78" s="144">
        <f>SUM(AC78:AH78)+SUM(AI78:AN78)</f>
        <v/>
      </c>
      <c r="AP78" s="142">
        <f>IF(AB78&lt;&gt;0,(AO78-AB78)/ABS(AB78),0)</f>
        <v/>
      </c>
    </row>
    <row r="79" ht="15.75" customHeight="1">
      <c r="A79" s="8" t="n"/>
      <c r="B79" s="67" t="n">
        <v>-124990.8</v>
      </c>
      <c r="C79" s="67" t="n">
        <v>-147887.85</v>
      </c>
      <c r="D79" s="67" t="n">
        <v>-146464.83</v>
      </c>
      <c r="E79" s="67" t="n">
        <v>-192959.78</v>
      </c>
      <c r="F79" s="67" t="n">
        <v>-126275.91</v>
      </c>
      <c r="G79" s="67" t="n">
        <v>-152500.46</v>
      </c>
      <c r="H79" s="67" t="n">
        <v>-143191.9</v>
      </c>
      <c r="I79" s="67" t="n">
        <v>-157552.07</v>
      </c>
      <c r="J79" s="67" t="n">
        <v>-217376.64</v>
      </c>
      <c r="K79" s="67" t="n">
        <v>-150481.12</v>
      </c>
      <c r="L79" s="67" t="n">
        <v>-155007.52</v>
      </c>
      <c r="M79" s="67" t="n">
        <v>-470068.17</v>
      </c>
      <c r="N79" s="8" t="n"/>
      <c r="O79" s="64">
        <f>SUM(O73:O78)</f>
        <v/>
      </c>
      <c r="P79" s="64">
        <f>SUM(P73:P78)</f>
        <v/>
      </c>
      <c r="Q79" s="64">
        <f>SUM(Q73:Q78)</f>
        <v/>
      </c>
      <c r="R79" s="64">
        <f>SUM(R73:R78)</f>
        <v/>
      </c>
      <c r="S79" s="64">
        <f>SUM(S73:S78)</f>
        <v/>
      </c>
      <c r="T79" s="64">
        <f>SUM(T73:T78)</f>
        <v/>
      </c>
      <c r="U79" s="64">
        <f>SUM(U73:U78)</f>
        <v/>
      </c>
      <c r="V79" s="68" t="n"/>
      <c r="W79" s="68" t="n"/>
      <c r="X79" s="68" t="n"/>
      <c r="Y79" s="68" t="n"/>
      <c r="Z79" s="68" t="n"/>
      <c r="AA79" s="60">
        <f>SUM(O79:T79)</f>
        <v/>
      </c>
      <c r="AB79" s="8" t="n"/>
      <c r="AC79" s="68" t="n"/>
      <c r="AD79" s="68" t="n"/>
      <c r="AE79" s="68" t="n"/>
      <c r="AF79" s="68" t="n"/>
      <c r="AG79" s="68" t="n"/>
      <c r="AH79" s="68" t="n"/>
      <c r="AI79" s="134" t="n">
        <v>0</v>
      </c>
      <c r="AJ79" s="134" t="n">
        <v>0</v>
      </c>
      <c r="AK79" s="134" t="n">
        <v>0</v>
      </c>
      <c r="AL79" s="134" t="n">
        <v>0</v>
      </c>
      <c r="AM79" s="134" t="n">
        <v>0</v>
      </c>
      <c r="AN79" s="134" t="n">
        <v>0</v>
      </c>
      <c r="AO79" s="144">
        <f>SUM(AC79:AH79)+SUM(AI79:AN79)</f>
        <v/>
      </c>
      <c r="AP79" s="142">
        <f>IF(AB79&lt;&gt;0,(AO79-AB79)/ABS(AB79),0)</f>
        <v/>
      </c>
    </row>
    <row r="80" ht="15.75" customHeight="1">
      <c r="A80" s="8" t="n"/>
      <c r="B80" s="18" t="n">
        <v>0</v>
      </c>
      <c r="C80" s="18" t="n">
        <v>0</v>
      </c>
      <c r="D80" s="18" t="n">
        <v>0</v>
      </c>
      <c r="E80" s="18" t="n">
        <v>0</v>
      </c>
      <c r="F80" s="18" t="n">
        <v>0</v>
      </c>
      <c r="G80" s="18" t="n">
        <v>0</v>
      </c>
      <c r="H80" s="18" t="n">
        <v>0</v>
      </c>
      <c r="I80" s="18" t="n">
        <v>0</v>
      </c>
      <c r="J80" s="18" t="n">
        <v>0</v>
      </c>
      <c r="K80" s="18" t="n">
        <v>0</v>
      </c>
      <c r="L80" s="18" t="n">
        <v>0</v>
      </c>
      <c r="M80" s="18" t="n">
        <v>0</v>
      </c>
      <c r="N80" s="8" t="n"/>
      <c r="O80" s="60">
        <f>+O70-O79</f>
        <v/>
      </c>
      <c r="P80" s="60">
        <f>+P70-P79</f>
        <v/>
      </c>
      <c r="Q80" s="60">
        <f>+Q70-Q79</f>
        <v/>
      </c>
      <c r="R80" s="60">
        <f>+R70-R79</f>
        <v/>
      </c>
      <c r="S80" s="60">
        <f>+S70-S79</f>
        <v/>
      </c>
      <c r="T80" s="60">
        <f>+T70-T79</f>
        <v/>
      </c>
      <c r="U80" s="60">
        <f>+U70-U79</f>
        <v/>
      </c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134" t="n">
        <v>0</v>
      </c>
      <c r="AJ80" s="134" t="n">
        <v>0</v>
      </c>
      <c r="AK80" s="134" t="n">
        <v>0</v>
      </c>
      <c r="AL80" s="134" t="n">
        <v>0</v>
      </c>
      <c r="AM80" s="134" t="n">
        <v>0</v>
      </c>
      <c r="AN80" s="134" t="n">
        <v>0</v>
      </c>
      <c r="AO80" s="144">
        <f>SUM(AC80:AH80)+SUM(AI80:AN80)</f>
        <v/>
      </c>
      <c r="AP80" s="142">
        <f>IF(AB80&lt;&gt;0,(AO80-AB80)/ABS(AB80),0)</f>
        <v/>
      </c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34" t="inlineStr">
        <is>
          <t>CHECK TO TB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0</v>
      </c>
      <c r="I82" s="18" t="n">
        <v>0</v>
      </c>
      <c r="J82" s="18" t="n">
        <v>0</v>
      </c>
      <c r="K82" s="18" t="n">
        <v>0</v>
      </c>
      <c r="L82" s="18" t="n">
        <v>0</v>
      </c>
      <c r="M82" s="1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134" t="n">
        <v>0</v>
      </c>
      <c r="AJ82" s="134" t="n">
        <v>0</v>
      </c>
      <c r="AK82" s="134" t="n">
        <v>0</v>
      </c>
      <c r="AL82" s="134" t="n">
        <v>0</v>
      </c>
      <c r="AM82" s="134" t="n">
        <v>0</v>
      </c>
      <c r="AN82" s="134" t="n">
        <v>0</v>
      </c>
      <c r="AO82" s="144">
        <f>SUM(AC82:AH82)+SUM(AI82:AN82)</f>
        <v/>
      </c>
      <c r="AP82" s="142">
        <f>IF(AB82&lt;&gt;0,(AO82-AB82)/ABS(AB82),0)</f>
        <v/>
      </c>
    </row>
    <row r="83">
      <c r="A83" s="8" t="n"/>
      <c r="B83" s="60" t="n">
        <v>124990.8</v>
      </c>
      <c r="C83" s="60" t="n">
        <v>147887.85</v>
      </c>
      <c r="D83" s="60" t="n">
        <v>146464.83</v>
      </c>
      <c r="E83" s="60" t="n">
        <v>192959.78</v>
      </c>
      <c r="F83" s="60" t="n">
        <v>126275.91</v>
      </c>
      <c r="G83" s="60" t="n">
        <v>152500.46</v>
      </c>
      <c r="H83" s="60" t="n">
        <v>143191.9</v>
      </c>
      <c r="I83" s="60" t="n">
        <v>157552.0699999999</v>
      </c>
      <c r="J83" s="60" t="n">
        <v>217376.6400000001</v>
      </c>
      <c r="K83" s="60" t="n">
        <v>150481.12</v>
      </c>
      <c r="L83" s="60" t="n">
        <v>155007.52</v>
      </c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34" t="n">
        <v>0</v>
      </c>
      <c r="AJ83" s="134" t="n">
        <v>0</v>
      </c>
      <c r="AK83" s="134" t="n">
        <v>0</v>
      </c>
      <c r="AL83" s="134" t="n">
        <v>0</v>
      </c>
      <c r="AM83" s="134" t="n">
        <v>0</v>
      </c>
      <c r="AN83" s="134" t="n">
        <v>0</v>
      </c>
      <c r="AO83" s="145">
        <f>SUM(AC83:AH83)+SUM(AI83:AN83)</f>
        <v/>
      </c>
      <c r="AP83" s="142">
        <f>IF(AB83&lt;&gt;0,(AO83-AB83)/ABS(AB83),0)</f>
        <v/>
      </c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59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61" t="n"/>
      <c r="AF87" s="62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61" t="n"/>
      <c r="AF88" s="62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61" t="n"/>
      <c r="AF89" s="62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61" t="n"/>
      <c r="AF90" s="62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61" t="n"/>
      <c r="AF91" s="62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CCL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4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20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6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6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2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6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0</v>
      </c>
      <c r="C8" s="35" t="n">
        <v>0</v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 t="n">
        <v>0</v>
      </c>
      <c r="J8" s="35" t="n">
        <v>0</v>
      </c>
      <c r="K8" s="35" t="n">
        <v>0</v>
      </c>
      <c r="L8" s="35" t="n">
        <v>0</v>
      </c>
      <c r="M8" s="35" t="n">
        <v>0</v>
      </c>
      <c r="N8" s="36">
        <f>SUM(B8:M8)</f>
        <v/>
      </c>
      <c r="O8" s="37">
        <f>-(SUMIF('XCCL Blank TB'!$R:$R,'CCL HO P&amp;L'!$A8,'XCCL Blank TB'!C:C)+(SUMIF('XCCL HO TB'!$R:$R,'CCL HO P&amp;L'!$A8,'XCCL HO TB'!C:C)))</f>
        <v/>
      </c>
      <c r="P8" s="37">
        <f>-(SUMIF('XCCL Blank TB'!$R:$R,'CCL HO P&amp;L'!$A8,'XCCL Blank TB'!D:D)+(SUMIF('XCCL HO TB'!$R:$R,'CCL HO P&amp;L'!$A8,'XCCL HO TB'!D:D)))</f>
        <v/>
      </c>
      <c r="Q8" s="37">
        <f>-(SUMIF('XCCL Blank TB'!$R:$R,'CCL HO P&amp;L'!$A8,'XCCL Blank TB'!E:E)+(SUMIF('XCCL HO TB'!$R:$R,'CCL HO P&amp;L'!$A8,'XCCL HO TB'!E:E)))</f>
        <v/>
      </c>
      <c r="R8" s="37">
        <f>-(SUMIF('XCCL Blank TB'!$R:$R,'CCL HO P&amp;L'!$A8,'XCCL Blank TB'!F:F)+(SUMIF('XCCL HO TB'!$R:$R,'CCL HO P&amp;L'!$A8,'XCCL HO TB'!F:F)))</f>
        <v/>
      </c>
      <c r="S8" s="37">
        <f>-(SUMIF('XCCL Blank TB'!$R:$R,'CCL HO P&amp;L'!$A8,'XCCL Blank TB'!G:G)+(SUMIF('XCCL HO TB'!$R:$R,'CCL HO P&amp;L'!$A8,'XCCL HO TB'!G:G)))</f>
        <v/>
      </c>
      <c r="T8" s="37">
        <f>-(SUMIF('XCCL Blank TB'!$R:$R,'CCL HO P&amp;L'!$A8,'XCCL Blank TB'!H:H)+(SUMIF('XCCL HO TB'!$R:$R,'CCL HO P&amp;L'!$A8,'XCCL HO TB'!H:H)))</f>
        <v/>
      </c>
      <c r="U8" s="38" t="n"/>
      <c r="V8" s="38" t="n"/>
      <c r="W8" s="38" t="n"/>
      <c r="X8" s="38" t="n"/>
      <c r="Y8" s="38" t="n"/>
      <c r="Z8" s="38" t="n"/>
      <c r="AA8" s="36">
        <f>SUM(O8:U8)</f>
        <v/>
      </c>
      <c r="AB8" s="36">
        <f>SUM(O8:Z8)</f>
        <v/>
      </c>
      <c r="AC8" s="38" t="n"/>
      <c r="AD8" s="38" t="n"/>
      <c r="AE8" s="38" t="n"/>
      <c r="AF8" s="38" t="n"/>
      <c r="AG8" s="38" t="n"/>
      <c r="AH8" s="38" t="n"/>
      <c r="AI8" s="118" t="n">
        <v>0</v>
      </c>
      <c r="AJ8" s="119" t="n">
        <v>0</v>
      </c>
      <c r="AK8" s="119" t="n">
        <v>0</v>
      </c>
      <c r="AL8" s="119" t="n">
        <v>0</v>
      </c>
      <c r="AM8" s="120" t="n">
        <v>0</v>
      </c>
      <c r="AN8" s="118" t="n">
        <v>0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0</v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  <c r="H9" s="35" t="n">
        <v>0</v>
      </c>
      <c r="I9" s="35" t="n">
        <v>0</v>
      </c>
      <c r="J9" s="35" t="n">
        <v>0</v>
      </c>
      <c r="K9" s="35" t="n">
        <v>0</v>
      </c>
      <c r="L9" s="35" t="n">
        <v>0</v>
      </c>
      <c r="M9" s="35" t="n">
        <v>0</v>
      </c>
      <c r="N9" s="36">
        <f>SUM(B9:M9)</f>
        <v/>
      </c>
      <c r="O9" s="37">
        <f>-(SUMIF('XCCL Blank TB'!$R:$R,'CCL HO P&amp;L'!$A9,'XCCL Blank TB'!C:C)+(SUMIF('XCCL HO TB'!$R:$R,'CCL HO P&amp;L'!$A9,'XCCL HO TB'!C:C)))</f>
        <v/>
      </c>
      <c r="P9" s="37">
        <f>-(SUMIF('XCCL Blank TB'!$R:$R,'CCL HO P&amp;L'!$A9,'XCCL Blank TB'!D:D)+(SUMIF('XCCL HO TB'!$R:$R,'CCL HO P&amp;L'!$A9,'XCCL HO TB'!D:D)))</f>
        <v/>
      </c>
      <c r="Q9" s="37">
        <f>-(SUMIF('XCCL Blank TB'!$R:$R,'CCL HO P&amp;L'!$A9,'XCCL Blank TB'!E:E)+(SUMIF('XCCL HO TB'!$R:$R,'CCL HO P&amp;L'!$A9,'XCCL HO TB'!E:E)))</f>
        <v/>
      </c>
      <c r="R9" s="37">
        <f>-(SUMIF('XCCL Blank TB'!$R:$R,'CCL HO P&amp;L'!$A9,'XCCL Blank TB'!F:F)+(SUMIF('XCCL HO TB'!$R:$R,'CCL HO P&amp;L'!$A9,'XCCL HO TB'!F:F)))</f>
        <v/>
      </c>
      <c r="S9" s="37">
        <f>-(SUMIF('XCCL Blank TB'!$R:$R,'CCL HO P&amp;L'!$A9,'XCCL Blank TB'!G:G)+(SUMIF('XCCL HO TB'!$R:$R,'CCL HO P&amp;L'!$A9,'XCCL HO TB'!G:G)))</f>
        <v/>
      </c>
      <c r="T9" s="37">
        <f>-(SUMIF('XCCL Blank TB'!$R:$R,'CCL HO P&amp;L'!$A9,'XCCL Blank TB'!H:H)+(SUMIF('XCCL HO TB'!$R:$R,'CCL HO P&amp;L'!$A9,'XCCL HO TB'!H:H)))</f>
        <v/>
      </c>
      <c r="U9" s="38" t="n"/>
      <c r="V9" s="38" t="n"/>
      <c r="W9" s="38" t="n"/>
      <c r="X9" s="38" t="n"/>
      <c r="Y9" s="38" t="n"/>
      <c r="Z9" s="38" t="n"/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8" t="n">
        <v>0</v>
      </c>
      <c r="AJ9" s="119" t="n">
        <v>0</v>
      </c>
      <c r="AK9" s="119" t="n">
        <v>0</v>
      </c>
      <c r="AL9" s="119" t="n">
        <v>0</v>
      </c>
      <c r="AM9" s="120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-(SUMIF('XCCL Blank TB'!$R:$R,'CCL HO P&amp;L'!$A10,'XCCL Blank TB'!C:C)+(SUMIF('XCCL HO TB'!$R:$R,'CCL HO P&amp;L'!$A10,'XCCL HO TB'!C:C)))</f>
        <v/>
      </c>
      <c r="P10" s="37">
        <f>-(SUMIF('XCCL Blank TB'!$R:$R,'CCL HO P&amp;L'!$A10,'XCCL Blank TB'!D:D)+(SUMIF('XCCL HO TB'!$R:$R,'CCL HO P&amp;L'!$A10,'XCCL HO TB'!D:D)))</f>
        <v/>
      </c>
      <c r="Q10" s="37">
        <f>-(SUMIF('XCCL Blank TB'!$R:$R,'CCL HO P&amp;L'!$A10,'XCCL Blank TB'!E:E)+(SUMIF('XCCL HO TB'!$R:$R,'CCL HO P&amp;L'!$A10,'XCCL HO TB'!E:E)))</f>
        <v/>
      </c>
      <c r="R10" s="37">
        <f>-(SUMIF('XCCL Blank TB'!$R:$R,'CCL HO P&amp;L'!$A10,'XCCL Blank TB'!F:F)+(SUMIF('XCCL HO TB'!$R:$R,'CCL HO P&amp;L'!$A10,'XCCL HO TB'!F:F)))</f>
        <v/>
      </c>
      <c r="S10" s="37">
        <f>-(SUMIF('XCCL Blank TB'!$R:$R,'CCL HO P&amp;L'!$A10,'XCCL Blank TB'!G:G)+(SUMIF('XCCL HO TB'!$R:$R,'CCL HO P&amp;L'!$A10,'XCCL HO TB'!G:G)))</f>
        <v/>
      </c>
      <c r="T10" s="37">
        <f>-(SUMIF('XCCL Blank TB'!$R:$R,'CCL HO P&amp;L'!$A10,'XCCL Blank TB'!H:H)+(SUMIF('XCCL HO TB'!$R:$R,'CCL HO P&amp;L'!$A10,'XCCL HO TB'!H:H)))</f>
        <v/>
      </c>
      <c r="U10" s="38" t="n"/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8" t="n">
        <v>0</v>
      </c>
      <c r="AJ10" s="119" t="n">
        <v>0</v>
      </c>
      <c r="AK10" s="119" t="n">
        <v>0</v>
      </c>
      <c r="AL10" s="119" t="n">
        <v>0</v>
      </c>
      <c r="AM10" s="120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0</v>
      </c>
      <c r="C11" s="42" t="n">
        <v>0</v>
      </c>
      <c r="D11" s="42" t="n">
        <v>0</v>
      </c>
      <c r="E11" s="42" t="n">
        <v>0</v>
      </c>
      <c r="F11" s="42" t="n">
        <v>0</v>
      </c>
      <c r="G11" s="42" t="n">
        <v>0</v>
      </c>
      <c r="H11" s="42" t="n">
        <v>0</v>
      </c>
      <c r="I11" s="42" t="n">
        <v>0</v>
      </c>
      <c r="J11" s="42" t="n">
        <v>0</v>
      </c>
      <c r="K11" s="42" t="n">
        <v>0</v>
      </c>
      <c r="L11" s="42" t="n">
        <v>0</v>
      </c>
      <c r="M11" s="42" t="n">
        <v>0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5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 t="n"/>
      <c r="AD11" s="45" t="n"/>
      <c r="AE11" s="45" t="n"/>
      <c r="AF11" s="45" t="n"/>
      <c r="AG11" s="45" t="n"/>
      <c r="AH11" s="45" t="n"/>
      <c r="AI11" s="134" t="n">
        <v>0</v>
      </c>
      <c r="AJ11" s="152" t="n">
        <v>0</v>
      </c>
      <c r="AK11" s="152" t="n">
        <v>0</v>
      </c>
      <c r="AL11" s="152" t="n">
        <v>0</v>
      </c>
      <c r="AM11" s="152" t="n">
        <v>0</v>
      </c>
      <c r="AN11" s="134" t="n">
        <v>0</v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2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7" t="n">
        <v>0</v>
      </c>
      <c r="AJ12" s="128" t="n">
        <v>0</v>
      </c>
      <c r="AK12" s="128" t="n">
        <v>0</v>
      </c>
      <c r="AL12" s="128" t="n">
        <v>0</v>
      </c>
      <c r="AM12" s="129" t="n">
        <v>0</v>
      </c>
      <c r="AN12" s="127" t="n">
        <v>0</v>
      </c>
      <c r="AO12" s="121">
        <f>SUM(AC12:AH12)+SUM(AI12:AN12)</f>
        <v/>
      </c>
      <c r="AP12" s="122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 t="n"/>
      <c r="AD13" s="47" t="n"/>
      <c r="AE13" s="47" t="n"/>
      <c r="AF13" s="47" t="n"/>
      <c r="AG13" s="47" t="n"/>
      <c r="AH13" s="47" t="n"/>
      <c r="AI13" s="130" t="n">
        <v>0</v>
      </c>
      <c r="AJ13" s="131" t="n">
        <v>0</v>
      </c>
      <c r="AK13" s="131" t="n">
        <v>0</v>
      </c>
      <c r="AL13" s="131" t="n">
        <v>0</v>
      </c>
      <c r="AM13" s="132" t="n">
        <v>0</v>
      </c>
      <c r="AN13" s="130" t="n">
        <v>0</v>
      </c>
      <c r="AO13" s="133">
        <f>SUM(AC13:AH13)+SUM(AI13:AN13)</f>
        <v/>
      </c>
      <c r="AP13" s="122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2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6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0</v>
      </c>
      <c r="C16" s="35" t="n">
        <v>0</v>
      </c>
      <c r="D16" s="35" t="n">
        <v>0</v>
      </c>
      <c r="E16" s="35" t="n">
        <v>0</v>
      </c>
      <c r="F16" s="35" t="n">
        <v>0</v>
      </c>
      <c r="G16" s="35" t="n">
        <v>0</v>
      </c>
      <c r="H16" s="35" t="n">
        <v>0</v>
      </c>
      <c r="I16" s="35" t="n">
        <v>0</v>
      </c>
      <c r="J16" s="35" t="n">
        <v>0</v>
      </c>
      <c r="K16" s="35" t="n">
        <v>0</v>
      </c>
      <c r="L16" s="35" t="n">
        <v>0</v>
      </c>
      <c r="M16" s="35" t="n">
        <v>0</v>
      </c>
      <c r="N16" s="36">
        <f>SUM(B16:M16)</f>
        <v/>
      </c>
      <c r="O16" s="37">
        <f>SUMIF('XCCL Blank TB'!$R:$R,'CCL HO P&amp;L'!$A16,'XCCL Blank TB'!C:C)+(SUMIF('XCCL HO TB'!$R:$R,'CCL HO P&amp;L'!$A16,'XCCL HO TB'!C:C))</f>
        <v/>
      </c>
      <c r="P16" s="37">
        <f>SUMIF('XCCL Blank TB'!$R:$R,'CCL HO P&amp;L'!$A16,'XCCL Blank TB'!D:D)+(SUMIF('XCCL HO TB'!$R:$R,'CCL HO P&amp;L'!$A16,'XCCL HO TB'!D:D))</f>
        <v/>
      </c>
      <c r="Q16" s="37">
        <f>SUMIF('XCCL Blank TB'!$R:$R,'CCL HO P&amp;L'!$A16,'XCCL Blank TB'!E:E)+(SUMIF('XCCL HO TB'!$R:$R,'CCL HO P&amp;L'!$A16,'XCCL HO TB'!E:E))</f>
        <v/>
      </c>
      <c r="R16" s="37">
        <f>SUMIF('XCCL Blank TB'!$R:$R,'CCL HO P&amp;L'!$A16,'XCCL Blank TB'!F:F)+(SUMIF('XCCL HO TB'!$R:$R,'CCL HO P&amp;L'!$A16,'XCCL HO TB'!F:F))</f>
        <v/>
      </c>
      <c r="S16" s="37">
        <f>SUMIF('XCCL Blank TB'!$R:$R,'CCL HO P&amp;L'!$A16,'XCCL Blank TB'!G:G)+(SUMIF('XCCL HO TB'!$R:$R,'CCL HO P&amp;L'!$A16,'XCCL HO TB'!G:G))</f>
        <v/>
      </c>
      <c r="T16" s="37">
        <f>SUMIF('XCCL Blank TB'!$R:$R,'CCL HO P&amp;L'!$A16,'XCCL Blank TB'!H:H)+(SUMIF('XCCL HO TB'!$R:$R,'CCL HO P&amp;L'!$A16,'XCCL HO TB'!H:H))</f>
        <v/>
      </c>
      <c r="U16" s="38" t="n"/>
      <c r="V16" s="38" t="n"/>
      <c r="W16" s="38" t="n"/>
      <c r="X16" s="38" t="n"/>
      <c r="Y16" s="38" t="n"/>
      <c r="Z16" s="38" t="n"/>
      <c r="AA16" s="36">
        <f>SUM(O16:U16)</f>
        <v/>
      </c>
      <c r="AB16" s="36">
        <f>SUM(O16:Z16)</f>
        <v/>
      </c>
      <c r="AC16" s="38" t="n"/>
      <c r="AD16" s="38" t="n"/>
      <c r="AE16" s="38" t="n"/>
      <c r="AF16" s="38" t="n"/>
      <c r="AG16" s="38" t="n"/>
      <c r="AH16" s="38" t="n"/>
      <c r="AI16" s="118" t="n">
        <v>0</v>
      </c>
      <c r="AJ16" s="119" t="n">
        <v>0</v>
      </c>
      <c r="AK16" s="119" t="n">
        <v>0</v>
      </c>
      <c r="AL16" s="119" t="n">
        <v>0</v>
      </c>
      <c r="AM16" s="120" t="n">
        <v>0</v>
      </c>
      <c r="AN16" s="118" t="n">
        <v>0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0</v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0</v>
      </c>
      <c r="K17" s="35" t="n">
        <v>0</v>
      </c>
      <c r="L17" s="35" t="n">
        <v>0</v>
      </c>
      <c r="M17" s="35" t="n">
        <v>0</v>
      </c>
      <c r="N17" s="36">
        <f>SUM(B17:M17)</f>
        <v/>
      </c>
      <c r="O17" s="37">
        <f>SUMIF('XCCL Blank TB'!$R:$R,'CCL HO P&amp;L'!$A17,'XCCL Blank TB'!C:C)+(SUMIF('XCCL HO TB'!$R:$R,'CCL HO P&amp;L'!$A17,'XCCL HO TB'!C:C))</f>
        <v/>
      </c>
      <c r="P17" s="37">
        <f>SUMIF('XCCL Blank TB'!$R:$R,'CCL HO P&amp;L'!$A17,'XCCL Blank TB'!D:D)+(SUMIF('XCCL HO TB'!$R:$R,'CCL HO P&amp;L'!$A17,'XCCL HO TB'!D:D))</f>
        <v/>
      </c>
      <c r="Q17" s="37">
        <f>SUMIF('XCCL Blank TB'!$R:$R,'CCL HO P&amp;L'!$A17,'XCCL Blank TB'!E:E)+(SUMIF('XCCL HO TB'!$R:$R,'CCL HO P&amp;L'!$A17,'XCCL HO TB'!E:E))</f>
        <v/>
      </c>
      <c r="R17" s="37">
        <f>SUMIF('XCCL Blank TB'!$R:$R,'CCL HO P&amp;L'!$A17,'XCCL Blank TB'!F:F)+(SUMIF('XCCL HO TB'!$R:$R,'CCL HO P&amp;L'!$A17,'XCCL HO TB'!F:F))</f>
        <v/>
      </c>
      <c r="S17" s="37">
        <f>SUMIF('XCCL Blank TB'!$R:$R,'CCL HO P&amp;L'!$A17,'XCCL Blank TB'!G:G)+(SUMIF('XCCL HO TB'!$R:$R,'CCL HO P&amp;L'!$A17,'XCCL HO TB'!G:G))</f>
        <v/>
      </c>
      <c r="T17" s="37">
        <f>SUMIF('XCCL Blank TB'!$R:$R,'CCL HO P&amp;L'!$A17,'XCCL Blank TB'!H:H)+(SUMIF('XCCL HO TB'!$R:$R,'CCL HO P&amp;L'!$A17,'XCCL HO TB'!H:H))</f>
        <v/>
      </c>
      <c r="U17" s="38" t="n"/>
      <c r="V17" s="38" t="n"/>
      <c r="W17" s="38" t="n"/>
      <c r="X17" s="38" t="n"/>
      <c r="Y17" s="38" t="n"/>
      <c r="Z17" s="38" t="n"/>
      <c r="AA17" s="36">
        <f>SUM(O17:U17)</f>
        <v/>
      </c>
      <c r="AB17" s="36">
        <f>SUM(O17:Z17)</f>
        <v/>
      </c>
      <c r="AC17" s="38" t="n"/>
      <c r="AD17" s="38" t="n"/>
      <c r="AE17" s="38" t="n"/>
      <c r="AF17" s="38" t="n"/>
      <c r="AG17" s="38" t="n"/>
      <c r="AH17" s="38" t="n"/>
      <c r="AI17" s="118" t="n">
        <v>0</v>
      </c>
      <c r="AJ17" s="119" t="n">
        <v>0</v>
      </c>
      <c r="AK17" s="119" t="n">
        <v>0</v>
      </c>
      <c r="AL17" s="119" t="n">
        <v>0</v>
      </c>
      <c r="AM17" s="120" t="n">
        <v>0</v>
      </c>
      <c r="AN17" s="118" t="n">
        <v>0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0</v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  <c r="H18" s="35" t="n">
        <v>0</v>
      </c>
      <c r="I18" s="35" t="n">
        <v>0</v>
      </c>
      <c r="J18" s="35" t="n">
        <v>0</v>
      </c>
      <c r="K18" s="35" t="n">
        <v>0</v>
      </c>
      <c r="L18" s="35" t="n">
        <v>0</v>
      </c>
      <c r="M18" s="35" t="n">
        <v>0</v>
      </c>
      <c r="N18" s="36">
        <f>SUM(B18:M18)</f>
        <v/>
      </c>
      <c r="O18" s="37">
        <f>SUMIF('XCCL Blank TB'!$R:$R,'CCL HO P&amp;L'!$A18,'XCCL Blank TB'!C:C)+(SUMIF('XCCL HO TB'!$R:$R,'CCL HO P&amp;L'!$A18,'XCCL HO TB'!C:C))</f>
        <v/>
      </c>
      <c r="P18" s="37">
        <f>SUMIF('XCCL Blank TB'!$R:$R,'CCL HO P&amp;L'!$A18,'XCCL Blank TB'!D:D)+(SUMIF('XCCL HO TB'!$R:$R,'CCL HO P&amp;L'!$A18,'XCCL HO TB'!D:D))</f>
        <v/>
      </c>
      <c r="Q18" s="37">
        <f>SUMIF('XCCL Blank TB'!$R:$R,'CCL HO P&amp;L'!$A18,'XCCL Blank TB'!E:E)+(SUMIF('XCCL HO TB'!$R:$R,'CCL HO P&amp;L'!$A18,'XCCL HO TB'!E:E))</f>
        <v/>
      </c>
      <c r="R18" s="37">
        <f>SUMIF('XCCL Blank TB'!$R:$R,'CCL HO P&amp;L'!$A18,'XCCL Blank TB'!F:F)+(SUMIF('XCCL HO TB'!$R:$R,'CCL HO P&amp;L'!$A18,'XCCL HO TB'!F:F))</f>
        <v/>
      </c>
      <c r="S18" s="37">
        <f>SUMIF('XCCL Blank TB'!$R:$R,'CCL HO P&amp;L'!$A18,'XCCL Blank TB'!G:G)+(SUMIF('XCCL HO TB'!$R:$R,'CCL HO P&amp;L'!$A18,'XCCL HO TB'!G:G))</f>
        <v/>
      </c>
      <c r="T18" s="37">
        <f>SUMIF('XCCL Blank TB'!$R:$R,'CCL HO P&amp;L'!$A18,'XCCL Blank TB'!H:H)+(SUMIF('XCCL HO TB'!$R:$R,'CCL HO P&amp;L'!$A18,'XCCL HO TB'!H:H))</f>
        <v/>
      </c>
      <c r="U18" s="38" t="n"/>
      <c r="V18" s="38" t="n"/>
      <c r="W18" s="38" t="n"/>
      <c r="X18" s="38" t="n"/>
      <c r="Y18" s="38" t="n"/>
      <c r="Z18" s="38" t="n"/>
      <c r="AA18" s="36">
        <f>SUM(O18:U18)</f>
        <v/>
      </c>
      <c r="AB18" s="36">
        <f>SUM(O18:Z18)</f>
        <v/>
      </c>
      <c r="AC18" s="38" t="n"/>
      <c r="AD18" s="38" t="n"/>
      <c r="AE18" s="38" t="n"/>
      <c r="AF18" s="38" t="n"/>
      <c r="AG18" s="38" t="n"/>
      <c r="AH18" s="38" t="n"/>
      <c r="AI18" s="118" t="n">
        <v>0</v>
      </c>
      <c r="AJ18" s="119" t="n">
        <v>0</v>
      </c>
      <c r="AK18" s="119" t="n">
        <v>0</v>
      </c>
      <c r="AL18" s="119" t="n">
        <v>0</v>
      </c>
      <c r="AM18" s="120" t="n">
        <v>0</v>
      </c>
      <c r="AN18" s="118" t="n">
        <v>0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0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0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>
        <f>SUMIF('XCCL Blank TB'!$R:$R,'CCL HO P&amp;L'!$A19,'XCCL Blank TB'!C:C)+(SUMIF('XCCL HO TB'!$R:$R,'CCL HO P&amp;L'!$A19,'XCCL HO TB'!C:C))</f>
        <v/>
      </c>
      <c r="P19" s="37">
        <f>SUMIF('XCCL Blank TB'!$R:$R,'CCL HO P&amp;L'!$A19,'XCCL Blank TB'!D:D)+(SUMIF('XCCL HO TB'!$R:$R,'CCL HO P&amp;L'!$A19,'XCCL HO TB'!D:D))</f>
        <v/>
      </c>
      <c r="Q19" s="37">
        <f>SUMIF('XCCL Blank TB'!$R:$R,'CCL HO P&amp;L'!$A19,'XCCL Blank TB'!E:E)+(SUMIF('XCCL HO TB'!$R:$R,'CCL HO P&amp;L'!$A19,'XCCL HO TB'!E:E))</f>
        <v/>
      </c>
      <c r="R19" s="37">
        <f>SUMIF('XCCL Blank TB'!$R:$R,'CCL HO P&amp;L'!$A19,'XCCL Blank TB'!F:F)+(SUMIF('XCCL HO TB'!$R:$R,'CCL HO P&amp;L'!$A19,'XCCL HO TB'!F:F))</f>
        <v/>
      </c>
      <c r="S19" s="37">
        <f>SUMIF('XCCL Blank TB'!$R:$R,'CCL HO P&amp;L'!$A19,'XCCL Blank TB'!G:G)+(SUMIF('XCCL HO TB'!$R:$R,'CCL HO P&amp;L'!$A19,'XCCL HO TB'!G:G))</f>
        <v/>
      </c>
      <c r="T19" s="37">
        <f>SUMIF('XCCL Blank TB'!$R:$R,'CCL HO P&amp;L'!$A19,'XCCL Blank TB'!H:H)+(SUMIF('XCCL HO TB'!$R:$R,'CCL HO P&amp;L'!$A19,'XCCL HO TB'!H:H))</f>
        <v/>
      </c>
      <c r="U19" s="38" t="n"/>
      <c r="V19" s="38" t="n"/>
      <c r="W19" s="38" t="n"/>
      <c r="X19" s="38" t="n"/>
      <c r="Y19" s="38" t="n"/>
      <c r="Z19" s="38" t="n"/>
      <c r="AA19" s="36">
        <f>SUM(O19:U19)</f>
        <v/>
      </c>
      <c r="AB19" s="36">
        <f>SUM(O19:Z19)</f>
        <v/>
      </c>
      <c r="AC19" s="38" t="n"/>
      <c r="AD19" s="38" t="n"/>
      <c r="AE19" s="38" t="n"/>
      <c r="AF19" s="38" t="n"/>
      <c r="AG19" s="38" t="n"/>
      <c r="AH19" s="38" t="n"/>
      <c r="AI19" s="118" t="n">
        <v>0</v>
      </c>
      <c r="AJ19" s="119" t="n">
        <v>0</v>
      </c>
      <c r="AK19" s="119" t="n">
        <v>0</v>
      </c>
      <c r="AL19" s="119" t="n">
        <v>0</v>
      </c>
      <c r="AM19" s="120" t="n">
        <v>0</v>
      </c>
      <c r="AN19" s="118" t="n">
        <v>0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0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252</v>
      </c>
      <c r="H20" s="35" t="n">
        <v>0</v>
      </c>
      <c r="I20" s="35" t="n">
        <v>0</v>
      </c>
      <c r="J20" s="35" t="n">
        <v>0</v>
      </c>
      <c r="K20" s="35" t="n">
        <v>0</v>
      </c>
      <c r="L20" s="35" t="n">
        <v>0</v>
      </c>
      <c r="M20" s="35" t="n">
        <v>0</v>
      </c>
      <c r="N20" s="36">
        <f>SUM(B20:M20)</f>
        <v/>
      </c>
      <c r="O20" s="37">
        <f>SUMIF('XCCL Blank TB'!$R:$R,'CCL HO P&amp;L'!$A20,'XCCL Blank TB'!C:C)+(SUMIF('XCCL HO TB'!$R:$R,'CCL HO P&amp;L'!$A20,'XCCL HO TB'!C:C))</f>
        <v/>
      </c>
      <c r="P20" s="37">
        <f>SUMIF('XCCL Blank TB'!$R:$R,'CCL HO P&amp;L'!$A20,'XCCL Blank TB'!D:D)+(SUMIF('XCCL HO TB'!$R:$R,'CCL HO P&amp;L'!$A20,'XCCL HO TB'!D:D))</f>
        <v/>
      </c>
      <c r="Q20" s="37">
        <f>SUMIF('XCCL Blank TB'!$R:$R,'CCL HO P&amp;L'!$A20,'XCCL Blank TB'!E:E)+(SUMIF('XCCL HO TB'!$R:$R,'CCL HO P&amp;L'!$A20,'XCCL HO TB'!E:E))</f>
        <v/>
      </c>
      <c r="R20" s="37">
        <f>SUMIF('XCCL Blank TB'!$R:$R,'CCL HO P&amp;L'!$A20,'XCCL Blank TB'!F:F)+(SUMIF('XCCL HO TB'!$R:$R,'CCL HO P&amp;L'!$A20,'XCCL HO TB'!F:F))</f>
        <v/>
      </c>
      <c r="S20" s="37">
        <f>SUMIF('XCCL Blank TB'!$R:$R,'CCL HO P&amp;L'!$A20,'XCCL Blank TB'!G:G)+(SUMIF('XCCL HO TB'!$R:$R,'CCL HO P&amp;L'!$A20,'XCCL HO TB'!G:G))</f>
        <v/>
      </c>
      <c r="T20" s="37">
        <f>SUMIF('XCCL Blank TB'!$R:$R,'CCL HO P&amp;L'!$A20,'XCCL Blank TB'!H:H)+(SUMIF('XCCL HO TB'!$R:$R,'CCL HO P&amp;L'!$A20,'XCCL HO TB'!H:H))</f>
        <v/>
      </c>
      <c r="U20" s="38" t="n"/>
      <c r="V20" s="38" t="n"/>
      <c r="W20" s="38" t="n"/>
      <c r="X20" s="38" t="n"/>
      <c r="Y20" s="38" t="n"/>
      <c r="Z20" s="38" t="n"/>
      <c r="AA20" s="36">
        <f>SUM(O20:U20)</f>
        <v/>
      </c>
      <c r="AB20" s="36">
        <f>SUM(O20:Z20)</f>
        <v/>
      </c>
      <c r="AC20" s="38" t="n"/>
      <c r="AD20" s="38" t="n"/>
      <c r="AE20" s="38" t="n"/>
      <c r="AF20" s="38" t="n"/>
      <c r="AG20" s="38" t="n"/>
      <c r="AH20" s="38" t="n"/>
      <c r="AI20" s="118" t="n">
        <v>0</v>
      </c>
      <c r="AJ20" s="119" t="n">
        <v>0</v>
      </c>
      <c r="AK20" s="119" t="n">
        <v>0</v>
      </c>
      <c r="AL20" s="119" t="n">
        <v>0</v>
      </c>
      <c r="AM20" s="120" t="n">
        <v>0</v>
      </c>
      <c r="AN20" s="118" t="n">
        <v>0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0</v>
      </c>
      <c r="C21" s="35" t="n">
        <v>0</v>
      </c>
      <c r="D21" s="35" t="n">
        <v>0</v>
      </c>
      <c r="E21" s="35" t="n">
        <v>0</v>
      </c>
      <c r="F21" s="35" t="n">
        <v>0</v>
      </c>
      <c r="G21" s="35" t="n">
        <v>0</v>
      </c>
      <c r="H21" s="35" t="n">
        <v>0</v>
      </c>
      <c r="I21" s="35" t="n">
        <v>0</v>
      </c>
      <c r="J21" s="35" t="n">
        <v>0</v>
      </c>
      <c r="K21" s="35" t="n">
        <v>0</v>
      </c>
      <c r="L21" s="35" t="n">
        <v>0</v>
      </c>
      <c r="M21" s="35" t="n">
        <v>0</v>
      </c>
      <c r="N21" s="36">
        <f>SUM(B21:M21)</f>
        <v/>
      </c>
      <c r="O21" s="37">
        <f>SUMIF('XCCL Blank TB'!$R:$R,'CCL HO P&amp;L'!$A21,'XCCL Blank TB'!C:C)+(SUMIF('XCCL HO TB'!$R:$R,'CCL HO P&amp;L'!$A21,'XCCL HO TB'!C:C))</f>
        <v/>
      </c>
      <c r="P21" s="37">
        <f>SUMIF('XCCL Blank TB'!$R:$R,'CCL HO P&amp;L'!$A21,'XCCL Blank TB'!D:D)+(SUMIF('XCCL HO TB'!$R:$R,'CCL HO P&amp;L'!$A21,'XCCL HO TB'!D:D))</f>
        <v/>
      </c>
      <c r="Q21" s="37">
        <f>SUMIF('XCCL Blank TB'!$R:$R,'CCL HO P&amp;L'!$A21,'XCCL Blank TB'!E:E)+(SUMIF('XCCL HO TB'!$R:$R,'CCL HO P&amp;L'!$A21,'XCCL HO TB'!E:E))</f>
        <v/>
      </c>
      <c r="R21" s="37">
        <f>SUMIF('XCCL Blank TB'!$R:$R,'CCL HO P&amp;L'!$A21,'XCCL Blank TB'!F:F)+(SUMIF('XCCL HO TB'!$R:$R,'CCL HO P&amp;L'!$A21,'XCCL HO TB'!F:F))</f>
        <v/>
      </c>
      <c r="S21" s="37">
        <f>SUMIF('XCCL Blank TB'!$R:$R,'CCL HO P&amp;L'!$A21,'XCCL Blank TB'!G:G)+(SUMIF('XCCL HO TB'!$R:$R,'CCL HO P&amp;L'!$A21,'XCCL HO TB'!G:G))</f>
        <v/>
      </c>
      <c r="T21" s="37">
        <f>SUMIF('XCCL Blank TB'!$R:$R,'CCL HO P&amp;L'!$A21,'XCCL Blank TB'!H:H)+(SUMIF('XCCL HO TB'!$R:$R,'CCL HO P&amp;L'!$A21,'XCCL HO TB'!H:H))</f>
        <v/>
      </c>
      <c r="U21" s="38" t="n"/>
      <c r="V21" s="38" t="n"/>
      <c r="W21" s="38" t="n"/>
      <c r="X21" s="38" t="n"/>
      <c r="Y21" s="38" t="n"/>
      <c r="Z21" s="38" t="n"/>
      <c r="AA21" s="36">
        <f>SUM(O21:U21)</f>
        <v/>
      </c>
      <c r="AB21" s="36">
        <f>SUM(O21:Z21)</f>
        <v/>
      </c>
      <c r="AC21" s="38" t="n"/>
      <c r="AD21" s="38" t="n"/>
      <c r="AE21" s="38" t="n"/>
      <c r="AF21" s="38" t="n"/>
      <c r="AG21" s="38" t="n"/>
      <c r="AH21" s="38" t="n"/>
      <c r="AI21" s="118" t="n">
        <v>0</v>
      </c>
      <c r="AJ21" s="119" t="n">
        <v>0</v>
      </c>
      <c r="AK21" s="119" t="n">
        <v>0</v>
      </c>
      <c r="AL21" s="119" t="n">
        <v>0</v>
      </c>
      <c r="AM21" s="120" t="n">
        <v>0</v>
      </c>
      <c r="AN21" s="118" t="n">
        <v>0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1917.6</v>
      </c>
      <c r="G22" s="35" t="n">
        <v>380.58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SUMIF('XCCL Blank TB'!$R:$R,'CCL HO P&amp;L'!$A22,'XCCL Blank TB'!C:C)+(SUMIF('XCCL HO TB'!$R:$R,'CCL HO P&amp;L'!$A22,'XCCL HO TB'!C:C))</f>
        <v/>
      </c>
      <c r="P22" s="37">
        <f>SUMIF('XCCL Blank TB'!$R:$R,'CCL HO P&amp;L'!$A22,'XCCL Blank TB'!D:D)+(SUMIF('XCCL HO TB'!$R:$R,'CCL HO P&amp;L'!$A22,'XCCL HO TB'!D:D))</f>
        <v/>
      </c>
      <c r="Q22" s="37">
        <f>SUMIF('XCCL Blank TB'!$R:$R,'CCL HO P&amp;L'!$A22,'XCCL Blank TB'!E:E)+(SUMIF('XCCL HO TB'!$R:$R,'CCL HO P&amp;L'!$A22,'XCCL HO TB'!E:E))</f>
        <v/>
      </c>
      <c r="R22" s="37">
        <f>SUMIF('XCCL Blank TB'!$R:$R,'CCL HO P&amp;L'!$A22,'XCCL Blank TB'!F:F)+(SUMIF('XCCL HO TB'!$R:$R,'CCL HO P&amp;L'!$A22,'XCCL HO TB'!F:F))</f>
        <v/>
      </c>
      <c r="S22" s="37">
        <f>SUMIF('XCCL Blank TB'!$R:$R,'CCL HO P&amp;L'!$A22,'XCCL Blank TB'!G:G)+(SUMIF('XCCL HO TB'!$R:$R,'CCL HO P&amp;L'!$A22,'XCCL HO TB'!G:G))</f>
        <v/>
      </c>
      <c r="T22" s="37">
        <f>SUMIF('XCCL Blank TB'!$R:$R,'CCL HO P&amp;L'!$A22,'XCCL Blank TB'!H:H)+(SUMIF('XCCL HO TB'!$R:$R,'CCL HO P&amp;L'!$A22,'XCCL HO TB'!H:H))</f>
        <v/>
      </c>
      <c r="U22" s="38" t="n"/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118" t="n">
        <v>0</v>
      </c>
      <c r="AJ22" s="119" t="n">
        <v>0</v>
      </c>
      <c r="AK22" s="119" t="n">
        <v>0</v>
      </c>
      <c r="AL22" s="119" t="n">
        <v>0</v>
      </c>
      <c r="AM22" s="120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>
        <f>SUMIF('XCCL Blank TB'!$R:$R,'CCL HO P&amp;L'!$A23,'XCCL Blank TB'!C:C)+(SUMIF('XCCL HO TB'!$R:$R,'CCL HO P&amp;L'!$A23,'XCCL HO TB'!C:C))</f>
        <v/>
      </c>
      <c r="P23" s="37">
        <f>SUMIF('XCCL Blank TB'!$R:$R,'CCL HO P&amp;L'!$A23,'XCCL Blank TB'!D:D)+(SUMIF('XCCL HO TB'!$R:$R,'CCL HO P&amp;L'!$A23,'XCCL HO TB'!D:D))</f>
        <v/>
      </c>
      <c r="Q23" s="37">
        <f>SUMIF('XCCL Blank TB'!$R:$R,'CCL HO P&amp;L'!$A23,'XCCL Blank TB'!E:E)+(SUMIF('XCCL HO TB'!$R:$R,'CCL HO P&amp;L'!$A23,'XCCL HO TB'!E:E))</f>
        <v/>
      </c>
      <c r="R23" s="37">
        <f>SUMIF('XCCL Blank TB'!$R:$R,'CCL HO P&amp;L'!$A23,'XCCL Blank TB'!F:F)+(SUMIF('XCCL HO TB'!$R:$R,'CCL HO P&amp;L'!$A23,'XCCL HO TB'!F:F))</f>
        <v/>
      </c>
      <c r="S23" s="37">
        <f>SUMIF('XCCL Blank TB'!$R:$R,'CCL HO P&amp;L'!$A23,'XCCL Blank TB'!G:G)+(SUMIF('XCCL HO TB'!$R:$R,'CCL HO P&amp;L'!$A23,'XCCL HO TB'!G:G))</f>
        <v/>
      </c>
      <c r="T23" s="37">
        <f>SUMIF('XCCL Blank TB'!$R:$R,'CCL HO P&amp;L'!$A23,'XCCL Blank TB'!H:H)+(SUMIF('XCCL HO TB'!$R:$R,'CCL HO P&amp;L'!$A23,'XCCL HO TB'!H:H))</f>
        <v/>
      </c>
      <c r="U23" s="38" t="n"/>
      <c r="V23" s="38" t="n"/>
      <c r="W23" s="38" t="n"/>
      <c r="X23" s="38" t="n"/>
      <c r="Y23" s="38" t="n"/>
      <c r="Z23" s="38" t="n"/>
      <c r="AA23" s="36">
        <f>SUM(O23:U23)</f>
        <v/>
      </c>
      <c r="AB23" s="36">
        <f>SUM(O23:Z23)</f>
        <v/>
      </c>
      <c r="AC23" s="38" t="n"/>
      <c r="AD23" s="38" t="n"/>
      <c r="AE23" s="38" t="n"/>
      <c r="AF23" s="38" t="n"/>
      <c r="AG23" s="38" t="n"/>
      <c r="AH23" s="38" t="n"/>
      <c r="AI23" s="118" t="n">
        <v>0</v>
      </c>
      <c r="AJ23" s="119" t="n">
        <v>0</v>
      </c>
      <c r="AK23" s="119" t="n">
        <v>0</v>
      </c>
      <c r="AL23" s="119" t="n">
        <v>0</v>
      </c>
      <c r="AM23" s="120" t="n">
        <v>0</v>
      </c>
      <c r="AN23" s="118" t="n">
        <v>0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SUMIF('XCCL Blank TB'!$R:$R,'CCL HO P&amp;L'!$A24,'XCCL Blank TB'!C:C)+(SUMIF('XCCL HO TB'!$R:$R,'CCL HO P&amp;L'!$A24,'XCCL HO TB'!C:C))</f>
        <v/>
      </c>
      <c r="P24" s="37">
        <f>SUMIF('XCCL Blank TB'!$R:$R,'CCL HO P&amp;L'!$A24,'XCCL Blank TB'!D:D)+(SUMIF('XCCL HO TB'!$R:$R,'CCL HO P&amp;L'!$A24,'XCCL HO TB'!D:D))</f>
        <v/>
      </c>
      <c r="Q24" s="37">
        <f>SUMIF('XCCL Blank TB'!$R:$R,'CCL HO P&amp;L'!$A24,'XCCL Blank TB'!E:E)+(SUMIF('XCCL HO TB'!$R:$R,'CCL HO P&amp;L'!$A24,'XCCL HO TB'!E:E))</f>
        <v/>
      </c>
      <c r="R24" s="37">
        <f>SUMIF('XCCL Blank TB'!$R:$R,'CCL HO P&amp;L'!$A24,'XCCL Blank TB'!F:F)+(SUMIF('XCCL HO TB'!$R:$R,'CCL HO P&amp;L'!$A24,'XCCL HO TB'!F:F))</f>
        <v/>
      </c>
      <c r="S24" s="37">
        <f>SUMIF('XCCL Blank TB'!$R:$R,'CCL HO P&amp;L'!$A24,'XCCL Blank TB'!G:G)+(SUMIF('XCCL HO TB'!$R:$R,'CCL HO P&amp;L'!$A24,'XCCL HO TB'!G:G))</f>
        <v/>
      </c>
      <c r="T24" s="37">
        <f>SUMIF('XCCL Blank TB'!$R:$R,'CCL HO P&amp;L'!$A24,'XCCL Blank TB'!H:H)+(SUMIF('XCCL HO TB'!$R:$R,'CCL HO P&amp;L'!$A24,'XCCL HO TB'!H:H))</f>
        <v/>
      </c>
      <c r="U24" s="38" t="n"/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118" t="n">
        <v>0</v>
      </c>
      <c r="AJ24" s="119" t="n">
        <v>0</v>
      </c>
      <c r="AK24" s="119" t="n">
        <v>0</v>
      </c>
      <c r="AL24" s="119" t="n">
        <v>0</v>
      </c>
      <c r="AM24" s="120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0</v>
      </c>
      <c r="C25" s="42" t="n">
        <v>0</v>
      </c>
      <c r="D25" s="42" t="n">
        <v>0</v>
      </c>
      <c r="E25" s="42" t="n">
        <v>0</v>
      </c>
      <c r="F25" s="42" t="n">
        <v>1917.6</v>
      </c>
      <c r="G25" s="42" t="n">
        <v>632.5799999999999</v>
      </c>
      <c r="H25" s="42" t="n">
        <v>0</v>
      </c>
      <c r="I25" s="42" t="n">
        <v>0</v>
      </c>
      <c r="J25" s="42" t="n">
        <v>0</v>
      </c>
      <c r="K25" s="42" t="n">
        <v>0</v>
      </c>
      <c r="L25" s="42" t="n">
        <v>0</v>
      </c>
      <c r="M25" s="42" t="n">
        <v>0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5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 t="n"/>
      <c r="AD25" s="45" t="n"/>
      <c r="AE25" s="45" t="n"/>
      <c r="AF25" s="45" t="n"/>
      <c r="AG25" s="45" t="n"/>
      <c r="AH25" s="45" t="n"/>
      <c r="AI25" s="134" t="n">
        <v>0</v>
      </c>
      <c r="AJ25" s="152" t="n">
        <v>0</v>
      </c>
      <c r="AK25" s="152" t="n">
        <v>0</v>
      </c>
      <c r="AL25" s="152" t="n">
        <v>0</v>
      </c>
      <c r="AM25" s="152" t="n">
        <v>0</v>
      </c>
      <c r="AN25" s="134" t="n">
        <v>0</v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2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7" t="n">
        <v>0</v>
      </c>
      <c r="AJ26" s="128" t="n">
        <v>0</v>
      </c>
      <c r="AK26" s="128" t="n">
        <v>0</v>
      </c>
      <c r="AL26" s="128" t="n">
        <v>0</v>
      </c>
      <c r="AM26" s="129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  <c r="H27" s="35" t="n">
        <v>20.97</v>
      </c>
      <c r="I27" s="35" t="n">
        <v>0</v>
      </c>
      <c r="J27" s="35" t="n">
        <v>0</v>
      </c>
      <c r="K27" s="35" t="n">
        <v>0</v>
      </c>
      <c r="L27" s="35" t="n">
        <v>0</v>
      </c>
      <c r="M27" s="35" t="n">
        <v>0</v>
      </c>
      <c r="N27" s="36">
        <f>SUM(B27:M27)</f>
        <v/>
      </c>
      <c r="O27" s="37">
        <f>SUMIF('XCCL Blank TB'!$R:$R,'CCL HO P&amp;L'!$A27,'XCCL Blank TB'!C:C)+(SUMIF('XCCL HO TB'!$R:$R,'CCL HO P&amp;L'!$A27,'XCCL HO TB'!C:C))</f>
        <v/>
      </c>
      <c r="P27" s="37">
        <f>SUMIF('XCCL Blank TB'!$R:$R,'CCL HO P&amp;L'!$A27,'XCCL Blank TB'!D:D)+(SUMIF('XCCL HO TB'!$R:$R,'CCL HO P&amp;L'!$A27,'XCCL HO TB'!D:D))</f>
        <v/>
      </c>
      <c r="Q27" s="37">
        <f>SUMIF('XCCL Blank TB'!$R:$R,'CCL HO P&amp;L'!$A27,'XCCL Blank TB'!E:E)+(SUMIF('XCCL HO TB'!$R:$R,'CCL HO P&amp;L'!$A27,'XCCL HO TB'!E:E))</f>
        <v/>
      </c>
      <c r="R27" s="37">
        <f>SUMIF('XCCL Blank TB'!$R:$R,'CCL HO P&amp;L'!$A27,'XCCL Blank TB'!F:F)+(SUMIF('XCCL HO TB'!$R:$R,'CCL HO P&amp;L'!$A27,'XCCL HO TB'!F:F))</f>
        <v/>
      </c>
      <c r="S27" s="37">
        <f>SUMIF('XCCL Blank TB'!$R:$R,'CCL HO P&amp;L'!$A27,'XCCL Blank TB'!G:G)+(SUMIF('XCCL HO TB'!$R:$R,'CCL HO P&amp;L'!$A27,'XCCL HO TB'!G:G))</f>
        <v/>
      </c>
      <c r="T27" s="37">
        <f>SUMIF('XCCL Blank TB'!$R:$R,'CCL HO P&amp;L'!$A27,'XCCL Blank TB'!H:H)+(SUMIF('XCCL HO TB'!$R:$R,'CCL HO P&amp;L'!$A27,'XCCL HO TB'!H:H))</f>
        <v/>
      </c>
      <c r="U27" s="38" t="n"/>
      <c r="V27" s="38" t="n"/>
      <c r="W27" s="38" t="n"/>
      <c r="X27" s="38" t="n"/>
      <c r="Y27" s="38" t="n"/>
      <c r="Z27" s="38" t="n"/>
      <c r="AA27" s="36">
        <f>SUM(O27:U27)</f>
        <v/>
      </c>
      <c r="AB27" s="36">
        <f>SUM(O27:Z27)</f>
        <v/>
      </c>
      <c r="AC27" s="38" t="n"/>
      <c r="AD27" s="38" t="n"/>
      <c r="AE27" s="38" t="n"/>
      <c r="AF27" s="38" t="n"/>
      <c r="AG27" s="38" t="n"/>
      <c r="AH27" s="38" t="n"/>
      <c r="AI27" s="118" t="n">
        <v>0</v>
      </c>
      <c r="AJ27" s="119" t="n">
        <v>0</v>
      </c>
      <c r="AK27" s="119" t="n">
        <v>0</v>
      </c>
      <c r="AL27" s="119" t="n">
        <v>0</v>
      </c>
      <c r="AM27" s="120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62.78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5" t="n">
        <v>0</v>
      </c>
      <c r="I28" s="35" t="n">
        <v>0</v>
      </c>
      <c r="J28" s="35" t="n">
        <v>0</v>
      </c>
      <c r="K28" s="35" t="n">
        <v>0</v>
      </c>
      <c r="L28" s="35" t="n">
        <v>0</v>
      </c>
      <c r="M28" s="35" t="n">
        <v>0</v>
      </c>
      <c r="N28" s="36">
        <f>SUM(B28:M28)</f>
        <v/>
      </c>
      <c r="O28" s="37">
        <f>SUMIF('XCCL Blank TB'!$R:$R,'CCL HO P&amp;L'!$A28,'XCCL Blank TB'!C:C)+(SUMIF('XCCL HO TB'!$R:$R,'CCL HO P&amp;L'!$A28,'XCCL HO TB'!C:C))</f>
        <v/>
      </c>
      <c r="P28" s="37">
        <f>SUMIF('XCCL Blank TB'!$R:$R,'CCL HO P&amp;L'!$A28,'XCCL Blank TB'!D:D)+(SUMIF('XCCL HO TB'!$R:$R,'CCL HO P&amp;L'!$A28,'XCCL HO TB'!D:D))</f>
        <v/>
      </c>
      <c r="Q28" s="37">
        <f>SUMIF('XCCL Blank TB'!$R:$R,'CCL HO P&amp;L'!$A28,'XCCL Blank TB'!E:E)+(SUMIF('XCCL HO TB'!$R:$R,'CCL HO P&amp;L'!$A28,'XCCL HO TB'!E:E))</f>
        <v/>
      </c>
      <c r="R28" s="37">
        <f>SUMIF('XCCL Blank TB'!$R:$R,'CCL HO P&amp;L'!$A28,'XCCL Blank TB'!F:F)+(SUMIF('XCCL HO TB'!$R:$R,'CCL HO P&amp;L'!$A28,'XCCL HO TB'!F:F))</f>
        <v/>
      </c>
      <c r="S28" s="37">
        <f>SUMIF('XCCL Blank TB'!$R:$R,'CCL HO P&amp;L'!$A28,'XCCL Blank TB'!G:G)+(SUMIF('XCCL HO TB'!$R:$R,'CCL HO P&amp;L'!$A28,'XCCL HO TB'!G:G))</f>
        <v/>
      </c>
      <c r="T28" s="37">
        <f>SUMIF('XCCL Blank TB'!$R:$R,'CCL HO P&amp;L'!$A28,'XCCL Blank TB'!H:H)+(SUMIF('XCCL HO TB'!$R:$R,'CCL HO P&amp;L'!$A28,'XCCL HO TB'!H:H))</f>
        <v/>
      </c>
      <c r="U28" s="38" t="n"/>
      <c r="V28" s="38" t="n"/>
      <c r="W28" s="38" t="n"/>
      <c r="X28" s="38" t="n"/>
      <c r="Y28" s="38" t="n"/>
      <c r="Z28" s="38" t="n"/>
      <c r="AA28" s="36">
        <f>SUM(O28:U28)</f>
        <v/>
      </c>
      <c r="AB28" s="36">
        <f>SUM(O28:Z28)</f>
        <v/>
      </c>
      <c r="AC28" s="38" t="n"/>
      <c r="AD28" s="38" t="n"/>
      <c r="AE28" s="38" t="n"/>
      <c r="AF28" s="38" t="n"/>
      <c r="AG28" s="38" t="n"/>
      <c r="AH28" s="38" t="n"/>
      <c r="AI28" s="118" t="n">
        <v>0</v>
      </c>
      <c r="AJ28" s="119" t="n">
        <v>0</v>
      </c>
      <c r="AK28" s="119" t="n">
        <v>0</v>
      </c>
      <c r="AL28" s="119" t="n">
        <v>0</v>
      </c>
      <c r="AM28" s="120" t="n">
        <v>0</v>
      </c>
      <c r="AN28" s="118" t="n">
        <v>0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165.27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5" t="n">
        <v>0</v>
      </c>
      <c r="J29" s="35" t="n">
        <v>0</v>
      </c>
      <c r="K29" s="35" t="n">
        <v>0</v>
      </c>
      <c r="L29" s="35" t="n">
        <v>0</v>
      </c>
      <c r="M29" s="35" t="n">
        <v>0</v>
      </c>
      <c r="N29" s="36">
        <f>SUM(B29:M29)</f>
        <v/>
      </c>
      <c r="O29" s="37">
        <f>SUMIF('XCCL Blank TB'!$R:$R,'CCL HO P&amp;L'!$A29,'XCCL Blank TB'!C:C)+(SUMIF('XCCL HO TB'!$R:$R,'CCL HO P&amp;L'!$A29,'XCCL HO TB'!C:C))</f>
        <v/>
      </c>
      <c r="P29" s="37">
        <f>SUMIF('XCCL Blank TB'!$R:$R,'CCL HO P&amp;L'!$A29,'XCCL Blank TB'!D:D)+(SUMIF('XCCL HO TB'!$R:$R,'CCL HO P&amp;L'!$A29,'XCCL HO TB'!D:D))</f>
        <v/>
      </c>
      <c r="Q29" s="37">
        <f>SUMIF('XCCL Blank TB'!$R:$R,'CCL HO P&amp;L'!$A29,'XCCL Blank TB'!E:E)+(SUMIF('XCCL HO TB'!$R:$R,'CCL HO P&amp;L'!$A29,'XCCL HO TB'!E:E))</f>
        <v/>
      </c>
      <c r="R29" s="37">
        <f>SUMIF('XCCL Blank TB'!$R:$R,'CCL HO P&amp;L'!$A29,'XCCL Blank TB'!F:F)+(SUMIF('XCCL HO TB'!$R:$R,'CCL HO P&amp;L'!$A29,'XCCL HO TB'!F:F))</f>
        <v/>
      </c>
      <c r="S29" s="37">
        <f>SUMIF('XCCL Blank TB'!$R:$R,'CCL HO P&amp;L'!$A29,'XCCL Blank TB'!G:G)+(SUMIF('XCCL HO TB'!$R:$R,'CCL HO P&amp;L'!$A29,'XCCL HO TB'!G:G))</f>
        <v/>
      </c>
      <c r="T29" s="37">
        <f>SUMIF('XCCL Blank TB'!$R:$R,'CCL HO P&amp;L'!$A29,'XCCL Blank TB'!H:H)+(SUMIF('XCCL HO TB'!$R:$R,'CCL HO P&amp;L'!$A29,'XCCL HO TB'!H:H))</f>
        <v/>
      </c>
      <c r="U29" s="38" t="n"/>
      <c r="V29" s="38" t="n"/>
      <c r="W29" s="38" t="n"/>
      <c r="X29" s="38" t="n"/>
      <c r="Y29" s="38" t="n"/>
      <c r="Z29" s="38" t="n"/>
      <c r="AA29" s="36">
        <f>SUM(O29:U29)</f>
        <v/>
      </c>
      <c r="AB29" s="36">
        <f>SUM(O29:Z29)</f>
        <v/>
      </c>
      <c r="AC29" s="38" t="n"/>
      <c r="AD29" s="38" t="n"/>
      <c r="AE29" s="38" t="n"/>
      <c r="AF29" s="38" t="n"/>
      <c r="AG29" s="38" t="n"/>
      <c r="AH29" s="38" t="n"/>
      <c r="AI29" s="118" t="n">
        <v>0</v>
      </c>
      <c r="AJ29" s="119" t="n">
        <v>0</v>
      </c>
      <c r="AK29" s="119" t="n">
        <v>0</v>
      </c>
      <c r="AL29" s="119" t="n">
        <v>0</v>
      </c>
      <c r="AM29" s="120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SUMIF('XCCL Blank TB'!$R:$R,'CCL HO P&amp;L'!$A30,'XCCL Blank TB'!C:C)+(SUMIF('XCCL HO TB'!$R:$R,'CCL HO P&amp;L'!$A30,'XCCL HO TB'!C:C))</f>
        <v/>
      </c>
      <c r="P30" s="37">
        <f>SUMIF('XCCL Blank TB'!$R:$R,'CCL HO P&amp;L'!$A30,'XCCL Blank TB'!D:D)+(SUMIF('XCCL HO TB'!$R:$R,'CCL HO P&amp;L'!$A30,'XCCL HO TB'!D:D))</f>
        <v/>
      </c>
      <c r="Q30" s="37">
        <f>SUMIF('XCCL Blank TB'!$R:$R,'CCL HO P&amp;L'!$A30,'XCCL Blank TB'!E:E)+(SUMIF('XCCL HO TB'!$R:$R,'CCL HO P&amp;L'!$A30,'XCCL HO TB'!E:E))</f>
        <v/>
      </c>
      <c r="R30" s="37">
        <f>SUMIF('XCCL Blank TB'!$R:$R,'CCL HO P&amp;L'!$A30,'XCCL Blank TB'!F:F)+(SUMIF('XCCL HO TB'!$R:$R,'CCL HO P&amp;L'!$A30,'XCCL HO TB'!F:F))</f>
        <v/>
      </c>
      <c r="S30" s="37">
        <f>SUMIF('XCCL Blank TB'!$R:$R,'CCL HO P&amp;L'!$A30,'XCCL Blank TB'!G:G)+(SUMIF('XCCL HO TB'!$R:$R,'CCL HO P&amp;L'!$A30,'XCCL HO TB'!G:G))</f>
        <v/>
      </c>
      <c r="T30" s="37">
        <f>SUMIF('XCCL Blank TB'!$R:$R,'CCL HO P&amp;L'!$A30,'XCCL Blank TB'!H:H)+(SUMIF('XCCL HO TB'!$R:$R,'CCL HO P&amp;L'!$A30,'XCCL HO TB'!H:H))</f>
        <v/>
      </c>
      <c r="U30" s="38" t="n"/>
      <c r="V30" s="38" t="n"/>
      <c r="W30" s="38" t="n"/>
      <c r="X30" s="38" t="n"/>
      <c r="Y30" s="38" t="n"/>
      <c r="Z30" s="38" t="n"/>
      <c r="AA30" s="36">
        <f>SUM(O30:U30)</f>
        <v/>
      </c>
      <c r="AB30" s="36">
        <f>SUM(O30:Z30)</f>
        <v/>
      </c>
      <c r="AC30" s="38" t="n"/>
      <c r="AD30" s="38" t="n"/>
      <c r="AE30" s="38" t="n"/>
      <c r="AF30" s="38" t="n"/>
      <c r="AG30" s="38" t="n"/>
      <c r="AH30" s="38" t="n"/>
      <c r="AI30" s="118" t="n">
        <v>0</v>
      </c>
      <c r="AJ30" s="119" t="n">
        <v>0</v>
      </c>
      <c r="AK30" s="119" t="n">
        <v>0</v>
      </c>
      <c r="AL30" s="119" t="n">
        <v>0</v>
      </c>
      <c r="AM30" s="120" t="n">
        <v>0</v>
      </c>
      <c r="AN30" s="118" t="n">
        <v>0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0</v>
      </c>
      <c r="C31" s="35" t="n">
        <v>0</v>
      </c>
      <c r="D31" s="35" t="n">
        <v>0</v>
      </c>
      <c r="E31" s="35" t="n">
        <v>0</v>
      </c>
      <c r="F31" s="35" t="n">
        <v>0</v>
      </c>
      <c r="G31" s="35" t="n">
        <v>0</v>
      </c>
      <c r="H31" s="35" t="n">
        <v>0</v>
      </c>
      <c r="I31" s="35" t="n">
        <v>0</v>
      </c>
      <c r="J31" s="35" t="n">
        <v>0</v>
      </c>
      <c r="K31" s="35" t="n">
        <v>47.98</v>
      </c>
      <c r="L31" s="35" t="n">
        <v>0</v>
      </c>
      <c r="M31" s="35" t="n">
        <v>0</v>
      </c>
      <c r="N31" s="36">
        <f>SUM(B31:M31)</f>
        <v/>
      </c>
      <c r="O31" s="37">
        <f>SUMIF('XCCL Blank TB'!$R:$R,'CCL HO P&amp;L'!$A31,'XCCL Blank TB'!C:C)+(SUMIF('XCCL HO TB'!$R:$R,'CCL HO P&amp;L'!$A31,'XCCL HO TB'!C:C))</f>
        <v/>
      </c>
      <c r="P31" s="37">
        <f>SUMIF('XCCL Blank TB'!$R:$R,'CCL HO P&amp;L'!$A31,'XCCL Blank TB'!D:D)+(SUMIF('XCCL HO TB'!$R:$R,'CCL HO P&amp;L'!$A31,'XCCL HO TB'!D:D))</f>
        <v/>
      </c>
      <c r="Q31" s="37">
        <f>SUMIF('XCCL Blank TB'!$R:$R,'CCL HO P&amp;L'!$A31,'XCCL Blank TB'!E:E)+(SUMIF('XCCL HO TB'!$R:$R,'CCL HO P&amp;L'!$A31,'XCCL HO TB'!E:E))</f>
        <v/>
      </c>
      <c r="R31" s="37">
        <f>SUMIF('XCCL Blank TB'!$R:$R,'CCL HO P&amp;L'!$A31,'XCCL Blank TB'!F:F)+(SUMIF('XCCL HO TB'!$R:$R,'CCL HO P&amp;L'!$A31,'XCCL HO TB'!F:F))</f>
        <v/>
      </c>
      <c r="S31" s="37">
        <f>SUMIF('XCCL Blank TB'!$R:$R,'CCL HO P&amp;L'!$A31,'XCCL Blank TB'!G:G)+(SUMIF('XCCL HO TB'!$R:$R,'CCL HO P&amp;L'!$A31,'XCCL HO TB'!G:G))</f>
        <v/>
      </c>
      <c r="T31" s="37">
        <f>SUMIF('XCCL Blank TB'!$R:$R,'CCL HO P&amp;L'!$A31,'XCCL Blank TB'!H:H)+(SUMIF('XCCL HO TB'!$R:$R,'CCL HO P&amp;L'!$A31,'XCCL HO TB'!H:H))</f>
        <v/>
      </c>
      <c r="U31" s="38" t="n"/>
      <c r="V31" s="38" t="n"/>
      <c r="W31" s="38" t="n"/>
      <c r="X31" s="38" t="n"/>
      <c r="Y31" s="38" t="n"/>
      <c r="Z31" s="38" t="n"/>
      <c r="AA31" s="36">
        <f>SUM(O31:U31)</f>
        <v/>
      </c>
      <c r="AB31" s="36">
        <f>SUM(O31:Z31)</f>
        <v/>
      </c>
      <c r="AC31" s="38" t="n"/>
      <c r="AD31" s="38" t="n"/>
      <c r="AE31" s="38" t="n"/>
      <c r="AF31" s="38" t="n"/>
      <c r="AG31" s="38" t="n"/>
      <c r="AH31" s="38" t="n"/>
      <c r="AI31" s="118" t="n">
        <v>0</v>
      </c>
      <c r="AJ31" s="119" t="n">
        <v>0</v>
      </c>
      <c r="AK31" s="119" t="n">
        <v>0</v>
      </c>
      <c r="AL31" s="119" t="n">
        <v>0</v>
      </c>
      <c r="AM31" s="120" t="n">
        <v>0</v>
      </c>
      <c r="AN31" s="118" t="n">
        <v>0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0</v>
      </c>
      <c r="C32" s="35" t="n">
        <v>0</v>
      </c>
      <c r="D32" s="35" t="n">
        <v>0</v>
      </c>
      <c r="E32" s="35" t="n">
        <v>0</v>
      </c>
      <c r="F32" s="35" t="n">
        <v>0</v>
      </c>
      <c r="G32" s="35" t="n">
        <v>0</v>
      </c>
      <c r="H32" s="35" t="n">
        <v>0</v>
      </c>
      <c r="I32" s="35" t="n">
        <v>0</v>
      </c>
      <c r="J32" s="35" t="n">
        <v>0</v>
      </c>
      <c r="K32" s="35" t="n">
        <v>0</v>
      </c>
      <c r="L32" s="35" t="n">
        <v>0</v>
      </c>
      <c r="M32" s="35" t="n">
        <v>0</v>
      </c>
      <c r="N32" s="36">
        <f>SUM(B32:M32)</f>
        <v/>
      </c>
      <c r="O32" s="37">
        <f>SUMIF('XCCL Blank TB'!$R:$R,'CCL HO P&amp;L'!$A32,'XCCL Blank TB'!C:C)+(SUMIF('XCCL HO TB'!$R:$R,'CCL HO P&amp;L'!$A32,'XCCL HO TB'!C:C))</f>
        <v/>
      </c>
      <c r="P32" s="37">
        <f>SUMIF('XCCL Blank TB'!$R:$R,'CCL HO P&amp;L'!$A32,'XCCL Blank TB'!D:D)+(SUMIF('XCCL HO TB'!$R:$R,'CCL HO P&amp;L'!$A32,'XCCL HO TB'!D:D))</f>
        <v/>
      </c>
      <c r="Q32" s="37">
        <f>SUMIF('XCCL Blank TB'!$R:$R,'CCL HO P&amp;L'!$A32,'XCCL Blank TB'!E:E)+(SUMIF('XCCL HO TB'!$R:$R,'CCL HO P&amp;L'!$A32,'XCCL HO TB'!E:E))</f>
        <v/>
      </c>
      <c r="R32" s="37">
        <f>SUMIF('XCCL Blank TB'!$R:$R,'CCL HO P&amp;L'!$A32,'XCCL Blank TB'!F:F)+(SUMIF('XCCL HO TB'!$R:$R,'CCL HO P&amp;L'!$A32,'XCCL HO TB'!F:F))</f>
        <v/>
      </c>
      <c r="S32" s="37">
        <f>SUMIF('XCCL Blank TB'!$R:$R,'CCL HO P&amp;L'!$A32,'XCCL Blank TB'!G:G)+(SUMIF('XCCL HO TB'!$R:$R,'CCL HO P&amp;L'!$A32,'XCCL HO TB'!G:G))</f>
        <v/>
      </c>
      <c r="T32" s="37">
        <f>SUMIF('XCCL Blank TB'!$R:$R,'CCL HO P&amp;L'!$A32,'XCCL Blank TB'!H:H)+(SUMIF('XCCL HO TB'!$R:$R,'CCL HO P&amp;L'!$A32,'XCCL HO TB'!H:H))</f>
        <v/>
      </c>
      <c r="U32" s="38" t="n"/>
      <c r="V32" s="38" t="n"/>
      <c r="W32" s="38" t="n"/>
      <c r="X32" s="38" t="n"/>
      <c r="Y32" s="38" t="n"/>
      <c r="Z32" s="38" t="n"/>
      <c r="AA32" s="36">
        <f>SUM(O32:U32)</f>
        <v/>
      </c>
      <c r="AB32" s="36">
        <f>SUM(O32:Z32)</f>
        <v/>
      </c>
      <c r="AC32" s="38" t="n"/>
      <c r="AD32" s="38" t="n"/>
      <c r="AE32" s="38" t="n"/>
      <c r="AF32" s="38" t="n"/>
      <c r="AG32" s="38" t="n"/>
      <c r="AH32" s="38" t="n"/>
      <c r="AI32" s="118" t="n">
        <v>0</v>
      </c>
      <c r="AJ32" s="119" t="n">
        <v>0</v>
      </c>
      <c r="AK32" s="119" t="n">
        <v>0</v>
      </c>
      <c r="AL32" s="119" t="n">
        <v>0</v>
      </c>
      <c r="AM32" s="120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SUMIF('XCCL Blank TB'!$R:$R,'CCL HO P&amp;L'!$A33,'XCCL Blank TB'!C:C)+(SUMIF('XCCL HO TB'!$R:$R,'CCL HO P&amp;L'!$A33,'XCCL HO TB'!C:C))</f>
        <v/>
      </c>
      <c r="P33" s="37">
        <f>SUMIF('XCCL Blank TB'!$R:$R,'CCL HO P&amp;L'!$A33,'XCCL Blank TB'!D:D)+(SUMIF('XCCL HO TB'!$R:$R,'CCL HO P&amp;L'!$A33,'XCCL HO TB'!D:D))</f>
        <v/>
      </c>
      <c r="Q33" s="37">
        <f>SUMIF('XCCL Blank TB'!$R:$R,'CCL HO P&amp;L'!$A33,'XCCL Blank TB'!E:E)+(SUMIF('XCCL HO TB'!$R:$R,'CCL HO P&amp;L'!$A33,'XCCL HO TB'!E:E))</f>
        <v/>
      </c>
      <c r="R33" s="37">
        <f>SUMIF('XCCL Blank TB'!$R:$R,'CCL HO P&amp;L'!$A33,'XCCL Blank TB'!F:F)+(SUMIF('XCCL HO TB'!$R:$R,'CCL HO P&amp;L'!$A33,'XCCL HO TB'!F:F))</f>
        <v/>
      </c>
      <c r="S33" s="37">
        <f>SUMIF('XCCL Blank TB'!$R:$R,'CCL HO P&amp;L'!$A33,'XCCL Blank TB'!G:G)+(SUMIF('XCCL HO TB'!$R:$R,'CCL HO P&amp;L'!$A33,'XCCL HO TB'!G:G))</f>
        <v/>
      </c>
      <c r="T33" s="37">
        <f>SUMIF('XCCL Blank TB'!$R:$R,'CCL HO P&amp;L'!$A33,'XCCL Blank TB'!H:H)+(SUMIF('XCCL HO TB'!$R:$R,'CCL HO P&amp;L'!$A33,'XCCL HO TB'!H:H))</f>
        <v/>
      </c>
      <c r="U33" s="38" t="n"/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8" t="n">
        <v>0</v>
      </c>
      <c r="AJ33" s="119" t="n">
        <v>0</v>
      </c>
      <c r="AK33" s="119" t="n">
        <v>0</v>
      </c>
      <c r="AL33" s="119" t="n">
        <v>0</v>
      </c>
      <c r="AM33" s="120" t="n">
        <v>0</v>
      </c>
      <c r="AN33" s="118" t="n">
        <v>0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228.05</v>
      </c>
      <c r="C34" s="42" t="n">
        <v>0</v>
      </c>
      <c r="D34" s="42" t="n">
        <v>0</v>
      </c>
      <c r="E34" s="42" t="n">
        <v>0</v>
      </c>
      <c r="F34" s="42" t="n">
        <v>0</v>
      </c>
      <c r="G34" s="42" t="n">
        <v>0</v>
      </c>
      <c r="H34" s="42" t="n">
        <v>20.97</v>
      </c>
      <c r="I34" s="42" t="n">
        <v>0</v>
      </c>
      <c r="J34" s="42" t="n">
        <v>0</v>
      </c>
      <c r="K34" s="42" t="n">
        <v>47.98</v>
      </c>
      <c r="L34" s="42" t="n">
        <v>0</v>
      </c>
      <c r="M34" s="42" t="n">
        <v>0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5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 t="n"/>
      <c r="AD34" s="45" t="n"/>
      <c r="AE34" s="45" t="n"/>
      <c r="AF34" s="45" t="n"/>
      <c r="AG34" s="45" t="n"/>
      <c r="AH34" s="45" t="n"/>
      <c r="AI34" s="134" t="n">
        <v>0</v>
      </c>
      <c r="AJ34" s="152" t="n">
        <v>0</v>
      </c>
      <c r="AK34" s="152" t="n">
        <v>0</v>
      </c>
      <c r="AL34" s="152" t="n">
        <v>0</v>
      </c>
      <c r="AM34" s="152" t="n">
        <v>0</v>
      </c>
      <c r="AN34" s="134" t="n">
        <v>0</v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2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7" t="n">
        <v>0</v>
      </c>
      <c r="AJ35" s="128" t="n">
        <v>0</v>
      </c>
      <c r="AK35" s="128" t="n">
        <v>0</v>
      </c>
      <c r="AL35" s="128" t="n">
        <v>0</v>
      </c>
      <c r="AM35" s="129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SUMIF('XCCL Blank TB'!$R:$R,'CCL HO P&amp;L'!$A36,'XCCL Blank TB'!C:C)+(SUMIF('XCCL HO TB'!$R:$R,'CCL HO P&amp;L'!$A36,'XCCL HO TB'!C:C))</f>
        <v/>
      </c>
      <c r="P36" s="37">
        <f>SUMIF('XCCL Blank TB'!$R:$R,'CCL HO P&amp;L'!$A36,'XCCL Blank TB'!D:D)+(SUMIF('XCCL HO TB'!$R:$R,'CCL HO P&amp;L'!$A36,'XCCL HO TB'!D:D))</f>
        <v/>
      </c>
      <c r="Q36" s="37">
        <f>SUMIF('XCCL Blank TB'!$R:$R,'CCL HO P&amp;L'!$A36,'XCCL Blank TB'!E:E)+(SUMIF('XCCL HO TB'!$R:$R,'CCL HO P&amp;L'!$A36,'XCCL HO TB'!E:E))</f>
        <v/>
      </c>
      <c r="R36" s="37">
        <f>SUMIF('XCCL Blank TB'!$R:$R,'CCL HO P&amp;L'!$A36,'XCCL Blank TB'!F:F)+(SUMIF('XCCL HO TB'!$R:$R,'CCL HO P&amp;L'!$A36,'XCCL HO TB'!F:F))</f>
        <v/>
      </c>
      <c r="S36" s="37">
        <f>SUMIF('XCCL Blank TB'!$R:$R,'CCL HO P&amp;L'!$A36,'XCCL Blank TB'!G:G)+(SUMIF('XCCL HO TB'!$R:$R,'CCL HO P&amp;L'!$A36,'XCCL HO TB'!G:G))</f>
        <v/>
      </c>
      <c r="T36" s="37">
        <f>SUMIF('XCCL Blank TB'!$R:$R,'CCL HO P&amp;L'!$A36,'XCCL Blank TB'!H:H)+(SUMIF('XCCL HO TB'!$R:$R,'CCL HO P&amp;L'!$A36,'XCCL HO TB'!H:H))</f>
        <v/>
      </c>
      <c r="U36" s="38" t="n"/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8" t="n">
        <v>0</v>
      </c>
      <c r="AJ36" s="119" t="n">
        <v>0</v>
      </c>
      <c r="AK36" s="119" t="n">
        <v>0</v>
      </c>
      <c r="AL36" s="119" t="n">
        <v>0</v>
      </c>
      <c r="AM36" s="120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0</v>
      </c>
      <c r="C37" s="35" t="n">
        <v>0</v>
      </c>
      <c r="D37" s="35" t="n">
        <v>0</v>
      </c>
      <c r="E37" s="35" t="n">
        <v>0</v>
      </c>
      <c r="F37" s="35" t="n">
        <v>0</v>
      </c>
      <c r="G37" s="35" t="n">
        <v>0</v>
      </c>
      <c r="H37" s="35" t="n">
        <v>0</v>
      </c>
      <c r="I37" s="35" t="n">
        <v>0</v>
      </c>
      <c r="J37" s="35" t="n">
        <v>0</v>
      </c>
      <c r="K37" s="35" t="n">
        <v>0</v>
      </c>
      <c r="L37" s="35" t="n">
        <v>0</v>
      </c>
      <c r="M37" s="35" t="n">
        <v>0</v>
      </c>
      <c r="N37" s="36">
        <f>SUM(B37:M37)</f>
        <v/>
      </c>
      <c r="O37" s="37">
        <f>SUMIF('XCCL Blank TB'!$R:$R,'CCL HO P&amp;L'!$A37,'XCCL Blank TB'!C:C)+(SUMIF('XCCL HO TB'!$R:$R,'CCL HO P&amp;L'!$A37,'XCCL HO TB'!C:C))</f>
        <v/>
      </c>
      <c r="P37" s="37">
        <f>SUMIF('XCCL Blank TB'!$R:$R,'CCL HO P&amp;L'!$A37,'XCCL Blank TB'!D:D)+(SUMIF('XCCL HO TB'!$R:$R,'CCL HO P&amp;L'!$A37,'XCCL HO TB'!D:D))</f>
        <v/>
      </c>
      <c r="Q37" s="37">
        <f>SUMIF('XCCL Blank TB'!$R:$R,'CCL HO P&amp;L'!$A37,'XCCL Blank TB'!E:E)+(SUMIF('XCCL HO TB'!$R:$R,'CCL HO P&amp;L'!$A37,'XCCL HO TB'!E:E))</f>
        <v/>
      </c>
      <c r="R37" s="37">
        <f>SUMIF('XCCL Blank TB'!$R:$R,'CCL HO P&amp;L'!$A37,'XCCL Blank TB'!F:F)+(SUMIF('XCCL HO TB'!$R:$R,'CCL HO P&amp;L'!$A37,'XCCL HO TB'!F:F))</f>
        <v/>
      </c>
      <c r="S37" s="37">
        <f>SUMIF('XCCL Blank TB'!$R:$R,'CCL HO P&amp;L'!$A37,'XCCL Blank TB'!G:G)+(SUMIF('XCCL HO TB'!$R:$R,'CCL HO P&amp;L'!$A37,'XCCL HO TB'!G:G))</f>
        <v/>
      </c>
      <c r="T37" s="37">
        <f>SUMIF('XCCL Blank TB'!$R:$R,'CCL HO P&amp;L'!$A37,'XCCL Blank TB'!H:H)+(SUMIF('XCCL HO TB'!$R:$R,'CCL HO P&amp;L'!$A37,'XCCL HO TB'!H:H))</f>
        <v/>
      </c>
      <c r="U37" s="38" t="n"/>
      <c r="V37" s="38" t="n"/>
      <c r="W37" s="38" t="n"/>
      <c r="X37" s="38" t="n"/>
      <c r="Y37" s="38" t="n"/>
      <c r="Z37" s="38" t="n"/>
      <c r="AA37" s="36">
        <f>SUM(O37:U37)</f>
        <v/>
      </c>
      <c r="AB37" s="36">
        <f>SUM(O37:Z37)</f>
        <v/>
      </c>
      <c r="AC37" s="38" t="n"/>
      <c r="AD37" s="38" t="n"/>
      <c r="AE37" s="38" t="n"/>
      <c r="AF37" s="38" t="n"/>
      <c r="AG37" s="38" t="n"/>
      <c r="AH37" s="38" t="n"/>
      <c r="AI37" s="118" t="n">
        <v>0</v>
      </c>
      <c r="AJ37" s="119" t="n">
        <v>0</v>
      </c>
      <c r="AK37" s="119" t="n">
        <v>0</v>
      </c>
      <c r="AL37" s="119" t="n">
        <v>0</v>
      </c>
      <c r="AM37" s="120" t="n">
        <v>0</v>
      </c>
      <c r="AN37" s="118" t="n">
        <v>0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0</v>
      </c>
      <c r="C38" s="35" t="n">
        <v>0</v>
      </c>
      <c r="D38" s="35" t="n">
        <v>0</v>
      </c>
      <c r="E38" s="35" t="n">
        <v>0</v>
      </c>
      <c r="F38" s="35" t="n">
        <v>3705.06</v>
      </c>
      <c r="G38" s="35" t="n">
        <v>0</v>
      </c>
      <c r="H38" s="35" t="n">
        <v>0</v>
      </c>
      <c r="I38" s="35" t="n">
        <v>1930.97</v>
      </c>
      <c r="J38" s="35" t="n">
        <v>0</v>
      </c>
      <c r="K38" s="35" t="n">
        <v>0</v>
      </c>
      <c r="L38" s="35" t="n">
        <v>0</v>
      </c>
      <c r="M38" s="35" t="n">
        <v>0</v>
      </c>
      <c r="N38" s="36">
        <f>SUM(B38:M38)</f>
        <v/>
      </c>
      <c r="O38" s="37">
        <f>SUMIF('XCCL Blank TB'!$R:$R,'CCL HO P&amp;L'!$A38,'XCCL Blank TB'!C:C)+(SUMIF('XCCL HO TB'!$R:$R,'CCL HO P&amp;L'!$A38,'XCCL HO TB'!C:C))</f>
        <v/>
      </c>
      <c r="P38" s="37">
        <f>SUMIF('XCCL Blank TB'!$R:$R,'CCL HO P&amp;L'!$A38,'XCCL Blank TB'!D:D)+(SUMIF('XCCL HO TB'!$R:$R,'CCL HO P&amp;L'!$A38,'XCCL HO TB'!D:D))</f>
        <v/>
      </c>
      <c r="Q38" s="37">
        <f>SUMIF('XCCL Blank TB'!$R:$R,'CCL HO P&amp;L'!$A38,'XCCL Blank TB'!E:E)+(SUMIF('XCCL HO TB'!$R:$R,'CCL HO P&amp;L'!$A38,'XCCL HO TB'!E:E))</f>
        <v/>
      </c>
      <c r="R38" s="37">
        <f>SUMIF('XCCL Blank TB'!$R:$R,'CCL HO P&amp;L'!$A38,'XCCL Blank TB'!F:F)+(SUMIF('XCCL HO TB'!$R:$R,'CCL HO P&amp;L'!$A38,'XCCL HO TB'!F:F))</f>
        <v/>
      </c>
      <c r="S38" s="37">
        <f>SUMIF('XCCL Blank TB'!$R:$R,'CCL HO P&amp;L'!$A38,'XCCL Blank TB'!G:G)+(SUMIF('XCCL HO TB'!$R:$R,'CCL HO P&amp;L'!$A38,'XCCL HO TB'!G:G))</f>
        <v/>
      </c>
      <c r="T38" s="37">
        <f>SUMIF('XCCL Blank TB'!$R:$R,'CCL HO P&amp;L'!$A38,'XCCL Blank TB'!H:H)+(SUMIF('XCCL HO TB'!$R:$R,'CCL HO P&amp;L'!$A38,'XCCL HO TB'!H:H))</f>
        <v/>
      </c>
      <c r="U38" s="38" t="n"/>
      <c r="V38" s="38" t="n"/>
      <c r="W38" s="38" t="n"/>
      <c r="X38" s="38" t="n"/>
      <c r="Y38" s="38" t="n"/>
      <c r="Z38" s="38" t="n"/>
      <c r="AA38" s="36">
        <f>SUM(O38:U38)</f>
        <v/>
      </c>
      <c r="AB38" s="36">
        <f>SUM(O38:Z38)</f>
        <v/>
      </c>
      <c r="AC38" s="38" t="n"/>
      <c r="AD38" s="38" t="n"/>
      <c r="AE38" s="38" t="n"/>
      <c r="AF38" s="38" t="n"/>
      <c r="AG38" s="38" t="n"/>
      <c r="AH38" s="38" t="n"/>
      <c r="AI38" s="118" t="n">
        <v>0</v>
      </c>
      <c r="AJ38" s="119" t="n">
        <v>0</v>
      </c>
      <c r="AK38" s="119" t="n">
        <v>0</v>
      </c>
      <c r="AL38" s="119" t="n">
        <v>0</v>
      </c>
      <c r="AM38" s="120" t="n">
        <v>0</v>
      </c>
      <c r="AN38" s="118" t="n">
        <v>0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0</v>
      </c>
      <c r="C39" s="35" t="n">
        <v>120</v>
      </c>
      <c r="D39" s="35" t="n">
        <v>42</v>
      </c>
      <c r="E39" s="35" t="n">
        <v>0</v>
      </c>
      <c r="F39" s="35" t="n">
        <v>0</v>
      </c>
      <c r="G39" s="35" t="n">
        <v>15</v>
      </c>
      <c r="H39" s="35" t="n">
        <v>0</v>
      </c>
      <c r="I39" s="35" t="n">
        <v>0</v>
      </c>
      <c r="J39" s="35" t="n">
        <v>68.48999999999999</v>
      </c>
      <c r="K39" s="35" t="n">
        <v>405</v>
      </c>
      <c r="L39" s="35" t="n">
        <v>0</v>
      </c>
      <c r="M39" s="35" t="n">
        <v>0</v>
      </c>
      <c r="N39" s="36">
        <f>SUM(B39:M39)</f>
        <v/>
      </c>
      <c r="O39" s="37">
        <f>SUMIF('XCCL Blank TB'!$R:$R,'CCL HO P&amp;L'!$A39,'XCCL Blank TB'!C:C)+(SUMIF('XCCL HO TB'!$R:$R,'CCL HO P&amp;L'!$A39,'XCCL HO TB'!C:C))</f>
        <v/>
      </c>
      <c r="P39" s="37">
        <f>SUMIF('XCCL Blank TB'!$R:$R,'CCL HO P&amp;L'!$A39,'XCCL Blank TB'!D:D)+(SUMIF('XCCL HO TB'!$R:$R,'CCL HO P&amp;L'!$A39,'XCCL HO TB'!D:D))</f>
        <v/>
      </c>
      <c r="Q39" s="37">
        <f>SUMIF('XCCL Blank TB'!$R:$R,'CCL HO P&amp;L'!$A39,'XCCL Blank TB'!E:E)+(SUMIF('XCCL HO TB'!$R:$R,'CCL HO P&amp;L'!$A39,'XCCL HO TB'!E:E))</f>
        <v/>
      </c>
      <c r="R39" s="37">
        <f>SUMIF('XCCL Blank TB'!$R:$R,'CCL HO P&amp;L'!$A39,'XCCL Blank TB'!F:F)+(SUMIF('XCCL HO TB'!$R:$R,'CCL HO P&amp;L'!$A39,'XCCL HO TB'!F:F))</f>
        <v/>
      </c>
      <c r="S39" s="37">
        <f>SUMIF('XCCL Blank TB'!$R:$R,'CCL HO P&amp;L'!$A39,'XCCL Blank TB'!G:G)+(SUMIF('XCCL HO TB'!$R:$R,'CCL HO P&amp;L'!$A39,'XCCL HO TB'!G:G))</f>
        <v/>
      </c>
      <c r="T39" s="37">
        <f>SUMIF('XCCL Blank TB'!$R:$R,'CCL HO P&amp;L'!$A39,'XCCL Blank TB'!H:H)+(SUMIF('XCCL HO TB'!$R:$R,'CCL HO P&amp;L'!$A39,'XCCL HO TB'!H:H))</f>
        <v/>
      </c>
      <c r="U39" s="38" t="n"/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8" t="n">
        <v>0</v>
      </c>
      <c r="AJ39" s="119" t="n">
        <v>0</v>
      </c>
      <c r="AK39" s="119" t="n">
        <v>0</v>
      </c>
      <c r="AL39" s="119" t="n">
        <v>0</v>
      </c>
      <c r="AM39" s="120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0</v>
      </c>
      <c r="C40" s="35" t="n">
        <v>0</v>
      </c>
      <c r="D40" s="35" t="n">
        <v>0</v>
      </c>
      <c r="E40" s="35" t="n">
        <v>0</v>
      </c>
      <c r="F40" s="35" t="n">
        <v>0</v>
      </c>
      <c r="G40" s="35" t="n">
        <v>0</v>
      </c>
      <c r="H40" s="35" t="n">
        <v>0</v>
      </c>
      <c r="I40" s="35" t="n">
        <v>0</v>
      </c>
      <c r="J40" s="35" t="n">
        <v>0</v>
      </c>
      <c r="K40" s="35" t="n">
        <v>0</v>
      </c>
      <c r="L40" s="35" t="n">
        <v>0</v>
      </c>
      <c r="M40" s="35" t="n">
        <v>0</v>
      </c>
      <c r="N40" s="36">
        <f>SUM(B40:M40)</f>
        <v/>
      </c>
      <c r="O40" s="37">
        <f>SUMIF('XCCL Blank TB'!$R:$R,'CCL HO P&amp;L'!$A40,'XCCL Blank TB'!C:C)+(SUMIF('XCCL HO TB'!$R:$R,'CCL HO P&amp;L'!$A40,'XCCL HO TB'!C:C))</f>
        <v/>
      </c>
      <c r="P40" s="37">
        <f>SUMIF('XCCL Blank TB'!$R:$R,'CCL HO P&amp;L'!$A40,'XCCL Blank TB'!D:D)+(SUMIF('XCCL HO TB'!$R:$R,'CCL HO P&amp;L'!$A40,'XCCL HO TB'!D:D))</f>
        <v/>
      </c>
      <c r="Q40" s="37">
        <f>SUMIF('XCCL Blank TB'!$R:$R,'CCL HO P&amp;L'!$A40,'XCCL Blank TB'!E:E)+(SUMIF('XCCL HO TB'!$R:$R,'CCL HO P&amp;L'!$A40,'XCCL HO TB'!E:E))</f>
        <v/>
      </c>
      <c r="R40" s="37">
        <f>SUMIF('XCCL Blank TB'!$R:$R,'CCL HO P&amp;L'!$A40,'XCCL Blank TB'!F:F)+(SUMIF('XCCL HO TB'!$R:$R,'CCL HO P&amp;L'!$A40,'XCCL HO TB'!F:F))</f>
        <v/>
      </c>
      <c r="S40" s="37">
        <f>SUMIF('XCCL Blank TB'!$R:$R,'CCL HO P&amp;L'!$A40,'XCCL Blank TB'!G:G)+(SUMIF('XCCL HO TB'!$R:$R,'CCL HO P&amp;L'!$A40,'XCCL HO TB'!G:G))</f>
        <v/>
      </c>
      <c r="T40" s="37">
        <f>SUMIF('XCCL Blank TB'!$R:$R,'CCL HO P&amp;L'!$A40,'XCCL Blank TB'!H:H)+(SUMIF('XCCL HO TB'!$R:$R,'CCL HO P&amp;L'!$A40,'XCCL HO TB'!H:H))</f>
        <v/>
      </c>
      <c r="U40" s="38" t="n"/>
      <c r="V40" s="38" t="n"/>
      <c r="W40" s="38" t="n"/>
      <c r="X40" s="38" t="n"/>
      <c r="Y40" s="38" t="n"/>
      <c r="Z40" s="38" t="n"/>
      <c r="AA40" s="36">
        <f>SUM(O40:U40)</f>
        <v/>
      </c>
      <c r="AB40" s="36">
        <f>SUM(O40:Z40)</f>
        <v/>
      </c>
      <c r="AC40" s="38" t="n"/>
      <c r="AD40" s="38" t="n"/>
      <c r="AE40" s="38" t="n"/>
      <c r="AF40" s="38" t="n"/>
      <c r="AG40" s="38" t="n"/>
      <c r="AH40" s="38" t="n"/>
      <c r="AI40" s="118" t="n">
        <v>0</v>
      </c>
      <c r="AJ40" s="119" t="n">
        <v>0</v>
      </c>
      <c r="AK40" s="119" t="n">
        <v>0</v>
      </c>
      <c r="AL40" s="119" t="n">
        <v>0</v>
      </c>
      <c r="AM40" s="120" t="n">
        <v>0</v>
      </c>
      <c r="AN40" s="118" t="n">
        <v>0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0</v>
      </c>
      <c r="C41" s="35" t="n">
        <v>0</v>
      </c>
      <c r="D41" s="35" t="n">
        <v>0</v>
      </c>
      <c r="E41" s="35" t="n">
        <v>0</v>
      </c>
      <c r="F41" s="35" t="n">
        <v>0</v>
      </c>
      <c r="G41" s="35" t="n">
        <v>0</v>
      </c>
      <c r="H41" s="35" t="n">
        <v>0</v>
      </c>
      <c r="I41" s="35" t="n">
        <v>0</v>
      </c>
      <c r="J41" s="35" t="n">
        <v>0</v>
      </c>
      <c r="K41" s="35" t="n">
        <v>0</v>
      </c>
      <c r="L41" s="35" t="n">
        <v>0</v>
      </c>
      <c r="M41" s="35" t="n">
        <v>0</v>
      </c>
      <c r="N41" s="36">
        <f>SUM(B41:M41)</f>
        <v/>
      </c>
      <c r="O41" s="37">
        <f>SUMIF('XCCL Blank TB'!$R:$R,'CCL HO P&amp;L'!$A41,'XCCL Blank TB'!C:C)+(SUMIF('XCCL HO TB'!$R:$R,'CCL HO P&amp;L'!$A41,'XCCL HO TB'!C:C))</f>
        <v/>
      </c>
      <c r="P41" s="37">
        <f>SUMIF('XCCL Blank TB'!$R:$R,'CCL HO P&amp;L'!$A41,'XCCL Blank TB'!D:D)+(SUMIF('XCCL HO TB'!$R:$R,'CCL HO P&amp;L'!$A41,'XCCL HO TB'!D:D))</f>
        <v/>
      </c>
      <c r="Q41" s="37">
        <f>SUMIF('XCCL Blank TB'!$R:$R,'CCL HO P&amp;L'!$A41,'XCCL Blank TB'!E:E)+(SUMIF('XCCL HO TB'!$R:$R,'CCL HO P&amp;L'!$A41,'XCCL HO TB'!E:E))</f>
        <v/>
      </c>
      <c r="R41" s="37">
        <f>SUMIF('XCCL Blank TB'!$R:$R,'CCL HO P&amp;L'!$A41,'XCCL Blank TB'!F:F)+(SUMIF('XCCL HO TB'!$R:$R,'CCL HO P&amp;L'!$A41,'XCCL HO TB'!F:F))</f>
        <v/>
      </c>
      <c r="S41" s="37">
        <f>SUMIF('XCCL Blank TB'!$R:$R,'CCL HO P&amp;L'!$A41,'XCCL Blank TB'!G:G)+(SUMIF('XCCL HO TB'!$R:$R,'CCL HO P&amp;L'!$A41,'XCCL HO TB'!G:G))</f>
        <v/>
      </c>
      <c r="T41" s="37">
        <f>SUMIF('XCCL Blank TB'!$R:$R,'CCL HO P&amp;L'!$A41,'XCCL Blank TB'!H:H)+(SUMIF('XCCL HO TB'!$R:$R,'CCL HO P&amp;L'!$A41,'XCCL HO TB'!H:H))</f>
        <v/>
      </c>
      <c r="U41" s="38" t="n"/>
      <c r="V41" s="38" t="n"/>
      <c r="W41" s="38" t="n"/>
      <c r="X41" s="38" t="n"/>
      <c r="Y41" s="38" t="n"/>
      <c r="Z41" s="38" t="n"/>
      <c r="AA41" s="36">
        <f>SUM(O41:U41)</f>
        <v/>
      </c>
      <c r="AB41" s="36">
        <f>SUM(O41:Z41)</f>
        <v/>
      </c>
      <c r="AC41" s="38" t="n"/>
      <c r="AD41" s="38" t="n"/>
      <c r="AE41" s="38" t="n"/>
      <c r="AF41" s="38" t="n"/>
      <c r="AG41" s="38" t="n"/>
      <c r="AH41" s="38" t="n"/>
      <c r="AI41" s="118" t="n">
        <v>0</v>
      </c>
      <c r="AJ41" s="119" t="n">
        <v>0</v>
      </c>
      <c r="AK41" s="119" t="n">
        <v>0</v>
      </c>
      <c r="AL41" s="119" t="n">
        <v>0</v>
      </c>
      <c r="AM41" s="120" t="n">
        <v>0</v>
      </c>
      <c r="AN41" s="118" t="n">
        <v>0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420</v>
      </c>
      <c r="C42" s="35" t="n">
        <v>420</v>
      </c>
      <c r="D42" s="35" t="n">
        <v>420</v>
      </c>
      <c r="E42" s="35" t="n">
        <v>0</v>
      </c>
      <c r="F42" s="35" t="n">
        <v>0</v>
      </c>
      <c r="G42" s="35" t="n">
        <v>0</v>
      </c>
      <c r="H42" s="35" t="n">
        <v>1260</v>
      </c>
      <c r="I42" s="35" t="n">
        <v>0</v>
      </c>
      <c r="J42" s="35" t="n">
        <v>0</v>
      </c>
      <c r="K42" s="35" t="n">
        <v>35.97</v>
      </c>
      <c r="L42" s="35" t="n">
        <v>0</v>
      </c>
      <c r="M42" s="35" t="n">
        <v>0</v>
      </c>
      <c r="N42" s="36">
        <f>SUM(B42:M42)</f>
        <v/>
      </c>
      <c r="O42" s="37">
        <f>SUMIF('XCCL Blank TB'!$R:$R,'CCL HO P&amp;L'!$A42,'XCCL Blank TB'!C:C)+(SUMIF('XCCL HO TB'!$R:$R,'CCL HO P&amp;L'!$A42,'XCCL HO TB'!C:C))</f>
        <v/>
      </c>
      <c r="P42" s="37">
        <f>SUMIF('XCCL Blank TB'!$R:$R,'CCL HO P&amp;L'!$A42,'XCCL Blank TB'!D:D)+(SUMIF('XCCL HO TB'!$R:$R,'CCL HO P&amp;L'!$A42,'XCCL HO TB'!D:D))</f>
        <v/>
      </c>
      <c r="Q42" s="37">
        <f>SUMIF('XCCL Blank TB'!$R:$R,'CCL HO P&amp;L'!$A42,'XCCL Blank TB'!E:E)+(SUMIF('XCCL HO TB'!$R:$R,'CCL HO P&amp;L'!$A42,'XCCL HO TB'!E:E))</f>
        <v/>
      </c>
      <c r="R42" s="37">
        <f>SUMIF('XCCL Blank TB'!$R:$R,'CCL HO P&amp;L'!$A42,'XCCL Blank TB'!F:F)+(SUMIF('XCCL HO TB'!$R:$R,'CCL HO P&amp;L'!$A42,'XCCL HO TB'!F:F))</f>
        <v/>
      </c>
      <c r="S42" s="37">
        <f>SUMIF('XCCL Blank TB'!$R:$R,'CCL HO P&amp;L'!$A42,'XCCL Blank TB'!G:G)+(SUMIF('XCCL HO TB'!$R:$R,'CCL HO P&amp;L'!$A42,'XCCL HO TB'!G:G))</f>
        <v/>
      </c>
      <c r="T42" s="37">
        <f>SUMIF('XCCL Blank TB'!$R:$R,'CCL HO P&amp;L'!$A42,'XCCL Blank TB'!H:H)+(SUMIF('XCCL HO TB'!$R:$R,'CCL HO P&amp;L'!$A42,'XCCL HO TB'!H:H))</f>
        <v/>
      </c>
      <c r="U42" s="38" t="n"/>
      <c r="V42" s="38" t="n"/>
      <c r="W42" s="38" t="n"/>
      <c r="X42" s="38" t="n"/>
      <c r="Y42" s="38" t="n"/>
      <c r="Z42" s="38" t="n"/>
      <c r="AA42" s="36">
        <f>SUM(O42:U42)</f>
        <v/>
      </c>
      <c r="AB42" s="36">
        <f>SUM(O42:Z42)</f>
        <v/>
      </c>
      <c r="AC42" s="38" t="n"/>
      <c r="AD42" s="38" t="n"/>
      <c r="AE42" s="38" t="n"/>
      <c r="AF42" s="38" t="n"/>
      <c r="AG42" s="38" t="n"/>
      <c r="AH42" s="38" t="n"/>
      <c r="AI42" s="118" t="n">
        <v>0</v>
      </c>
      <c r="AJ42" s="119" t="n">
        <v>0</v>
      </c>
      <c r="AK42" s="119" t="n">
        <v>0</v>
      </c>
      <c r="AL42" s="119" t="n">
        <v>0</v>
      </c>
      <c r="AM42" s="120" t="n">
        <v>0</v>
      </c>
      <c r="AN42" s="118" t="n">
        <v>0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4691.72</v>
      </c>
      <c r="C43" s="35" t="n">
        <v>301.64</v>
      </c>
      <c r="D43" s="35" t="n">
        <v>379.31</v>
      </c>
      <c r="E43" s="35" t="n">
        <v>5181.32</v>
      </c>
      <c r="F43" s="35" t="n">
        <v>449.51</v>
      </c>
      <c r="G43" s="35" t="n">
        <v>423.26</v>
      </c>
      <c r="H43" s="35" t="n">
        <v>4906.49</v>
      </c>
      <c r="I43" s="35" t="n">
        <v>843.59</v>
      </c>
      <c r="J43" s="35" t="n">
        <v>1265.45</v>
      </c>
      <c r="K43" s="35" t="n">
        <v>2046.01</v>
      </c>
      <c r="L43" s="35" t="n">
        <v>1891.51</v>
      </c>
      <c r="M43" s="35" t="n">
        <v>1691.85</v>
      </c>
      <c r="N43" s="36">
        <f>SUM(B43:M43)</f>
        <v/>
      </c>
      <c r="O43" s="37">
        <f>SUMIF('XCCL Blank TB'!$R:$R,'CCL HO P&amp;L'!$A43,'XCCL Blank TB'!C:C)+(SUMIF('XCCL HO TB'!$R:$R,'CCL HO P&amp;L'!$A43,'XCCL HO TB'!C:C))</f>
        <v/>
      </c>
      <c r="P43" s="37">
        <f>SUMIF('XCCL Blank TB'!$R:$R,'CCL HO P&amp;L'!$A43,'XCCL Blank TB'!D:D)+(SUMIF('XCCL HO TB'!$R:$R,'CCL HO P&amp;L'!$A43,'XCCL HO TB'!D:D))</f>
        <v/>
      </c>
      <c r="Q43" s="37">
        <f>SUMIF('XCCL Blank TB'!$R:$R,'CCL HO P&amp;L'!$A43,'XCCL Blank TB'!E:E)+(SUMIF('XCCL HO TB'!$R:$R,'CCL HO P&amp;L'!$A43,'XCCL HO TB'!E:E))</f>
        <v/>
      </c>
      <c r="R43" s="37">
        <f>SUMIF('XCCL Blank TB'!$R:$R,'CCL HO P&amp;L'!$A43,'XCCL Blank TB'!F:F)+(SUMIF('XCCL HO TB'!$R:$R,'CCL HO P&amp;L'!$A43,'XCCL HO TB'!F:F))</f>
        <v/>
      </c>
      <c r="S43" s="37">
        <f>SUMIF('XCCL Blank TB'!$R:$R,'CCL HO P&amp;L'!$A43,'XCCL Blank TB'!G:G)+(SUMIF('XCCL HO TB'!$R:$R,'CCL HO P&amp;L'!$A43,'XCCL HO TB'!G:G))</f>
        <v/>
      </c>
      <c r="T43" s="37">
        <f>SUMIF('XCCL Blank TB'!$R:$R,'CCL HO P&amp;L'!$A43,'XCCL Blank TB'!H:H)+(SUMIF('XCCL HO TB'!$R:$R,'CCL HO P&amp;L'!$A43,'XCCL HO TB'!H:H))</f>
        <v/>
      </c>
      <c r="U43" s="38" t="n"/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118" t="n">
        <v>0</v>
      </c>
      <c r="AJ43" s="119" t="n">
        <v>0</v>
      </c>
      <c r="AK43" s="119" t="n">
        <v>0</v>
      </c>
      <c r="AL43" s="119" t="n">
        <v>0</v>
      </c>
      <c r="AM43" s="120" t="n">
        <v>0</v>
      </c>
      <c r="AN43" s="118" t="n">
        <v>0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SUMIF('XCCL Blank TB'!$R:$R,'CCL HO P&amp;L'!$A44,'XCCL Blank TB'!C:C)+(SUMIF('XCCL HO TB'!$R:$R,'CCL HO P&amp;L'!$A44,'XCCL HO TB'!C:C))</f>
        <v/>
      </c>
      <c r="P44" s="37">
        <f>SUMIF('XCCL Blank TB'!$R:$R,'CCL HO P&amp;L'!$A44,'XCCL Blank TB'!D:D)+(SUMIF('XCCL HO TB'!$R:$R,'CCL HO P&amp;L'!$A44,'XCCL HO TB'!D:D))</f>
        <v/>
      </c>
      <c r="Q44" s="37">
        <f>SUMIF('XCCL Blank TB'!$R:$R,'CCL HO P&amp;L'!$A44,'XCCL Blank TB'!E:E)+(SUMIF('XCCL HO TB'!$R:$R,'CCL HO P&amp;L'!$A44,'XCCL HO TB'!E:E))</f>
        <v/>
      </c>
      <c r="R44" s="37">
        <f>SUMIF('XCCL Blank TB'!$R:$R,'CCL HO P&amp;L'!$A44,'XCCL Blank TB'!F:F)+(SUMIF('XCCL HO TB'!$R:$R,'CCL HO P&amp;L'!$A44,'XCCL HO TB'!F:F))</f>
        <v/>
      </c>
      <c r="S44" s="37">
        <f>SUMIF('XCCL Blank TB'!$R:$R,'CCL HO P&amp;L'!$A44,'XCCL Blank TB'!G:G)+(SUMIF('XCCL HO TB'!$R:$R,'CCL HO P&amp;L'!$A44,'XCCL HO TB'!G:G))</f>
        <v/>
      </c>
      <c r="T44" s="37">
        <f>SUMIF('XCCL Blank TB'!$R:$R,'CCL HO P&amp;L'!$A44,'XCCL Blank TB'!H:H)+(SUMIF('XCCL HO TB'!$R:$R,'CCL HO P&amp;L'!$A44,'XCCL HO TB'!H:H))</f>
        <v/>
      </c>
      <c r="U44" s="38" t="n"/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118" t="n">
        <v>0</v>
      </c>
      <c r="AJ44" s="119" t="n">
        <v>0</v>
      </c>
      <c r="AK44" s="119" t="n">
        <v>0</v>
      </c>
      <c r="AL44" s="119" t="n">
        <v>0</v>
      </c>
      <c r="AM44" s="120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SUMIF('XCCL Blank TB'!$R:$R,'CCL HO P&amp;L'!$A45,'XCCL Blank TB'!C:C)+(SUMIF('XCCL HO TB'!$R:$R,'CCL HO P&amp;L'!$A45,'XCCL HO TB'!C:C))</f>
        <v/>
      </c>
      <c r="P45" s="37">
        <f>SUMIF('XCCL Blank TB'!$R:$R,'CCL HO P&amp;L'!$A45,'XCCL Blank TB'!D:D)+(SUMIF('XCCL HO TB'!$R:$R,'CCL HO P&amp;L'!$A45,'XCCL HO TB'!D:D))</f>
        <v/>
      </c>
      <c r="Q45" s="37">
        <f>SUMIF('XCCL Blank TB'!$R:$R,'CCL HO P&amp;L'!$A45,'XCCL Blank TB'!E:E)+(SUMIF('XCCL HO TB'!$R:$R,'CCL HO P&amp;L'!$A45,'XCCL HO TB'!E:E))</f>
        <v/>
      </c>
      <c r="R45" s="37">
        <f>SUMIF('XCCL Blank TB'!$R:$R,'CCL HO P&amp;L'!$A45,'XCCL Blank TB'!F:F)+(SUMIF('XCCL HO TB'!$R:$R,'CCL HO P&amp;L'!$A45,'XCCL HO TB'!F:F))</f>
        <v/>
      </c>
      <c r="S45" s="37">
        <f>SUMIF('XCCL Blank TB'!$R:$R,'CCL HO P&amp;L'!$A45,'XCCL Blank TB'!G:G)+(SUMIF('XCCL HO TB'!$R:$R,'CCL HO P&amp;L'!$A45,'XCCL HO TB'!G:G))</f>
        <v/>
      </c>
      <c r="T45" s="37">
        <f>SUMIF('XCCL Blank TB'!$R:$R,'CCL HO P&amp;L'!$A45,'XCCL Blank TB'!H:H)+(SUMIF('XCCL HO TB'!$R:$R,'CCL HO P&amp;L'!$A45,'XCCL HO TB'!H:H))</f>
        <v/>
      </c>
      <c r="U45" s="38" t="n"/>
      <c r="V45" s="38" t="n"/>
      <c r="W45" s="38" t="n"/>
      <c r="X45" s="38" t="n"/>
      <c r="Y45" s="38" t="n"/>
      <c r="Z45" s="38" t="n"/>
      <c r="AA45" s="36">
        <f>SUM(O45:U45)</f>
        <v/>
      </c>
      <c r="AB45" s="36">
        <f>SUM(O45:Z45)</f>
        <v/>
      </c>
      <c r="AC45" s="38" t="n"/>
      <c r="AD45" s="38" t="n"/>
      <c r="AE45" s="38" t="n"/>
      <c r="AF45" s="38" t="n"/>
      <c r="AG45" s="38" t="n"/>
      <c r="AH45" s="38" t="n"/>
      <c r="AI45" s="118" t="n">
        <v>0</v>
      </c>
      <c r="AJ45" s="119" t="n">
        <v>0</v>
      </c>
      <c r="AK45" s="119" t="n">
        <v>0</v>
      </c>
      <c r="AL45" s="119" t="n">
        <v>0</v>
      </c>
      <c r="AM45" s="120" t="n">
        <v>0</v>
      </c>
      <c r="AN45" s="118" t="n">
        <v>0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SUMIF('XCCL Blank TB'!$R:$R,'CCL HO P&amp;L'!$A46,'XCCL Blank TB'!C:C)+(SUMIF('XCCL HO TB'!$R:$R,'CCL HO P&amp;L'!$A46,'XCCL HO TB'!C:C))</f>
        <v/>
      </c>
      <c r="P46" s="37">
        <f>SUMIF('XCCL Blank TB'!$R:$R,'CCL HO P&amp;L'!$A46,'XCCL Blank TB'!D:D)+(SUMIF('XCCL HO TB'!$R:$R,'CCL HO P&amp;L'!$A46,'XCCL HO TB'!D:D))</f>
        <v/>
      </c>
      <c r="Q46" s="37">
        <f>SUMIF('XCCL Blank TB'!$R:$R,'CCL HO P&amp;L'!$A46,'XCCL Blank TB'!E:E)+(SUMIF('XCCL HO TB'!$R:$R,'CCL HO P&amp;L'!$A46,'XCCL HO TB'!E:E))</f>
        <v/>
      </c>
      <c r="R46" s="37">
        <f>SUMIF('XCCL Blank TB'!$R:$R,'CCL HO P&amp;L'!$A46,'XCCL Blank TB'!F:F)+(SUMIF('XCCL HO TB'!$R:$R,'CCL HO P&amp;L'!$A46,'XCCL HO TB'!F:F))</f>
        <v/>
      </c>
      <c r="S46" s="37">
        <f>SUMIF('XCCL Blank TB'!$R:$R,'CCL HO P&amp;L'!$A46,'XCCL Blank TB'!G:G)+(SUMIF('XCCL HO TB'!$R:$R,'CCL HO P&amp;L'!$A46,'XCCL HO TB'!G:G))</f>
        <v/>
      </c>
      <c r="T46" s="37">
        <f>SUMIF('XCCL Blank TB'!$R:$R,'CCL HO P&amp;L'!$A46,'XCCL Blank TB'!H:H)+(SUMIF('XCCL HO TB'!$R:$R,'CCL HO P&amp;L'!$A46,'XCCL HO TB'!H:H))</f>
        <v/>
      </c>
      <c r="U46" s="38" t="n"/>
      <c r="V46" s="38" t="n"/>
      <c r="W46" s="38" t="n"/>
      <c r="X46" s="38" t="n"/>
      <c r="Y46" s="38" t="n"/>
      <c r="Z46" s="38" t="n"/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118" t="n">
        <v>0</v>
      </c>
      <c r="AJ46" s="119" t="n">
        <v>0</v>
      </c>
      <c r="AK46" s="119" t="n">
        <v>0</v>
      </c>
      <c r="AL46" s="119" t="n">
        <v>0</v>
      </c>
      <c r="AM46" s="120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5111.72</v>
      </c>
      <c r="C47" s="42" t="n">
        <v>841.64</v>
      </c>
      <c r="D47" s="42" t="n">
        <v>841.3099999999999</v>
      </c>
      <c r="E47" s="42" t="n">
        <v>5181.32</v>
      </c>
      <c r="F47" s="42" t="n">
        <v>4154.57</v>
      </c>
      <c r="G47" s="42" t="n">
        <v>438.26</v>
      </c>
      <c r="H47" s="42" t="n">
        <v>6166.49</v>
      </c>
      <c r="I47" s="42" t="n">
        <v>2774.56</v>
      </c>
      <c r="J47" s="42" t="n">
        <v>1333.94</v>
      </c>
      <c r="K47" s="42" t="n">
        <v>2486.98</v>
      </c>
      <c r="L47" s="42" t="n">
        <v>1891.51</v>
      </c>
      <c r="M47" s="42" t="n">
        <v>1691.85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5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 t="n"/>
      <c r="AD47" s="45" t="n"/>
      <c r="AE47" s="45" t="n"/>
      <c r="AF47" s="45" t="n"/>
      <c r="AG47" s="45" t="n"/>
      <c r="AH47" s="45" t="n"/>
      <c r="AI47" s="134" t="n">
        <v>0</v>
      </c>
      <c r="AJ47" s="152" t="n">
        <v>0</v>
      </c>
      <c r="AK47" s="152" t="n">
        <v>0</v>
      </c>
      <c r="AL47" s="152" t="n">
        <v>0</v>
      </c>
      <c r="AM47" s="153" t="n">
        <v>0</v>
      </c>
      <c r="AN47" s="134" t="n">
        <v>0</v>
      </c>
      <c r="AO47" s="125">
        <f>SUM(AC47:AH47)+SUM(AI47:AN47)</f>
        <v/>
      </c>
      <c r="AP47" s="126">
        <f>IF(AB47&lt;&gt;0,(AO47-AB47)/ABS(AB47),0)</f>
        <v/>
      </c>
    </row>
    <row r="48">
      <c r="A48" s="22" t="inlineStr">
        <is>
          <t>Total Direct Costs</t>
        </is>
      </c>
      <c r="B48" s="23" t="n">
        <v>5339.77</v>
      </c>
      <c r="C48" s="23" t="n">
        <v>841.64</v>
      </c>
      <c r="D48" s="23" t="n">
        <v>841.3099999999999</v>
      </c>
      <c r="E48" s="23" t="n">
        <v>5181.32</v>
      </c>
      <c r="F48" s="23" t="n">
        <v>6072.17</v>
      </c>
      <c r="G48" s="23" t="n">
        <v>1070.84</v>
      </c>
      <c r="H48" s="23" t="n">
        <v>6187.46</v>
      </c>
      <c r="I48" s="23" t="n">
        <v>2774.56</v>
      </c>
      <c r="J48" s="23" t="n">
        <v>1333.94</v>
      </c>
      <c r="K48" s="23" t="n">
        <v>2534.96</v>
      </c>
      <c r="L48" s="23" t="n">
        <v>1891.51</v>
      </c>
      <c r="M48" s="23" t="n">
        <v>1691.85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6">
        <f>U25+U34+U47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 t="n"/>
      <c r="AD48" s="26" t="n"/>
      <c r="AE48" s="26" t="n"/>
      <c r="AF48" s="26" t="n"/>
      <c r="AG48" s="26" t="n"/>
      <c r="AH48" s="26" t="n"/>
      <c r="AI48" s="134" t="n">
        <v>0</v>
      </c>
      <c r="AJ48" s="135" t="n">
        <v>0</v>
      </c>
      <c r="AK48" s="135" t="n">
        <v>0</v>
      </c>
      <c r="AL48" s="135" t="n">
        <v>0</v>
      </c>
      <c r="AM48" s="135" t="n">
        <v>0</v>
      </c>
      <c r="AN48" s="134" t="n">
        <v>0</v>
      </c>
      <c r="AO48" s="121">
        <f>SUM(AC48:AH48)+SUM(AI48:AN48)</f>
        <v/>
      </c>
      <c r="AP48" s="122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20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-5339.77</v>
      </c>
      <c r="C50" s="55" t="n">
        <v>-841.64</v>
      </c>
      <c r="D50" s="55" t="n">
        <v>-841.3099999999999</v>
      </c>
      <c r="E50" s="55" t="n">
        <v>-5181.32</v>
      </c>
      <c r="F50" s="55" t="n">
        <v>-6072.17</v>
      </c>
      <c r="G50" s="55" t="n">
        <v>-1070.84</v>
      </c>
      <c r="H50" s="55" t="n">
        <v>-6187.46</v>
      </c>
      <c r="I50" s="55" t="n">
        <v>-2774.56</v>
      </c>
      <c r="J50" s="55" t="n">
        <v>-1333.94</v>
      </c>
      <c r="K50" s="55" t="n">
        <v>-2534.96</v>
      </c>
      <c r="L50" s="55" t="n">
        <v>-1891.51</v>
      </c>
      <c r="M50" s="55" t="n">
        <v>-1691.85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0">
        <f>AI11-AI48</f>
        <v/>
      </c>
      <c r="AJ50" s="140">
        <f>AJ11-AJ48</f>
        <v/>
      </c>
      <c r="AK50" s="140">
        <f>AK11-AK48</f>
        <v/>
      </c>
      <c r="AL50" s="140">
        <f>AL11-AL48</f>
        <v/>
      </c>
      <c r="AM50" s="140">
        <f>AM11-AM48</f>
        <v/>
      </c>
      <c r="AN50" s="140">
        <f>AN11-AN48</f>
        <v/>
      </c>
      <c r="AO50" s="141">
        <f>SUM(AC50:AH50)+SUM(AI50:AN50)</f>
        <v/>
      </c>
      <c r="AP50" s="14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20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20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SUMIF('XCCL Blank TB'!$R:$R,'CCL HO P&amp;L'!$A53,'XCCL Blank TB'!C:C)+(SUMIF('XCCL HO TB'!$R:$R,'CCL HO P&amp;L'!$A53,'XCCL HO TB'!C:C))</f>
        <v/>
      </c>
      <c r="P53" s="37">
        <f>SUMIF('XCCL Blank TB'!$R:$R,'CCL HO P&amp;L'!$A53,'XCCL Blank TB'!D:D)+(SUMIF('XCCL HO TB'!$R:$R,'CCL HO P&amp;L'!$A53,'XCCL HO TB'!D:D))</f>
        <v/>
      </c>
      <c r="Q53" s="37">
        <f>SUMIF('XCCL Blank TB'!$R:$R,'CCL HO P&amp;L'!$A53,'XCCL Blank TB'!E:E)+(SUMIF('XCCL HO TB'!$R:$R,'CCL HO P&amp;L'!$A53,'XCCL HO TB'!E:E))</f>
        <v/>
      </c>
      <c r="R53" s="37">
        <f>SUMIF('XCCL Blank TB'!$R:$R,'CCL HO P&amp;L'!$A53,'XCCL Blank TB'!F:F)+(SUMIF('XCCL HO TB'!$R:$R,'CCL HO P&amp;L'!$A53,'XCCL HO TB'!F:F))</f>
        <v/>
      </c>
      <c r="S53" s="37">
        <f>SUMIF('XCCL Blank TB'!$R:$R,'CCL HO P&amp;L'!$A53,'XCCL Blank TB'!G:G)+(SUMIF('XCCL HO TB'!$R:$R,'CCL HO P&amp;L'!$A53,'XCCL HO TB'!G:G))</f>
        <v/>
      </c>
      <c r="T53" s="37">
        <f>SUMIF('XCCL Blank TB'!$R:$R,'CCL HO P&amp;L'!$A53,'XCCL Blank TB'!H:H)+(SUMIF('XCCL HO TB'!$R:$R,'CCL HO P&amp;L'!$A53,'XCCL HO TB'!H:H))</f>
        <v/>
      </c>
      <c r="U53" s="38" t="n"/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8" t="n">
        <v>0</v>
      </c>
      <c r="AJ53" s="119" t="n">
        <v>0</v>
      </c>
      <c r="AK53" s="119" t="n">
        <v>0</v>
      </c>
      <c r="AL53" s="119" t="n">
        <v>0</v>
      </c>
      <c r="AM53" s="120" t="n">
        <v>0</v>
      </c>
      <c r="AN53" s="118" t="n">
        <v>0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SUMIF('XCCL Blank TB'!$R:$R,'CCL HO P&amp;L'!$A54,'XCCL Blank TB'!C:C)+(SUMIF('XCCL HO TB'!$R:$R,'CCL HO P&amp;L'!$A54,'XCCL HO TB'!C:C))</f>
        <v/>
      </c>
      <c r="P54" s="37">
        <f>SUMIF('XCCL Blank TB'!$R:$R,'CCL HO P&amp;L'!$A54,'XCCL Blank TB'!D:D)+(SUMIF('XCCL HO TB'!$R:$R,'CCL HO P&amp;L'!$A54,'XCCL HO TB'!D:D))</f>
        <v/>
      </c>
      <c r="Q54" s="37">
        <f>SUMIF('XCCL Blank TB'!$R:$R,'CCL HO P&amp;L'!$A54,'XCCL Blank TB'!E:E)+(SUMIF('XCCL HO TB'!$R:$R,'CCL HO P&amp;L'!$A54,'XCCL HO TB'!E:E))</f>
        <v/>
      </c>
      <c r="R54" s="37">
        <f>SUMIF('XCCL Blank TB'!$R:$R,'CCL HO P&amp;L'!$A54,'XCCL Blank TB'!F:F)+(SUMIF('XCCL HO TB'!$R:$R,'CCL HO P&amp;L'!$A54,'XCCL HO TB'!F:F))</f>
        <v/>
      </c>
      <c r="S54" s="37">
        <f>SUMIF('XCCL Blank TB'!$R:$R,'CCL HO P&amp;L'!$A54,'XCCL Blank TB'!G:G)+(SUMIF('XCCL HO TB'!$R:$R,'CCL HO P&amp;L'!$A54,'XCCL HO TB'!G:G))</f>
        <v/>
      </c>
      <c r="T54" s="37">
        <f>SUMIF('XCCL Blank TB'!$R:$R,'CCL HO P&amp;L'!$A54,'XCCL Blank TB'!H:H)+(SUMIF('XCCL HO TB'!$R:$R,'CCL HO P&amp;L'!$A54,'XCCL HO TB'!H:H))</f>
        <v/>
      </c>
      <c r="U54" s="38" t="n"/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8" t="n">
        <v>0</v>
      </c>
      <c r="AJ54" s="119" t="n">
        <v>0</v>
      </c>
      <c r="AK54" s="119" t="n">
        <v>0</v>
      </c>
      <c r="AL54" s="119" t="n">
        <v>0</v>
      </c>
      <c r="AM54" s="120" t="n">
        <v>0</v>
      </c>
      <c r="AN54" s="118" t="n">
        <v>0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SUMIF('XCCL Blank TB'!$R:$R,'CCL HO P&amp;L'!$A55,'XCCL Blank TB'!C:C)+(SUMIF('XCCL HO TB'!$R:$R,'CCL HO P&amp;L'!$A55,'XCCL HO TB'!C:C))</f>
        <v/>
      </c>
      <c r="P55" s="37">
        <f>SUMIF('XCCL Blank TB'!$R:$R,'CCL HO P&amp;L'!$A55,'XCCL Blank TB'!D:D)+(SUMIF('XCCL HO TB'!$R:$R,'CCL HO P&amp;L'!$A55,'XCCL HO TB'!D:D))</f>
        <v/>
      </c>
      <c r="Q55" s="37">
        <f>SUMIF('XCCL Blank TB'!$R:$R,'CCL HO P&amp;L'!$A55,'XCCL Blank TB'!E:E)+(SUMIF('XCCL HO TB'!$R:$R,'CCL HO P&amp;L'!$A55,'XCCL HO TB'!E:E))</f>
        <v/>
      </c>
      <c r="R55" s="37">
        <f>SUMIF('XCCL Blank TB'!$R:$R,'CCL HO P&amp;L'!$A55,'XCCL Blank TB'!F:F)+(SUMIF('XCCL HO TB'!$R:$R,'CCL HO P&amp;L'!$A55,'XCCL HO TB'!F:F))</f>
        <v/>
      </c>
      <c r="S55" s="37">
        <f>SUMIF('XCCL Blank TB'!$R:$R,'CCL HO P&amp;L'!$A55,'XCCL Blank TB'!G:G)+(SUMIF('XCCL HO TB'!$R:$R,'CCL HO P&amp;L'!$A55,'XCCL HO TB'!G:G))</f>
        <v/>
      </c>
      <c r="T55" s="37">
        <f>SUMIF('XCCL Blank TB'!$R:$R,'CCL HO P&amp;L'!$A55,'XCCL Blank TB'!H:H)+(SUMIF('XCCL HO TB'!$R:$R,'CCL HO P&amp;L'!$A55,'XCCL HO TB'!H:H))</f>
        <v/>
      </c>
      <c r="U55" s="38" t="n"/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8" t="n">
        <v>0</v>
      </c>
      <c r="AJ55" s="119" t="n">
        <v>0</v>
      </c>
      <c r="AK55" s="119" t="n">
        <v>0</v>
      </c>
      <c r="AL55" s="119" t="n">
        <v>0</v>
      </c>
      <c r="AM55" s="120" t="n">
        <v>0</v>
      </c>
      <c r="AN55" s="118" t="n">
        <v>0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SUMIF('XCCL Blank TB'!$R:$R,'CCL HO P&amp;L'!$A56,'XCCL Blank TB'!C:C)+(SUMIF('XCCL HO TB'!$R:$R,'CCL HO P&amp;L'!$A56,'XCCL HO TB'!C:C))</f>
        <v/>
      </c>
      <c r="P56" s="37">
        <f>SUMIF('XCCL Blank TB'!$R:$R,'CCL HO P&amp;L'!$A56,'XCCL Blank TB'!D:D)+(SUMIF('XCCL HO TB'!$R:$R,'CCL HO P&amp;L'!$A56,'XCCL HO TB'!D:D))</f>
        <v/>
      </c>
      <c r="Q56" s="37">
        <f>SUMIF('XCCL Blank TB'!$R:$R,'CCL HO P&amp;L'!$A56,'XCCL Blank TB'!E:E)+(SUMIF('XCCL HO TB'!$R:$R,'CCL HO P&amp;L'!$A56,'XCCL HO TB'!E:E))</f>
        <v/>
      </c>
      <c r="R56" s="37">
        <f>SUMIF('XCCL Blank TB'!$R:$R,'CCL HO P&amp;L'!$A56,'XCCL Blank TB'!F:F)+(SUMIF('XCCL HO TB'!$R:$R,'CCL HO P&amp;L'!$A56,'XCCL HO TB'!F:F))</f>
        <v/>
      </c>
      <c r="S56" s="37">
        <f>SUMIF('XCCL Blank TB'!$R:$R,'CCL HO P&amp;L'!$A56,'XCCL Blank TB'!G:G)+(SUMIF('XCCL HO TB'!$R:$R,'CCL HO P&amp;L'!$A56,'XCCL HO TB'!G:G))</f>
        <v/>
      </c>
      <c r="T56" s="37">
        <f>SUMIF('XCCL Blank TB'!$R:$R,'CCL HO P&amp;L'!$A56,'XCCL Blank TB'!H:H)+(SUMIF('XCCL HO TB'!$R:$R,'CCL HO P&amp;L'!$A56,'XCCL HO TB'!H:H))</f>
        <v/>
      </c>
      <c r="U56" s="38" t="n"/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8" t="n">
        <v>0</v>
      </c>
      <c r="AJ56" s="119" t="n">
        <v>0</v>
      </c>
      <c r="AK56" s="119" t="n">
        <v>0</v>
      </c>
      <c r="AL56" s="119" t="n">
        <v>0</v>
      </c>
      <c r="AM56" s="120" t="n">
        <v>0</v>
      </c>
      <c r="AN56" s="118" t="n">
        <v>0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202.57</v>
      </c>
      <c r="N57" s="36">
        <f>SUM(B57:M57)</f>
        <v/>
      </c>
      <c r="O57" s="37">
        <f>SUMIF('XCCL Blank TB'!$R:$R,'CCL HO P&amp;L'!$A57,'XCCL Blank TB'!C:C)+(SUMIF('XCCL HO TB'!$R:$R,'CCL HO P&amp;L'!$A57,'XCCL HO TB'!C:C))</f>
        <v/>
      </c>
      <c r="P57" s="37">
        <f>SUMIF('XCCL Blank TB'!$R:$R,'CCL HO P&amp;L'!$A57,'XCCL Blank TB'!D:D)+(SUMIF('XCCL HO TB'!$R:$R,'CCL HO P&amp;L'!$A57,'XCCL HO TB'!D:D))</f>
        <v/>
      </c>
      <c r="Q57" s="37">
        <f>SUMIF('XCCL Blank TB'!$R:$R,'CCL HO P&amp;L'!$A57,'XCCL Blank TB'!E:E)+(SUMIF('XCCL HO TB'!$R:$R,'CCL HO P&amp;L'!$A57,'XCCL HO TB'!E:E))</f>
        <v/>
      </c>
      <c r="R57" s="37">
        <f>SUMIF('XCCL Blank TB'!$R:$R,'CCL HO P&amp;L'!$A57,'XCCL Blank TB'!F:F)+(SUMIF('XCCL HO TB'!$R:$R,'CCL HO P&amp;L'!$A57,'XCCL HO TB'!F:F))</f>
        <v/>
      </c>
      <c r="S57" s="37">
        <f>SUMIF('XCCL Blank TB'!$R:$R,'CCL HO P&amp;L'!$A57,'XCCL Blank TB'!G:G)+(SUMIF('XCCL HO TB'!$R:$R,'CCL HO P&amp;L'!$A57,'XCCL HO TB'!G:G))</f>
        <v/>
      </c>
      <c r="T57" s="37">
        <f>SUMIF('XCCL Blank TB'!$R:$R,'CCL HO P&amp;L'!$A57,'XCCL Blank TB'!H:H)+(SUMIF('XCCL HO TB'!$R:$R,'CCL HO P&amp;L'!$A57,'XCCL HO TB'!H:H))</f>
        <v/>
      </c>
      <c r="U57" s="38" t="n"/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 t="n"/>
      <c r="AD57" s="38" t="n"/>
      <c r="AE57" s="38" t="n"/>
      <c r="AF57" s="38" t="n"/>
      <c r="AG57" s="38" t="n"/>
      <c r="AH57" s="38" t="n"/>
      <c r="AI57" s="118" t="n">
        <v>0</v>
      </c>
      <c r="AJ57" s="119" t="n">
        <v>0</v>
      </c>
      <c r="AK57" s="119" t="n">
        <v>0</v>
      </c>
      <c r="AL57" s="119" t="n">
        <v>0</v>
      </c>
      <c r="AM57" s="120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SUMIF('XCCL Blank TB'!$R:$R,'CCL HO P&amp;L'!$A58,'XCCL Blank TB'!C:C)+(SUMIF('XCCL HO TB'!$R:$R,'CCL HO P&amp;L'!$A58,'XCCL HO TB'!C:C))</f>
        <v/>
      </c>
      <c r="P58" s="37">
        <f>SUMIF('XCCL Blank TB'!$R:$R,'CCL HO P&amp;L'!$A58,'XCCL Blank TB'!D:D)+(SUMIF('XCCL HO TB'!$R:$R,'CCL HO P&amp;L'!$A58,'XCCL HO TB'!D:D))</f>
        <v/>
      </c>
      <c r="Q58" s="37">
        <f>SUMIF('XCCL Blank TB'!$R:$R,'CCL HO P&amp;L'!$A58,'XCCL Blank TB'!E:E)+(SUMIF('XCCL HO TB'!$R:$R,'CCL HO P&amp;L'!$A58,'XCCL HO TB'!E:E))</f>
        <v/>
      </c>
      <c r="R58" s="37">
        <f>SUMIF('XCCL Blank TB'!$R:$R,'CCL HO P&amp;L'!$A58,'XCCL Blank TB'!F:F)+(SUMIF('XCCL HO TB'!$R:$R,'CCL HO P&amp;L'!$A58,'XCCL HO TB'!F:F))</f>
        <v/>
      </c>
      <c r="S58" s="37">
        <f>SUMIF('XCCL Blank TB'!$R:$R,'CCL HO P&amp;L'!$A58,'XCCL Blank TB'!G:G)+(SUMIF('XCCL HO TB'!$R:$R,'CCL HO P&amp;L'!$A58,'XCCL HO TB'!G:G))</f>
        <v/>
      </c>
      <c r="T58" s="37">
        <f>SUMIF('XCCL Blank TB'!$R:$R,'CCL HO P&amp;L'!$A58,'XCCL Blank TB'!H:H)+(SUMIF('XCCL HO TB'!$R:$R,'CCL HO P&amp;L'!$A58,'XCCL HO TB'!H:H))</f>
        <v/>
      </c>
      <c r="U58" s="38" t="n"/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8" t="n">
        <v>0</v>
      </c>
      <c r="AJ58" s="119" t="n">
        <v>0</v>
      </c>
      <c r="AK58" s="119" t="n">
        <v>0</v>
      </c>
      <c r="AL58" s="119" t="n">
        <v>0</v>
      </c>
      <c r="AM58" s="120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0</v>
      </c>
      <c r="C59" s="35" t="n">
        <v>0</v>
      </c>
      <c r="D59" s="35" t="n">
        <v>0</v>
      </c>
      <c r="E59" s="35" t="n">
        <v>0</v>
      </c>
      <c r="F59" s="35" t="n">
        <v>0</v>
      </c>
      <c r="G59" s="35" t="n">
        <v>0</v>
      </c>
      <c r="H59" s="35" t="n">
        <v>0</v>
      </c>
      <c r="I59" s="35" t="n">
        <v>0</v>
      </c>
      <c r="J59" s="35" t="n">
        <v>0</v>
      </c>
      <c r="K59" s="35" t="n">
        <v>0</v>
      </c>
      <c r="L59" s="35" t="n">
        <v>0</v>
      </c>
      <c r="M59" s="35" t="n">
        <v>0</v>
      </c>
      <c r="N59" s="36">
        <f>SUM(B59:M59)</f>
        <v/>
      </c>
      <c r="O59" s="37">
        <f>SUMIF('XCCL Blank TB'!$R:$R,'CCL HO P&amp;L'!$A59,'XCCL Blank TB'!C:C)+(SUMIF('XCCL HO TB'!$R:$R,'CCL HO P&amp;L'!$A59,'XCCL HO TB'!C:C))</f>
        <v/>
      </c>
      <c r="P59" s="37">
        <f>SUMIF('XCCL Blank TB'!$R:$R,'CCL HO P&amp;L'!$A59,'XCCL Blank TB'!D:D)+(SUMIF('XCCL HO TB'!$R:$R,'CCL HO P&amp;L'!$A59,'XCCL HO TB'!D:D))</f>
        <v/>
      </c>
      <c r="Q59" s="37">
        <f>SUMIF('XCCL Blank TB'!$R:$R,'CCL HO P&amp;L'!$A59,'XCCL Blank TB'!E:E)+(SUMIF('XCCL HO TB'!$R:$R,'CCL HO P&amp;L'!$A59,'XCCL HO TB'!E:E))</f>
        <v/>
      </c>
      <c r="R59" s="37">
        <f>SUMIF('XCCL Blank TB'!$R:$R,'CCL HO P&amp;L'!$A59,'XCCL Blank TB'!F:F)+(SUMIF('XCCL HO TB'!$R:$R,'CCL HO P&amp;L'!$A59,'XCCL HO TB'!F:F))</f>
        <v/>
      </c>
      <c r="S59" s="37">
        <f>SUMIF('XCCL Blank TB'!$R:$R,'CCL HO P&amp;L'!$A59,'XCCL Blank TB'!G:G)+(SUMIF('XCCL HO TB'!$R:$R,'CCL HO P&amp;L'!$A59,'XCCL HO TB'!G:G))</f>
        <v/>
      </c>
      <c r="T59" s="37">
        <f>SUMIF('XCCL Blank TB'!$R:$R,'CCL HO P&amp;L'!$A59,'XCCL Blank TB'!H:H)+(SUMIF('XCCL HO TB'!$R:$R,'CCL HO P&amp;L'!$A59,'XCCL HO TB'!H:H))</f>
        <v/>
      </c>
      <c r="U59" s="38" t="n"/>
      <c r="V59" s="38" t="n"/>
      <c r="W59" s="38" t="n"/>
      <c r="X59" s="38" t="n"/>
      <c r="Y59" s="38" t="n"/>
      <c r="Z59" s="38" t="n"/>
      <c r="AA59" s="36">
        <f>SUM(O59:U59)</f>
        <v/>
      </c>
      <c r="AB59" s="36">
        <f>SUM(O59:Z59)</f>
        <v/>
      </c>
      <c r="AC59" s="38" t="n"/>
      <c r="AD59" s="38" t="n"/>
      <c r="AE59" s="38" t="n"/>
      <c r="AF59" s="38" t="n"/>
      <c r="AG59" s="38" t="n"/>
      <c r="AH59" s="38" t="n"/>
      <c r="AI59" s="118" t="n">
        <v>0</v>
      </c>
      <c r="AJ59" s="119" t="n">
        <v>0</v>
      </c>
      <c r="AK59" s="119" t="n">
        <v>0</v>
      </c>
      <c r="AL59" s="119" t="n">
        <v>0</v>
      </c>
      <c r="AM59" s="120" t="n">
        <v>0</v>
      </c>
      <c r="AN59" s="118" t="n">
        <v>0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0</v>
      </c>
      <c r="C60" s="35" t="n">
        <v>100</v>
      </c>
      <c r="D60" s="35" t="n">
        <v>0</v>
      </c>
      <c r="E60" s="35" t="n">
        <v>0</v>
      </c>
      <c r="F60" s="35" t="n">
        <v>-41.73999999999999</v>
      </c>
      <c r="G60" s="35" t="n">
        <v>-13.43</v>
      </c>
      <c r="H60" s="35" t="n">
        <v>0</v>
      </c>
      <c r="I60" s="35" t="n">
        <v>0</v>
      </c>
      <c r="J60" s="35" t="n">
        <v>0</v>
      </c>
      <c r="K60" s="35" t="n">
        <v>7.5</v>
      </c>
      <c r="L60" s="35" t="n">
        <v>109.99</v>
      </c>
      <c r="M60" s="35" t="n">
        <v>269.95</v>
      </c>
      <c r="N60" s="36">
        <f>SUM(B60:M60)</f>
        <v/>
      </c>
      <c r="O60" s="37">
        <f>SUMIF('XCCL Blank TB'!$R:$R,'CCL HO P&amp;L'!$A60,'XCCL Blank TB'!C:C)+(SUMIF('XCCL HO TB'!$R:$R,'CCL HO P&amp;L'!$A60,'XCCL HO TB'!C:C))</f>
        <v/>
      </c>
      <c r="P60" s="37">
        <f>SUMIF('XCCL Blank TB'!$R:$R,'CCL HO P&amp;L'!$A60,'XCCL Blank TB'!D:D)+(SUMIF('XCCL HO TB'!$R:$R,'CCL HO P&amp;L'!$A60,'XCCL HO TB'!D:D))</f>
        <v/>
      </c>
      <c r="Q60" s="37">
        <f>SUMIF('XCCL Blank TB'!$R:$R,'CCL HO P&amp;L'!$A60,'XCCL Blank TB'!E:E)+(SUMIF('XCCL HO TB'!$R:$R,'CCL HO P&amp;L'!$A60,'XCCL HO TB'!E:E))</f>
        <v/>
      </c>
      <c r="R60" s="37">
        <f>SUMIF('XCCL Blank TB'!$R:$R,'CCL HO P&amp;L'!$A60,'XCCL Blank TB'!F:F)+(SUMIF('XCCL HO TB'!$R:$R,'CCL HO P&amp;L'!$A60,'XCCL HO TB'!F:F))</f>
        <v/>
      </c>
      <c r="S60" s="37">
        <f>SUMIF('XCCL Blank TB'!$R:$R,'CCL HO P&amp;L'!$A60,'XCCL Blank TB'!G:G)+(SUMIF('XCCL HO TB'!$R:$R,'CCL HO P&amp;L'!$A60,'XCCL HO TB'!G:G))</f>
        <v/>
      </c>
      <c r="T60" s="37">
        <f>SUMIF('XCCL Blank TB'!$R:$R,'CCL HO P&amp;L'!$A60,'XCCL Blank TB'!H:H)+(SUMIF('XCCL HO TB'!$R:$R,'CCL HO P&amp;L'!$A60,'XCCL HO TB'!H:H))</f>
        <v/>
      </c>
      <c r="U60" s="38" t="n"/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8" t="n">
        <v>0</v>
      </c>
      <c r="AJ60" s="119" t="n">
        <v>0</v>
      </c>
      <c r="AK60" s="119" t="n">
        <v>0</v>
      </c>
      <c r="AL60" s="119" t="n">
        <v>0</v>
      </c>
      <c r="AM60" s="120" t="n">
        <v>0</v>
      </c>
      <c r="AN60" s="118" t="n">
        <v>0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9.23</v>
      </c>
      <c r="C61" s="35" t="n">
        <v>140</v>
      </c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0</v>
      </c>
      <c r="I61" s="35" t="n">
        <v>0</v>
      </c>
      <c r="J61" s="35" t="n">
        <v>0</v>
      </c>
      <c r="K61" s="35" t="n">
        <v>0</v>
      </c>
      <c r="L61" s="35" t="n">
        <v>0</v>
      </c>
      <c r="M61" s="35" t="n">
        <v>0</v>
      </c>
      <c r="N61" s="36">
        <f>SUM(B61:M61)</f>
        <v/>
      </c>
      <c r="O61" s="37">
        <f>SUMIF('XCCL Blank TB'!$R:$R,'CCL HO P&amp;L'!$A61,'XCCL Blank TB'!C:C)+(SUMIF('XCCL HO TB'!$R:$R,'CCL HO P&amp;L'!$A61,'XCCL HO TB'!C:C))</f>
        <v/>
      </c>
      <c r="P61" s="37">
        <f>SUMIF('XCCL Blank TB'!$R:$R,'CCL HO P&amp;L'!$A61,'XCCL Blank TB'!D:D)+(SUMIF('XCCL HO TB'!$R:$R,'CCL HO P&amp;L'!$A61,'XCCL HO TB'!D:D))</f>
        <v/>
      </c>
      <c r="Q61" s="37">
        <f>SUMIF('XCCL Blank TB'!$R:$R,'CCL HO P&amp;L'!$A61,'XCCL Blank TB'!E:E)+(SUMIF('XCCL HO TB'!$R:$R,'CCL HO P&amp;L'!$A61,'XCCL HO TB'!E:E))</f>
        <v/>
      </c>
      <c r="R61" s="37">
        <f>SUMIF('XCCL Blank TB'!$R:$R,'CCL HO P&amp;L'!$A61,'XCCL Blank TB'!F:F)+(SUMIF('XCCL HO TB'!$R:$R,'CCL HO P&amp;L'!$A61,'XCCL HO TB'!F:F))</f>
        <v/>
      </c>
      <c r="S61" s="37">
        <f>SUMIF('XCCL Blank TB'!$R:$R,'CCL HO P&amp;L'!$A61,'XCCL Blank TB'!G:G)+(SUMIF('XCCL HO TB'!$R:$R,'CCL HO P&amp;L'!$A61,'XCCL HO TB'!G:G))</f>
        <v/>
      </c>
      <c r="T61" s="37">
        <f>SUMIF('XCCL Blank TB'!$R:$R,'CCL HO P&amp;L'!$A61,'XCCL Blank TB'!H:H)+(SUMIF('XCCL HO TB'!$R:$R,'CCL HO P&amp;L'!$A61,'XCCL HO TB'!H:H))</f>
        <v/>
      </c>
      <c r="U61" s="38" t="n"/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8" t="n">
        <v>0</v>
      </c>
      <c r="AJ61" s="119" t="n">
        <v>0</v>
      </c>
      <c r="AK61" s="119" t="n">
        <v>0</v>
      </c>
      <c r="AL61" s="119" t="n">
        <v>0</v>
      </c>
      <c r="AM61" s="120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>
        <f>SUMIF('XCCL Blank TB'!$R:$R,'CCL HO P&amp;L'!$A62,'XCCL Blank TB'!C:C)+(SUMIF('XCCL HO TB'!$R:$R,'CCL HO P&amp;L'!$A62,'XCCL HO TB'!C:C))</f>
        <v/>
      </c>
      <c r="P62" s="37">
        <f>SUMIF('XCCL Blank TB'!$R:$R,'CCL HO P&amp;L'!$A62,'XCCL Blank TB'!D:D)+(SUMIF('XCCL HO TB'!$R:$R,'CCL HO P&amp;L'!$A62,'XCCL HO TB'!D:D))</f>
        <v/>
      </c>
      <c r="Q62" s="37">
        <f>SUMIF('XCCL Blank TB'!$R:$R,'CCL HO P&amp;L'!$A62,'XCCL Blank TB'!E:E)+(SUMIF('XCCL HO TB'!$R:$R,'CCL HO P&amp;L'!$A62,'XCCL HO TB'!E:E))</f>
        <v/>
      </c>
      <c r="R62" s="37">
        <f>SUMIF('XCCL Blank TB'!$R:$R,'CCL HO P&amp;L'!$A62,'XCCL Blank TB'!F:F)+(SUMIF('XCCL HO TB'!$R:$R,'CCL HO P&amp;L'!$A62,'XCCL HO TB'!F:F))</f>
        <v/>
      </c>
      <c r="S62" s="37">
        <f>SUMIF('XCCL Blank TB'!$R:$R,'CCL HO P&amp;L'!$A62,'XCCL Blank TB'!G:G)+(SUMIF('XCCL HO TB'!$R:$R,'CCL HO P&amp;L'!$A62,'XCCL HO TB'!G:G))</f>
        <v/>
      </c>
      <c r="T62" s="37">
        <f>SUMIF('XCCL Blank TB'!$R:$R,'CCL HO P&amp;L'!$A62,'XCCL Blank TB'!H:H)+(SUMIF('XCCL HO TB'!$R:$R,'CCL HO P&amp;L'!$A62,'XCCL HO TB'!H:H))</f>
        <v/>
      </c>
      <c r="U62" s="38" t="n"/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8" t="n">
        <v>0</v>
      </c>
      <c r="AJ62" s="119" t="n">
        <v>0</v>
      </c>
      <c r="AK62" s="119" t="n">
        <v>0</v>
      </c>
      <c r="AL62" s="119" t="n">
        <v>0</v>
      </c>
      <c r="AM62" s="120" t="n">
        <v>0</v>
      </c>
      <c r="AN62" s="118" t="n">
        <v>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SUMIF('XCCL Blank TB'!$R:$R,'CCL HO P&amp;L'!$A63,'XCCL Blank TB'!C:C)+(SUMIF('XCCL HO TB'!$R:$R,'CCL HO P&amp;L'!$A63,'XCCL HO TB'!C:C))</f>
        <v/>
      </c>
      <c r="P63" s="37">
        <f>SUMIF('XCCL Blank TB'!$R:$R,'CCL HO P&amp;L'!$A63,'XCCL Blank TB'!D:D)+(SUMIF('XCCL HO TB'!$R:$R,'CCL HO P&amp;L'!$A63,'XCCL HO TB'!D:D))</f>
        <v/>
      </c>
      <c r="Q63" s="37">
        <f>SUMIF('XCCL Blank TB'!$R:$R,'CCL HO P&amp;L'!$A63,'XCCL Blank TB'!E:E)+(SUMIF('XCCL HO TB'!$R:$R,'CCL HO P&amp;L'!$A63,'XCCL HO TB'!E:E))</f>
        <v/>
      </c>
      <c r="R63" s="37">
        <f>SUMIF('XCCL Blank TB'!$R:$R,'CCL HO P&amp;L'!$A63,'XCCL Blank TB'!F:F)+(SUMIF('XCCL HO TB'!$R:$R,'CCL HO P&amp;L'!$A63,'XCCL HO TB'!F:F))</f>
        <v/>
      </c>
      <c r="S63" s="37">
        <f>SUMIF('XCCL Blank TB'!$R:$R,'CCL HO P&amp;L'!$A63,'XCCL Blank TB'!G:G)+(SUMIF('XCCL HO TB'!$R:$R,'CCL HO P&amp;L'!$A63,'XCCL HO TB'!G:G))</f>
        <v/>
      </c>
      <c r="T63" s="37">
        <f>SUMIF('XCCL Blank TB'!$R:$R,'CCL HO P&amp;L'!$A63,'XCCL Blank TB'!H:H)+(SUMIF('XCCL HO TB'!$R:$R,'CCL HO P&amp;L'!$A63,'XCCL HO TB'!H:H))</f>
        <v/>
      </c>
      <c r="U63" s="38" t="n"/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8" t="n">
        <v>0</v>
      </c>
      <c r="AJ63" s="119" t="n">
        <v>0</v>
      </c>
      <c r="AK63" s="119" t="n">
        <v>0</v>
      </c>
      <c r="AL63" s="119" t="n">
        <v>0</v>
      </c>
      <c r="AM63" s="120" t="n">
        <v>0</v>
      </c>
      <c r="AN63" s="118" t="n">
        <v>0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SUMIF('XCCL Blank TB'!$R:$R,'CCL HO P&amp;L'!$A64,'XCCL Blank TB'!C:C)+(SUMIF('XCCL HO TB'!$R:$R,'CCL HO P&amp;L'!$A64,'XCCL HO TB'!C:C))</f>
        <v/>
      </c>
      <c r="P64" s="37">
        <f>SUMIF('XCCL Blank TB'!$R:$R,'CCL HO P&amp;L'!$A64,'XCCL Blank TB'!D:D)+(SUMIF('XCCL HO TB'!$R:$R,'CCL HO P&amp;L'!$A64,'XCCL HO TB'!D:D))</f>
        <v/>
      </c>
      <c r="Q64" s="37">
        <f>SUMIF('XCCL Blank TB'!$R:$R,'CCL HO P&amp;L'!$A64,'XCCL Blank TB'!E:E)+(SUMIF('XCCL HO TB'!$R:$R,'CCL HO P&amp;L'!$A64,'XCCL HO TB'!E:E))</f>
        <v/>
      </c>
      <c r="R64" s="37">
        <f>SUMIF('XCCL Blank TB'!$R:$R,'CCL HO P&amp;L'!$A64,'XCCL Blank TB'!F:F)+(SUMIF('XCCL HO TB'!$R:$R,'CCL HO P&amp;L'!$A64,'XCCL HO TB'!F:F))</f>
        <v/>
      </c>
      <c r="S64" s="37">
        <f>SUMIF('XCCL Blank TB'!$R:$R,'CCL HO P&amp;L'!$A64,'XCCL Blank TB'!G:G)+(SUMIF('XCCL HO TB'!$R:$R,'CCL HO P&amp;L'!$A64,'XCCL HO TB'!G:G))</f>
        <v/>
      </c>
      <c r="T64" s="37">
        <f>SUMIF('XCCL Blank TB'!$R:$R,'CCL HO P&amp;L'!$A64,'XCCL Blank TB'!H:H)+(SUMIF('XCCL HO TB'!$R:$R,'CCL HO P&amp;L'!$A64,'XCCL HO TB'!H:H))</f>
        <v/>
      </c>
      <c r="U64" s="38" t="n"/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8" t="n">
        <v>0</v>
      </c>
      <c r="AJ64" s="119" t="n">
        <v>0</v>
      </c>
      <c r="AK64" s="119" t="n">
        <v>0</v>
      </c>
      <c r="AL64" s="119" t="n">
        <v>0</v>
      </c>
      <c r="AM64" s="120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7485.6</v>
      </c>
      <c r="C65" s="35" t="n">
        <v>30</v>
      </c>
      <c r="D65" s="35" t="n">
        <v>11062.8</v>
      </c>
      <c r="E65" s="35" t="n">
        <v>3073.2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3112.8</v>
      </c>
      <c r="N65" s="36">
        <f>SUM(B65:M65)</f>
        <v/>
      </c>
      <c r="O65" s="37">
        <f>SUMIF('XCCL Blank TB'!$R:$R,'CCL HO P&amp;L'!$A65,'XCCL Blank TB'!C:C)+(SUMIF('XCCL HO TB'!$R:$R,'CCL HO P&amp;L'!$A65,'XCCL HO TB'!C:C))</f>
        <v/>
      </c>
      <c r="P65" s="37">
        <f>SUMIF('XCCL Blank TB'!$R:$R,'CCL HO P&amp;L'!$A65,'XCCL Blank TB'!D:D)+(SUMIF('XCCL HO TB'!$R:$R,'CCL HO P&amp;L'!$A65,'XCCL HO TB'!D:D))</f>
        <v/>
      </c>
      <c r="Q65" s="37">
        <f>SUMIF('XCCL Blank TB'!$R:$R,'CCL HO P&amp;L'!$A65,'XCCL Blank TB'!E:E)+(SUMIF('XCCL HO TB'!$R:$R,'CCL HO P&amp;L'!$A65,'XCCL HO TB'!E:E))</f>
        <v/>
      </c>
      <c r="R65" s="37">
        <f>SUMIF('XCCL Blank TB'!$R:$R,'CCL HO P&amp;L'!$A65,'XCCL Blank TB'!F:F)+(SUMIF('XCCL HO TB'!$R:$R,'CCL HO P&amp;L'!$A65,'XCCL HO TB'!F:F))</f>
        <v/>
      </c>
      <c r="S65" s="37">
        <f>SUMIF('XCCL Blank TB'!$R:$R,'CCL HO P&amp;L'!$A65,'XCCL Blank TB'!G:G)+(SUMIF('XCCL HO TB'!$R:$R,'CCL HO P&amp;L'!$A65,'XCCL HO TB'!G:G))</f>
        <v/>
      </c>
      <c r="T65" s="37">
        <f>SUMIF('XCCL Blank TB'!$R:$R,'CCL HO P&amp;L'!$A65,'XCCL Blank TB'!H:H)+(SUMIF('XCCL HO TB'!$R:$R,'CCL HO P&amp;L'!$A65,'XCCL HO TB'!H:H))</f>
        <v/>
      </c>
      <c r="U65" s="38" t="n"/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8" t="n">
        <v>0</v>
      </c>
      <c r="AJ65" s="119" t="n">
        <v>0</v>
      </c>
      <c r="AK65" s="119" t="n">
        <v>0</v>
      </c>
      <c r="AL65" s="119" t="n">
        <v>0</v>
      </c>
      <c r="AM65" s="120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SUMIF('XCCL Blank TB'!$R:$R,'CCL HO P&amp;L'!$A66,'XCCL Blank TB'!C:C)+(SUMIF('XCCL HO TB'!$R:$R,'CCL HO P&amp;L'!$A66,'XCCL HO TB'!C:C))</f>
        <v/>
      </c>
      <c r="P66" s="37">
        <f>SUMIF('XCCL Blank TB'!$R:$R,'CCL HO P&amp;L'!$A66,'XCCL Blank TB'!D:D)+(SUMIF('XCCL HO TB'!$R:$R,'CCL HO P&amp;L'!$A66,'XCCL HO TB'!D:D))</f>
        <v/>
      </c>
      <c r="Q66" s="37">
        <f>SUMIF('XCCL Blank TB'!$R:$R,'CCL HO P&amp;L'!$A66,'XCCL Blank TB'!E:E)+(SUMIF('XCCL HO TB'!$R:$R,'CCL HO P&amp;L'!$A66,'XCCL HO TB'!E:E))</f>
        <v/>
      </c>
      <c r="R66" s="37">
        <f>SUMIF('XCCL Blank TB'!$R:$R,'CCL HO P&amp;L'!$A66,'XCCL Blank TB'!F:F)+(SUMIF('XCCL HO TB'!$R:$R,'CCL HO P&amp;L'!$A66,'XCCL HO TB'!F:F))</f>
        <v/>
      </c>
      <c r="S66" s="37">
        <f>SUMIF('XCCL Blank TB'!$R:$R,'CCL HO P&amp;L'!$A66,'XCCL Blank TB'!G:G)+(SUMIF('XCCL HO TB'!$R:$R,'CCL HO P&amp;L'!$A66,'XCCL HO TB'!G:G))</f>
        <v/>
      </c>
      <c r="T66" s="37">
        <f>SUMIF('XCCL Blank TB'!$R:$R,'CCL HO P&amp;L'!$A66,'XCCL Blank TB'!H:H)+(SUMIF('XCCL HO TB'!$R:$R,'CCL HO P&amp;L'!$A66,'XCCL HO TB'!H:H))</f>
        <v/>
      </c>
      <c r="U66" s="38" t="n"/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8" t="n">
        <v>0</v>
      </c>
      <c r="AJ66" s="119" t="n">
        <v>0</v>
      </c>
      <c r="AK66" s="119" t="n">
        <v>0</v>
      </c>
      <c r="AL66" s="119" t="n">
        <v>0</v>
      </c>
      <c r="AM66" s="120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1068</v>
      </c>
      <c r="D67" s="35" t="n">
        <v>0</v>
      </c>
      <c r="E67" s="35" t="n">
        <v>1220.4</v>
      </c>
      <c r="F67" s="35" t="n">
        <v>0</v>
      </c>
      <c r="G67" s="35" t="n">
        <v>750.6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939.6</v>
      </c>
      <c r="N67" s="36">
        <f>SUM(B67:M67)</f>
        <v/>
      </c>
      <c r="O67" s="37">
        <f>SUMIF('XCCL Blank TB'!$R:$R,'CCL HO P&amp;L'!$A67,'XCCL Blank TB'!C:C)+(SUMIF('XCCL HO TB'!$R:$R,'CCL HO P&amp;L'!$A67,'XCCL HO TB'!C:C))</f>
        <v/>
      </c>
      <c r="P67" s="37">
        <f>SUMIF('XCCL Blank TB'!$R:$R,'CCL HO P&amp;L'!$A67,'XCCL Blank TB'!D:D)+(SUMIF('XCCL HO TB'!$R:$R,'CCL HO P&amp;L'!$A67,'XCCL HO TB'!D:D))</f>
        <v/>
      </c>
      <c r="Q67" s="37">
        <f>SUMIF('XCCL Blank TB'!$R:$R,'CCL HO P&amp;L'!$A67,'XCCL Blank TB'!E:E)+(SUMIF('XCCL HO TB'!$R:$R,'CCL HO P&amp;L'!$A67,'XCCL HO TB'!E:E))</f>
        <v/>
      </c>
      <c r="R67" s="37">
        <f>SUMIF('XCCL Blank TB'!$R:$R,'CCL HO P&amp;L'!$A67,'XCCL Blank TB'!F:F)+(SUMIF('XCCL HO TB'!$R:$R,'CCL HO P&amp;L'!$A67,'XCCL HO TB'!F:F))</f>
        <v/>
      </c>
      <c r="S67" s="37">
        <f>SUMIF('XCCL Blank TB'!$R:$R,'CCL HO P&amp;L'!$A67,'XCCL Blank TB'!G:G)+(SUMIF('XCCL HO TB'!$R:$R,'CCL HO P&amp;L'!$A67,'XCCL HO TB'!G:G))</f>
        <v/>
      </c>
      <c r="T67" s="37">
        <f>SUMIF('XCCL Blank TB'!$R:$R,'CCL HO P&amp;L'!$A67,'XCCL Blank TB'!H:H)+(SUMIF('XCCL HO TB'!$R:$R,'CCL HO P&amp;L'!$A67,'XCCL HO TB'!H:H))</f>
        <v/>
      </c>
      <c r="U67" s="38" t="n"/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8" t="n">
        <v>0</v>
      </c>
      <c r="AJ67" s="119" t="n">
        <v>0</v>
      </c>
      <c r="AK67" s="119" t="n">
        <v>0</v>
      </c>
      <c r="AL67" s="119" t="n">
        <v>0</v>
      </c>
      <c r="AM67" s="120" t="n">
        <v>0</v>
      </c>
      <c r="AN67" s="118" t="n">
        <v>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159</v>
      </c>
      <c r="C68" s="35" t="n">
        <v>154.4</v>
      </c>
      <c r="D68" s="35" t="n">
        <v>242.15</v>
      </c>
      <c r="E68" s="35" t="n">
        <v>157.57</v>
      </c>
      <c r="F68" s="35" t="n">
        <v>227.35</v>
      </c>
      <c r="G68" s="35" t="n">
        <v>354.85</v>
      </c>
      <c r="H68" s="35" t="n">
        <v>247.7</v>
      </c>
      <c r="I68" s="35" t="n">
        <v>124.9</v>
      </c>
      <c r="J68" s="35" t="n">
        <v>117.15</v>
      </c>
      <c r="K68" s="35" t="n">
        <v>159.9</v>
      </c>
      <c r="L68" s="35" t="n">
        <v>125.75</v>
      </c>
      <c r="M68" s="35" t="n">
        <v>116.05</v>
      </c>
      <c r="N68" s="36">
        <f>SUM(B68:M68)</f>
        <v/>
      </c>
      <c r="O68" s="37">
        <f>SUMIF('XCCL Blank TB'!$R:$R,'CCL HO P&amp;L'!$A68,'XCCL Blank TB'!C:C)+(SUMIF('XCCL HO TB'!$R:$R,'CCL HO P&amp;L'!$A68,'XCCL HO TB'!C:C))</f>
        <v/>
      </c>
      <c r="P68" s="37">
        <f>SUMIF('XCCL Blank TB'!$R:$R,'CCL HO P&amp;L'!$A68,'XCCL Blank TB'!D:D)+(SUMIF('XCCL HO TB'!$R:$R,'CCL HO P&amp;L'!$A68,'XCCL HO TB'!D:D))</f>
        <v/>
      </c>
      <c r="Q68" s="37">
        <f>SUMIF('XCCL Blank TB'!$R:$R,'CCL HO P&amp;L'!$A68,'XCCL Blank TB'!E:E)+(SUMIF('XCCL HO TB'!$R:$R,'CCL HO P&amp;L'!$A68,'XCCL HO TB'!E:E))</f>
        <v/>
      </c>
      <c r="R68" s="37">
        <f>SUMIF('XCCL Blank TB'!$R:$R,'CCL HO P&amp;L'!$A68,'XCCL Blank TB'!F:F)+(SUMIF('XCCL HO TB'!$R:$R,'CCL HO P&amp;L'!$A68,'XCCL HO TB'!F:F))</f>
        <v/>
      </c>
      <c r="S68" s="37">
        <f>SUMIF('XCCL Blank TB'!$R:$R,'CCL HO P&amp;L'!$A68,'XCCL Blank TB'!G:G)+(SUMIF('XCCL HO TB'!$R:$R,'CCL HO P&amp;L'!$A68,'XCCL HO TB'!G:G))</f>
        <v/>
      </c>
      <c r="T68" s="37">
        <f>SUMIF('XCCL Blank TB'!$R:$R,'CCL HO P&amp;L'!$A68,'XCCL Blank TB'!H:H)+(SUMIF('XCCL HO TB'!$R:$R,'CCL HO P&amp;L'!$A68,'XCCL HO TB'!H:H))</f>
        <v/>
      </c>
      <c r="U68" s="38" t="n"/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8" t="n">
        <v>0</v>
      </c>
      <c r="AJ68" s="119" t="n">
        <v>0</v>
      </c>
      <c r="AK68" s="119" t="n">
        <v>0</v>
      </c>
      <c r="AL68" s="119" t="n">
        <v>0</v>
      </c>
      <c r="AM68" s="120" t="n">
        <v>0</v>
      </c>
      <c r="AN68" s="118" t="n">
        <v>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7653.83</v>
      </c>
      <c r="C69" s="42" t="n">
        <v>1492.4</v>
      </c>
      <c r="D69" s="42" t="n">
        <v>11304.95</v>
      </c>
      <c r="E69" s="42" t="n">
        <v>4451.17</v>
      </c>
      <c r="F69" s="42" t="n">
        <v>185.61</v>
      </c>
      <c r="G69" s="42" t="n">
        <v>1092.02</v>
      </c>
      <c r="H69" s="42" t="n">
        <v>247.7</v>
      </c>
      <c r="I69" s="42" t="n">
        <v>124.9</v>
      </c>
      <c r="J69" s="42" t="n">
        <v>117.15</v>
      </c>
      <c r="K69" s="42" t="n">
        <v>167.4</v>
      </c>
      <c r="L69" s="42" t="n">
        <v>235.74</v>
      </c>
      <c r="M69" s="42" t="n">
        <v>4640.97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5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 t="n"/>
      <c r="AD69" s="45" t="n"/>
      <c r="AE69" s="45" t="n"/>
      <c r="AF69" s="45" t="n"/>
      <c r="AG69" s="45" t="n"/>
      <c r="AH69" s="45" t="n"/>
      <c r="AI69" s="134" t="n">
        <v>0</v>
      </c>
      <c r="AJ69" s="152" t="n">
        <v>0</v>
      </c>
      <c r="AK69" s="152" t="n">
        <v>0</v>
      </c>
      <c r="AL69" s="152" t="n">
        <v>0</v>
      </c>
      <c r="AM69" s="152" t="n">
        <v>0</v>
      </c>
      <c r="AN69" s="134" t="n">
        <v>0</v>
      </c>
      <c r="AO69" s="125">
        <f>SUM(AC69:AH69)+SUM(AI69:AN69)</f>
        <v/>
      </c>
      <c r="AP69" s="126">
        <f>IF(AB69&lt;&gt;0,(AO69-AB69)/ABS(AB69),0)</f>
        <v/>
      </c>
    </row>
    <row r="70">
      <c r="A70" s="54" t="inlineStr">
        <is>
          <t>EBITDA</t>
        </is>
      </c>
      <c r="B70" s="55" t="n">
        <v>-12993.6</v>
      </c>
      <c r="C70" s="55" t="n">
        <v>-2334.04</v>
      </c>
      <c r="D70" s="55" t="n">
        <v>-12146.26</v>
      </c>
      <c r="E70" s="55" t="n">
        <v>-9632.49</v>
      </c>
      <c r="F70" s="55" t="n">
        <v>-6257.78</v>
      </c>
      <c r="G70" s="55" t="n">
        <v>-2162.86</v>
      </c>
      <c r="H70" s="55" t="n">
        <v>-6435.16</v>
      </c>
      <c r="I70" s="55" t="n">
        <v>-2899.46</v>
      </c>
      <c r="J70" s="55" t="n">
        <v>-1451.09</v>
      </c>
      <c r="K70" s="55" t="n">
        <v>-2702.36</v>
      </c>
      <c r="L70" s="55" t="n">
        <v>-2127.25</v>
      </c>
      <c r="M70" s="55" t="n">
        <v>-6332.82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0">
        <f>AI50-AI69</f>
        <v/>
      </c>
      <c r="AJ70" s="140">
        <f>AJ50-AJ69</f>
        <v/>
      </c>
      <c r="AK70" s="140">
        <f>AK50-AK69</f>
        <v/>
      </c>
      <c r="AL70" s="140">
        <f>AL50-AL69</f>
        <v/>
      </c>
      <c r="AM70" s="140">
        <f>AM50-AM69</f>
        <v/>
      </c>
      <c r="AN70" s="140">
        <f>AN50-AN69</f>
        <v/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20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20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4">
        <f>SUM(AC72:AH72)+SUM(AI72:AN72)</f>
        <v/>
      </c>
      <c r="AP72" s="142">
        <f>IF(AB72&lt;&gt;0,(AO72-AB72)/ABS(AB72),0)</f>
        <v/>
      </c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8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118" t="n">
        <v>0</v>
      </c>
      <c r="AJ73" s="118" t="n">
        <v>0</v>
      </c>
      <c r="AK73" s="118" t="n">
        <v>0</v>
      </c>
      <c r="AL73" s="118" t="n">
        <v>0</v>
      </c>
      <c r="AM73" s="118" t="n">
        <v>0</v>
      </c>
      <c r="AN73" s="118" t="n">
        <v>0</v>
      </c>
      <c r="AO73" s="144">
        <f>SUM(AC73:AH73)+SUM(AI73:AN73)</f>
        <v/>
      </c>
      <c r="AP73" s="142">
        <f>IF(AB73&lt;&gt;0,(AO73-AB73)/ABS(AB73),0)</f>
        <v/>
      </c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8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118" t="n">
        <v>0</v>
      </c>
      <c r="AJ74" s="118" t="n">
        <v>0</v>
      </c>
      <c r="AK74" s="118" t="n">
        <v>0</v>
      </c>
      <c r="AL74" s="118" t="n">
        <v>0</v>
      </c>
      <c r="AM74" s="118" t="n">
        <v>0</v>
      </c>
      <c r="AN74" s="118" t="n">
        <v>0</v>
      </c>
      <c r="AO74" s="144">
        <f>SUM(AC74:AH74)+SUM(AI74:AN74)</f>
        <v/>
      </c>
      <c r="AP74" s="142">
        <f>IF(AB74&lt;&gt;0,(AO74-AB74)/ABS(AB74),0)</f>
        <v/>
      </c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8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118" t="n">
        <v>0</v>
      </c>
      <c r="AJ75" s="118" t="n">
        <v>0</v>
      </c>
      <c r="AK75" s="118" t="n">
        <v>0</v>
      </c>
      <c r="AL75" s="118" t="n">
        <v>0</v>
      </c>
      <c r="AM75" s="118" t="n">
        <v>0</v>
      </c>
      <c r="AN75" s="118" t="n">
        <v>0</v>
      </c>
      <c r="AO75" s="144">
        <f>SUM(AC75:AH75)+SUM(AI75:AN75)</f>
        <v/>
      </c>
      <c r="AP75" s="142">
        <f>IF(AB75&lt;&gt;0,(AO75-AB75)/ABS(AB75),0)</f>
        <v/>
      </c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8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118" t="n">
        <v>0</v>
      </c>
      <c r="AJ76" s="118" t="n">
        <v>0</v>
      </c>
      <c r="AK76" s="118" t="n">
        <v>0</v>
      </c>
      <c r="AL76" s="118" t="n">
        <v>0</v>
      </c>
      <c r="AM76" s="118" t="n">
        <v>0</v>
      </c>
      <c r="AN76" s="118" t="n">
        <v>0</v>
      </c>
      <c r="AO76" s="144">
        <f>SUM(AC76:AH76)+SUM(AI76:AN76)</f>
        <v/>
      </c>
      <c r="AP76" s="142">
        <f>IF(AB76&lt;&gt;0,(AO76-AB76)/ABS(AB76),0)</f>
        <v/>
      </c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8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118" t="n">
        <v>0</v>
      </c>
      <c r="AJ77" s="118" t="n">
        <v>0</v>
      </c>
      <c r="AK77" s="118" t="n">
        <v>0</v>
      </c>
      <c r="AL77" s="118" t="n">
        <v>0</v>
      </c>
      <c r="AM77" s="118" t="n">
        <v>0</v>
      </c>
      <c r="AN77" s="118" t="n">
        <v>0</v>
      </c>
      <c r="AO77" s="144">
        <f>SUM(AC77:AH77)+SUM(AI77:AN77)</f>
        <v/>
      </c>
      <c r="AP77" s="142">
        <f>IF(AB77&lt;&gt;0,(AO77-AB77)/ABS(AB77),0)</f>
        <v/>
      </c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7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-12993.6</v>
      </c>
      <c r="C79" s="57" t="n">
        <v>-2334.04</v>
      </c>
      <c r="D79" s="57" t="n">
        <v>-12146.26</v>
      </c>
      <c r="E79" s="57" t="n">
        <v>-9632.49</v>
      </c>
      <c r="F79" s="57" t="n">
        <v>-6257.78</v>
      </c>
      <c r="G79" s="57" t="n">
        <v>-2162.86</v>
      </c>
      <c r="H79" s="57" t="n">
        <v>-6435.16</v>
      </c>
      <c r="I79" s="57" t="n">
        <v>-2899.46</v>
      </c>
      <c r="J79" s="57" t="n">
        <v>-1451.09</v>
      </c>
      <c r="K79" s="57" t="n">
        <v>-2702.36</v>
      </c>
      <c r="L79" s="57" t="n">
        <v>-2127.25</v>
      </c>
      <c r="M79" s="57" t="n">
        <v>-6332.82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8" t="n"/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127" t="n">
        <v>0</v>
      </c>
      <c r="AJ79" s="127" t="n">
        <v>0</v>
      </c>
      <c r="AK79" s="127" t="n">
        <v>0</v>
      </c>
      <c r="AL79" s="127" t="n">
        <v>0</v>
      </c>
      <c r="AM79" s="127" t="n">
        <v>0</v>
      </c>
      <c r="AN79" s="127" t="n">
        <v>0</v>
      </c>
      <c r="AO79" s="144">
        <f>SUM(AC79:AH79)+SUM(AI79:AN79)</f>
        <v/>
      </c>
      <c r="AP79" s="142">
        <f>IF(AB79&lt;&gt;0,(AO79-AB79)/ABS(AB79),0)</f>
        <v/>
      </c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20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34" t="inlineStr">
        <is>
          <t>Direct - Sales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0</v>
      </c>
      <c r="I82" s="18" t="n">
        <v>0</v>
      </c>
      <c r="J82" s="18" t="n">
        <v>0</v>
      </c>
      <c r="K82" s="18" t="n">
        <v>0</v>
      </c>
      <c r="L82" s="18" t="n">
        <v>0</v>
      </c>
      <c r="M82" s="18" t="n"/>
      <c r="N82" s="8" t="n"/>
      <c r="O82" s="60">
        <f>-SUMIF('XCCL Blank TB'!$T:$T,'KNL HO P&amp;L'!$A73,'XCCL Blank TB'!C:C)-SUMIF('XCCL HO TB'!$T:$T,'KNL HO P&amp;L'!$A73,'XCCL HO TB'!C:C)</f>
        <v/>
      </c>
      <c r="P82" s="60">
        <f>-SUMIF('XCCL Blank TB'!$T:$T,'KNL HO P&amp;L'!$A73,'XCCL Blank TB'!D:D)-SUMIF('XCCL HO TB'!$T:$T,'KNL HO P&amp;L'!$A73,'XCCL HO TB'!D:D)</f>
        <v/>
      </c>
      <c r="Q82" s="60">
        <f>-SUMIF('XCCL Blank TB'!$T:$T,'KNL HO P&amp;L'!$A73,'XCCL Blank TB'!E:E)-SUMIF('XCCL HO TB'!$T:$T,'KNL HO P&amp;L'!$A73,'XCCL HO TB'!E:E)</f>
        <v/>
      </c>
      <c r="R82" s="60">
        <f>-SUMIF('XCCL Blank TB'!$T:$T,'KNL HO P&amp;L'!$A73,'XCCL Blank TB'!F:F)-SUMIF('XCCL HO TB'!$T:$T,'KNL HO P&amp;L'!$A73,'XCCL HO TB'!F:F)</f>
        <v/>
      </c>
      <c r="S82" s="60">
        <f>-SUMIF('XCCL Blank TB'!$T:$T,'KNL HO P&amp;L'!$A73,'XCCL Blank TB'!G:G)-SUMIF('XCCL HO TB'!$T:$T,'KNL HO P&amp;L'!$A73,'XCCL HO TB'!G:G)</f>
        <v/>
      </c>
      <c r="T82" s="60">
        <f>-SUMIF('XCCL Blank TB'!$T:$T,'KNL HO P&amp;L'!$A73,'XCCL Blank TB'!H:H)-SUMIF('XCCL HO TB'!$T:$T,'KNL HO P&amp;L'!$A73,'XCCL HO TB'!H:H)</f>
        <v/>
      </c>
      <c r="U82" s="60">
        <f>-SUMIF('XCCL Blank TB'!$T:$T,'CCL HO P&amp;L'!$A82,'XCCL Blank TB'!I:I)-SUMIF('XCCL HO TB'!$T:$T,'CCL HO P&amp;L'!$A82,'XCCL HO TB'!I:I)</f>
        <v/>
      </c>
      <c r="V82" s="60">
        <f>-SUMIF('XCCL Blank TB'!$T:$T,'CCL HO P&amp;L'!$A82,'XCCL Blank TB'!J:J)-SUMIF('XCCL HO TB'!$T:$T,'CCL HO P&amp;L'!$A82,'XCCL HO TB'!J:J)</f>
        <v/>
      </c>
      <c r="W82" s="60">
        <f>-SUMIF('XCCL Blank TB'!$T:$T,'CCL HO P&amp;L'!$A82,'XCCL Blank TB'!K:K)-SUMIF('XCCL HO TB'!$T:$T,'CCL HO P&amp;L'!$A82,'XCCL HO TB'!K:K)</f>
        <v/>
      </c>
      <c r="X82" s="60">
        <f>-SUMIF('XCCL Blank TB'!$T:$T,'CCL HO P&amp;L'!$A82,'XCCL Blank TB'!L:L)-SUMIF('XCCL HO TB'!$T:$T,'CCL HO P&amp;L'!$A82,'XCCL HO TB'!L:L)</f>
        <v/>
      </c>
      <c r="Y82" s="60">
        <f>-SUMIF('XCCL Blank TB'!$T:$T,'CCL HO P&amp;L'!$A82,'XCCL Blank TB'!M:M)-SUMIF('XCCL HO TB'!$T:$T,'CCL HO P&amp;L'!$A82,'XCCL HO TB'!M:M)</f>
        <v/>
      </c>
      <c r="Z82" s="60">
        <f>-SUMIF('XCCL Blank TB'!$T:$T,'CCL HO P&amp;L'!$A82,'XCCL Blank TB'!N:N)-SUMIF('XCCL HO TB'!$T:$T,'CCL HO P&amp;L'!$A82,'XCCL HO TB'!N:N)</f>
        <v/>
      </c>
      <c r="AA82" s="8" t="n"/>
      <c r="AB82" s="8" t="n"/>
      <c r="AC82" s="8" t="n"/>
      <c r="AD82" s="8" t="n"/>
      <c r="AE82" s="8" t="n"/>
      <c r="AF82" s="8" t="n"/>
      <c r="AG82" s="8" t="n"/>
      <c r="AH82" s="8" t="n"/>
      <c r="AI82" s="134" t="n">
        <v>0</v>
      </c>
      <c r="AJ82" s="134" t="n">
        <v>0</v>
      </c>
      <c r="AK82" s="134" t="n">
        <v>0</v>
      </c>
      <c r="AL82" s="134" t="n">
        <v>0</v>
      </c>
      <c r="AM82" s="134" t="n">
        <v>0</v>
      </c>
      <c r="AN82" s="134" t="n">
        <v>0</v>
      </c>
      <c r="AO82" s="144">
        <f>SUM(AC82:AH82)+SUM(AI82:AN82)</f>
        <v/>
      </c>
      <c r="AP82" s="142">
        <f>IF(AB82&lt;&gt;0,(AO82-AB82)/ABS(AB82),0)</f>
        <v/>
      </c>
    </row>
    <row r="83">
      <c r="A83" s="60" t="inlineStr">
        <is>
          <t>Direct - Staff Cost</t>
        </is>
      </c>
      <c r="B83" s="60" t="n">
        <v>0</v>
      </c>
      <c r="C83" s="60" t="n">
        <v>0</v>
      </c>
      <c r="D83" s="60" t="n">
        <v>0</v>
      </c>
      <c r="E83" s="60" t="n">
        <v>0</v>
      </c>
      <c r="F83" s="60" t="n">
        <v>-1917.6</v>
      </c>
      <c r="G83" s="60" t="n">
        <v>-632.5799999999999</v>
      </c>
      <c r="H83" s="60" t="n">
        <v>0</v>
      </c>
      <c r="I83" s="60" t="n">
        <v>0</v>
      </c>
      <c r="J83" s="60" t="n">
        <v>0</v>
      </c>
      <c r="K83" s="60" t="n">
        <v>0</v>
      </c>
      <c r="L83" s="60" t="n">
        <v>0</v>
      </c>
      <c r="M83" s="8" t="n"/>
      <c r="N83" s="8" t="n"/>
      <c r="O83" s="60">
        <f>-SUMIF('XCCL Blank TB'!$T:$T,'KNL HO P&amp;L'!$A74,'XCCL Blank TB'!C:C)-SUMIF('XCCL HO TB'!$T:$T,'KNL HO P&amp;L'!$A74,'XCCL HO TB'!C:C)</f>
        <v/>
      </c>
      <c r="P83" s="60">
        <f>-SUMIF('XCCL Blank TB'!$T:$T,'KNL HO P&amp;L'!$A74,'XCCL Blank TB'!D:D)-SUMIF('XCCL HO TB'!$T:$T,'KNL HO P&amp;L'!$A74,'XCCL HO TB'!D:D)</f>
        <v/>
      </c>
      <c r="Q83" s="60">
        <f>-SUMIF('XCCL Blank TB'!$T:$T,'KNL HO P&amp;L'!$A74,'XCCL Blank TB'!E:E)-SUMIF('XCCL HO TB'!$T:$T,'KNL HO P&amp;L'!$A74,'XCCL HO TB'!E:E)</f>
        <v/>
      </c>
      <c r="R83" s="60">
        <f>-SUMIF('XCCL Blank TB'!$T:$T,'KNL HO P&amp;L'!$A74,'XCCL Blank TB'!F:F)-SUMIF('XCCL HO TB'!$T:$T,'KNL HO P&amp;L'!$A74,'XCCL HO TB'!F:F)</f>
        <v/>
      </c>
      <c r="S83" s="60">
        <f>-SUMIF('XCCL Blank TB'!$T:$T,'KNL HO P&amp;L'!$A74,'XCCL Blank TB'!G:G)-SUMIF('XCCL HO TB'!$T:$T,'KNL HO P&amp;L'!$A74,'XCCL HO TB'!G:G)</f>
        <v/>
      </c>
      <c r="T83" s="60">
        <f>-SUMIF('XCCL Blank TB'!$T:$T,'KNL HO P&amp;L'!$A74,'XCCL Blank TB'!H:H)-SUMIF('XCCL HO TB'!$T:$T,'KNL HO P&amp;L'!$A74,'XCCL HO TB'!H:H)</f>
        <v/>
      </c>
      <c r="U83" s="60">
        <f>-SUMIF('XCCL Blank TB'!$T:$T,'CCL HO P&amp;L'!$A83,'XCCL Blank TB'!I:I)-SUMIF('XCCL HO TB'!$T:$T,'CCL HO P&amp;L'!$A83,'XCCL HO TB'!I:I)</f>
        <v/>
      </c>
      <c r="V83" s="60">
        <f>-SUMIF('XCCL Blank TB'!$T:$T,'CCL HO P&amp;L'!$A83,'XCCL Blank TB'!J:J)-SUMIF('XCCL HO TB'!$T:$T,'CCL HO P&amp;L'!$A83,'XCCL HO TB'!J:J)</f>
        <v/>
      </c>
      <c r="W83" s="60">
        <f>-SUMIF('XCCL Blank TB'!$T:$T,'CCL HO P&amp;L'!$A83,'XCCL Blank TB'!K:K)-SUMIF('XCCL HO TB'!$T:$T,'CCL HO P&amp;L'!$A83,'XCCL HO TB'!K:K)</f>
        <v/>
      </c>
      <c r="X83" s="60">
        <f>-SUMIF('XCCL Blank TB'!$T:$T,'CCL HO P&amp;L'!$A83,'XCCL Blank TB'!L:L)-SUMIF('XCCL HO TB'!$T:$T,'CCL HO P&amp;L'!$A83,'XCCL HO TB'!L:L)</f>
        <v/>
      </c>
      <c r="Y83" s="60">
        <f>-SUMIF('XCCL Blank TB'!$T:$T,'CCL HO P&amp;L'!$A83,'XCCL Blank TB'!M:M)-SUMIF('XCCL HO TB'!$T:$T,'CCL HO P&amp;L'!$A83,'XCCL HO TB'!M:M)</f>
        <v/>
      </c>
      <c r="Z83" s="60">
        <f>-SUMIF('XCCL Blank TB'!$T:$T,'CCL HO P&amp;L'!$A83,'XCCL Blank TB'!N:N)-SUMIF('XCCL HO TB'!$T:$T,'CCL HO P&amp;L'!$A83,'XCCL HO TB'!N:N)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34" t="n">
        <v>0</v>
      </c>
      <c r="AJ83" s="134" t="n">
        <v>0</v>
      </c>
      <c r="AK83" s="134" t="n">
        <v>0</v>
      </c>
      <c r="AL83" s="134" t="n">
        <v>0</v>
      </c>
      <c r="AM83" s="134" t="n">
        <v>0</v>
      </c>
      <c r="AN83" s="134" t="n">
        <v>0</v>
      </c>
      <c r="AO83" s="145">
        <f>SUM(AC83:AH83)+SUM(AI83:AN83)</f>
        <v/>
      </c>
      <c r="AP83" s="142">
        <f>IF(AB83&lt;&gt;0,(AO83-AB83)/ABS(AB83),0)</f>
        <v/>
      </c>
    </row>
    <row r="84">
      <c r="A84" s="60" t="inlineStr">
        <is>
          <t>Direct - Childcare Cost</t>
        </is>
      </c>
      <c r="B84" s="60" t="n">
        <v>-228.05</v>
      </c>
      <c r="C84" s="60" t="n">
        <v>0</v>
      </c>
      <c r="D84" s="60" t="n">
        <v>0</v>
      </c>
      <c r="E84" s="60" t="n">
        <v>0</v>
      </c>
      <c r="F84" s="60" t="n">
        <v>0</v>
      </c>
      <c r="G84" s="60" t="n">
        <v>0</v>
      </c>
      <c r="H84" s="60" t="n">
        <v>-20.97</v>
      </c>
      <c r="I84" s="60" t="n">
        <v>0</v>
      </c>
      <c r="J84" s="60" t="n">
        <v>0</v>
      </c>
      <c r="K84" s="60" t="n">
        <v>-47.98</v>
      </c>
      <c r="L84" s="60" t="n">
        <v>0</v>
      </c>
      <c r="M84" s="8" t="n"/>
      <c r="N84" s="8" t="n"/>
      <c r="O84" s="60">
        <f>-SUMIF('XCCL Blank TB'!$T:$T,'KNL HO P&amp;L'!$A75,'XCCL Blank TB'!C:C)-SUMIF('XCCL HO TB'!$T:$T,'KNL HO P&amp;L'!$A75,'XCCL HO TB'!C:C)</f>
        <v/>
      </c>
      <c r="P84" s="60">
        <f>-SUMIF('XCCL Blank TB'!$T:$T,'KNL HO P&amp;L'!$A75,'XCCL Blank TB'!D:D)-SUMIF('XCCL HO TB'!$T:$T,'KNL HO P&amp;L'!$A75,'XCCL HO TB'!D:D)</f>
        <v/>
      </c>
      <c r="Q84" s="60">
        <f>-SUMIF('XCCL Blank TB'!$T:$T,'KNL HO P&amp;L'!$A75,'XCCL Blank TB'!E:E)-SUMIF('XCCL HO TB'!$T:$T,'KNL HO P&amp;L'!$A75,'XCCL HO TB'!E:E)</f>
        <v/>
      </c>
      <c r="R84" s="60">
        <f>-SUMIF('XCCL Blank TB'!$T:$T,'KNL HO P&amp;L'!$A75,'XCCL Blank TB'!F:F)-SUMIF('XCCL HO TB'!$T:$T,'KNL HO P&amp;L'!$A75,'XCCL HO TB'!F:F)</f>
        <v/>
      </c>
      <c r="S84" s="60">
        <f>-SUMIF('XCCL Blank TB'!$T:$T,'KNL HO P&amp;L'!$A75,'XCCL Blank TB'!G:G)-SUMIF('XCCL HO TB'!$T:$T,'KNL HO P&amp;L'!$A75,'XCCL HO TB'!G:G)</f>
        <v/>
      </c>
      <c r="T84" s="60">
        <f>-SUMIF('XCCL Blank TB'!$T:$T,'KNL HO P&amp;L'!$A75,'XCCL Blank TB'!H:H)-SUMIF('XCCL HO TB'!$T:$T,'KNL HO P&amp;L'!$A75,'XCCL HO TB'!H:H)</f>
        <v/>
      </c>
      <c r="U84" s="60">
        <f>-SUMIF('XCCL Blank TB'!$T:$T,'CCL HO P&amp;L'!$A84,'XCCL Blank TB'!I:I)-SUMIF('XCCL HO TB'!$T:$T,'CCL HO P&amp;L'!$A84,'XCCL HO TB'!I:I)</f>
        <v/>
      </c>
      <c r="V84" s="60">
        <f>-SUMIF('XCCL Blank TB'!$T:$T,'CCL HO P&amp;L'!$A84,'XCCL Blank TB'!J:J)-SUMIF('XCCL HO TB'!$T:$T,'CCL HO P&amp;L'!$A84,'XCCL HO TB'!J:J)</f>
        <v/>
      </c>
      <c r="W84" s="60">
        <f>-SUMIF('XCCL Blank TB'!$T:$T,'CCL HO P&amp;L'!$A84,'XCCL Blank TB'!K:K)-SUMIF('XCCL HO TB'!$T:$T,'CCL HO P&amp;L'!$A84,'XCCL HO TB'!K:K)</f>
        <v/>
      </c>
      <c r="X84" s="60">
        <f>-SUMIF('XCCL Blank TB'!$T:$T,'CCL HO P&amp;L'!$A84,'XCCL Blank TB'!L:L)-SUMIF('XCCL HO TB'!$T:$T,'CCL HO P&amp;L'!$A84,'XCCL HO TB'!L:L)</f>
        <v/>
      </c>
      <c r="Y84" s="60">
        <f>-SUMIF('XCCL Blank TB'!$T:$T,'CCL HO P&amp;L'!$A84,'XCCL Blank TB'!M:M)-SUMIF('XCCL HO TB'!$T:$T,'CCL HO P&amp;L'!$A84,'XCCL HO TB'!M:M)</f>
        <v/>
      </c>
      <c r="Z84" s="60">
        <f>-SUMIF('XCCL Blank TB'!$T:$T,'CCL HO P&amp;L'!$A84,'XCCL Blank TB'!N:N)-SUMIF('XCCL HO TB'!$T:$T,'CCL HO P&amp;L'!$A84,'XCCL HO TB'!N:N)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134" t="n">
        <v>0</v>
      </c>
      <c r="AJ84" s="134" t="n">
        <v>0</v>
      </c>
      <c r="AK84" s="134" t="n">
        <v>0</v>
      </c>
      <c r="AL84" s="134" t="n">
        <v>0</v>
      </c>
      <c r="AM84" s="134" t="n">
        <v>0</v>
      </c>
      <c r="AN84" s="134" t="n">
        <v>0</v>
      </c>
      <c r="AO84" s="145">
        <f>SUM(AC84:AH84)+SUM(AI84:AN84)</f>
        <v/>
      </c>
      <c r="AP84" s="142">
        <f>IF(AB84&lt;&gt;0,(AO84-AB84)/ABS(AB84),0)</f>
        <v/>
      </c>
    </row>
    <row r="85">
      <c r="A85" s="60" t="inlineStr">
        <is>
          <t>Direct - Premises &amp; Admin</t>
        </is>
      </c>
      <c r="B85" s="18" t="n">
        <v>-5111.72</v>
      </c>
      <c r="C85" s="18" t="n">
        <v>-841.64</v>
      </c>
      <c r="D85" s="18" t="n">
        <v>-841.3099999999999</v>
      </c>
      <c r="E85" s="18" t="n">
        <v>-5181.32</v>
      </c>
      <c r="F85" s="18" t="n">
        <v>-4154.57</v>
      </c>
      <c r="G85" s="18" t="n">
        <v>-438.26</v>
      </c>
      <c r="H85" s="18" t="n">
        <v>-6166.49</v>
      </c>
      <c r="I85" s="18" t="n">
        <v>-2774.56</v>
      </c>
      <c r="J85" s="18" t="n">
        <v>-1333.94</v>
      </c>
      <c r="K85" s="18" t="n">
        <v>-2486.98</v>
      </c>
      <c r="L85" s="18" t="n">
        <v>-1891.51</v>
      </c>
      <c r="M85" s="18" t="n"/>
      <c r="N85" s="8" t="n"/>
      <c r="O85" s="60">
        <f>-SUMIF('XCCL Blank TB'!$T:$T,'KNL HO P&amp;L'!$A76,'XCCL Blank TB'!C:C)-SUMIF('XCCL HO TB'!$T:$T,'KNL HO P&amp;L'!$A76,'XCCL HO TB'!C:C)</f>
        <v/>
      </c>
      <c r="P85" s="60">
        <f>-SUMIF('XCCL Blank TB'!$T:$T,'KNL HO P&amp;L'!$A76,'XCCL Blank TB'!D:D)-SUMIF('XCCL HO TB'!$T:$T,'KNL HO P&amp;L'!$A76,'XCCL HO TB'!D:D)</f>
        <v/>
      </c>
      <c r="Q85" s="60">
        <f>-SUMIF('XCCL Blank TB'!$T:$T,'KNL HO P&amp;L'!$A76,'XCCL Blank TB'!E:E)-SUMIF('XCCL HO TB'!$T:$T,'KNL HO P&amp;L'!$A76,'XCCL HO TB'!E:E)</f>
        <v/>
      </c>
      <c r="R85" s="60">
        <f>-SUMIF('XCCL Blank TB'!$T:$T,'KNL HO P&amp;L'!$A76,'XCCL Blank TB'!F:F)-SUMIF('XCCL HO TB'!$T:$T,'KNL HO P&amp;L'!$A76,'XCCL HO TB'!F:F)</f>
        <v/>
      </c>
      <c r="S85" s="60">
        <f>-SUMIF('XCCL Blank TB'!$T:$T,'KNL HO P&amp;L'!$A76,'XCCL Blank TB'!G:G)-SUMIF('XCCL HO TB'!$T:$T,'KNL HO P&amp;L'!$A76,'XCCL HO TB'!G:G)</f>
        <v/>
      </c>
      <c r="T85" s="60">
        <f>-SUMIF('XCCL Blank TB'!$T:$T,'KNL HO P&amp;L'!$A76,'XCCL Blank TB'!H:H)-SUMIF('XCCL HO TB'!$T:$T,'KNL HO P&amp;L'!$A76,'XCCL HO TB'!H:H)</f>
        <v/>
      </c>
      <c r="U85" s="60">
        <f>-SUMIF('XCCL Blank TB'!$T:$T,'CCL HO P&amp;L'!$A85,'XCCL Blank TB'!I:I)-SUMIF('XCCL HO TB'!$T:$T,'CCL HO P&amp;L'!$A85,'XCCL HO TB'!I:I)</f>
        <v/>
      </c>
      <c r="V85" s="60">
        <f>-SUMIF('XCCL Blank TB'!$T:$T,'CCL HO P&amp;L'!$A85,'XCCL Blank TB'!J:J)-SUMIF('XCCL HO TB'!$T:$T,'CCL HO P&amp;L'!$A85,'XCCL HO TB'!J:J)</f>
        <v/>
      </c>
      <c r="W85" s="60">
        <f>-SUMIF('XCCL Blank TB'!$T:$T,'CCL HO P&amp;L'!$A85,'XCCL Blank TB'!K:K)-SUMIF('XCCL HO TB'!$T:$T,'CCL HO P&amp;L'!$A85,'XCCL HO TB'!K:K)</f>
        <v/>
      </c>
      <c r="X85" s="60">
        <f>-SUMIF('XCCL Blank TB'!$T:$T,'CCL HO P&amp;L'!$A85,'XCCL Blank TB'!L:L)-SUMIF('XCCL HO TB'!$T:$T,'CCL HO P&amp;L'!$A85,'XCCL HO TB'!L:L)</f>
        <v/>
      </c>
      <c r="Y85" s="60">
        <f>-SUMIF('XCCL Blank TB'!$T:$T,'CCL HO P&amp;L'!$A85,'XCCL Blank TB'!M:M)-SUMIF('XCCL HO TB'!$T:$T,'CCL HO P&amp;L'!$A85,'XCCL HO TB'!M:M)</f>
        <v/>
      </c>
      <c r="Z85" s="60">
        <f>-SUMIF('XCCL Blank TB'!$T:$T,'CCL HO P&amp;L'!$A85,'XCCL Blank TB'!N:N)-SUMIF('XCCL HO TB'!$T:$T,'CCL HO P&amp;L'!$A85,'XCCL HO TB'!N:N)</f>
        <v/>
      </c>
      <c r="AA85" s="8" t="n"/>
      <c r="AB85" s="8" t="n"/>
      <c r="AC85" s="8" t="n"/>
      <c r="AD85" s="8" t="n"/>
      <c r="AE85" s="8" t="n"/>
      <c r="AF85" s="8" t="n"/>
      <c r="AG85" s="8" t="n"/>
      <c r="AH85" s="8" t="n"/>
      <c r="AI85" s="134" t="n">
        <v>0</v>
      </c>
      <c r="AJ85" s="134" t="n">
        <v>0</v>
      </c>
      <c r="AK85" s="134" t="n">
        <v>0</v>
      </c>
      <c r="AL85" s="134" t="n">
        <v>0</v>
      </c>
      <c r="AM85" s="134" t="n">
        <v>0</v>
      </c>
      <c r="AN85" s="134" t="n">
        <v>0</v>
      </c>
      <c r="AO85" s="144">
        <f>SUM(AC85:AH85)+SUM(AI85:AN85)</f>
        <v/>
      </c>
      <c r="AP85" s="142">
        <f>IF(AB85&lt;&gt;0,(AO85-AB85)/ABS(AB85),0)</f>
        <v/>
      </c>
    </row>
    <row r="86">
      <c r="A86" s="60" t="inlineStr">
        <is>
          <t>In-Direct - Staff Cost</t>
        </is>
      </c>
      <c r="B86" s="60" t="n">
        <v>0</v>
      </c>
      <c r="C86" s="60" t="n">
        <v>0</v>
      </c>
      <c r="D86" s="60" t="n">
        <v>0</v>
      </c>
      <c r="E86" s="60" t="n">
        <v>0</v>
      </c>
      <c r="F86" s="60" t="n">
        <v>0</v>
      </c>
      <c r="G86" s="60" t="n">
        <v>0</v>
      </c>
      <c r="H86" s="60" t="n">
        <v>0</v>
      </c>
      <c r="I86" s="60" t="n">
        <v>0</v>
      </c>
      <c r="J86" s="60" t="n">
        <v>0</v>
      </c>
      <c r="K86" s="60" t="n">
        <v>0</v>
      </c>
      <c r="L86" s="60" t="n">
        <v>0</v>
      </c>
      <c r="M86" s="8" t="n"/>
      <c r="N86" s="8" t="n"/>
      <c r="O86" s="60">
        <f>-SUMIF('XCCL Blank TB'!$T:$T,'KNL HO P&amp;L'!$A77,'XCCL Blank TB'!C:C)-SUMIF('XCCL HO TB'!$T:$T,'KNL HO P&amp;L'!$A77,'XCCL HO TB'!C:C)</f>
        <v/>
      </c>
      <c r="P86" s="60">
        <f>-SUMIF('XCCL Blank TB'!$T:$T,'KNL HO P&amp;L'!$A77,'XCCL Blank TB'!D:D)-SUMIF('XCCL HO TB'!$T:$T,'KNL HO P&amp;L'!$A77,'XCCL HO TB'!D:D)</f>
        <v/>
      </c>
      <c r="Q86" s="60">
        <f>-SUMIF('XCCL Blank TB'!$T:$T,'KNL HO P&amp;L'!$A77,'XCCL Blank TB'!E:E)-SUMIF('XCCL HO TB'!$T:$T,'KNL HO P&amp;L'!$A77,'XCCL HO TB'!E:E)</f>
        <v/>
      </c>
      <c r="R86" s="60">
        <f>-SUMIF('XCCL Blank TB'!$T:$T,'KNL HO P&amp;L'!$A77,'XCCL Blank TB'!F:F)-SUMIF('XCCL HO TB'!$T:$T,'KNL HO P&amp;L'!$A77,'XCCL HO TB'!F:F)</f>
        <v/>
      </c>
      <c r="S86" s="60">
        <f>-SUMIF('XCCL Blank TB'!$T:$T,'KNL HO P&amp;L'!$A77,'XCCL Blank TB'!G:G)-SUMIF('XCCL HO TB'!$T:$T,'KNL HO P&amp;L'!$A77,'XCCL HO TB'!G:G)</f>
        <v/>
      </c>
      <c r="T86" s="60">
        <f>-SUMIF('XCCL Blank TB'!$T:$T,'KNL HO P&amp;L'!$A77,'XCCL Blank TB'!H:H)-SUMIF('XCCL HO TB'!$T:$T,'KNL HO P&amp;L'!$A77,'XCCL HO TB'!H:H)</f>
        <v/>
      </c>
      <c r="U86" s="60">
        <f>-SUMIF('XCCL Blank TB'!$T:$T,'CCL HO P&amp;L'!$A86,'XCCL Blank TB'!I:I)-SUMIF('XCCL HO TB'!$T:$T,'CCL HO P&amp;L'!$A86,'XCCL HO TB'!I:I)</f>
        <v/>
      </c>
      <c r="V86" s="60">
        <f>-SUMIF('XCCL Blank TB'!$T:$T,'CCL HO P&amp;L'!$A86,'XCCL Blank TB'!J:J)-SUMIF('XCCL HO TB'!$T:$T,'CCL HO P&amp;L'!$A86,'XCCL HO TB'!J:J)</f>
        <v/>
      </c>
      <c r="W86" s="60">
        <f>-SUMIF('XCCL Blank TB'!$T:$T,'CCL HO P&amp;L'!$A86,'XCCL Blank TB'!K:K)-SUMIF('XCCL HO TB'!$T:$T,'CCL HO P&amp;L'!$A86,'XCCL HO TB'!K:K)</f>
        <v/>
      </c>
      <c r="X86" s="60">
        <f>-SUMIF('XCCL Blank TB'!$T:$T,'CCL HO P&amp;L'!$A86,'XCCL Blank TB'!L:L)-SUMIF('XCCL HO TB'!$T:$T,'CCL HO P&amp;L'!$A86,'XCCL HO TB'!L:L)</f>
        <v/>
      </c>
      <c r="Y86" s="60">
        <f>-SUMIF('XCCL Blank TB'!$T:$T,'CCL HO P&amp;L'!$A86,'XCCL Blank TB'!M:M)-SUMIF('XCCL HO TB'!$T:$T,'CCL HO P&amp;L'!$A86,'XCCL HO TB'!M:M)</f>
        <v/>
      </c>
      <c r="Z86" s="60">
        <f>-SUMIF('XCCL Blank TB'!$T:$T,'CCL HO P&amp;L'!$A86,'XCCL Blank TB'!N:N)-SUMIF('XCCL HO TB'!$T:$T,'CCL HO P&amp;L'!$A86,'XCCL HO TB'!N:N)</f>
        <v/>
      </c>
      <c r="AA86" s="8" t="n"/>
      <c r="AB86" s="8" t="n"/>
      <c r="AC86" s="8" t="n"/>
      <c r="AD86" s="8" t="n"/>
      <c r="AE86" s="8" t="n"/>
      <c r="AF86" s="8" t="n"/>
      <c r="AG86" s="8" t="n"/>
      <c r="AH86" s="8" t="n"/>
      <c r="AI86" s="134" t="n">
        <v>0</v>
      </c>
      <c r="AJ86" s="134" t="n">
        <v>0</v>
      </c>
      <c r="AK86" s="134" t="n">
        <v>0</v>
      </c>
      <c r="AL86" s="134" t="n">
        <v>0</v>
      </c>
      <c r="AM86" s="134" t="n">
        <v>0</v>
      </c>
      <c r="AN86" s="134" t="n">
        <v>0</v>
      </c>
      <c r="AO86" s="145">
        <f>SUM(AC86:AH86)+SUM(AI86:AN86)</f>
        <v/>
      </c>
      <c r="AP86" s="142">
        <f>IF(AB86&lt;&gt;0,(AO86-AB86)/ABS(AB86),0)</f>
        <v/>
      </c>
    </row>
    <row r="87">
      <c r="A87" s="60" t="inlineStr">
        <is>
          <t>In-Direct - Overheads</t>
        </is>
      </c>
      <c r="B87" s="60" t="n">
        <v>-7653.83</v>
      </c>
      <c r="C87" s="60" t="n">
        <v>-1492.4</v>
      </c>
      <c r="D87" s="60" t="n">
        <v>-11304.95</v>
      </c>
      <c r="E87" s="60" t="n">
        <v>-4451.17</v>
      </c>
      <c r="F87" s="60" t="n">
        <v>-185.61</v>
      </c>
      <c r="G87" s="60" t="n">
        <v>-1092.02</v>
      </c>
      <c r="H87" s="60" t="n">
        <v>-247.7</v>
      </c>
      <c r="I87" s="60" t="n">
        <v>-124.9</v>
      </c>
      <c r="J87" s="60" t="n">
        <v>-117.15</v>
      </c>
      <c r="K87" s="60" t="n">
        <v>-167.4</v>
      </c>
      <c r="L87" s="60" t="n">
        <v>-235.74</v>
      </c>
      <c r="M87" s="8" t="n"/>
      <c r="N87" s="8" t="n"/>
      <c r="O87" s="60">
        <f>-SUMIF('XCCL Blank TB'!$T:$T,'KNL HO P&amp;L'!$A78,'XCCL Blank TB'!C:C)-SUMIF('XCCL HO TB'!$T:$T,'KNL HO P&amp;L'!$A78,'XCCL HO TB'!C:C)</f>
        <v/>
      </c>
      <c r="P87" s="60">
        <f>-SUMIF('XCCL Blank TB'!$T:$T,'KNL HO P&amp;L'!$A78,'XCCL Blank TB'!D:D)-SUMIF('XCCL HO TB'!$T:$T,'KNL HO P&amp;L'!$A78,'XCCL HO TB'!D:D)</f>
        <v/>
      </c>
      <c r="Q87" s="60">
        <f>-SUMIF('XCCL Blank TB'!$T:$T,'KNL HO P&amp;L'!$A78,'XCCL Blank TB'!E:E)-SUMIF('XCCL HO TB'!$T:$T,'KNL HO P&amp;L'!$A78,'XCCL HO TB'!E:E)</f>
        <v/>
      </c>
      <c r="R87" s="60">
        <f>-SUMIF('XCCL Blank TB'!$T:$T,'KNL HO P&amp;L'!$A78,'XCCL Blank TB'!F:F)-SUMIF('XCCL HO TB'!$T:$T,'KNL HO P&amp;L'!$A78,'XCCL HO TB'!F:F)</f>
        <v/>
      </c>
      <c r="S87" s="60">
        <f>-SUMIF('XCCL Blank TB'!$T:$T,'KNL HO P&amp;L'!$A78,'XCCL Blank TB'!G:G)-SUMIF('XCCL HO TB'!$T:$T,'KNL HO P&amp;L'!$A78,'XCCL HO TB'!G:G)</f>
        <v/>
      </c>
      <c r="T87" s="60">
        <f>-SUMIF('XCCL Blank TB'!$T:$T,'KNL HO P&amp;L'!$A78,'XCCL Blank TB'!H:H)-SUMIF('XCCL HO TB'!$T:$T,'KNL HO P&amp;L'!$A78,'XCCL HO TB'!H:H)</f>
        <v/>
      </c>
      <c r="U87" s="60">
        <f>-SUMIF('XCCL Blank TB'!$T:$T,'CCL HO P&amp;L'!$A87,'XCCL Blank TB'!I:I)-SUMIF('XCCL HO TB'!$T:$T,'CCL HO P&amp;L'!$A87,'XCCL HO TB'!I:I)</f>
        <v/>
      </c>
      <c r="V87" s="60">
        <f>-SUMIF('XCCL Blank TB'!$T:$T,'CCL HO P&amp;L'!$A87,'XCCL Blank TB'!J:J)-SUMIF('XCCL HO TB'!$T:$T,'CCL HO P&amp;L'!$A87,'XCCL HO TB'!J:J)</f>
        <v/>
      </c>
      <c r="W87" s="60">
        <f>-SUMIF('XCCL Blank TB'!$T:$T,'CCL HO P&amp;L'!$A87,'XCCL Blank TB'!K:K)-SUMIF('XCCL HO TB'!$T:$T,'CCL HO P&amp;L'!$A87,'XCCL HO TB'!K:K)</f>
        <v/>
      </c>
      <c r="X87" s="60">
        <f>-SUMIF('XCCL Blank TB'!$T:$T,'CCL HO P&amp;L'!$A87,'XCCL Blank TB'!L:L)-SUMIF('XCCL HO TB'!$T:$T,'CCL HO P&amp;L'!$A87,'XCCL HO TB'!L:L)</f>
        <v/>
      </c>
      <c r="Y87" s="60">
        <f>-SUMIF('XCCL Blank TB'!$T:$T,'CCL HO P&amp;L'!$A87,'XCCL Blank TB'!M:M)-SUMIF('XCCL HO TB'!$T:$T,'CCL HO P&amp;L'!$A87,'XCCL HO TB'!M:M)</f>
        <v/>
      </c>
      <c r="Z87" s="60">
        <f>-SUMIF('XCCL Blank TB'!$T:$T,'CCL HO P&amp;L'!$A87,'XCCL Blank TB'!N:N)-SUMIF('XCCL HO TB'!$T:$T,'CCL HO P&amp;L'!$A87,'XCCL HO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134" t="n">
        <v>0</v>
      </c>
      <c r="AJ87" s="134" t="n">
        <v>0</v>
      </c>
      <c r="AK87" s="134" t="n">
        <v>0</v>
      </c>
      <c r="AL87" s="134" t="n">
        <v>0</v>
      </c>
      <c r="AM87" s="134" t="n">
        <v>0</v>
      </c>
      <c r="AN87" s="134" t="n">
        <v>0</v>
      </c>
      <c r="AO87" s="145">
        <f>SUM(AC87:AH87)+SUM(AI87:AN87)</f>
        <v/>
      </c>
      <c r="AP87" s="142">
        <f>IF(AB87&lt;&gt;0,(AO87-AB87)/ABS(AB87),0)</f>
        <v/>
      </c>
    </row>
    <row r="88" ht="15.75" customHeight="1">
      <c r="A88" s="8" t="n"/>
      <c r="B88" s="67" t="n">
        <v>-12993.6</v>
      </c>
      <c r="C88" s="67" t="n">
        <v>-2334.04</v>
      </c>
      <c r="D88" s="67" t="n">
        <v>-12146.26</v>
      </c>
      <c r="E88" s="67" t="n">
        <v>-9632.49</v>
      </c>
      <c r="F88" s="67" t="n">
        <v>-6257.78</v>
      </c>
      <c r="G88" s="67" t="n">
        <v>-2162.86</v>
      </c>
      <c r="H88" s="67" t="n">
        <v>-6435.16</v>
      </c>
      <c r="I88" s="67" t="n">
        <v>-2899.46</v>
      </c>
      <c r="J88" s="67" t="n">
        <v>-1451.09</v>
      </c>
      <c r="K88" s="67" t="n">
        <v>-2702.36</v>
      </c>
      <c r="L88" s="67" t="n">
        <v>-2127.25</v>
      </c>
      <c r="M88" s="67" t="n"/>
      <c r="N88" s="64" t="n"/>
      <c r="O88" s="64">
        <f>SUM(O82:O87)</f>
        <v/>
      </c>
      <c r="P88" s="64">
        <f>SUM(P82:P87)</f>
        <v/>
      </c>
      <c r="Q88" s="64">
        <f>SUM(Q82:Q87)</f>
        <v/>
      </c>
      <c r="R88" s="64">
        <f>SUM(R82:R87)</f>
        <v/>
      </c>
      <c r="S88" s="64">
        <f>SUM(S82:S87)</f>
        <v/>
      </c>
      <c r="T88" s="64">
        <f>SUM(T82:T87)</f>
        <v/>
      </c>
      <c r="U88" s="64">
        <f>SUM(U82:U87)</f>
        <v/>
      </c>
      <c r="V88" s="64">
        <f>SUM(V82:V87)</f>
        <v/>
      </c>
      <c r="W88" s="64">
        <f>SUM(W82:W87)</f>
        <v/>
      </c>
      <c r="X88" s="64">
        <f>SUM(X82:X87)</f>
        <v/>
      </c>
      <c r="Y88" s="64">
        <f>SUM(Y82:Y87)</f>
        <v/>
      </c>
      <c r="Z88" s="64">
        <f>SUM(Z82:Z87)</f>
        <v/>
      </c>
      <c r="AA88" s="64">
        <f>SUM(AA82:AA87)</f>
        <v/>
      </c>
      <c r="AB88" s="8" t="n"/>
      <c r="AC88" s="64" t="n"/>
      <c r="AD88" s="64" t="n"/>
      <c r="AE88" s="64" t="n"/>
      <c r="AF88" s="64" t="n"/>
      <c r="AG88" s="64" t="n"/>
      <c r="AH88" s="64" t="n"/>
      <c r="AI88" s="134" t="n">
        <v>0</v>
      </c>
      <c r="AJ88" s="149" t="n">
        <v>0</v>
      </c>
      <c r="AK88" s="149" t="n">
        <v>0</v>
      </c>
      <c r="AL88" s="149" t="n">
        <v>0</v>
      </c>
      <c r="AM88" s="149" t="n">
        <v>0</v>
      </c>
      <c r="AN88" s="149" t="n">
        <v>0</v>
      </c>
      <c r="AO88" s="150">
        <f>SUM(AC88:AH88)+SUM(AI88:AN88)</f>
        <v/>
      </c>
      <c r="AP88" s="151">
        <f>IF(AB88&lt;&gt;0,(AO88-AB88)/ABS(AB88),0)</f>
        <v/>
      </c>
    </row>
    <row r="89" ht="15.75" customHeight="1">
      <c r="A89" s="8" t="n"/>
      <c r="B89" s="18" t="n">
        <v>0</v>
      </c>
      <c r="C89" s="18" t="n">
        <v>0</v>
      </c>
      <c r="D89" s="18" t="n">
        <v>0</v>
      </c>
      <c r="E89" s="18" t="n">
        <v>0</v>
      </c>
      <c r="F89" s="18" t="n">
        <v>0</v>
      </c>
      <c r="G89" s="18" t="n">
        <v>0</v>
      </c>
      <c r="H89" s="18" t="n">
        <v>0</v>
      </c>
      <c r="I89" s="18" t="n">
        <v>0</v>
      </c>
      <c r="J89" s="18" t="n">
        <v>0</v>
      </c>
      <c r="K89" s="18" t="n">
        <v>0</v>
      </c>
      <c r="L89" s="18" t="n">
        <v>0</v>
      </c>
      <c r="M89" s="18" t="n">
        <v>-6332.82</v>
      </c>
      <c r="N89" s="8" t="n"/>
      <c r="O89" s="60">
        <f>+O70-O88</f>
        <v/>
      </c>
      <c r="P89" s="60">
        <f>+P70-P88</f>
        <v/>
      </c>
      <c r="Q89" s="60">
        <f>+Q70-Q88</f>
        <v/>
      </c>
      <c r="R89" s="60">
        <f>+R70-R88</f>
        <v/>
      </c>
      <c r="S89" s="60">
        <f>+S70-S88</f>
        <v/>
      </c>
      <c r="T89" s="60">
        <f>+T70-T88</f>
        <v/>
      </c>
      <c r="U89" s="60">
        <f>+U70-U88</f>
        <v/>
      </c>
      <c r="V89" s="60">
        <f>+V70-V88</f>
        <v/>
      </c>
      <c r="W89" s="60">
        <f>+W70-W88</f>
        <v/>
      </c>
      <c r="X89" s="60">
        <f>+X70-X88</f>
        <v/>
      </c>
      <c r="Y89" s="60">
        <f>+Y70-Y88</f>
        <v/>
      </c>
      <c r="Z89" s="60">
        <f>+Z70-Z88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34" t="n">
        <v>0</v>
      </c>
      <c r="AJ89" s="134" t="n">
        <v>0</v>
      </c>
      <c r="AK89" s="134" t="n">
        <v>0</v>
      </c>
      <c r="AL89" s="134" t="n">
        <v>0</v>
      </c>
      <c r="AM89" s="134" t="n">
        <v>0</v>
      </c>
      <c r="AN89" s="134" t="n">
        <v>0</v>
      </c>
      <c r="AO89" s="144">
        <f>SUM(AC89:AH89)+SUM(AI89:AN89)</f>
        <v/>
      </c>
      <c r="AP89" s="142">
        <f>IF(AB89&lt;&gt;0,(AO89-AB89)/ABS(AB89),0)</f>
        <v/>
      </c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6332.82</v>
      </c>
      <c r="N91" s="8" t="n"/>
      <c r="O91" s="60">
        <f>O88+O92</f>
        <v/>
      </c>
      <c r="P91" s="60">
        <f>P88+P92</f>
        <v/>
      </c>
      <c r="Q91" s="60">
        <f>Q88+Q92</f>
        <v/>
      </c>
      <c r="R91" s="60">
        <f>R88+R92</f>
        <v/>
      </c>
      <c r="S91" s="60">
        <f>S88+S92</f>
        <v/>
      </c>
      <c r="T91" s="60">
        <f>T88+T92</f>
        <v/>
      </c>
      <c r="U91" s="60">
        <f>U88+U92</f>
        <v/>
      </c>
      <c r="V91" s="60">
        <f>V88+V92</f>
        <v/>
      </c>
      <c r="W91" s="60">
        <f>W88+W92</f>
        <v/>
      </c>
      <c r="X91" s="60">
        <f>X88+X92</f>
        <v/>
      </c>
      <c r="Y91" s="60">
        <f>Y88+Y92</f>
        <v/>
      </c>
      <c r="Z91" s="60">
        <f>Z88+Z92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134" t="n">
        <v>0</v>
      </c>
      <c r="AJ91" s="134" t="n">
        <v>0</v>
      </c>
      <c r="AK91" s="134" t="n">
        <v>0</v>
      </c>
      <c r="AL91" s="134" t="n">
        <v>0</v>
      </c>
      <c r="AM91" s="134" t="n">
        <v>0</v>
      </c>
      <c r="AN91" s="134" t="n">
        <v>0</v>
      </c>
      <c r="AO91" s="144">
        <f>SUM(AC91:AH91)+SUM(AI91:AN91)</f>
        <v/>
      </c>
      <c r="AP91" s="142">
        <f>IF(AB91&lt;&gt;0,(AO91-AB91)/ABS(AB91),0)</f>
        <v/>
      </c>
    </row>
    <row r="92">
      <c r="A92" s="8" t="n"/>
      <c r="B92" s="18" t="n">
        <v>12993.6</v>
      </c>
      <c r="C92" s="18" t="n">
        <v>2334.04</v>
      </c>
      <c r="D92" s="18" t="n">
        <v>12146.26</v>
      </c>
      <c r="E92" s="18" t="n">
        <v>9632.49</v>
      </c>
      <c r="F92" s="18" t="n">
        <v>6257.780000000001</v>
      </c>
      <c r="G92" s="18" t="n">
        <v>2162.86</v>
      </c>
      <c r="H92" s="18" t="n">
        <v>6435.16</v>
      </c>
      <c r="I92" s="18" t="n">
        <v>2899.46</v>
      </c>
      <c r="J92" s="18" t="n">
        <v>1451.09</v>
      </c>
      <c r="K92" s="18" t="n">
        <v>2702.36</v>
      </c>
      <c r="L92" s="18" t="n">
        <v>2127.25</v>
      </c>
      <c r="M92" s="18" t="n">
        <v>6332.82</v>
      </c>
      <c r="N92" s="8" t="n"/>
      <c r="O92" s="60">
        <f>SUM('XCCL Blank TB'!C2:C37)+SUM('XCCL HO TB'!C2:C44)</f>
        <v/>
      </c>
      <c r="P92" s="60">
        <f>SUM('XCCL Blank TB'!D2:D37)+SUM('XCCL HO TB'!D2:D44)</f>
        <v/>
      </c>
      <c r="Q92" s="60">
        <f>SUM('XCCL Blank TB'!E2:E37)+SUM('XCCL HO TB'!E2:E44)</f>
        <v/>
      </c>
      <c r="R92" s="60">
        <f>SUM('XCCL Blank TB'!F2:F37)+SUM('XCCL HO TB'!F2:F44)</f>
        <v/>
      </c>
      <c r="S92" s="60">
        <f>SUM('XCCL Blank TB'!G2:G37)+SUM('XCCL HO TB'!G2:G44)</f>
        <v/>
      </c>
      <c r="T92" s="60">
        <f>SUM('XCCL Blank TB'!H2:H37)+SUM('XCCL HO TB'!H2:H44)</f>
        <v/>
      </c>
      <c r="U92" s="60">
        <f>SUM('XCCL Blank TB'!I2:I37)+SUM('XCCL HO TB'!I2:I44)</f>
        <v/>
      </c>
      <c r="V92" s="60">
        <f>SUM('XCCL Blank TB'!J2:J37)+SUM('XCCL HO TB'!J2:J44)</f>
        <v/>
      </c>
      <c r="W92" s="60">
        <f>SUM('XCCL Blank TB'!K2:K37)+SUM('XCCL HO TB'!K2:K44)</f>
        <v/>
      </c>
      <c r="X92" s="60">
        <f>SUM('XCCL Blank TB'!L2:L37)+SUM('XCCL HO TB'!L2:L44)</f>
        <v/>
      </c>
      <c r="Y92" s="60">
        <f>SUM('XCCL Blank TB'!M2:M37)+SUM('XCCL HO TB'!M2:M44)</f>
        <v/>
      </c>
      <c r="Z92" s="60">
        <f>SUM('XCCL Blank TB'!N2:N37)+SUM('XCCL HO TB'!N2:N44)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134" t="n">
        <v>0</v>
      </c>
      <c r="AJ92" s="134" t="n">
        <v>0</v>
      </c>
      <c r="AK92" s="134" t="n">
        <v>0</v>
      </c>
      <c r="AL92" s="134" t="n">
        <v>0</v>
      </c>
      <c r="AM92" s="134" t="n">
        <v>0</v>
      </c>
      <c r="AN92" s="134" t="n">
        <v>0</v>
      </c>
      <c r="AO92" s="144">
        <f>SUM(AC92:AH92)+SUM(AI92:AN92)</f>
        <v/>
      </c>
      <c r="AP92" s="142">
        <f>IF(AB92&lt;&gt;0,(AO92-AB92)/ABS(AB92),0)</f>
        <v/>
      </c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Q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5703125" customWidth="1" min="27" max="27"/>
    <col width="9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YBHN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0</v>
      </c>
      <c r="C8" s="35" t="n">
        <v>0</v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 t="n">
        <v>0</v>
      </c>
      <c r="J8" s="35" t="n">
        <v>0</v>
      </c>
      <c r="K8" s="35" t="n">
        <v>0</v>
      </c>
      <c r="L8" s="35" t="n">
        <v>0</v>
      </c>
      <c r="M8" s="35" t="n">
        <v>0</v>
      </c>
      <c r="N8" s="36">
        <f>SUM(B8:M8)</f>
        <v/>
      </c>
      <c r="O8" s="37">
        <f>-(SUMIF('YBHN Blank TB'!$R:$R,'YBHN HO P&amp;L'!$A8,'YBHN Blank TB'!C:C)+(SUMIF('YBHN HO TB'!$R:$R,'YBHN HO P&amp;L'!$A8,'YBHN HO TB'!C:C)))</f>
        <v/>
      </c>
      <c r="P8" s="37">
        <f>-(SUMIF('YBHN Blank TB'!$R:$R,'YBHN HO P&amp;L'!$A8,'YBHN Blank TB'!D:D)+(SUMIF('YBHN HO TB'!$R:$R,'YBHN HO P&amp;L'!$A8,'YBHN HO TB'!D:D)))</f>
        <v/>
      </c>
      <c r="Q8" s="37">
        <f>-(SUMIF('YBHN Blank TB'!$R:$R,'YBHN HO P&amp;L'!$A8,'YBHN Blank TB'!E:E)+(SUMIF('YBHN HO TB'!$R:$R,'YBHN HO P&amp;L'!$A8,'YBHN HO TB'!E:E)))</f>
        <v/>
      </c>
      <c r="R8" s="37">
        <f>-(SUMIF('YBHN Blank TB'!$R:$R,'YBHN HO P&amp;L'!$A8,'YBHN Blank TB'!F:F)+(SUMIF('YBHN HO TB'!$R:$R,'YBHN HO P&amp;L'!$A8,'YBHN HO TB'!F:F)))</f>
        <v/>
      </c>
      <c r="S8" s="37">
        <f>-(SUMIF('YBHN Blank TB'!$R:$R,'YBHN HO P&amp;L'!$A8,'YBHN Blank TB'!G:G)+(SUMIF('YBHN HO TB'!$R:$R,'YBHN HO P&amp;L'!$A8,'YBHN HO TB'!G:G)))</f>
        <v/>
      </c>
      <c r="T8" s="37">
        <f>-(SUMIF('YBHN Blank TB'!$R:$R,'YBHN HO P&amp;L'!$A8,'YBHN Blank TB'!H:H)+(SUMIF('YBHN HO TB'!$R:$R,'YBHN HO P&amp;L'!$A8,'YBHN HO TB'!H:H)))</f>
        <v/>
      </c>
      <c r="U8" s="37">
        <f>-(SUMIF('YBHN Blank TB'!$R:$R,'YBHN HO P&amp;L'!$A8,'YBHN Blank TB'!I:I)+(SUMIF('YBHN HO TB'!$R:$R,'YBHN HO P&amp;L'!$A8,'YBHN HO TB'!I:I)))</f>
        <v/>
      </c>
      <c r="V8" s="38" t="n"/>
      <c r="W8" s="38" t="n"/>
      <c r="X8" s="38" t="n"/>
      <c r="Y8" s="38" t="n"/>
      <c r="Z8" s="38" t="n"/>
      <c r="AA8" s="36">
        <f>SUM(O8:U8)</f>
        <v/>
      </c>
      <c r="AB8" s="36">
        <f>SUM(O8:Z8)</f>
        <v/>
      </c>
      <c r="AC8" s="38" t="n"/>
      <c r="AD8" s="38" t="n"/>
      <c r="AE8" s="38" t="n"/>
      <c r="AF8" s="38" t="n"/>
      <c r="AG8" s="38" t="n"/>
      <c r="AH8" s="38" t="n"/>
      <c r="AI8" s="118" t="n">
        <v>0</v>
      </c>
      <c r="AJ8" s="119" t="n">
        <v>0</v>
      </c>
      <c r="AK8" s="119" t="n">
        <v>0</v>
      </c>
      <c r="AL8" s="119" t="n">
        <v>0</v>
      </c>
      <c r="AM8" s="120" t="n">
        <v>0</v>
      </c>
      <c r="AN8" s="118" t="n">
        <v>0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0</v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  <c r="H9" s="35" t="n">
        <v>0</v>
      </c>
      <c r="I9" s="35" t="n">
        <v>0</v>
      </c>
      <c r="J9" s="35" t="n">
        <v>0</v>
      </c>
      <c r="K9" s="35" t="n">
        <v>0</v>
      </c>
      <c r="L9" s="35" t="n">
        <v>0</v>
      </c>
      <c r="M9" s="35" t="n">
        <v>0</v>
      </c>
      <c r="N9" s="36">
        <f>SUM(B9:M9)</f>
        <v/>
      </c>
      <c r="O9" s="37">
        <f>-(SUMIF('YBHN Blank TB'!$R:$R,'YBHN HO P&amp;L'!$A9,'YBHN Blank TB'!C:C)+(SUMIF('YBHN HO TB'!$R:$R,'YBHN HO P&amp;L'!$A9,'YBHN HO TB'!C:C)))</f>
        <v/>
      </c>
      <c r="P9" s="37">
        <f>-(SUMIF('YBHN Blank TB'!$R:$R,'YBHN HO P&amp;L'!$A9,'YBHN Blank TB'!D:D)+(SUMIF('YBHN HO TB'!$R:$R,'YBHN HO P&amp;L'!$A9,'YBHN HO TB'!D:D)))</f>
        <v/>
      </c>
      <c r="Q9" s="37">
        <f>-(SUMIF('YBHN Blank TB'!$R:$R,'YBHN HO P&amp;L'!$A9,'YBHN Blank TB'!E:E)+(SUMIF('YBHN HO TB'!$R:$R,'YBHN HO P&amp;L'!$A9,'YBHN HO TB'!E:E)))</f>
        <v/>
      </c>
      <c r="R9" s="37">
        <f>-(SUMIF('YBHN Blank TB'!$R:$R,'YBHN HO P&amp;L'!$A9,'YBHN Blank TB'!F:F)+(SUMIF('YBHN HO TB'!$R:$R,'YBHN HO P&amp;L'!$A9,'YBHN HO TB'!F:F)))</f>
        <v/>
      </c>
      <c r="S9" s="37">
        <f>-(SUMIF('YBHN Blank TB'!$R:$R,'YBHN HO P&amp;L'!$A9,'YBHN Blank TB'!G:G)+(SUMIF('YBHN HO TB'!$R:$R,'YBHN HO P&amp;L'!$A9,'YBHN HO TB'!G:G)))</f>
        <v/>
      </c>
      <c r="T9" s="37">
        <f>-(SUMIF('YBHN Blank TB'!$R:$R,'YBHN HO P&amp;L'!$A9,'YBHN Blank TB'!H:H)+(SUMIF('YBHN HO TB'!$R:$R,'YBHN HO P&amp;L'!$A9,'YBHN HO TB'!H:H)))</f>
        <v/>
      </c>
      <c r="U9" s="37">
        <f>-(SUMIF('YBHN Blank TB'!$R:$R,'YBHN HO P&amp;L'!$A9,'YBHN Blank TB'!I:I)+(SUMIF('YBHN HO TB'!$R:$R,'YBHN HO P&amp;L'!$A9,'YBHN HO TB'!I:I)))</f>
        <v/>
      </c>
      <c r="V9" s="38" t="n"/>
      <c r="W9" s="38" t="n"/>
      <c r="X9" s="38" t="n"/>
      <c r="Y9" s="38" t="n"/>
      <c r="Z9" s="38" t="n"/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8" t="n">
        <v>0</v>
      </c>
      <c r="AJ9" s="119" t="n">
        <v>0</v>
      </c>
      <c r="AK9" s="119" t="n">
        <v>0</v>
      </c>
      <c r="AL9" s="119" t="n">
        <v>0</v>
      </c>
      <c r="AM9" s="120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-(SUMIF('YBHN Blank TB'!$R:$R,'YBHN HO P&amp;L'!$A10,'YBHN Blank TB'!C:C)+(SUMIF('YBHN HO TB'!$R:$R,'YBHN HO P&amp;L'!$A10,'YBHN HO TB'!C:C)))</f>
        <v/>
      </c>
      <c r="P10" s="37">
        <f>-(SUMIF('YBHN Blank TB'!$R:$R,'YBHN HO P&amp;L'!$A10,'YBHN Blank TB'!D:D)+(SUMIF('YBHN HO TB'!$R:$R,'YBHN HO P&amp;L'!$A10,'YBHN HO TB'!D:D)))</f>
        <v/>
      </c>
      <c r="Q10" s="37">
        <f>-(SUMIF('YBHN Blank TB'!$R:$R,'YBHN HO P&amp;L'!$A10,'YBHN Blank TB'!E:E)+(SUMIF('YBHN HO TB'!$R:$R,'YBHN HO P&amp;L'!$A10,'YBHN HO TB'!E:E)))</f>
        <v/>
      </c>
      <c r="R10" s="37">
        <f>-(SUMIF('YBHN Blank TB'!$R:$R,'YBHN HO P&amp;L'!$A10,'YBHN Blank TB'!F:F)+(SUMIF('YBHN HO TB'!$R:$R,'YBHN HO P&amp;L'!$A10,'YBHN HO TB'!F:F)))</f>
        <v/>
      </c>
      <c r="S10" s="37">
        <f>-(SUMIF('YBHN Blank TB'!$R:$R,'YBHN HO P&amp;L'!$A10,'YBHN Blank TB'!G:G)+(SUMIF('YBHN HO TB'!$R:$R,'YBHN HO P&amp;L'!$A10,'YBHN HO TB'!G:G)))</f>
        <v/>
      </c>
      <c r="T10" s="37">
        <f>-(SUMIF('YBHN Blank TB'!$R:$R,'YBHN HO P&amp;L'!$A10,'YBHN Blank TB'!H:H)+(SUMIF('YBHN HO TB'!$R:$R,'YBHN HO P&amp;L'!$A10,'YBHN HO TB'!H:H)))</f>
        <v/>
      </c>
      <c r="U10" s="37">
        <f>-(SUMIF('YBHN Blank TB'!$R:$R,'YBHN HO P&amp;L'!$A10,'YBHN Blank TB'!I:I)+(SUMIF('YBHN HO TB'!$R:$R,'YBHN HO P&amp;L'!$A10,'YBHN HO TB'!I:I)))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8" t="n">
        <v>0</v>
      </c>
      <c r="AJ10" s="119" t="n">
        <v>0</v>
      </c>
      <c r="AK10" s="119" t="n">
        <v>0</v>
      </c>
      <c r="AL10" s="119" t="n">
        <v>0</v>
      </c>
      <c r="AM10" s="120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0</v>
      </c>
      <c r="C11" s="42" t="n">
        <v>0</v>
      </c>
      <c r="D11" s="42" t="n">
        <v>0</v>
      </c>
      <c r="E11" s="42" t="n">
        <v>0</v>
      </c>
      <c r="F11" s="42" t="n">
        <v>0</v>
      </c>
      <c r="G11" s="42" t="n">
        <v>0</v>
      </c>
      <c r="H11" s="42" t="n">
        <v>0</v>
      </c>
      <c r="I11" s="42" t="n">
        <v>0</v>
      </c>
      <c r="J11" s="42" t="n">
        <v>0</v>
      </c>
      <c r="K11" s="42" t="n">
        <v>0</v>
      </c>
      <c r="L11" s="42" t="n">
        <v>0</v>
      </c>
      <c r="M11" s="42" t="n">
        <v>0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 t="n"/>
      <c r="AD11" s="45" t="n"/>
      <c r="AE11" s="45" t="n"/>
      <c r="AF11" s="45" t="n"/>
      <c r="AG11" s="45" t="n"/>
      <c r="AH11" s="45" t="n"/>
      <c r="AI11" s="134" t="n">
        <v>0</v>
      </c>
      <c r="AJ11" s="152" t="n">
        <v>0</v>
      </c>
      <c r="AK11" s="152" t="n">
        <v>0</v>
      </c>
      <c r="AL11" s="152" t="n">
        <v>0</v>
      </c>
      <c r="AM11" s="152" t="n">
        <v>0</v>
      </c>
      <c r="AN11" s="134" t="n">
        <v>0</v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7" t="n">
        <v>0</v>
      </c>
      <c r="AJ12" s="128" t="n">
        <v>0</v>
      </c>
      <c r="AK12" s="128" t="n">
        <v>0</v>
      </c>
      <c r="AL12" s="128" t="n">
        <v>0</v>
      </c>
      <c r="AM12" s="129" t="n">
        <v>0</v>
      </c>
      <c r="AN12" s="127" t="n">
        <v>0</v>
      </c>
      <c r="AO12" s="121">
        <f>SUM(AC12:AH12)+SUM(AI12:AN12)</f>
        <v/>
      </c>
      <c r="AP12" s="122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 t="n"/>
      <c r="AD13" s="47" t="n"/>
      <c r="AE13" s="47" t="n"/>
      <c r="AF13" s="47" t="n"/>
      <c r="AG13" s="47" t="n"/>
      <c r="AH13" s="47" t="n"/>
      <c r="AI13" s="130" t="n">
        <v>0</v>
      </c>
      <c r="AJ13" s="131" t="n">
        <v>0</v>
      </c>
      <c r="AK13" s="131" t="n">
        <v>0</v>
      </c>
      <c r="AL13" s="131" t="n">
        <v>0</v>
      </c>
      <c r="AM13" s="132" t="n">
        <v>0</v>
      </c>
      <c r="AN13" s="130" t="n">
        <v>0</v>
      </c>
      <c r="AO13" s="133">
        <f>SUM(AC13:AH13)+SUM(AI13:AN13)</f>
        <v/>
      </c>
      <c r="AP13" s="122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0</v>
      </c>
      <c r="C16" s="35" t="n">
        <v>0</v>
      </c>
      <c r="D16" s="35" t="n">
        <v>0</v>
      </c>
      <c r="E16" s="35" t="n">
        <v>0</v>
      </c>
      <c r="F16" s="35" t="n">
        <v>0</v>
      </c>
      <c r="G16" s="35" t="n">
        <v>0</v>
      </c>
      <c r="H16" s="35" t="n">
        <v>0</v>
      </c>
      <c r="I16" s="35" t="n">
        <v>0</v>
      </c>
      <c r="J16" s="35" t="n">
        <v>0</v>
      </c>
      <c r="K16" s="35" t="n">
        <v>0</v>
      </c>
      <c r="L16" s="35" t="n">
        <v>0</v>
      </c>
      <c r="M16" s="35" t="n">
        <v>0</v>
      </c>
      <c r="N16" s="36">
        <f>SUM(B16:M16)</f>
        <v/>
      </c>
      <c r="O16" s="37">
        <f>(SUMIF('YBHN Blank TB'!$R:$R,'YBHN HO P&amp;L'!$A16,'YBHN Blank TB'!C:C)+(SUMIF('YBHN HO TB'!$R:$R,'YBHN HO P&amp;L'!$A16,'YBHN HO TB'!C:C)))</f>
        <v/>
      </c>
      <c r="P16" s="37">
        <f>(SUMIF('YBHN Blank TB'!$R:$R,'YBHN HO P&amp;L'!$A16,'YBHN Blank TB'!D:D)+(SUMIF('YBHN HO TB'!$R:$R,'YBHN HO P&amp;L'!$A16,'YBHN HO TB'!D:D)))</f>
        <v/>
      </c>
      <c r="Q16" s="37">
        <f>(SUMIF('YBHN Blank TB'!$R:$R,'YBHN HO P&amp;L'!$A16,'YBHN Blank TB'!E:E)+(SUMIF('YBHN HO TB'!$R:$R,'YBHN HO P&amp;L'!$A16,'YBHN HO TB'!E:E)))</f>
        <v/>
      </c>
      <c r="R16" s="37">
        <f>(SUMIF('YBHN Blank TB'!$R:$R,'YBHN HO P&amp;L'!$A16,'YBHN Blank TB'!F:F)+(SUMIF('YBHN HO TB'!$R:$R,'YBHN HO P&amp;L'!$A16,'YBHN HO TB'!F:F)))</f>
        <v/>
      </c>
      <c r="S16" s="37">
        <f>(SUMIF('YBHN Blank TB'!$R:$R,'YBHN HO P&amp;L'!$A16,'YBHN Blank TB'!G:G)+(SUMIF('YBHN HO TB'!$R:$R,'YBHN HO P&amp;L'!$A16,'YBHN HO TB'!G:G)))</f>
        <v/>
      </c>
      <c r="T16" s="37">
        <f>(SUMIF('YBHN Blank TB'!$R:$R,'YBHN HO P&amp;L'!$A16,'YBHN Blank TB'!H:H)+(SUMIF('YBHN HO TB'!$R:$R,'YBHN HO P&amp;L'!$A16,'YBHN HO TB'!H:H)))</f>
        <v/>
      </c>
      <c r="U16" s="37">
        <f>(SUMIF('YBHN Blank TB'!$R:$R,'YBHN HO P&amp;L'!$A16,'YBHN Blank TB'!I:I)+(SUMIF('YBHN HO TB'!$R:$R,'YBHN HO P&amp;L'!$A16,'YBHN HO TB'!I:I)))</f>
        <v/>
      </c>
      <c r="V16" s="38" t="n"/>
      <c r="W16" s="38" t="n"/>
      <c r="X16" s="38" t="n"/>
      <c r="Y16" s="38" t="n"/>
      <c r="Z16" s="38" t="n"/>
      <c r="AA16" s="36">
        <f>SUM(O16:U16)</f>
        <v/>
      </c>
      <c r="AB16" s="36">
        <f>SUM(O16:Z16)</f>
        <v/>
      </c>
      <c r="AC16" s="38" t="n"/>
      <c r="AD16" s="38" t="n"/>
      <c r="AE16" s="38" t="n"/>
      <c r="AF16" s="38" t="n"/>
      <c r="AG16" s="38" t="n"/>
      <c r="AH16" s="38" t="n"/>
      <c r="AI16" s="118" t="n">
        <v>0</v>
      </c>
      <c r="AJ16" s="119" t="n">
        <v>0</v>
      </c>
      <c r="AK16" s="119" t="n">
        <v>0</v>
      </c>
      <c r="AL16" s="119" t="n">
        <v>0</v>
      </c>
      <c r="AM16" s="120" t="n">
        <v>0</v>
      </c>
      <c r="AN16" s="118" t="n">
        <v>0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0</v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0</v>
      </c>
      <c r="K17" s="35" t="n">
        <v>0</v>
      </c>
      <c r="L17" s="35" t="n">
        <v>0</v>
      </c>
      <c r="M17" s="35" t="n">
        <v>0</v>
      </c>
      <c r="N17" s="36">
        <f>SUM(B17:M17)</f>
        <v/>
      </c>
      <c r="O17" s="37">
        <f>(SUMIF('YBHN Blank TB'!$R:$R,'YBHN HO P&amp;L'!$A17,'YBHN Blank TB'!C:C)+(SUMIF('YBHN HO TB'!$R:$R,'YBHN HO P&amp;L'!$A17,'YBHN HO TB'!C:C)))</f>
        <v/>
      </c>
      <c r="P17" s="37">
        <f>(SUMIF('YBHN Blank TB'!$R:$R,'YBHN HO P&amp;L'!$A17,'YBHN Blank TB'!D:D)+(SUMIF('YBHN HO TB'!$R:$R,'YBHN HO P&amp;L'!$A17,'YBHN HO TB'!D:D)))</f>
        <v/>
      </c>
      <c r="Q17" s="37">
        <f>(SUMIF('YBHN Blank TB'!$R:$R,'YBHN HO P&amp;L'!$A17,'YBHN Blank TB'!E:E)+(SUMIF('YBHN HO TB'!$R:$R,'YBHN HO P&amp;L'!$A17,'YBHN HO TB'!E:E)))</f>
        <v/>
      </c>
      <c r="R17" s="37">
        <f>(SUMIF('YBHN Blank TB'!$R:$R,'YBHN HO P&amp;L'!$A17,'YBHN Blank TB'!F:F)+(SUMIF('YBHN HO TB'!$R:$R,'YBHN HO P&amp;L'!$A17,'YBHN HO TB'!F:F)))</f>
        <v/>
      </c>
      <c r="S17" s="37">
        <f>(SUMIF('YBHN Blank TB'!$R:$R,'YBHN HO P&amp;L'!$A17,'YBHN Blank TB'!G:G)+(SUMIF('YBHN HO TB'!$R:$R,'YBHN HO P&amp;L'!$A17,'YBHN HO TB'!G:G)))</f>
        <v/>
      </c>
      <c r="T17" s="37">
        <f>(SUMIF('YBHN Blank TB'!$R:$R,'YBHN HO P&amp;L'!$A17,'YBHN Blank TB'!H:H)+(SUMIF('YBHN HO TB'!$R:$R,'YBHN HO P&amp;L'!$A17,'YBHN HO TB'!H:H)))</f>
        <v/>
      </c>
      <c r="U17" s="37">
        <f>(SUMIF('YBHN Blank TB'!$R:$R,'YBHN HO P&amp;L'!$A17,'YBHN Blank TB'!I:I)+(SUMIF('YBHN HO TB'!$R:$R,'YBHN HO P&amp;L'!$A17,'YBHN HO TB'!I:I)))</f>
        <v/>
      </c>
      <c r="V17" s="38" t="n"/>
      <c r="W17" s="38" t="n"/>
      <c r="X17" s="38" t="n"/>
      <c r="Y17" s="38" t="n"/>
      <c r="Z17" s="38" t="n"/>
      <c r="AA17" s="36">
        <f>SUM(O17:U17)</f>
        <v/>
      </c>
      <c r="AB17" s="36">
        <f>SUM(O17:Z17)</f>
        <v/>
      </c>
      <c r="AC17" s="38" t="n"/>
      <c r="AD17" s="38" t="n"/>
      <c r="AE17" s="38" t="n"/>
      <c r="AF17" s="38" t="n"/>
      <c r="AG17" s="38" t="n"/>
      <c r="AH17" s="38" t="n"/>
      <c r="AI17" s="118" t="n">
        <v>0</v>
      </c>
      <c r="AJ17" s="119" t="n">
        <v>0</v>
      </c>
      <c r="AK17" s="119" t="n">
        <v>0</v>
      </c>
      <c r="AL17" s="119" t="n">
        <v>0</v>
      </c>
      <c r="AM17" s="120" t="n">
        <v>0</v>
      </c>
      <c r="AN17" s="118" t="n">
        <v>0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0</v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  <c r="H18" s="35" t="n">
        <v>0</v>
      </c>
      <c r="I18" s="35" t="n">
        <v>0</v>
      </c>
      <c r="J18" s="35" t="n">
        <v>0</v>
      </c>
      <c r="K18" s="35" t="n">
        <v>0</v>
      </c>
      <c r="L18" s="35" t="n">
        <v>0</v>
      </c>
      <c r="M18" s="35" t="n">
        <v>0</v>
      </c>
      <c r="N18" s="36">
        <f>SUM(B18:M18)</f>
        <v/>
      </c>
      <c r="O18" s="37">
        <f>(SUMIF('YBHN Blank TB'!$R:$R,'YBHN HO P&amp;L'!$A18,'YBHN Blank TB'!C:C)+(SUMIF('YBHN HO TB'!$R:$R,'YBHN HO P&amp;L'!$A18,'YBHN HO TB'!C:C)))</f>
        <v/>
      </c>
      <c r="P18" s="37">
        <f>(SUMIF('YBHN Blank TB'!$R:$R,'YBHN HO P&amp;L'!$A18,'YBHN Blank TB'!D:D)+(SUMIF('YBHN HO TB'!$R:$R,'YBHN HO P&amp;L'!$A18,'YBHN HO TB'!D:D)))</f>
        <v/>
      </c>
      <c r="Q18" s="37">
        <f>(SUMIF('YBHN Blank TB'!$R:$R,'YBHN HO P&amp;L'!$A18,'YBHN Blank TB'!E:E)+(SUMIF('YBHN HO TB'!$R:$R,'YBHN HO P&amp;L'!$A18,'YBHN HO TB'!E:E)))</f>
        <v/>
      </c>
      <c r="R18" s="37">
        <f>(SUMIF('YBHN Blank TB'!$R:$R,'YBHN HO P&amp;L'!$A18,'YBHN Blank TB'!F:F)+(SUMIF('YBHN HO TB'!$R:$R,'YBHN HO P&amp;L'!$A18,'YBHN HO TB'!F:F)))</f>
        <v/>
      </c>
      <c r="S18" s="37">
        <f>(SUMIF('YBHN Blank TB'!$R:$R,'YBHN HO P&amp;L'!$A18,'YBHN Blank TB'!G:G)+(SUMIF('YBHN HO TB'!$R:$R,'YBHN HO P&amp;L'!$A18,'YBHN HO TB'!G:G)))</f>
        <v/>
      </c>
      <c r="T18" s="37">
        <f>(SUMIF('YBHN Blank TB'!$R:$R,'YBHN HO P&amp;L'!$A18,'YBHN Blank TB'!H:H)+(SUMIF('YBHN HO TB'!$R:$R,'YBHN HO P&amp;L'!$A18,'YBHN HO TB'!H:H)))</f>
        <v/>
      </c>
      <c r="U18" s="37">
        <f>(SUMIF('YBHN Blank TB'!$R:$R,'YBHN HO P&amp;L'!$A18,'YBHN Blank TB'!I:I)+(SUMIF('YBHN HO TB'!$R:$R,'YBHN HO P&amp;L'!$A18,'YBHN HO TB'!I:I)))</f>
        <v/>
      </c>
      <c r="V18" s="38" t="n"/>
      <c r="W18" s="38" t="n"/>
      <c r="X18" s="38" t="n"/>
      <c r="Y18" s="38" t="n"/>
      <c r="Z18" s="38" t="n"/>
      <c r="AA18" s="36">
        <f>SUM(O18:U18)</f>
        <v/>
      </c>
      <c r="AB18" s="36">
        <f>SUM(O18:Z18)</f>
        <v/>
      </c>
      <c r="AC18" s="38" t="n"/>
      <c r="AD18" s="38" t="n"/>
      <c r="AE18" s="38" t="n"/>
      <c r="AF18" s="38" t="n"/>
      <c r="AG18" s="38" t="n"/>
      <c r="AH18" s="38" t="n"/>
      <c r="AI18" s="118" t="n">
        <v>0</v>
      </c>
      <c r="AJ18" s="119" t="n">
        <v>0</v>
      </c>
      <c r="AK18" s="119" t="n">
        <v>0</v>
      </c>
      <c r="AL18" s="119" t="n">
        <v>0</v>
      </c>
      <c r="AM18" s="120" t="n">
        <v>0</v>
      </c>
      <c r="AN18" s="118" t="n">
        <v>0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0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0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>
        <f>(SUMIF('YBHN Blank TB'!$R:$R,'YBHN HO P&amp;L'!$A19,'YBHN Blank TB'!C:C)+(SUMIF('YBHN HO TB'!$R:$R,'YBHN HO P&amp;L'!$A19,'YBHN HO TB'!C:C)))</f>
        <v/>
      </c>
      <c r="P19" s="37">
        <f>(SUMIF('YBHN Blank TB'!$R:$R,'YBHN HO P&amp;L'!$A19,'YBHN Blank TB'!D:D)+(SUMIF('YBHN HO TB'!$R:$R,'YBHN HO P&amp;L'!$A19,'YBHN HO TB'!D:D)))</f>
        <v/>
      </c>
      <c r="Q19" s="37">
        <f>(SUMIF('YBHN Blank TB'!$R:$R,'YBHN HO P&amp;L'!$A19,'YBHN Blank TB'!E:E)+(SUMIF('YBHN HO TB'!$R:$R,'YBHN HO P&amp;L'!$A19,'YBHN HO TB'!E:E)))</f>
        <v/>
      </c>
      <c r="R19" s="37">
        <f>(SUMIF('YBHN Blank TB'!$R:$R,'YBHN HO P&amp;L'!$A19,'YBHN Blank TB'!F:F)+(SUMIF('YBHN HO TB'!$R:$R,'YBHN HO P&amp;L'!$A19,'YBHN HO TB'!F:F)))</f>
        <v/>
      </c>
      <c r="S19" s="37">
        <f>(SUMIF('YBHN Blank TB'!$R:$R,'YBHN HO P&amp;L'!$A19,'YBHN Blank TB'!G:G)+(SUMIF('YBHN HO TB'!$R:$R,'YBHN HO P&amp;L'!$A19,'YBHN HO TB'!G:G)))</f>
        <v/>
      </c>
      <c r="T19" s="37">
        <f>(SUMIF('YBHN Blank TB'!$R:$R,'YBHN HO P&amp;L'!$A19,'YBHN Blank TB'!H:H)+(SUMIF('YBHN HO TB'!$R:$R,'YBHN HO P&amp;L'!$A19,'YBHN HO TB'!H:H)))</f>
        <v/>
      </c>
      <c r="U19" s="37">
        <f>(SUMIF('YBHN Blank TB'!$R:$R,'YBHN HO P&amp;L'!$A19,'YBHN Blank TB'!I:I)+(SUMIF('YBHN HO TB'!$R:$R,'YBHN HO P&amp;L'!$A19,'YBHN HO TB'!I:I)))</f>
        <v/>
      </c>
      <c r="V19" s="38" t="n"/>
      <c r="W19" s="38" t="n"/>
      <c r="X19" s="38" t="n"/>
      <c r="Y19" s="38" t="n"/>
      <c r="Z19" s="38" t="n"/>
      <c r="AA19" s="36">
        <f>SUM(O19:U19)</f>
        <v/>
      </c>
      <c r="AB19" s="36">
        <f>SUM(O19:Z19)</f>
        <v/>
      </c>
      <c r="AC19" s="38" t="n"/>
      <c r="AD19" s="38" t="n"/>
      <c r="AE19" s="38" t="n"/>
      <c r="AF19" s="38" t="n"/>
      <c r="AG19" s="38" t="n"/>
      <c r="AH19" s="38" t="n"/>
      <c r="AI19" s="118" t="n">
        <v>0</v>
      </c>
      <c r="AJ19" s="119" t="n">
        <v>0</v>
      </c>
      <c r="AK19" s="119" t="n">
        <v>0</v>
      </c>
      <c r="AL19" s="119" t="n">
        <v>0</v>
      </c>
      <c r="AM19" s="120" t="n">
        <v>0</v>
      </c>
      <c r="AN19" s="118" t="n">
        <v>0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0</v>
      </c>
      <c r="C20" s="35" t="n">
        <v>72</v>
      </c>
      <c r="D20" s="35" t="n">
        <v>0</v>
      </c>
      <c r="E20" s="35" t="n">
        <v>31.2</v>
      </c>
      <c r="F20" s="35" t="n">
        <v>72</v>
      </c>
      <c r="G20" s="35" t="n">
        <v>0</v>
      </c>
      <c r="H20" s="35" t="n">
        <v>0</v>
      </c>
      <c r="I20" s="35" t="n">
        <v>0</v>
      </c>
      <c r="J20" s="35" t="n">
        <v>52</v>
      </c>
      <c r="K20" s="35" t="n">
        <v>117.19</v>
      </c>
      <c r="L20" s="35" t="n">
        <v>0</v>
      </c>
      <c r="M20" s="35" t="n">
        <v>0</v>
      </c>
      <c r="N20" s="36">
        <f>SUM(B20:M20)</f>
        <v/>
      </c>
      <c r="O20" s="37">
        <f>(SUMIF('YBHN Blank TB'!$R:$R,'YBHN HO P&amp;L'!$A20,'YBHN Blank TB'!C:C)+(SUMIF('YBHN HO TB'!$R:$R,'YBHN HO P&amp;L'!$A20,'YBHN HO TB'!C:C)))</f>
        <v/>
      </c>
      <c r="P20" s="37">
        <f>(SUMIF('YBHN Blank TB'!$R:$R,'YBHN HO P&amp;L'!$A20,'YBHN Blank TB'!D:D)+(SUMIF('YBHN HO TB'!$R:$R,'YBHN HO P&amp;L'!$A20,'YBHN HO TB'!D:D)))</f>
        <v/>
      </c>
      <c r="Q20" s="37">
        <f>(SUMIF('YBHN Blank TB'!$R:$R,'YBHN HO P&amp;L'!$A20,'YBHN Blank TB'!E:E)+(SUMIF('YBHN HO TB'!$R:$R,'YBHN HO P&amp;L'!$A20,'YBHN HO TB'!E:E)))</f>
        <v/>
      </c>
      <c r="R20" s="37">
        <f>(SUMIF('YBHN Blank TB'!$R:$R,'YBHN HO P&amp;L'!$A20,'YBHN Blank TB'!F:F)+(SUMIF('YBHN HO TB'!$R:$R,'YBHN HO P&amp;L'!$A20,'YBHN HO TB'!F:F)))</f>
        <v/>
      </c>
      <c r="S20" s="37">
        <f>(SUMIF('YBHN Blank TB'!$R:$R,'YBHN HO P&amp;L'!$A20,'YBHN Blank TB'!G:G)+(SUMIF('YBHN HO TB'!$R:$R,'YBHN HO P&amp;L'!$A20,'YBHN HO TB'!G:G)))</f>
        <v/>
      </c>
      <c r="T20" s="37">
        <f>(SUMIF('YBHN Blank TB'!$R:$R,'YBHN HO P&amp;L'!$A20,'YBHN Blank TB'!H:H)+(SUMIF('YBHN HO TB'!$R:$R,'YBHN HO P&amp;L'!$A20,'YBHN HO TB'!H:H)))</f>
        <v/>
      </c>
      <c r="U20" s="37">
        <f>(SUMIF('YBHN Blank TB'!$R:$R,'YBHN HO P&amp;L'!$A20,'YBHN Blank TB'!I:I)+(SUMIF('YBHN HO TB'!$R:$R,'YBHN HO P&amp;L'!$A20,'YBHN HO TB'!I:I)))</f>
        <v/>
      </c>
      <c r="V20" s="38" t="n"/>
      <c r="W20" s="38" t="n"/>
      <c r="X20" s="38" t="n"/>
      <c r="Y20" s="38" t="n"/>
      <c r="Z20" s="38" t="n"/>
      <c r="AA20" s="36">
        <f>SUM(O20:U20)</f>
        <v/>
      </c>
      <c r="AB20" s="36">
        <f>SUM(O20:Z20)</f>
        <v/>
      </c>
      <c r="AC20" s="38" t="n"/>
      <c r="AD20" s="38" t="n"/>
      <c r="AE20" s="38" t="n"/>
      <c r="AF20" s="38" t="n"/>
      <c r="AG20" s="38" t="n"/>
      <c r="AH20" s="38" t="n"/>
      <c r="AI20" s="118" t="n">
        <v>0</v>
      </c>
      <c r="AJ20" s="119" t="n">
        <v>0</v>
      </c>
      <c r="AK20" s="119" t="n">
        <v>0</v>
      </c>
      <c r="AL20" s="119" t="n">
        <v>0</v>
      </c>
      <c r="AM20" s="120" t="n">
        <v>0</v>
      </c>
      <c r="AN20" s="118" t="n">
        <v>0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0</v>
      </c>
      <c r="C21" s="35" t="n">
        <v>0</v>
      </c>
      <c r="D21" s="35" t="n">
        <v>0</v>
      </c>
      <c r="E21" s="35" t="n">
        <v>98.3</v>
      </c>
      <c r="F21" s="35" t="n">
        <v>125.09</v>
      </c>
      <c r="G21" s="35" t="n">
        <v>0</v>
      </c>
      <c r="H21" s="35" t="n">
        <v>20.24</v>
      </c>
      <c r="I21" s="35" t="n">
        <v>0</v>
      </c>
      <c r="J21" s="35" t="n">
        <v>226.03</v>
      </c>
      <c r="K21" s="35" t="n">
        <v>0</v>
      </c>
      <c r="L21" s="35" t="n">
        <v>19.2</v>
      </c>
      <c r="M21" s="35" t="n">
        <v>10.85</v>
      </c>
      <c r="N21" s="36">
        <f>SUM(B21:M21)</f>
        <v/>
      </c>
      <c r="O21" s="37">
        <f>(SUMIF('YBHN Blank TB'!$R:$R,'YBHN HO P&amp;L'!$A21,'YBHN Blank TB'!C:C)+(SUMIF('YBHN HO TB'!$R:$R,'YBHN HO P&amp;L'!$A21,'YBHN HO TB'!C:C)))</f>
        <v/>
      </c>
      <c r="P21" s="37">
        <f>(SUMIF('YBHN Blank TB'!$R:$R,'YBHN HO P&amp;L'!$A21,'YBHN Blank TB'!D:D)+(SUMIF('YBHN HO TB'!$R:$R,'YBHN HO P&amp;L'!$A21,'YBHN HO TB'!D:D)))</f>
        <v/>
      </c>
      <c r="Q21" s="37">
        <f>(SUMIF('YBHN Blank TB'!$R:$R,'YBHN HO P&amp;L'!$A21,'YBHN Blank TB'!E:E)+(SUMIF('YBHN HO TB'!$R:$R,'YBHN HO P&amp;L'!$A21,'YBHN HO TB'!E:E)))</f>
        <v/>
      </c>
      <c r="R21" s="37">
        <f>(SUMIF('YBHN Blank TB'!$R:$R,'YBHN HO P&amp;L'!$A21,'YBHN Blank TB'!F:F)+(SUMIF('YBHN HO TB'!$R:$R,'YBHN HO P&amp;L'!$A21,'YBHN HO TB'!F:F)))</f>
        <v/>
      </c>
      <c r="S21" s="37">
        <f>(SUMIF('YBHN Blank TB'!$R:$R,'YBHN HO P&amp;L'!$A21,'YBHN Blank TB'!G:G)+(SUMIF('YBHN HO TB'!$R:$R,'YBHN HO P&amp;L'!$A21,'YBHN HO TB'!G:G)))</f>
        <v/>
      </c>
      <c r="T21" s="37">
        <f>(SUMIF('YBHN Blank TB'!$R:$R,'YBHN HO P&amp;L'!$A21,'YBHN Blank TB'!H:H)+(SUMIF('YBHN HO TB'!$R:$R,'YBHN HO P&amp;L'!$A21,'YBHN HO TB'!H:H)))</f>
        <v/>
      </c>
      <c r="U21" s="37">
        <f>(SUMIF('YBHN Blank TB'!$R:$R,'YBHN HO P&amp;L'!$A21,'YBHN Blank TB'!I:I)+(SUMIF('YBHN HO TB'!$R:$R,'YBHN HO P&amp;L'!$A21,'YBHN HO TB'!I:I)))</f>
        <v/>
      </c>
      <c r="V21" s="38" t="n"/>
      <c r="W21" s="38" t="n"/>
      <c r="X21" s="38" t="n"/>
      <c r="Y21" s="38" t="n"/>
      <c r="Z21" s="38" t="n"/>
      <c r="AA21" s="36">
        <f>SUM(O21:U21)</f>
        <v/>
      </c>
      <c r="AB21" s="36">
        <f>SUM(O21:Z21)</f>
        <v/>
      </c>
      <c r="AC21" s="38" t="n"/>
      <c r="AD21" s="38" t="n"/>
      <c r="AE21" s="38" t="n"/>
      <c r="AF21" s="38" t="n"/>
      <c r="AG21" s="38" t="n"/>
      <c r="AH21" s="38" t="n"/>
      <c r="AI21" s="118" t="n">
        <v>0</v>
      </c>
      <c r="AJ21" s="119" t="n">
        <v>0</v>
      </c>
      <c r="AK21" s="119" t="n">
        <v>0</v>
      </c>
      <c r="AL21" s="119" t="n">
        <v>0</v>
      </c>
      <c r="AM21" s="120" t="n">
        <v>0</v>
      </c>
      <c r="AN21" s="118" t="n">
        <v>0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7085.94</v>
      </c>
      <c r="C22" s="35" t="n">
        <v>2050</v>
      </c>
      <c r="D22" s="35" t="n">
        <v>1589.67</v>
      </c>
      <c r="E22" s="35" t="n">
        <v>667.9400000000001</v>
      </c>
      <c r="F22" s="35" t="n">
        <v>1928.6</v>
      </c>
      <c r="G22" s="35" t="n">
        <v>3710.27</v>
      </c>
      <c r="H22" s="35" t="n">
        <v>7220.33</v>
      </c>
      <c r="I22" s="35" t="n">
        <v>3434</v>
      </c>
      <c r="J22" s="35" t="n">
        <v>2623</v>
      </c>
      <c r="K22" s="35" t="n">
        <v>4004.61</v>
      </c>
      <c r="L22" s="35" t="n">
        <v>2527.46</v>
      </c>
      <c r="M22" s="35" t="n">
        <v>4279.71</v>
      </c>
      <c r="N22" s="36">
        <f>SUM(B22:M22)</f>
        <v/>
      </c>
      <c r="O22" s="37">
        <f>(SUMIF('YBHN Blank TB'!$R:$R,'YBHN HO P&amp;L'!$A22,'YBHN Blank TB'!C:C)+(SUMIF('YBHN HO TB'!$R:$R,'YBHN HO P&amp;L'!$A22,'YBHN HO TB'!C:C)))</f>
        <v/>
      </c>
      <c r="P22" s="37">
        <f>(SUMIF('YBHN Blank TB'!$R:$R,'YBHN HO P&amp;L'!$A22,'YBHN Blank TB'!D:D)+(SUMIF('YBHN HO TB'!$R:$R,'YBHN HO P&amp;L'!$A22,'YBHN HO TB'!D:D)))</f>
        <v/>
      </c>
      <c r="Q22" s="37">
        <f>(SUMIF('YBHN Blank TB'!$R:$R,'YBHN HO P&amp;L'!$A22,'YBHN Blank TB'!E:E)+(SUMIF('YBHN HO TB'!$R:$R,'YBHN HO P&amp;L'!$A22,'YBHN HO TB'!E:E)))</f>
        <v/>
      </c>
      <c r="R22" s="37">
        <f>(SUMIF('YBHN Blank TB'!$R:$R,'YBHN HO P&amp;L'!$A22,'YBHN Blank TB'!F:F)+(SUMIF('YBHN HO TB'!$R:$R,'YBHN HO P&amp;L'!$A22,'YBHN HO TB'!F:F)))</f>
        <v/>
      </c>
      <c r="S22" s="37">
        <f>(SUMIF('YBHN Blank TB'!$R:$R,'YBHN HO P&amp;L'!$A22,'YBHN Blank TB'!G:G)+(SUMIF('YBHN HO TB'!$R:$R,'YBHN HO P&amp;L'!$A22,'YBHN HO TB'!G:G)))</f>
        <v/>
      </c>
      <c r="T22" s="37">
        <f>(SUMIF('YBHN Blank TB'!$R:$R,'YBHN HO P&amp;L'!$A22,'YBHN Blank TB'!H:H)+(SUMIF('YBHN HO TB'!$R:$R,'YBHN HO P&amp;L'!$A22,'YBHN HO TB'!H:H)))</f>
        <v/>
      </c>
      <c r="U22" s="37">
        <f>(SUMIF('YBHN Blank TB'!$R:$R,'YBHN HO P&amp;L'!$A22,'YBHN Blank TB'!I:I)+(SUMIF('YBHN HO TB'!$R:$R,'YBHN HO P&amp;L'!$A22,'YBHN HO TB'!I:I)))</f>
        <v/>
      </c>
      <c r="V22" s="38" t="n">
        <v>3600</v>
      </c>
      <c r="W22" s="38" t="n">
        <v>3600</v>
      </c>
      <c r="X22" s="38" t="n">
        <v>3600</v>
      </c>
      <c r="Y22" s="38" t="n">
        <v>3600</v>
      </c>
      <c r="Z22" s="38" t="n">
        <v>3600</v>
      </c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118" t="n">
        <v>0</v>
      </c>
      <c r="AJ22" s="119" t="n">
        <v>0</v>
      </c>
      <c r="AK22" s="119" t="n">
        <v>0</v>
      </c>
      <c r="AL22" s="119" t="n">
        <v>0</v>
      </c>
      <c r="AM22" s="120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1300</v>
      </c>
      <c r="M23" s="35" t="n">
        <v>0</v>
      </c>
      <c r="N23" s="36">
        <f>SUM(B23:M23)</f>
        <v/>
      </c>
      <c r="O23" s="37">
        <f>(SUMIF('YBHN Blank TB'!$R:$R,'YBHN HO P&amp;L'!$A23,'YBHN Blank TB'!C:C)+(SUMIF('YBHN HO TB'!$R:$R,'YBHN HO P&amp;L'!$A23,'YBHN HO TB'!C:C)))</f>
        <v/>
      </c>
      <c r="P23" s="37">
        <f>(SUMIF('YBHN Blank TB'!$R:$R,'YBHN HO P&amp;L'!$A23,'YBHN Blank TB'!D:D)+(SUMIF('YBHN HO TB'!$R:$R,'YBHN HO P&amp;L'!$A23,'YBHN HO TB'!D:D)))</f>
        <v/>
      </c>
      <c r="Q23" s="37">
        <f>(SUMIF('YBHN Blank TB'!$R:$R,'YBHN HO P&amp;L'!$A23,'YBHN Blank TB'!E:E)+(SUMIF('YBHN HO TB'!$R:$R,'YBHN HO P&amp;L'!$A23,'YBHN HO TB'!E:E)))</f>
        <v/>
      </c>
      <c r="R23" s="37">
        <f>(SUMIF('YBHN Blank TB'!$R:$R,'YBHN HO P&amp;L'!$A23,'YBHN Blank TB'!F:F)+(SUMIF('YBHN HO TB'!$R:$R,'YBHN HO P&amp;L'!$A23,'YBHN HO TB'!F:F)))</f>
        <v/>
      </c>
      <c r="S23" s="37">
        <f>(SUMIF('YBHN Blank TB'!$R:$R,'YBHN HO P&amp;L'!$A23,'YBHN Blank TB'!G:G)+(SUMIF('YBHN HO TB'!$R:$R,'YBHN HO P&amp;L'!$A23,'YBHN HO TB'!G:G)))</f>
        <v/>
      </c>
      <c r="T23" s="37">
        <f>(SUMIF('YBHN Blank TB'!$R:$R,'YBHN HO P&amp;L'!$A23,'YBHN Blank TB'!H:H)+(SUMIF('YBHN HO TB'!$R:$R,'YBHN HO P&amp;L'!$A23,'YBHN HO TB'!H:H)))</f>
        <v/>
      </c>
      <c r="U23" s="37">
        <f>(SUMIF('YBHN Blank TB'!$R:$R,'YBHN HO P&amp;L'!$A23,'YBHN Blank TB'!I:I)+(SUMIF('YBHN HO TB'!$R:$R,'YBHN HO P&amp;L'!$A23,'YBHN HO TB'!I:I)))</f>
        <v/>
      </c>
      <c r="V23" s="38" t="n"/>
      <c r="W23" s="38" t="n"/>
      <c r="X23" s="38" t="n"/>
      <c r="Y23" s="38" t="n"/>
      <c r="Z23" s="38" t="n"/>
      <c r="AA23" s="36">
        <f>SUM(O23:U23)</f>
        <v/>
      </c>
      <c r="AB23" s="36">
        <f>SUM(O23:Z23)</f>
        <v/>
      </c>
      <c r="AC23" s="38" t="n"/>
      <c r="AD23" s="38" t="n"/>
      <c r="AE23" s="38" t="n"/>
      <c r="AF23" s="38" t="n"/>
      <c r="AG23" s="38" t="n"/>
      <c r="AH23" s="38" t="n"/>
      <c r="AI23" s="118" t="n">
        <v>0</v>
      </c>
      <c r="AJ23" s="119" t="n">
        <v>0</v>
      </c>
      <c r="AK23" s="119" t="n">
        <v>0</v>
      </c>
      <c r="AL23" s="119" t="n">
        <v>0</v>
      </c>
      <c r="AM23" s="120" t="n">
        <v>0</v>
      </c>
      <c r="AN23" s="118" t="n">
        <v>0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(SUMIF('YBHN Blank TB'!$R:$R,'YBHN HO P&amp;L'!$A24,'YBHN Blank TB'!C:C)+(SUMIF('YBHN HO TB'!$R:$R,'YBHN HO P&amp;L'!$A24,'YBHN HO TB'!C:C)))</f>
        <v/>
      </c>
      <c r="P24" s="37">
        <f>(SUMIF('YBHN Blank TB'!$R:$R,'YBHN HO P&amp;L'!$A24,'YBHN Blank TB'!D:D)+(SUMIF('YBHN HO TB'!$R:$R,'YBHN HO P&amp;L'!$A24,'YBHN HO TB'!D:D)))</f>
        <v/>
      </c>
      <c r="Q24" s="37">
        <f>(SUMIF('YBHN Blank TB'!$R:$R,'YBHN HO P&amp;L'!$A24,'YBHN Blank TB'!E:E)+(SUMIF('YBHN HO TB'!$R:$R,'YBHN HO P&amp;L'!$A24,'YBHN HO TB'!E:E)))</f>
        <v/>
      </c>
      <c r="R24" s="37">
        <f>(SUMIF('YBHN Blank TB'!$R:$R,'YBHN HO P&amp;L'!$A24,'YBHN Blank TB'!F:F)+(SUMIF('YBHN HO TB'!$R:$R,'YBHN HO P&amp;L'!$A24,'YBHN HO TB'!F:F)))</f>
        <v/>
      </c>
      <c r="S24" s="37">
        <f>(SUMIF('YBHN Blank TB'!$R:$R,'YBHN HO P&amp;L'!$A24,'YBHN Blank TB'!G:G)+(SUMIF('YBHN HO TB'!$R:$R,'YBHN HO P&amp;L'!$A24,'YBHN HO TB'!G:G)))</f>
        <v/>
      </c>
      <c r="T24" s="37">
        <f>(SUMIF('YBHN Blank TB'!$R:$R,'YBHN HO P&amp;L'!$A24,'YBHN Blank TB'!H:H)+(SUMIF('YBHN HO TB'!$R:$R,'YBHN HO P&amp;L'!$A24,'YBHN HO TB'!H:H)))</f>
        <v/>
      </c>
      <c r="U24" s="37">
        <f>(SUMIF('YBHN Blank TB'!$R:$R,'YBHN HO P&amp;L'!$A24,'YBHN Blank TB'!I:I)+(SUMIF('YBHN HO TB'!$R:$R,'YBHN HO P&amp;L'!$A24,'YBHN HO TB'!I:I)))</f>
        <v/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118" t="n">
        <v>0</v>
      </c>
      <c r="AJ24" s="119" t="n">
        <v>0</v>
      </c>
      <c r="AK24" s="119" t="n">
        <v>0</v>
      </c>
      <c r="AL24" s="119" t="n">
        <v>0</v>
      </c>
      <c r="AM24" s="120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7085.94</v>
      </c>
      <c r="C25" s="42" t="n">
        <v>2122</v>
      </c>
      <c r="D25" s="42" t="n">
        <v>1589.67</v>
      </c>
      <c r="E25" s="42" t="n">
        <v>797.4400000000001</v>
      </c>
      <c r="F25" s="42" t="n">
        <v>2125.69</v>
      </c>
      <c r="G25" s="42" t="n">
        <v>3710.27</v>
      </c>
      <c r="H25" s="42" t="n">
        <v>7240.57</v>
      </c>
      <c r="I25" s="42" t="n">
        <v>3434</v>
      </c>
      <c r="J25" s="42" t="n">
        <v>2901.03</v>
      </c>
      <c r="K25" s="42" t="n">
        <v>4121.8</v>
      </c>
      <c r="L25" s="42" t="n">
        <v>3846.66</v>
      </c>
      <c r="M25" s="42" t="n">
        <v>4290.56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 t="n"/>
      <c r="AD25" s="45" t="n"/>
      <c r="AE25" s="45" t="n"/>
      <c r="AF25" s="45" t="n"/>
      <c r="AG25" s="45" t="n"/>
      <c r="AH25" s="45" t="n"/>
      <c r="AI25" s="134" t="n">
        <v>0</v>
      </c>
      <c r="AJ25" s="152" t="n">
        <v>0</v>
      </c>
      <c r="AK25" s="152" t="n">
        <v>0</v>
      </c>
      <c r="AL25" s="152" t="n">
        <v>0</v>
      </c>
      <c r="AM25" s="152" t="n">
        <v>0</v>
      </c>
      <c r="AN25" s="134" t="n">
        <v>0</v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7" t="n">
        <v>0</v>
      </c>
      <c r="AJ26" s="128" t="n">
        <v>0</v>
      </c>
      <c r="AK26" s="128" t="n">
        <v>0</v>
      </c>
      <c r="AL26" s="128" t="n">
        <v>0</v>
      </c>
      <c r="AM26" s="129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0</v>
      </c>
      <c r="C27" s="35" t="n">
        <v>0</v>
      </c>
      <c r="D27" s="35" t="n">
        <v>0</v>
      </c>
      <c r="E27" s="35" t="n">
        <v>104.48</v>
      </c>
      <c r="F27" s="35" t="n">
        <v>0</v>
      </c>
      <c r="G27" s="35" t="n">
        <v>0</v>
      </c>
      <c r="H27" s="35" t="n">
        <v>16.44</v>
      </c>
      <c r="I27" s="35" t="n">
        <v>0</v>
      </c>
      <c r="J27" s="35" t="n">
        <v>0</v>
      </c>
      <c r="K27" s="35" t="n">
        <v>0</v>
      </c>
      <c r="L27" s="35" t="n">
        <v>0</v>
      </c>
      <c r="M27" s="35" t="n">
        <v>0</v>
      </c>
      <c r="N27" s="36">
        <f>SUM(B27:M27)</f>
        <v/>
      </c>
      <c r="O27" s="37">
        <f>(SUMIF('YBHN Blank TB'!$R:$R,'YBHN HO P&amp;L'!$A27,'YBHN Blank TB'!C:C)+(SUMIF('YBHN HO TB'!$R:$R,'YBHN HO P&amp;L'!$A27,'YBHN HO TB'!C:C)))</f>
        <v/>
      </c>
      <c r="P27" s="37">
        <f>(SUMIF('YBHN Blank TB'!$R:$R,'YBHN HO P&amp;L'!$A27,'YBHN Blank TB'!D:D)+(SUMIF('YBHN HO TB'!$R:$R,'YBHN HO P&amp;L'!$A27,'YBHN HO TB'!D:D)))</f>
        <v/>
      </c>
      <c r="Q27" s="37">
        <f>(SUMIF('YBHN Blank TB'!$R:$R,'YBHN HO P&amp;L'!$A27,'YBHN Blank TB'!E:E)+(SUMIF('YBHN HO TB'!$R:$R,'YBHN HO P&amp;L'!$A27,'YBHN HO TB'!E:E)))</f>
        <v/>
      </c>
      <c r="R27" s="37">
        <f>(SUMIF('YBHN Blank TB'!$R:$R,'YBHN HO P&amp;L'!$A27,'YBHN Blank TB'!F:F)+(SUMIF('YBHN HO TB'!$R:$R,'YBHN HO P&amp;L'!$A27,'YBHN HO TB'!F:F)))</f>
        <v/>
      </c>
      <c r="S27" s="37">
        <f>(SUMIF('YBHN Blank TB'!$R:$R,'YBHN HO P&amp;L'!$A27,'YBHN Blank TB'!G:G)+(SUMIF('YBHN HO TB'!$R:$R,'YBHN HO P&amp;L'!$A27,'YBHN HO TB'!G:G)))</f>
        <v/>
      </c>
      <c r="T27" s="37">
        <f>(SUMIF('YBHN Blank TB'!$R:$R,'YBHN HO P&amp;L'!$A27,'YBHN Blank TB'!H:H)+(SUMIF('YBHN HO TB'!$R:$R,'YBHN HO P&amp;L'!$A27,'YBHN HO TB'!H:H)))</f>
        <v/>
      </c>
      <c r="U27" s="37">
        <f>(SUMIF('YBHN Blank TB'!$R:$R,'YBHN HO P&amp;L'!$A27,'YBHN Blank TB'!I:I)+(SUMIF('YBHN HO TB'!$R:$R,'YBHN HO P&amp;L'!$A27,'YBHN HO TB'!I:I)))</f>
        <v/>
      </c>
      <c r="V27" s="38" t="n"/>
      <c r="W27" s="38" t="n"/>
      <c r="X27" s="38" t="n"/>
      <c r="Y27" s="38" t="n"/>
      <c r="Z27" s="38" t="n"/>
      <c r="AA27" s="36">
        <f>SUM(O27:U27)</f>
        <v/>
      </c>
      <c r="AB27" s="36">
        <f>SUM(O27:Z27)</f>
        <v/>
      </c>
      <c r="AC27" s="38" t="n"/>
      <c r="AD27" s="38" t="n"/>
      <c r="AE27" s="38" t="n"/>
      <c r="AF27" s="38" t="n"/>
      <c r="AG27" s="38" t="n"/>
      <c r="AH27" s="38" t="n"/>
      <c r="AI27" s="118" t="n">
        <v>0</v>
      </c>
      <c r="AJ27" s="119" t="n">
        <v>0</v>
      </c>
      <c r="AK27" s="119" t="n">
        <v>0</v>
      </c>
      <c r="AL27" s="119" t="n">
        <v>0</v>
      </c>
      <c r="AM27" s="120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5" t="n">
        <v>0</v>
      </c>
      <c r="I28" s="35" t="n">
        <v>0</v>
      </c>
      <c r="J28" s="35" t="n">
        <v>0</v>
      </c>
      <c r="K28" s="35" t="n">
        <v>0</v>
      </c>
      <c r="L28" s="35" t="n">
        <v>0</v>
      </c>
      <c r="M28" s="35" t="n">
        <v>0</v>
      </c>
      <c r="N28" s="36">
        <f>SUM(B28:M28)</f>
        <v/>
      </c>
      <c r="O28" s="37">
        <f>(SUMIF('YBHN Blank TB'!$R:$R,'YBHN HO P&amp;L'!$A28,'YBHN Blank TB'!C:C)+(SUMIF('YBHN HO TB'!$R:$R,'YBHN HO P&amp;L'!$A28,'YBHN HO TB'!C:C)))</f>
        <v/>
      </c>
      <c r="P28" s="37">
        <f>(SUMIF('YBHN Blank TB'!$R:$R,'YBHN HO P&amp;L'!$A28,'YBHN Blank TB'!D:D)+(SUMIF('YBHN HO TB'!$R:$R,'YBHN HO P&amp;L'!$A28,'YBHN HO TB'!D:D)))</f>
        <v/>
      </c>
      <c r="Q28" s="37">
        <f>(SUMIF('YBHN Blank TB'!$R:$R,'YBHN HO P&amp;L'!$A28,'YBHN Blank TB'!E:E)+(SUMIF('YBHN HO TB'!$R:$R,'YBHN HO P&amp;L'!$A28,'YBHN HO TB'!E:E)))</f>
        <v/>
      </c>
      <c r="R28" s="37">
        <f>(SUMIF('YBHN Blank TB'!$R:$R,'YBHN HO P&amp;L'!$A28,'YBHN Blank TB'!F:F)+(SUMIF('YBHN HO TB'!$R:$R,'YBHN HO P&amp;L'!$A28,'YBHN HO TB'!F:F)))</f>
        <v/>
      </c>
      <c r="S28" s="37">
        <f>(SUMIF('YBHN Blank TB'!$R:$R,'YBHN HO P&amp;L'!$A28,'YBHN Blank TB'!G:G)+(SUMIF('YBHN HO TB'!$R:$R,'YBHN HO P&amp;L'!$A28,'YBHN HO TB'!G:G)))</f>
        <v/>
      </c>
      <c r="T28" s="37">
        <f>(SUMIF('YBHN Blank TB'!$R:$R,'YBHN HO P&amp;L'!$A28,'YBHN Blank TB'!H:H)+(SUMIF('YBHN HO TB'!$R:$R,'YBHN HO P&amp;L'!$A28,'YBHN HO TB'!H:H)))</f>
        <v/>
      </c>
      <c r="U28" s="37">
        <f>(SUMIF('YBHN Blank TB'!$R:$R,'YBHN HO P&amp;L'!$A28,'YBHN Blank TB'!I:I)+(SUMIF('YBHN HO TB'!$R:$R,'YBHN HO P&amp;L'!$A28,'YBHN HO TB'!I:I)))</f>
        <v/>
      </c>
      <c r="V28" s="38" t="n"/>
      <c r="W28" s="38" t="n"/>
      <c r="X28" s="38" t="n"/>
      <c r="Y28" s="38" t="n"/>
      <c r="Z28" s="38" t="n"/>
      <c r="AA28" s="36">
        <f>SUM(O28:U28)</f>
        <v/>
      </c>
      <c r="AB28" s="36">
        <f>SUM(O28:Z28)</f>
        <v/>
      </c>
      <c r="AC28" s="38" t="n"/>
      <c r="AD28" s="38" t="n"/>
      <c r="AE28" s="38" t="n"/>
      <c r="AF28" s="38" t="n"/>
      <c r="AG28" s="38" t="n"/>
      <c r="AH28" s="38" t="n"/>
      <c r="AI28" s="118" t="n">
        <v>0</v>
      </c>
      <c r="AJ28" s="119" t="n">
        <v>0</v>
      </c>
      <c r="AK28" s="119" t="n">
        <v>0</v>
      </c>
      <c r="AL28" s="119" t="n">
        <v>0</v>
      </c>
      <c r="AM28" s="120" t="n">
        <v>0</v>
      </c>
      <c r="AN28" s="118" t="n">
        <v>0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5" t="n">
        <v>0</v>
      </c>
      <c r="J29" s="35" t="n">
        <v>0</v>
      </c>
      <c r="K29" s="35" t="n">
        <v>0</v>
      </c>
      <c r="L29" s="35" t="n">
        <v>0</v>
      </c>
      <c r="M29" s="35" t="n">
        <v>0</v>
      </c>
      <c r="N29" s="36">
        <f>SUM(B29:M29)</f>
        <v/>
      </c>
      <c r="O29" s="37">
        <f>(SUMIF('YBHN Blank TB'!$R:$R,'YBHN HO P&amp;L'!$A29,'YBHN Blank TB'!C:C)+(SUMIF('YBHN HO TB'!$R:$R,'YBHN HO P&amp;L'!$A29,'YBHN HO TB'!C:C)))</f>
        <v/>
      </c>
      <c r="P29" s="37">
        <f>(SUMIF('YBHN Blank TB'!$R:$R,'YBHN HO P&amp;L'!$A29,'YBHN Blank TB'!D:D)+(SUMIF('YBHN HO TB'!$R:$R,'YBHN HO P&amp;L'!$A29,'YBHN HO TB'!D:D)))</f>
        <v/>
      </c>
      <c r="Q29" s="37">
        <f>(SUMIF('YBHN Blank TB'!$R:$R,'YBHN HO P&amp;L'!$A29,'YBHN Blank TB'!E:E)+(SUMIF('YBHN HO TB'!$R:$R,'YBHN HO P&amp;L'!$A29,'YBHN HO TB'!E:E)))</f>
        <v/>
      </c>
      <c r="R29" s="37">
        <f>(SUMIF('YBHN Blank TB'!$R:$R,'YBHN HO P&amp;L'!$A29,'YBHN Blank TB'!F:F)+(SUMIF('YBHN HO TB'!$R:$R,'YBHN HO P&amp;L'!$A29,'YBHN HO TB'!F:F)))</f>
        <v/>
      </c>
      <c r="S29" s="37">
        <f>(SUMIF('YBHN Blank TB'!$R:$R,'YBHN HO P&amp;L'!$A29,'YBHN Blank TB'!G:G)+(SUMIF('YBHN HO TB'!$R:$R,'YBHN HO P&amp;L'!$A29,'YBHN HO TB'!G:G)))</f>
        <v/>
      </c>
      <c r="T29" s="37">
        <f>(SUMIF('YBHN Blank TB'!$R:$R,'YBHN HO P&amp;L'!$A29,'YBHN Blank TB'!H:H)+(SUMIF('YBHN HO TB'!$R:$R,'YBHN HO P&amp;L'!$A29,'YBHN HO TB'!H:H)))</f>
        <v/>
      </c>
      <c r="U29" s="37">
        <f>(SUMIF('YBHN Blank TB'!$R:$R,'YBHN HO P&amp;L'!$A29,'YBHN Blank TB'!I:I)+(SUMIF('YBHN HO TB'!$R:$R,'YBHN HO P&amp;L'!$A29,'YBHN HO TB'!I:I)))</f>
        <v/>
      </c>
      <c r="V29" s="38" t="n"/>
      <c r="W29" s="38" t="n"/>
      <c r="X29" s="38" t="n"/>
      <c r="Y29" s="38" t="n"/>
      <c r="Z29" s="38" t="n"/>
      <c r="AA29" s="36">
        <f>SUM(O29:U29)</f>
        <v/>
      </c>
      <c r="AB29" s="36">
        <f>SUM(O29:Z29)</f>
        <v/>
      </c>
      <c r="AC29" s="38" t="n"/>
      <c r="AD29" s="38" t="n"/>
      <c r="AE29" s="38" t="n"/>
      <c r="AF29" s="38" t="n"/>
      <c r="AG29" s="38" t="n"/>
      <c r="AH29" s="38" t="n"/>
      <c r="AI29" s="118" t="n">
        <v>0</v>
      </c>
      <c r="AJ29" s="119" t="n">
        <v>0</v>
      </c>
      <c r="AK29" s="119" t="n">
        <v>0</v>
      </c>
      <c r="AL29" s="119" t="n">
        <v>0</v>
      </c>
      <c r="AM29" s="120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(SUMIF('YBHN Blank TB'!$R:$R,'YBHN HO P&amp;L'!$A30,'YBHN Blank TB'!C:C)+(SUMIF('YBHN HO TB'!$R:$R,'YBHN HO P&amp;L'!$A30,'YBHN HO TB'!C:C)))</f>
        <v/>
      </c>
      <c r="P30" s="37">
        <f>(SUMIF('YBHN Blank TB'!$R:$R,'YBHN HO P&amp;L'!$A30,'YBHN Blank TB'!D:D)+(SUMIF('YBHN HO TB'!$R:$R,'YBHN HO P&amp;L'!$A30,'YBHN HO TB'!D:D)))</f>
        <v/>
      </c>
      <c r="Q30" s="37">
        <f>(SUMIF('YBHN Blank TB'!$R:$R,'YBHN HO P&amp;L'!$A30,'YBHN Blank TB'!E:E)+(SUMIF('YBHN HO TB'!$R:$R,'YBHN HO P&amp;L'!$A30,'YBHN HO TB'!E:E)))</f>
        <v/>
      </c>
      <c r="R30" s="37">
        <f>(SUMIF('YBHN Blank TB'!$R:$R,'YBHN HO P&amp;L'!$A30,'YBHN Blank TB'!F:F)+(SUMIF('YBHN HO TB'!$R:$R,'YBHN HO P&amp;L'!$A30,'YBHN HO TB'!F:F)))</f>
        <v/>
      </c>
      <c r="S30" s="37">
        <f>(SUMIF('YBHN Blank TB'!$R:$R,'YBHN HO P&amp;L'!$A30,'YBHN Blank TB'!G:G)+(SUMIF('YBHN HO TB'!$R:$R,'YBHN HO P&amp;L'!$A30,'YBHN HO TB'!G:G)))</f>
        <v/>
      </c>
      <c r="T30" s="37">
        <f>(SUMIF('YBHN Blank TB'!$R:$R,'YBHN HO P&amp;L'!$A30,'YBHN Blank TB'!H:H)+(SUMIF('YBHN HO TB'!$R:$R,'YBHN HO P&amp;L'!$A30,'YBHN HO TB'!H:H)))</f>
        <v/>
      </c>
      <c r="U30" s="37">
        <f>(SUMIF('YBHN Blank TB'!$R:$R,'YBHN HO P&amp;L'!$A30,'YBHN Blank TB'!I:I)+(SUMIF('YBHN HO TB'!$R:$R,'YBHN HO P&amp;L'!$A30,'YBHN HO TB'!I:I)))</f>
        <v/>
      </c>
      <c r="V30" s="38" t="n"/>
      <c r="W30" s="38" t="n"/>
      <c r="X30" s="38" t="n"/>
      <c r="Y30" s="38" t="n"/>
      <c r="Z30" s="38" t="n"/>
      <c r="AA30" s="36">
        <f>SUM(O30:U30)</f>
        <v/>
      </c>
      <c r="AB30" s="36">
        <f>SUM(O30:Z30)</f>
        <v/>
      </c>
      <c r="AC30" s="38" t="n"/>
      <c r="AD30" s="38" t="n"/>
      <c r="AE30" s="38" t="n"/>
      <c r="AF30" s="38" t="n"/>
      <c r="AG30" s="38" t="n"/>
      <c r="AH30" s="38" t="n"/>
      <c r="AI30" s="118" t="n">
        <v>0</v>
      </c>
      <c r="AJ30" s="119" t="n">
        <v>0</v>
      </c>
      <c r="AK30" s="119" t="n">
        <v>0</v>
      </c>
      <c r="AL30" s="119" t="n">
        <v>0</v>
      </c>
      <c r="AM30" s="120" t="n">
        <v>0</v>
      </c>
      <c r="AN30" s="118" t="n">
        <v>0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0</v>
      </c>
      <c r="C31" s="35" t="n">
        <v>0</v>
      </c>
      <c r="D31" s="35" t="n">
        <v>0</v>
      </c>
      <c r="E31" s="35" t="n">
        <v>0</v>
      </c>
      <c r="F31" s="35" t="n">
        <v>0</v>
      </c>
      <c r="G31" s="35" t="n">
        <v>0</v>
      </c>
      <c r="H31" s="35" t="n">
        <v>0</v>
      </c>
      <c r="I31" s="35" t="n">
        <v>0</v>
      </c>
      <c r="J31" s="35" t="n">
        <v>0</v>
      </c>
      <c r="K31" s="35" t="n">
        <v>0</v>
      </c>
      <c r="L31" s="35" t="n">
        <v>0</v>
      </c>
      <c r="M31" s="35" t="n">
        <v>0</v>
      </c>
      <c r="N31" s="36">
        <f>SUM(B31:M31)</f>
        <v/>
      </c>
      <c r="O31" s="37">
        <f>(SUMIF('YBHN Blank TB'!$R:$R,'YBHN HO P&amp;L'!$A31,'YBHN Blank TB'!C:C)+(SUMIF('YBHN HO TB'!$R:$R,'YBHN HO P&amp;L'!$A31,'YBHN HO TB'!C:C)))</f>
        <v/>
      </c>
      <c r="P31" s="37">
        <f>(SUMIF('YBHN Blank TB'!$R:$R,'YBHN HO P&amp;L'!$A31,'YBHN Blank TB'!D:D)+(SUMIF('YBHN HO TB'!$R:$R,'YBHN HO P&amp;L'!$A31,'YBHN HO TB'!D:D)))</f>
        <v/>
      </c>
      <c r="Q31" s="37">
        <f>(SUMIF('YBHN Blank TB'!$R:$R,'YBHN HO P&amp;L'!$A31,'YBHN Blank TB'!E:E)+(SUMIF('YBHN HO TB'!$R:$R,'YBHN HO P&amp;L'!$A31,'YBHN HO TB'!E:E)))</f>
        <v/>
      </c>
      <c r="R31" s="37">
        <f>(SUMIF('YBHN Blank TB'!$R:$R,'YBHN HO P&amp;L'!$A31,'YBHN Blank TB'!F:F)+(SUMIF('YBHN HO TB'!$R:$R,'YBHN HO P&amp;L'!$A31,'YBHN HO TB'!F:F)))</f>
        <v/>
      </c>
      <c r="S31" s="37">
        <f>(SUMIF('YBHN Blank TB'!$R:$R,'YBHN HO P&amp;L'!$A31,'YBHN Blank TB'!G:G)+(SUMIF('YBHN HO TB'!$R:$R,'YBHN HO P&amp;L'!$A31,'YBHN HO TB'!G:G)))</f>
        <v/>
      </c>
      <c r="T31" s="37">
        <f>(SUMIF('YBHN Blank TB'!$R:$R,'YBHN HO P&amp;L'!$A31,'YBHN Blank TB'!H:H)+(SUMIF('YBHN HO TB'!$R:$R,'YBHN HO P&amp;L'!$A31,'YBHN HO TB'!H:H)))</f>
        <v/>
      </c>
      <c r="U31" s="37">
        <f>(SUMIF('YBHN Blank TB'!$R:$R,'YBHN HO P&amp;L'!$A31,'YBHN Blank TB'!I:I)+(SUMIF('YBHN HO TB'!$R:$R,'YBHN HO P&amp;L'!$A31,'YBHN HO TB'!I:I)))</f>
        <v/>
      </c>
      <c r="V31" s="38" t="n"/>
      <c r="W31" s="38" t="n"/>
      <c r="X31" s="38" t="n"/>
      <c r="Y31" s="38" t="n"/>
      <c r="Z31" s="38" t="n"/>
      <c r="AA31" s="36">
        <f>SUM(O31:U31)</f>
        <v/>
      </c>
      <c r="AB31" s="36">
        <f>SUM(O31:Z31)</f>
        <v/>
      </c>
      <c r="AC31" s="38" t="n"/>
      <c r="AD31" s="38" t="n"/>
      <c r="AE31" s="38" t="n"/>
      <c r="AF31" s="38" t="n"/>
      <c r="AG31" s="38" t="n"/>
      <c r="AH31" s="38" t="n"/>
      <c r="AI31" s="118" t="n">
        <v>0</v>
      </c>
      <c r="AJ31" s="119" t="n">
        <v>0</v>
      </c>
      <c r="AK31" s="119" t="n">
        <v>0</v>
      </c>
      <c r="AL31" s="119" t="n">
        <v>0</v>
      </c>
      <c r="AM31" s="120" t="n">
        <v>0</v>
      </c>
      <c r="AN31" s="118" t="n">
        <v>0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0</v>
      </c>
      <c r="C32" s="35" t="n">
        <v>0</v>
      </c>
      <c r="D32" s="35" t="n">
        <v>0</v>
      </c>
      <c r="E32" s="35" t="n">
        <v>0</v>
      </c>
      <c r="F32" s="35" t="n">
        <v>0</v>
      </c>
      <c r="G32" s="35" t="n">
        <v>0</v>
      </c>
      <c r="H32" s="35" t="n">
        <v>0</v>
      </c>
      <c r="I32" s="35" t="n">
        <v>0</v>
      </c>
      <c r="J32" s="35" t="n">
        <v>0</v>
      </c>
      <c r="K32" s="35" t="n">
        <v>0</v>
      </c>
      <c r="L32" s="35" t="n">
        <v>0</v>
      </c>
      <c r="M32" s="35" t="n">
        <v>0</v>
      </c>
      <c r="N32" s="36">
        <f>SUM(B32:M32)</f>
        <v/>
      </c>
      <c r="O32" s="37">
        <f>(SUMIF('YBHN Blank TB'!$R:$R,'YBHN HO P&amp;L'!$A32,'YBHN Blank TB'!C:C)+(SUMIF('YBHN HO TB'!$R:$R,'YBHN HO P&amp;L'!$A32,'YBHN HO TB'!C:C)))</f>
        <v/>
      </c>
      <c r="P32" s="37">
        <f>(SUMIF('YBHN Blank TB'!$R:$R,'YBHN HO P&amp;L'!$A32,'YBHN Blank TB'!D:D)+(SUMIF('YBHN HO TB'!$R:$R,'YBHN HO P&amp;L'!$A32,'YBHN HO TB'!D:D)))</f>
        <v/>
      </c>
      <c r="Q32" s="37">
        <f>(SUMIF('YBHN Blank TB'!$R:$R,'YBHN HO P&amp;L'!$A32,'YBHN Blank TB'!E:E)+(SUMIF('YBHN HO TB'!$R:$R,'YBHN HO P&amp;L'!$A32,'YBHN HO TB'!E:E)))</f>
        <v/>
      </c>
      <c r="R32" s="37">
        <f>(SUMIF('YBHN Blank TB'!$R:$R,'YBHN HO P&amp;L'!$A32,'YBHN Blank TB'!F:F)+(SUMIF('YBHN HO TB'!$R:$R,'YBHN HO P&amp;L'!$A32,'YBHN HO TB'!F:F)))</f>
        <v/>
      </c>
      <c r="S32" s="37">
        <f>(SUMIF('YBHN Blank TB'!$R:$R,'YBHN HO P&amp;L'!$A32,'YBHN Blank TB'!G:G)+(SUMIF('YBHN HO TB'!$R:$R,'YBHN HO P&amp;L'!$A32,'YBHN HO TB'!G:G)))</f>
        <v/>
      </c>
      <c r="T32" s="37">
        <f>(SUMIF('YBHN Blank TB'!$R:$R,'YBHN HO P&amp;L'!$A32,'YBHN Blank TB'!H:H)+(SUMIF('YBHN HO TB'!$R:$R,'YBHN HO P&amp;L'!$A32,'YBHN HO TB'!H:H)))</f>
        <v/>
      </c>
      <c r="U32" s="37">
        <f>(SUMIF('YBHN Blank TB'!$R:$R,'YBHN HO P&amp;L'!$A32,'YBHN Blank TB'!I:I)+(SUMIF('YBHN HO TB'!$R:$R,'YBHN HO P&amp;L'!$A32,'YBHN HO TB'!I:I)))</f>
        <v/>
      </c>
      <c r="V32" s="38" t="n"/>
      <c r="W32" s="38" t="n"/>
      <c r="X32" s="38" t="n"/>
      <c r="Y32" s="38" t="n"/>
      <c r="Z32" s="38" t="n"/>
      <c r="AA32" s="36">
        <f>SUM(O32:U32)</f>
        <v/>
      </c>
      <c r="AB32" s="36">
        <f>SUM(O32:Z32)</f>
        <v/>
      </c>
      <c r="AC32" s="38" t="n"/>
      <c r="AD32" s="38" t="n"/>
      <c r="AE32" s="38" t="n"/>
      <c r="AF32" s="38" t="n"/>
      <c r="AG32" s="38" t="n"/>
      <c r="AH32" s="38" t="n"/>
      <c r="AI32" s="118" t="n">
        <v>0</v>
      </c>
      <c r="AJ32" s="119" t="n">
        <v>0</v>
      </c>
      <c r="AK32" s="119" t="n">
        <v>0</v>
      </c>
      <c r="AL32" s="119" t="n">
        <v>0</v>
      </c>
      <c r="AM32" s="120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(SUMIF('YBHN Blank TB'!$R:$R,'YBHN HO P&amp;L'!$A33,'YBHN Blank TB'!C:C)+(SUMIF('YBHN HO TB'!$R:$R,'YBHN HO P&amp;L'!$A33,'YBHN HO TB'!C:C)))</f>
        <v/>
      </c>
      <c r="P33" s="37">
        <f>(SUMIF('YBHN Blank TB'!$R:$R,'YBHN HO P&amp;L'!$A33,'YBHN Blank TB'!D:D)+(SUMIF('YBHN HO TB'!$R:$R,'YBHN HO P&amp;L'!$A33,'YBHN HO TB'!D:D)))</f>
        <v/>
      </c>
      <c r="Q33" s="37">
        <f>(SUMIF('YBHN Blank TB'!$R:$R,'YBHN HO P&amp;L'!$A33,'YBHN Blank TB'!E:E)+(SUMIF('YBHN HO TB'!$R:$R,'YBHN HO P&amp;L'!$A33,'YBHN HO TB'!E:E)))</f>
        <v/>
      </c>
      <c r="R33" s="37">
        <f>(SUMIF('YBHN Blank TB'!$R:$R,'YBHN HO P&amp;L'!$A33,'YBHN Blank TB'!F:F)+(SUMIF('YBHN HO TB'!$R:$R,'YBHN HO P&amp;L'!$A33,'YBHN HO TB'!F:F)))</f>
        <v/>
      </c>
      <c r="S33" s="37">
        <f>(SUMIF('YBHN Blank TB'!$R:$R,'YBHN HO P&amp;L'!$A33,'YBHN Blank TB'!G:G)+(SUMIF('YBHN HO TB'!$R:$R,'YBHN HO P&amp;L'!$A33,'YBHN HO TB'!G:G)))</f>
        <v/>
      </c>
      <c r="T33" s="37">
        <f>(SUMIF('YBHN Blank TB'!$R:$R,'YBHN HO P&amp;L'!$A33,'YBHN Blank TB'!H:H)+(SUMIF('YBHN HO TB'!$R:$R,'YBHN HO P&amp;L'!$A33,'YBHN HO TB'!H:H)))</f>
        <v/>
      </c>
      <c r="U33" s="37">
        <f>(SUMIF('YBHN Blank TB'!$R:$R,'YBHN HO P&amp;L'!$A33,'YBHN Blank TB'!I:I)+(SUMIF('YBHN HO TB'!$R:$R,'YBHN HO P&amp;L'!$A33,'YBHN HO TB'!I:I)))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8" t="n">
        <v>0</v>
      </c>
      <c r="AJ33" s="119" t="n">
        <v>0</v>
      </c>
      <c r="AK33" s="119" t="n">
        <v>0</v>
      </c>
      <c r="AL33" s="119" t="n">
        <v>0</v>
      </c>
      <c r="AM33" s="120" t="n">
        <v>0</v>
      </c>
      <c r="AN33" s="118" t="n">
        <v>0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0</v>
      </c>
      <c r="C34" s="42" t="n">
        <v>0</v>
      </c>
      <c r="D34" s="42" t="n">
        <v>0</v>
      </c>
      <c r="E34" s="42" t="n">
        <v>104.48</v>
      </c>
      <c r="F34" s="42" t="n">
        <v>0</v>
      </c>
      <c r="G34" s="42" t="n">
        <v>0</v>
      </c>
      <c r="H34" s="42" t="n">
        <v>16.44</v>
      </c>
      <c r="I34" s="42" t="n">
        <v>0</v>
      </c>
      <c r="J34" s="42" t="n">
        <v>0</v>
      </c>
      <c r="K34" s="42" t="n">
        <v>0</v>
      </c>
      <c r="L34" s="42" t="n">
        <v>0</v>
      </c>
      <c r="M34" s="42" t="n">
        <v>0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 t="n"/>
      <c r="AD34" s="45" t="n"/>
      <c r="AE34" s="45" t="n"/>
      <c r="AF34" s="45" t="n"/>
      <c r="AG34" s="45" t="n"/>
      <c r="AH34" s="45" t="n"/>
      <c r="AI34" s="134" t="n">
        <v>0</v>
      </c>
      <c r="AJ34" s="152" t="n">
        <v>0</v>
      </c>
      <c r="AK34" s="152" t="n">
        <v>0</v>
      </c>
      <c r="AL34" s="152" t="n">
        <v>0</v>
      </c>
      <c r="AM34" s="152" t="n">
        <v>0</v>
      </c>
      <c r="AN34" s="134" t="n">
        <v>0</v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7" t="n">
        <v>0</v>
      </c>
      <c r="AJ35" s="128" t="n">
        <v>0</v>
      </c>
      <c r="AK35" s="128" t="n">
        <v>0</v>
      </c>
      <c r="AL35" s="128" t="n">
        <v>0</v>
      </c>
      <c r="AM35" s="129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(SUMIF('YBHN Blank TB'!$R:$R,'YBHN HO P&amp;L'!$A36,'YBHN Blank TB'!C:C)+(SUMIF('YBHN HO TB'!$R:$R,'YBHN HO P&amp;L'!$A36,'YBHN HO TB'!C:C)))</f>
        <v/>
      </c>
      <c r="P36" s="37">
        <f>(SUMIF('YBHN Blank TB'!$R:$R,'YBHN HO P&amp;L'!$A36,'YBHN Blank TB'!D:D)+(SUMIF('YBHN HO TB'!$R:$R,'YBHN HO P&amp;L'!$A36,'YBHN HO TB'!D:D)))</f>
        <v/>
      </c>
      <c r="Q36" s="37">
        <f>(SUMIF('YBHN Blank TB'!$R:$R,'YBHN HO P&amp;L'!$A36,'YBHN Blank TB'!E:E)+(SUMIF('YBHN HO TB'!$R:$R,'YBHN HO P&amp;L'!$A36,'YBHN HO TB'!E:E)))</f>
        <v/>
      </c>
      <c r="R36" s="37">
        <f>(SUMIF('YBHN Blank TB'!$R:$R,'YBHN HO P&amp;L'!$A36,'YBHN Blank TB'!F:F)+(SUMIF('YBHN HO TB'!$R:$R,'YBHN HO P&amp;L'!$A36,'YBHN HO TB'!F:F)))</f>
        <v/>
      </c>
      <c r="S36" s="37">
        <f>(SUMIF('YBHN Blank TB'!$R:$R,'YBHN HO P&amp;L'!$A36,'YBHN Blank TB'!G:G)+(SUMIF('YBHN HO TB'!$R:$R,'YBHN HO P&amp;L'!$A36,'YBHN HO TB'!G:G)))</f>
        <v/>
      </c>
      <c r="T36" s="37">
        <f>(SUMIF('YBHN Blank TB'!$R:$R,'YBHN HO P&amp;L'!$A36,'YBHN Blank TB'!H:H)+(SUMIF('YBHN HO TB'!$R:$R,'YBHN HO P&amp;L'!$A36,'YBHN HO TB'!H:H)))</f>
        <v/>
      </c>
      <c r="U36" s="37">
        <f>(SUMIF('YBHN Blank TB'!$R:$R,'YBHN HO P&amp;L'!$A36,'YBHN Blank TB'!I:I)+(SUMIF('YBHN HO TB'!$R:$R,'YBHN HO P&amp;L'!$A36,'YBHN HO TB'!I:I)))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8" t="n">
        <v>0</v>
      </c>
      <c r="AJ36" s="119" t="n">
        <v>0</v>
      </c>
      <c r="AK36" s="119" t="n">
        <v>0</v>
      </c>
      <c r="AL36" s="119" t="n">
        <v>0</v>
      </c>
      <c r="AM36" s="120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0</v>
      </c>
      <c r="C37" s="35" t="n">
        <v>0</v>
      </c>
      <c r="D37" s="35" t="n">
        <v>0</v>
      </c>
      <c r="E37" s="35" t="n">
        <v>0</v>
      </c>
      <c r="F37" s="35" t="n">
        <v>0</v>
      </c>
      <c r="G37" s="35" t="n">
        <v>0</v>
      </c>
      <c r="H37" s="35" t="n">
        <v>0</v>
      </c>
      <c r="I37" s="35" t="n">
        <v>0</v>
      </c>
      <c r="J37" s="35" t="n">
        <v>0</v>
      </c>
      <c r="K37" s="35" t="n">
        <v>0</v>
      </c>
      <c r="L37" s="35" t="n">
        <v>0</v>
      </c>
      <c r="M37" s="35" t="n">
        <v>0</v>
      </c>
      <c r="N37" s="36">
        <f>SUM(B37:M37)</f>
        <v/>
      </c>
      <c r="O37" s="37">
        <f>(SUMIF('YBHN Blank TB'!$R:$R,'YBHN HO P&amp;L'!$A37,'YBHN Blank TB'!C:C)+(SUMIF('YBHN HO TB'!$R:$R,'YBHN HO P&amp;L'!$A37,'YBHN HO TB'!C:C)))</f>
        <v/>
      </c>
      <c r="P37" s="37">
        <f>(SUMIF('YBHN Blank TB'!$R:$R,'YBHN HO P&amp;L'!$A37,'YBHN Blank TB'!D:D)+(SUMIF('YBHN HO TB'!$R:$R,'YBHN HO P&amp;L'!$A37,'YBHN HO TB'!D:D)))</f>
        <v/>
      </c>
      <c r="Q37" s="37">
        <f>(SUMIF('YBHN Blank TB'!$R:$R,'YBHN HO P&amp;L'!$A37,'YBHN Blank TB'!E:E)+(SUMIF('YBHN HO TB'!$R:$R,'YBHN HO P&amp;L'!$A37,'YBHN HO TB'!E:E)))</f>
        <v/>
      </c>
      <c r="R37" s="37">
        <f>(SUMIF('YBHN Blank TB'!$R:$R,'YBHN HO P&amp;L'!$A37,'YBHN Blank TB'!F:F)+(SUMIF('YBHN HO TB'!$R:$R,'YBHN HO P&amp;L'!$A37,'YBHN HO TB'!F:F)))</f>
        <v/>
      </c>
      <c r="S37" s="37">
        <f>(SUMIF('YBHN Blank TB'!$R:$R,'YBHN HO P&amp;L'!$A37,'YBHN Blank TB'!G:G)+(SUMIF('YBHN HO TB'!$R:$R,'YBHN HO P&amp;L'!$A37,'YBHN HO TB'!G:G)))</f>
        <v/>
      </c>
      <c r="T37" s="37">
        <f>(SUMIF('YBHN Blank TB'!$R:$R,'YBHN HO P&amp;L'!$A37,'YBHN Blank TB'!H:H)+(SUMIF('YBHN HO TB'!$R:$R,'YBHN HO P&amp;L'!$A37,'YBHN HO TB'!H:H)))</f>
        <v/>
      </c>
      <c r="U37" s="37">
        <f>(SUMIF('YBHN Blank TB'!$R:$R,'YBHN HO P&amp;L'!$A37,'YBHN Blank TB'!I:I)+(SUMIF('YBHN HO TB'!$R:$R,'YBHN HO P&amp;L'!$A37,'YBHN HO TB'!I:I)))</f>
        <v/>
      </c>
      <c r="V37" s="38" t="n"/>
      <c r="W37" s="38" t="n"/>
      <c r="X37" s="38" t="n"/>
      <c r="Y37" s="38" t="n"/>
      <c r="Z37" s="38" t="n"/>
      <c r="AA37" s="36">
        <f>SUM(O37:U37)</f>
        <v/>
      </c>
      <c r="AB37" s="36">
        <f>SUM(O37:Z37)</f>
        <v/>
      </c>
      <c r="AC37" s="38" t="n"/>
      <c r="AD37" s="38" t="n"/>
      <c r="AE37" s="38" t="n"/>
      <c r="AF37" s="38" t="n"/>
      <c r="AG37" s="38" t="n"/>
      <c r="AH37" s="38" t="n"/>
      <c r="AI37" s="118" t="n">
        <v>0</v>
      </c>
      <c r="AJ37" s="119" t="n">
        <v>0</v>
      </c>
      <c r="AK37" s="119" t="n">
        <v>0</v>
      </c>
      <c r="AL37" s="119" t="n">
        <v>0</v>
      </c>
      <c r="AM37" s="120" t="n">
        <v>0</v>
      </c>
      <c r="AN37" s="118" t="n">
        <v>0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0</v>
      </c>
      <c r="C38" s="35" t="n">
        <v>0</v>
      </c>
      <c r="D38" s="35" t="n">
        <v>0</v>
      </c>
      <c r="E38" s="35" t="n">
        <v>0</v>
      </c>
      <c r="F38" s="35" t="n">
        <v>0</v>
      </c>
      <c r="G38" s="35" t="n">
        <v>0</v>
      </c>
      <c r="H38" s="35" t="n">
        <v>0</v>
      </c>
      <c r="I38" s="35" t="n">
        <v>0</v>
      </c>
      <c r="J38" s="35" t="n">
        <v>0</v>
      </c>
      <c r="K38" s="35" t="n">
        <v>0</v>
      </c>
      <c r="L38" s="35" t="n">
        <v>0</v>
      </c>
      <c r="M38" s="35" t="n">
        <v>-1212.84</v>
      </c>
      <c r="N38" s="36">
        <f>SUM(B38:M38)</f>
        <v/>
      </c>
      <c r="O38" s="37">
        <f>(SUMIF('YBHN Blank TB'!$R:$R,'YBHN HO P&amp;L'!$A38,'YBHN Blank TB'!C:C)+(SUMIF('YBHN HO TB'!$R:$R,'YBHN HO P&amp;L'!$A38,'YBHN HO TB'!C:C)))</f>
        <v/>
      </c>
      <c r="P38" s="37">
        <f>(SUMIF('YBHN Blank TB'!$R:$R,'YBHN HO P&amp;L'!$A38,'YBHN Blank TB'!D:D)+(SUMIF('YBHN HO TB'!$R:$R,'YBHN HO P&amp;L'!$A38,'YBHN HO TB'!D:D)))</f>
        <v/>
      </c>
      <c r="Q38" s="37">
        <f>(SUMIF('YBHN Blank TB'!$R:$R,'YBHN HO P&amp;L'!$A38,'YBHN Blank TB'!E:E)+(SUMIF('YBHN HO TB'!$R:$R,'YBHN HO P&amp;L'!$A38,'YBHN HO TB'!E:E)))</f>
        <v/>
      </c>
      <c r="R38" s="37">
        <f>(SUMIF('YBHN Blank TB'!$R:$R,'YBHN HO P&amp;L'!$A38,'YBHN Blank TB'!F:F)+(SUMIF('YBHN HO TB'!$R:$R,'YBHN HO P&amp;L'!$A38,'YBHN HO TB'!F:F)))</f>
        <v/>
      </c>
      <c r="S38" s="37">
        <f>(SUMIF('YBHN Blank TB'!$R:$R,'YBHN HO P&amp;L'!$A38,'YBHN Blank TB'!G:G)+(SUMIF('YBHN HO TB'!$R:$R,'YBHN HO P&amp;L'!$A38,'YBHN HO TB'!G:G)))</f>
        <v/>
      </c>
      <c r="T38" s="37">
        <f>(SUMIF('YBHN Blank TB'!$R:$R,'YBHN HO P&amp;L'!$A38,'YBHN Blank TB'!H:H)+(SUMIF('YBHN HO TB'!$R:$R,'YBHN HO P&amp;L'!$A38,'YBHN HO TB'!H:H)))</f>
        <v/>
      </c>
      <c r="U38" s="37">
        <f>(SUMIF('YBHN Blank TB'!$R:$R,'YBHN HO P&amp;L'!$A38,'YBHN Blank TB'!I:I)+(SUMIF('YBHN HO TB'!$R:$R,'YBHN HO P&amp;L'!$A38,'YBHN HO TB'!I:I)))</f>
        <v/>
      </c>
      <c r="V38" s="38" t="n"/>
      <c r="W38" s="38" t="n"/>
      <c r="X38" s="38" t="n"/>
      <c r="Y38" s="38" t="n"/>
      <c r="Z38" s="38" t="n"/>
      <c r="AA38" s="36">
        <f>SUM(O38:U38)</f>
        <v/>
      </c>
      <c r="AB38" s="36">
        <f>SUM(O38:Z38)</f>
        <v/>
      </c>
      <c r="AC38" s="38" t="n"/>
      <c r="AD38" s="38" t="n"/>
      <c r="AE38" s="38" t="n"/>
      <c r="AF38" s="38" t="n"/>
      <c r="AG38" s="38" t="n"/>
      <c r="AH38" s="38" t="n"/>
      <c r="AI38" s="118" t="n">
        <v>0</v>
      </c>
      <c r="AJ38" s="119" t="n">
        <v>0</v>
      </c>
      <c r="AK38" s="119" t="n">
        <v>0</v>
      </c>
      <c r="AL38" s="119" t="n">
        <v>0</v>
      </c>
      <c r="AM38" s="120" t="n">
        <v>0</v>
      </c>
      <c r="AN38" s="118" t="n">
        <v>0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0</v>
      </c>
      <c r="C39" s="35" t="n">
        <v>0</v>
      </c>
      <c r="D39" s="35" t="n">
        <v>0</v>
      </c>
      <c r="E39" s="35" t="n">
        <v>0</v>
      </c>
      <c r="F39" s="35" t="n">
        <v>0</v>
      </c>
      <c r="G39" s="35" t="n">
        <v>331.03</v>
      </c>
      <c r="H39" s="35" t="n">
        <v>0</v>
      </c>
      <c r="I39" s="35" t="n">
        <v>0</v>
      </c>
      <c r="J39" s="35" t="n">
        <v>0</v>
      </c>
      <c r="K39" s="35" t="n">
        <v>0</v>
      </c>
      <c r="L39" s="35" t="n">
        <v>0</v>
      </c>
      <c r="M39" s="35" t="n">
        <v>0</v>
      </c>
      <c r="N39" s="36">
        <f>SUM(B39:M39)</f>
        <v/>
      </c>
      <c r="O39" s="37">
        <f>(SUMIF('YBHN Blank TB'!$R:$R,'YBHN HO P&amp;L'!$A39,'YBHN Blank TB'!C:C)+(SUMIF('YBHN HO TB'!$R:$R,'YBHN HO P&amp;L'!$A39,'YBHN HO TB'!C:C)))</f>
        <v/>
      </c>
      <c r="P39" s="37">
        <f>(SUMIF('YBHN Blank TB'!$R:$R,'YBHN HO P&amp;L'!$A39,'YBHN Blank TB'!D:D)+(SUMIF('YBHN HO TB'!$R:$R,'YBHN HO P&amp;L'!$A39,'YBHN HO TB'!D:D)))</f>
        <v/>
      </c>
      <c r="Q39" s="37">
        <f>(SUMIF('YBHN Blank TB'!$R:$R,'YBHN HO P&amp;L'!$A39,'YBHN Blank TB'!E:E)+(SUMIF('YBHN HO TB'!$R:$R,'YBHN HO P&amp;L'!$A39,'YBHN HO TB'!E:E)))</f>
        <v/>
      </c>
      <c r="R39" s="37">
        <f>(SUMIF('YBHN Blank TB'!$R:$R,'YBHN HO P&amp;L'!$A39,'YBHN Blank TB'!F:F)+(SUMIF('YBHN HO TB'!$R:$R,'YBHN HO P&amp;L'!$A39,'YBHN HO TB'!F:F)))</f>
        <v/>
      </c>
      <c r="S39" s="37">
        <f>(SUMIF('YBHN Blank TB'!$R:$R,'YBHN HO P&amp;L'!$A39,'YBHN Blank TB'!G:G)+(SUMIF('YBHN HO TB'!$R:$R,'YBHN HO P&amp;L'!$A39,'YBHN HO TB'!G:G)))</f>
        <v/>
      </c>
      <c r="T39" s="37">
        <f>(SUMIF('YBHN Blank TB'!$R:$R,'YBHN HO P&amp;L'!$A39,'YBHN Blank TB'!H:H)+(SUMIF('YBHN HO TB'!$R:$R,'YBHN HO P&amp;L'!$A39,'YBHN HO TB'!H:H)))</f>
        <v/>
      </c>
      <c r="U39" s="37">
        <f>(SUMIF('YBHN Blank TB'!$R:$R,'YBHN HO P&amp;L'!$A39,'YBHN Blank TB'!I:I)+(SUMIF('YBHN HO TB'!$R:$R,'YBHN HO P&amp;L'!$A39,'YBHN HO TB'!I:I)))</f>
        <v/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8" t="n">
        <v>0</v>
      </c>
      <c r="AJ39" s="119" t="n">
        <v>0</v>
      </c>
      <c r="AK39" s="119" t="n">
        <v>0</v>
      </c>
      <c r="AL39" s="119" t="n">
        <v>0</v>
      </c>
      <c r="AM39" s="120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0</v>
      </c>
      <c r="C40" s="35" t="n">
        <v>0</v>
      </c>
      <c r="D40" s="35" t="n">
        <v>0</v>
      </c>
      <c r="E40" s="35" t="n">
        <v>0</v>
      </c>
      <c r="F40" s="35" t="n">
        <v>0</v>
      </c>
      <c r="G40" s="35" t="n">
        <v>0</v>
      </c>
      <c r="H40" s="35" t="n">
        <v>0</v>
      </c>
      <c r="I40" s="35" t="n">
        <v>0</v>
      </c>
      <c r="J40" s="35" t="n">
        <v>0</v>
      </c>
      <c r="K40" s="35" t="n">
        <v>0</v>
      </c>
      <c r="L40" s="35" t="n">
        <v>0</v>
      </c>
      <c r="M40" s="35" t="n">
        <v>0</v>
      </c>
      <c r="N40" s="36">
        <f>SUM(B40:M40)</f>
        <v/>
      </c>
      <c r="O40" s="37">
        <f>(SUMIF('YBHN Blank TB'!$R:$R,'YBHN HO P&amp;L'!$A40,'YBHN Blank TB'!C:C)+(SUMIF('YBHN HO TB'!$R:$R,'YBHN HO P&amp;L'!$A40,'YBHN HO TB'!C:C)))</f>
        <v/>
      </c>
      <c r="P40" s="37">
        <f>(SUMIF('YBHN Blank TB'!$R:$R,'YBHN HO P&amp;L'!$A40,'YBHN Blank TB'!D:D)+(SUMIF('YBHN HO TB'!$R:$R,'YBHN HO P&amp;L'!$A40,'YBHN HO TB'!D:D)))</f>
        <v/>
      </c>
      <c r="Q40" s="37">
        <f>(SUMIF('YBHN Blank TB'!$R:$R,'YBHN HO P&amp;L'!$A40,'YBHN Blank TB'!E:E)+(SUMIF('YBHN HO TB'!$R:$R,'YBHN HO P&amp;L'!$A40,'YBHN HO TB'!E:E)))</f>
        <v/>
      </c>
      <c r="R40" s="37">
        <f>(SUMIF('YBHN Blank TB'!$R:$R,'YBHN HO P&amp;L'!$A40,'YBHN Blank TB'!F:F)+(SUMIF('YBHN HO TB'!$R:$R,'YBHN HO P&amp;L'!$A40,'YBHN HO TB'!F:F)))</f>
        <v/>
      </c>
      <c r="S40" s="37">
        <f>(SUMIF('YBHN Blank TB'!$R:$R,'YBHN HO P&amp;L'!$A40,'YBHN Blank TB'!G:G)+(SUMIF('YBHN HO TB'!$R:$R,'YBHN HO P&amp;L'!$A40,'YBHN HO TB'!G:G)))</f>
        <v/>
      </c>
      <c r="T40" s="37">
        <f>(SUMIF('YBHN Blank TB'!$R:$R,'YBHN HO P&amp;L'!$A40,'YBHN Blank TB'!H:H)+(SUMIF('YBHN HO TB'!$R:$R,'YBHN HO P&amp;L'!$A40,'YBHN HO TB'!H:H)))</f>
        <v/>
      </c>
      <c r="U40" s="37">
        <f>(SUMIF('YBHN Blank TB'!$R:$R,'YBHN HO P&amp;L'!$A40,'YBHN Blank TB'!I:I)+(SUMIF('YBHN HO TB'!$R:$R,'YBHN HO P&amp;L'!$A40,'YBHN HO TB'!I:I)))</f>
        <v/>
      </c>
      <c r="V40" s="38" t="n"/>
      <c r="W40" s="38" t="n"/>
      <c r="X40" s="38" t="n"/>
      <c r="Y40" s="38" t="n"/>
      <c r="Z40" s="38" t="n"/>
      <c r="AA40" s="36">
        <f>SUM(O40:U40)</f>
        <v/>
      </c>
      <c r="AB40" s="36">
        <f>SUM(O40:Z40)</f>
        <v/>
      </c>
      <c r="AC40" s="38" t="n"/>
      <c r="AD40" s="38" t="n"/>
      <c r="AE40" s="38" t="n"/>
      <c r="AF40" s="38" t="n"/>
      <c r="AG40" s="38" t="n"/>
      <c r="AH40" s="38" t="n"/>
      <c r="AI40" s="118" t="n">
        <v>0</v>
      </c>
      <c r="AJ40" s="119" t="n">
        <v>0</v>
      </c>
      <c r="AK40" s="119" t="n">
        <v>0</v>
      </c>
      <c r="AL40" s="119" t="n">
        <v>0</v>
      </c>
      <c r="AM40" s="120" t="n">
        <v>0</v>
      </c>
      <c r="AN40" s="118" t="n">
        <v>0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0</v>
      </c>
      <c r="C41" s="35" t="n">
        <v>0</v>
      </c>
      <c r="D41" s="35" t="n">
        <v>102.02</v>
      </c>
      <c r="E41" s="35" t="n">
        <v>0</v>
      </c>
      <c r="F41" s="35" t="n">
        <v>0</v>
      </c>
      <c r="G41" s="35" t="n">
        <v>0</v>
      </c>
      <c r="H41" s="35" t="n">
        <v>0</v>
      </c>
      <c r="I41" s="35" t="n">
        <v>0</v>
      </c>
      <c r="J41" s="35" t="n">
        <v>0</v>
      </c>
      <c r="K41" s="35" t="n">
        <v>0</v>
      </c>
      <c r="L41" s="35" t="n">
        <v>0</v>
      </c>
      <c r="M41" s="35" t="n">
        <v>0</v>
      </c>
      <c r="N41" s="36">
        <f>SUM(B41:M41)</f>
        <v/>
      </c>
      <c r="O41" s="37">
        <f>(SUMIF('YBHN Blank TB'!$R:$R,'YBHN HO P&amp;L'!$A41,'YBHN Blank TB'!C:C)+(SUMIF('YBHN HO TB'!$R:$R,'YBHN HO P&amp;L'!$A41,'YBHN HO TB'!C:C)))</f>
        <v/>
      </c>
      <c r="P41" s="37">
        <f>(SUMIF('YBHN Blank TB'!$R:$R,'YBHN HO P&amp;L'!$A41,'YBHN Blank TB'!D:D)+(SUMIF('YBHN HO TB'!$R:$R,'YBHN HO P&amp;L'!$A41,'YBHN HO TB'!D:D)))</f>
        <v/>
      </c>
      <c r="Q41" s="37">
        <f>(SUMIF('YBHN Blank TB'!$R:$R,'YBHN HO P&amp;L'!$A41,'YBHN Blank TB'!E:E)+(SUMIF('YBHN HO TB'!$R:$R,'YBHN HO P&amp;L'!$A41,'YBHN HO TB'!E:E)))</f>
        <v/>
      </c>
      <c r="R41" s="37">
        <f>(SUMIF('YBHN Blank TB'!$R:$R,'YBHN HO P&amp;L'!$A41,'YBHN Blank TB'!F:F)+(SUMIF('YBHN HO TB'!$R:$R,'YBHN HO P&amp;L'!$A41,'YBHN HO TB'!F:F)))</f>
        <v/>
      </c>
      <c r="S41" s="37">
        <f>(SUMIF('YBHN Blank TB'!$R:$R,'YBHN HO P&amp;L'!$A41,'YBHN Blank TB'!G:G)+(SUMIF('YBHN HO TB'!$R:$R,'YBHN HO P&amp;L'!$A41,'YBHN HO TB'!G:G)))</f>
        <v/>
      </c>
      <c r="T41" s="37">
        <f>(SUMIF('YBHN Blank TB'!$R:$R,'YBHN HO P&amp;L'!$A41,'YBHN Blank TB'!H:H)+(SUMIF('YBHN HO TB'!$R:$R,'YBHN HO P&amp;L'!$A41,'YBHN HO TB'!H:H)))</f>
        <v/>
      </c>
      <c r="U41" s="37">
        <f>(SUMIF('YBHN Blank TB'!$R:$R,'YBHN HO P&amp;L'!$A41,'YBHN Blank TB'!I:I)+(SUMIF('YBHN HO TB'!$R:$R,'YBHN HO P&amp;L'!$A41,'YBHN HO TB'!I:I)))</f>
        <v/>
      </c>
      <c r="V41" s="38" t="n"/>
      <c r="W41" s="38" t="n"/>
      <c r="X41" s="38" t="n"/>
      <c r="Y41" s="38" t="n"/>
      <c r="Z41" s="38" t="n"/>
      <c r="AA41" s="36">
        <f>SUM(O41:U41)</f>
        <v/>
      </c>
      <c r="AB41" s="36">
        <f>SUM(O41:Z41)</f>
        <v/>
      </c>
      <c r="AC41" s="38" t="n"/>
      <c r="AD41" s="38" t="n"/>
      <c r="AE41" s="38" t="n"/>
      <c r="AF41" s="38" t="n"/>
      <c r="AG41" s="38" t="n"/>
      <c r="AH41" s="38" t="n"/>
      <c r="AI41" s="118" t="n">
        <v>0</v>
      </c>
      <c r="AJ41" s="119" t="n">
        <v>0</v>
      </c>
      <c r="AK41" s="119" t="n">
        <v>0</v>
      </c>
      <c r="AL41" s="119" t="n">
        <v>0</v>
      </c>
      <c r="AM41" s="120" t="n">
        <v>0</v>
      </c>
      <c r="AN41" s="118" t="n">
        <v>0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0</v>
      </c>
      <c r="C42" s="35" t="n">
        <v>0</v>
      </c>
      <c r="D42" s="35" t="n">
        <v>0</v>
      </c>
      <c r="E42" s="35" t="n">
        <v>0</v>
      </c>
      <c r="F42" s="35" t="n">
        <v>0</v>
      </c>
      <c r="G42" s="35" t="n">
        <v>0</v>
      </c>
      <c r="H42" s="35" t="n">
        <v>0</v>
      </c>
      <c r="I42" s="35" t="n">
        <v>0</v>
      </c>
      <c r="J42" s="35" t="n">
        <v>0</v>
      </c>
      <c r="K42" s="35" t="n">
        <v>0</v>
      </c>
      <c r="L42" s="35" t="n">
        <v>0</v>
      </c>
      <c r="M42" s="35" t="n">
        <v>3.27</v>
      </c>
      <c r="N42" s="36">
        <f>SUM(B42:M42)</f>
        <v/>
      </c>
      <c r="O42" s="37">
        <f>(SUMIF('YBHN Blank TB'!$R:$R,'YBHN HO P&amp;L'!$A42,'YBHN Blank TB'!C:C)+(SUMIF('YBHN HO TB'!$R:$R,'YBHN HO P&amp;L'!$A42,'YBHN HO TB'!C:C)))</f>
        <v/>
      </c>
      <c r="P42" s="37">
        <f>(SUMIF('YBHN Blank TB'!$R:$R,'YBHN HO P&amp;L'!$A42,'YBHN Blank TB'!D:D)+(SUMIF('YBHN HO TB'!$R:$R,'YBHN HO P&amp;L'!$A42,'YBHN HO TB'!D:D)))</f>
        <v/>
      </c>
      <c r="Q42" s="37">
        <f>(SUMIF('YBHN Blank TB'!$R:$R,'YBHN HO P&amp;L'!$A42,'YBHN Blank TB'!E:E)+(SUMIF('YBHN HO TB'!$R:$R,'YBHN HO P&amp;L'!$A42,'YBHN HO TB'!E:E)))</f>
        <v/>
      </c>
      <c r="R42" s="37">
        <f>(SUMIF('YBHN Blank TB'!$R:$R,'YBHN HO P&amp;L'!$A42,'YBHN Blank TB'!F:F)+(SUMIF('YBHN HO TB'!$R:$R,'YBHN HO P&amp;L'!$A42,'YBHN HO TB'!F:F)))</f>
        <v/>
      </c>
      <c r="S42" s="37">
        <f>(SUMIF('YBHN Blank TB'!$R:$R,'YBHN HO P&amp;L'!$A42,'YBHN Blank TB'!G:G)+(SUMIF('YBHN HO TB'!$R:$R,'YBHN HO P&amp;L'!$A42,'YBHN HO TB'!G:G)))</f>
        <v/>
      </c>
      <c r="T42" s="37">
        <f>(SUMIF('YBHN Blank TB'!$R:$R,'YBHN HO P&amp;L'!$A42,'YBHN Blank TB'!H:H)+(SUMIF('YBHN HO TB'!$R:$R,'YBHN HO P&amp;L'!$A42,'YBHN HO TB'!H:H)))</f>
        <v/>
      </c>
      <c r="U42" s="37">
        <f>(SUMIF('YBHN Blank TB'!$R:$R,'YBHN HO P&amp;L'!$A42,'YBHN Blank TB'!I:I)+(SUMIF('YBHN HO TB'!$R:$R,'YBHN HO P&amp;L'!$A42,'YBHN HO TB'!I:I)))</f>
        <v/>
      </c>
      <c r="V42" s="38" t="n"/>
      <c r="W42" s="38" t="n"/>
      <c r="X42" s="38" t="n"/>
      <c r="Y42" s="38" t="n"/>
      <c r="Z42" s="38" t="n"/>
      <c r="AA42" s="36">
        <f>SUM(O42:U42)</f>
        <v/>
      </c>
      <c r="AB42" s="36">
        <f>SUM(O42:Z42)</f>
        <v/>
      </c>
      <c r="AC42" s="38" t="n"/>
      <c r="AD42" s="38" t="n"/>
      <c r="AE42" s="38" t="n"/>
      <c r="AF42" s="38" t="n"/>
      <c r="AG42" s="38" t="n"/>
      <c r="AH42" s="38" t="n"/>
      <c r="AI42" s="118" t="n">
        <v>0</v>
      </c>
      <c r="AJ42" s="119" t="n">
        <v>0</v>
      </c>
      <c r="AK42" s="119" t="n">
        <v>0</v>
      </c>
      <c r="AL42" s="119" t="n">
        <v>0</v>
      </c>
      <c r="AM42" s="120" t="n">
        <v>0</v>
      </c>
      <c r="AN42" s="118" t="n">
        <v>0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(SUMIF('YBHN Blank TB'!$R:$R,'YBHN HO P&amp;L'!$A43,'YBHN Blank TB'!C:C)+(SUMIF('YBHN HO TB'!$R:$R,'YBHN HO P&amp;L'!$A43,'YBHN HO TB'!C:C)))</f>
        <v/>
      </c>
      <c r="P43" s="37">
        <f>(SUMIF('YBHN Blank TB'!$R:$R,'YBHN HO P&amp;L'!$A43,'YBHN Blank TB'!D:D)+(SUMIF('YBHN HO TB'!$R:$R,'YBHN HO P&amp;L'!$A43,'YBHN HO TB'!D:D)))</f>
        <v/>
      </c>
      <c r="Q43" s="37">
        <f>(SUMIF('YBHN Blank TB'!$R:$R,'YBHN HO P&amp;L'!$A43,'YBHN Blank TB'!E:E)+(SUMIF('YBHN HO TB'!$R:$R,'YBHN HO P&amp;L'!$A43,'YBHN HO TB'!E:E)))</f>
        <v/>
      </c>
      <c r="R43" s="37">
        <f>(SUMIF('YBHN Blank TB'!$R:$R,'YBHN HO P&amp;L'!$A43,'YBHN Blank TB'!F:F)+(SUMIF('YBHN HO TB'!$R:$R,'YBHN HO P&amp;L'!$A43,'YBHN HO TB'!F:F)))</f>
        <v/>
      </c>
      <c r="S43" s="37">
        <f>(SUMIF('YBHN Blank TB'!$R:$R,'YBHN HO P&amp;L'!$A43,'YBHN Blank TB'!G:G)+(SUMIF('YBHN HO TB'!$R:$R,'YBHN HO P&amp;L'!$A43,'YBHN HO TB'!G:G)))</f>
        <v/>
      </c>
      <c r="T43" s="37">
        <f>(SUMIF('YBHN Blank TB'!$R:$R,'YBHN HO P&amp;L'!$A43,'YBHN Blank TB'!H:H)+(SUMIF('YBHN HO TB'!$R:$R,'YBHN HO P&amp;L'!$A43,'YBHN HO TB'!H:H)))</f>
        <v/>
      </c>
      <c r="U43" s="37">
        <f>(SUMIF('YBHN Blank TB'!$R:$R,'YBHN HO P&amp;L'!$A43,'YBHN Blank TB'!I:I)+(SUMIF('YBHN HO TB'!$R:$R,'YBHN HO P&amp;L'!$A43,'YBHN HO TB'!I:I)))</f>
        <v/>
      </c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118" t="n">
        <v>0</v>
      </c>
      <c r="AJ43" s="119" t="n">
        <v>0</v>
      </c>
      <c r="AK43" s="119" t="n">
        <v>0</v>
      </c>
      <c r="AL43" s="119" t="n">
        <v>0</v>
      </c>
      <c r="AM43" s="120" t="n">
        <v>0</v>
      </c>
      <c r="AN43" s="118" t="n">
        <v>0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(SUMIF('YBHN Blank TB'!$R:$R,'YBHN HO P&amp;L'!$A44,'YBHN Blank TB'!C:C)+(SUMIF('YBHN HO TB'!$R:$R,'YBHN HO P&amp;L'!$A44,'YBHN HO TB'!C:C)))</f>
        <v/>
      </c>
      <c r="P44" s="37">
        <f>(SUMIF('YBHN Blank TB'!$R:$R,'YBHN HO P&amp;L'!$A44,'YBHN Blank TB'!D:D)+(SUMIF('YBHN HO TB'!$R:$R,'YBHN HO P&amp;L'!$A44,'YBHN HO TB'!D:D)))</f>
        <v/>
      </c>
      <c r="Q44" s="37">
        <f>(SUMIF('YBHN Blank TB'!$R:$R,'YBHN HO P&amp;L'!$A44,'YBHN Blank TB'!E:E)+(SUMIF('YBHN HO TB'!$R:$R,'YBHN HO P&amp;L'!$A44,'YBHN HO TB'!E:E)))</f>
        <v/>
      </c>
      <c r="R44" s="37">
        <f>(SUMIF('YBHN Blank TB'!$R:$R,'YBHN HO P&amp;L'!$A44,'YBHN Blank TB'!F:F)+(SUMIF('YBHN HO TB'!$R:$R,'YBHN HO P&amp;L'!$A44,'YBHN HO TB'!F:F)))</f>
        <v/>
      </c>
      <c r="S44" s="37">
        <f>(SUMIF('YBHN Blank TB'!$R:$R,'YBHN HO P&amp;L'!$A44,'YBHN Blank TB'!G:G)+(SUMIF('YBHN HO TB'!$R:$R,'YBHN HO P&amp;L'!$A44,'YBHN HO TB'!G:G)))</f>
        <v/>
      </c>
      <c r="T44" s="37">
        <f>(SUMIF('YBHN Blank TB'!$R:$R,'YBHN HO P&amp;L'!$A44,'YBHN Blank TB'!H:H)+(SUMIF('YBHN HO TB'!$R:$R,'YBHN HO P&amp;L'!$A44,'YBHN HO TB'!H:H)))</f>
        <v/>
      </c>
      <c r="U44" s="37">
        <f>(SUMIF('YBHN Blank TB'!$R:$R,'YBHN HO P&amp;L'!$A44,'YBHN Blank TB'!I:I)+(SUMIF('YBHN HO TB'!$R:$R,'YBHN HO P&amp;L'!$A44,'YBHN HO TB'!I:I)))</f>
        <v/>
      </c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118" t="n">
        <v>0</v>
      </c>
      <c r="AJ44" s="119" t="n">
        <v>0</v>
      </c>
      <c r="AK44" s="119" t="n">
        <v>0</v>
      </c>
      <c r="AL44" s="119" t="n">
        <v>0</v>
      </c>
      <c r="AM44" s="120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2555.59</v>
      </c>
      <c r="C45" s="35" t="n">
        <v>2594.31</v>
      </c>
      <c r="D45" s="35" t="n">
        <v>2549.76</v>
      </c>
      <c r="E45" s="35" t="n">
        <v>2555.52</v>
      </c>
      <c r="F45" s="35" t="n">
        <v>2555.85</v>
      </c>
      <c r="G45" s="35" t="n">
        <v>2592.7</v>
      </c>
      <c r="H45" s="35" t="n">
        <v>2549.98</v>
      </c>
      <c r="I45" s="35" t="n">
        <v>2549.94</v>
      </c>
      <c r="J45" s="35" t="n">
        <v>2549.95</v>
      </c>
      <c r="K45" s="35" t="n">
        <v>549.84</v>
      </c>
      <c r="L45" s="35" t="n">
        <v>0</v>
      </c>
      <c r="M45" s="35" t="n">
        <v>1.99</v>
      </c>
      <c r="N45" s="36">
        <f>SUM(B45:M45)</f>
        <v/>
      </c>
      <c r="O45" s="37">
        <f>(SUMIF('YBHN Blank TB'!$R:$R,'YBHN HO P&amp;L'!$A45,'YBHN Blank TB'!C:C)+(SUMIF('YBHN HO TB'!$R:$R,'YBHN HO P&amp;L'!$A45,'YBHN HO TB'!C:C)))</f>
        <v/>
      </c>
      <c r="P45" s="37">
        <f>(SUMIF('YBHN Blank TB'!$R:$R,'YBHN HO P&amp;L'!$A45,'YBHN Blank TB'!D:D)+(SUMIF('YBHN HO TB'!$R:$R,'YBHN HO P&amp;L'!$A45,'YBHN HO TB'!D:D)))</f>
        <v/>
      </c>
      <c r="Q45" s="37">
        <f>(SUMIF('YBHN Blank TB'!$R:$R,'YBHN HO P&amp;L'!$A45,'YBHN Blank TB'!E:E)+(SUMIF('YBHN HO TB'!$R:$R,'YBHN HO P&amp;L'!$A45,'YBHN HO TB'!E:E)))</f>
        <v/>
      </c>
      <c r="R45" s="37">
        <f>(SUMIF('YBHN Blank TB'!$R:$R,'YBHN HO P&amp;L'!$A45,'YBHN Blank TB'!F:F)+(SUMIF('YBHN HO TB'!$R:$R,'YBHN HO P&amp;L'!$A45,'YBHN HO TB'!F:F)))</f>
        <v/>
      </c>
      <c r="S45" s="37">
        <f>(SUMIF('YBHN Blank TB'!$R:$R,'YBHN HO P&amp;L'!$A45,'YBHN Blank TB'!G:G)+(SUMIF('YBHN HO TB'!$R:$R,'YBHN HO P&amp;L'!$A45,'YBHN HO TB'!G:G)))</f>
        <v/>
      </c>
      <c r="T45" s="37">
        <f>(SUMIF('YBHN Blank TB'!$R:$R,'YBHN HO P&amp;L'!$A45,'YBHN Blank TB'!H:H)+(SUMIF('YBHN HO TB'!$R:$R,'YBHN HO P&amp;L'!$A45,'YBHN HO TB'!H:H)))</f>
        <v/>
      </c>
      <c r="U45" s="37">
        <f>(SUMIF('YBHN Blank TB'!$R:$R,'YBHN HO P&amp;L'!$A45,'YBHN Blank TB'!I:I)+(SUMIF('YBHN HO TB'!$R:$R,'YBHN HO P&amp;L'!$A45,'YBHN HO TB'!I:I)))</f>
        <v/>
      </c>
      <c r="V45" s="38" t="n"/>
      <c r="W45" s="38" t="n"/>
      <c r="X45" s="38" t="n"/>
      <c r="Y45" s="38" t="n"/>
      <c r="Z45" s="38" t="n"/>
      <c r="AA45" s="36">
        <f>SUM(O45:U45)</f>
        <v/>
      </c>
      <c r="AB45" s="36">
        <f>SUM(O45:Z45)</f>
        <v/>
      </c>
      <c r="AC45" s="38" t="n"/>
      <c r="AD45" s="38" t="n"/>
      <c r="AE45" s="38" t="n"/>
      <c r="AF45" s="38" t="n"/>
      <c r="AG45" s="38" t="n"/>
      <c r="AH45" s="38" t="n"/>
      <c r="AI45" s="118" t="n">
        <v>0</v>
      </c>
      <c r="AJ45" s="119" t="n">
        <v>0</v>
      </c>
      <c r="AK45" s="119" t="n">
        <v>0</v>
      </c>
      <c r="AL45" s="119" t="n">
        <v>0</v>
      </c>
      <c r="AM45" s="120" t="n">
        <v>0</v>
      </c>
      <c r="AN45" s="118" t="n">
        <v>0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(SUMIF('YBHN Blank TB'!$R:$R,'YBHN HO P&amp;L'!$A46,'YBHN Blank TB'!C:C)+(SUMIF('YBHN HO TB'!$R:$R,'YBHN HO P&amp;L'!$A46,'YBHN HO TB'!C:C)))</f>
        <v/>
      </c>
      <c r="P46" s="37">
        <f>(SUMIF('YBHN Blank TB'!$R:$R,'YBHN HO P&amp;L'!$A46,'YBHN Blank TB'!D:D)+(SUMIF('YBHN HO TB'!$R:$R,'YBHN HO P&amp;L'!$A46,'YBHN HO TB'!D:D)))</f>
        <v/>
      </c>
      <c r="Q46" s="37">
        <f>(SUMIF('YBHN Blank TB'!$R:$R,'YBHN HO P&amp;L'!$A46,'YBHN Blank TB'!E:E)+(SUMIF('YBHN HO TB'!$R:$R,'YBHN HO P&amp;L'!$A46,'YBHN HO TB'!E:E)))</f>
        <v/>
      </c>
      <c r="R46" s="37">
        <f>(SUMIF('YBHN Blank TB'!$R:$R,'YBHN HO P&amp;L'!$A46,'YBHN Blank TB'!F:F)+(SUMIF('YBHN HO TB'!$R:$R,'YBHN HO P&amp;L'!$A46,'YBHN HO TB'!F:F)))</f>
        <v/>
      </c>
      <c r="S46" s="37">
        <f>(SUMIF('YBHN Blank TB'!$R:$R,'YBHN HO P&amp;L'!$A46,'YBHN Blank TB'!G:G)+(SUMIF('YBHN HO TB'!$R:$R,'YBHN HO P&amp;L'!$A46,'YBHN HO TB'!G:G)))</f>
        <v/>
      </c>
      <c r="T46" s="37">
        <f>(SUMIF('YBHN Blank TB'!$R:$R,'YBHN HO P&amp;L'!$A46,'YBHN Blank TB'!H:H)+(SUMIF('YBHN HO TB'!$R:$R,'YBHN HO P&amp;L'!$A46,'YBHN HO TB'!H:H)))</f>
        <v/>
      </c>
      <c r="U46" s="37">
        <f>(SUMIF('YBHN Blank TB'!$R:$R,'YBHN HO P&amp;L'!$A46,'YBHN Blank TB'!I:I)+(SUMIF('YBHN HO TB'!$R:$R,'YBHN HO P&amp;L'!$A46,'YBHN HO TB'!I:I)))</f>
        <v/>
      </c>
      <c r="V46" s="38" t="n"/>
      <c r="W46" s="38" t="n"/>
      <c r="X46" s="38" t="n"/>
      <c r="Y46" s="38" t="n"/>
      <c r="Z46" s="38" t="n"/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118" t="n">
        <v>0</v>
      </c>
      <c r="AJ46" s="119" t="n">
        <v>0</v>
      </c>
      <c r="AK46" s="119" t="n">
        <v>0</v>
      </c>
      <c r="AL46" s="119" t="n">
        <v>0</v>
      </c>
      <c r="AM46" s="120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2555.59</v>
      </c>
      <c r="C47" s="42" t="n">
        <v>2594.31</v>
      </c>
      <c r="D47" s="42" t="n">
        <v>2651.78</v>
      </c>
      <c r="E47" s="42" t="n">
        <v>2555.52</v>
      </c>
      <c r="F47" s="42" t="n">
        <v>2555.85</v>
      </c>
      <c r="G47" s="42" t="n">
        <v>2923.73</v>
      </c>
      <c r="H47" s="42" t="n">
        <v>2549.98</v>
      </c>
      <c r="I47" s="42" t="n">
        <v>2549.94</v>
      </c>
      <c r="J47" s="42" t="n">
        <v>2549.95</v>
      </c>
      <c r="K47" s="42" t="n">
        <v>549.84</v>
      </c>
      <c r="L47" s="42" t="n">
        <v>0</v>
      </c>
      <c r="M47" s="42" t="n">
        <v>-1207.58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 t="n"/>
      <c r="AD47" s="45" t="n"/>
      <c r="AE47" s="45" t="n"/>
      <c r="AF47" s="45" t="n"/>
      <c r="AG47" s="45" t="n"/>
      <c r="AH47" s="45" t="n"/>
      <c r="AI47" s="134" t="n">
        <v>0</v>
      </c>
      <c r="AJ47" s="152" t="n">
        <v>0</v>
      </c>
      <c r="AK47" s="152" t="n">
        <v>0</v>
      </c>
      <c r="AL47" s="152" t="n">
        <v>0</v>
      </c>
      <c r="AM47" s="153" t="n">
        <v>0</v>
      </c>
      <c r="AN47" s="134" t="n">
        <v>0</v>
      </c>
      <c r="AO47" s="125">
        <f>SUM(AC47:AH47)+SUM(AI47:AN47)</f>
        <v/>
      </c>
      <c r="AP47" s="126">
        <f>IF(AB47&lt;&gt;0,(AO47-AB47)/ABS(AB47),0)</f>
        <v/>
      </c>
    </row>
    <row r="48">
      <c r="A48" s="22" t="inlineStr">
        <is>
          <t>Total Direct Costs</t>
        </is>
      </c>
      <c r="B48" s="23" t="n">
        <v>9641.529999999999</v>
      </c>
      <c r="C48" s="23" t="n">
        <v>4716.309999999999</v>
      </c>
      <c r="D48" s="23" t="n">
        <v>4241.450000000001</v>
      </c>
      <c r="E48" s="23" t="n">
        <v>3457.44</v>
      </c>
      <c r="F48" s="23" t="n">
        <v>4681.54</v>
      </c>
      <c r="G48" s="23" t="n">
        <v>6634</v>
      </c>
      <c r="H48" s="23" t="n">
        <v>9806.99</v>
      </c>
      <c r="I48" s="23" t="n">
        <v>5983.940000000001</v>
      </c>
      <c r="J48" s="23" t="n">
        <v>5450.98</v>
      </c>
      <c r="K48" s="23" t="n">
        <v>4671.64</v>
      </c>
      <c r="L48" s="23" t="n">
        <v>3846.66</v>
      </c>
      <c r="M48" s="23" t="n">
        <v>3082.98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 t="n"/>
      <c r="AD48" s="26" t="n"/>
      <c r="AE48" s="26" t="n"/>
      <c r="AF48" s="26" t="n"/>
      <c r="AG48" s="26" t="n"/>
      <c r="AH48" s="26" t="n"/>
      <c r="AI48" s="134" t="n">
        <v>0</v>
      </c>
      <c r="AJ48" s="135" t="n">
        <v>0</v>
      </c>
      <c r="AK48" s="135" t="n">
        <v>0</v>
      </c>
      <c r="AL48" s="135" t="n">
        <v>0</v>
      </c>
      <c r="AM48" s="135" t="n">
        <v>0</v>
      </c>
      <c r="AN48" s="134" t="n">
        <v>0</v>
      </c>
      <c r="AO48" s="121">
        <f>SUM(AC48:AH48)+SUM(AI48:AN48)</f>
        <v/>
      </c>
      <c r="AP48" s="122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-9641.529999999999</v>
      </c>
      <c r="C50" s="55" t="n">
        <v>-4671.809999999999</v>
      </c>
      <c r="D50" s="55" t="n">
        <v>-4241.450000000001</v>
      </c>
      <c r="E50" s="55" t="n">
        <v>-3457.44</v>
      </c>
      <c r="F50" s="55" t="n">
        <v>-4681.54</v>
      </c>
      <c r="G50" s="55" t="n">
        <v>-6634</v>
      </c>
      <c r="H50" s="55" t="n">
        <v>-9806.99</v>
      </c>
      <c r="I50" s="55" t="n">
        <v>-5983.940000000001</v>
      </c>
      <c r="J50" s="55" t="n">
        <v>-5450.98</v>
      </c>
      <c r="K50" s="55" t="n">
        <v>-4671.64</v>
      </c>
      <c r="L50" s="55" t="n">
        <v>-3846.66</v>
      </c>
      <c r="M50" s="55" t="n">
        <v>-3082.98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0">
        <f>AI11-AI48</f>
        <v/>
      </c>
      <c r="AJ50" s="140">
        <f>AJ11-AJ48</f>
        <v/>
      </c>
      <c r="AK50" s="140">
        <f>AK11-AK48</f>
        <v/>
      </c>
      <c r="AL50" s="140">
        <f>AL11-AL48</f>
        <v/>
      </c>
      <c r="AM50" s="140">
        <f>AM11-AM48</f>
        <v/>
      </c>
      <c r="AN50" s="140">
        <f>AN11-AN48</f>
        <v/>
      </c>
      <c r="AO50" s="141">
        <f>SUM(AC50:AH50)+SUM(AI50:AN50)</f>
        <v/>
      </c>
      <c r="AP50" s="14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(SUMIF('YBHN Blank TB'!$R:$R,'YBHN HO P&amp;L'!$A53,'YBHN Blank TB'!C:C)+(SUMIF('YBHN HO TB'!$R:$R,'YBHN HO P&amp;L'!$A53,'YBHN HO TB'!C:C)))</f>
        <v/>
      </c>
      <c r="P53" s="37">
        <f>(SUMIF('YBHN Blank TB'!$R:$R,'YBHN HO P&amp;L'!$A53,'YBHN Blank TB'!D:D)+(SUMIF('YBHN HO TB'!$R:$R,'YBHN HO P&amp;L'!$A53,'YBHN HO TB'!D:D)))</f>
        <v/>
      </c>
      <c r="Q53" s="37">
        <f>(SUMIF('YBHN Blank TB'!$R:$R,'YBHN HO P&amp;L'!$A53,'YBHN Blank TB'!E:E)+(SUMIF('YBHN HO TB'!$R:$R,'YBHN HO P&amp;L'!$A53,'YBHN HO TB'!E:E)))</f>
        <v/>
      </c>
      <c r="R53" s="37">
        <f>(SUMIF('YBHN Blank TB'!$R:$R,'YBHN HO P&amp;L'!$A53,'YBHN Blank TB'!F:F)+(SUMIF('YBHN HO TB'!$R:$R,'YBHN HO P&amp;L'!$A53,'YBHN HO TB'!F:F)))</f>
        <v/>
      </c>
      <c r="S53" s="37">
        <f>(SUMIF('YBHN Blank TB'!$R:$R,'YBHN HO P&amp;L'!$A53,'YBHN Blank TB'!G:G)+(SUMIF('YBHN HO TB'!$R:$R,'YBHN HO P&amp;L'!$A53,'YBHN HO TB'!G:G)))</f>
        <v/>
      </c>
      <c r="T53" s="37">
        <f>(SUMIF('YBHN Blank TB'!$R:$R,'YBHN HO P&amp;L'!$A53,'YBHN Blank TB'!H:H)+(SUMIF('YBHN HO TB'!$R:$R,'YBHN HO P&amp;L'!$A53,'YBHN HO TB'!H:H)))</f>
        <v/>
      </c>
      <c r="U53" s="37">
        <f>(SUMIF('YBHN Blank TB'!$R:$R,'YBHN HO P&amp;L'!$A53,'YBHN Blank TB'!I:I)+(SUMIF('YBHN HO TB'!$R:$R,'YBHN HO P&amp;L'!$A53,'YBHN HO TB'!I:I)))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8" t="n">
        <v>0</v>
      </c>
      <c r="AJ53" s="119" t="n">
        <v>0</v>
      </c>
      <c r="AK53" s="119" t="n">
        <v>0</v>
      </c>
      <c r="AL53" s="119" t="n">
        <v>0</v>
      </c>
      <c r="AM53" s="120" t="n">
        <v>0</v>
      </c>
      <c r="AN53" s="118" t="n">
        <v>0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(SUMIF('YBHN Blank TB'!$R:$R,'YBHN HO P&amp;L'!$A54,'YBHN Blank TB'!C:C)+(SUMIF('YBHN HO TB'!$R:$R,'YBHN HO P&amp;L'!$A54,'YBHN HO TB'!C:C)))</f>
        <v/>
      </c>
      <c r="P54" s="37">
        <f>(SUMIF('YBHN Blank TB'!$R:$R,'YBHN HO P&amp;L'!$A54,'YBHN Blank TB'!D:D)+(SUMIF('YBHN HO TB'!$R:$R,'YBHN HO P&amp;L'!$A54,'YBHN HO TB'!D:D)))</f>
        <v/>
      </c>
      <c r="Q54" s="37">
        <f>(SUMIF('YBHN Blank TB'!$R:$R,'YBHN HO P&amp;L'!$A54,'YBHN Blank TB'!E:E)+(SUMIF('YBHN HO TB'!$R:$R,'YBHN HO P&amp;L'!$A54,'YBHN HO TB'!E:E)))</f>
        <v/>
      </c>
      <c r="R54" s="37">
        <f>(SUMIF('YBHN Blank TB'!$R:$R,'YBHN HO P&amp;L'!$A54,'YBHN Blank TB'!F:F)+(SUMIF('YBHN HO TB'!$R:$R,'YBHN HO P&amp;L'!$A54,'YBHN HO TB'!F:F)))</f>
        <v/>
      </c>
      <c r="S54" s="37">
        <f>(SUMIF('YBHN Blank TB'!$R:$R,'YBHN HO P&amp;L'!$A54,'YBHN Blank TB'!G:G)+(SUMIF('YBHN HO TB'!$R:$R,'YBHN HO P&amp;L'!$A54,'YBHN HO TB'!G:G)))</f>
        <v/>
      </c>
      <c r="T54" s="37">
        <f>(SUMIF('YBHN Blank TB'!$R:$R,'YBHN HO P&amp;L'!$A54,'YBHN Blank TB'!H:H)+(SUMIF('YBHN HO TB'!$R:$R,'YBHN HO P&amp;L'!$A54,'YBHN HO TB'!H:H)))</f>
        <v/>
      </c>
      <c r="U54" s="37">
        <f>(SUMIF('YBHN Blank TB'!$R:$R,'YBHN HO P&amp;L'!$A54,'YBHN Blank TB'!I:I)+(SUMIF('YBHN HO TB'!$R:$R,'YBHN HO P&amp;L'!$A54,'YBHN HO TB'!I:I)))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8" t="n">
        <v>0</v>
      </c>
      <c r="AJ54" s="119" t="n">
        <v>0</v>
      </c>
      <c r="AK54" s="119" t="n">
        <v>0</v>
      </c>
      <c r="AL54" s="119" t="n">
        <v>0</v>
      </c>
      <c r="AM54" s="120" t="n">
        <v>0</v>
      </c>
      <c r="AN54" s="118" t="n">
        <v>0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(SUMIF('YBHN Blank TB'!$R:$R,'YBHN HO P&amp;L'!$A55,'YBHN Blank TB'!C:C)+(SUMIF('YBHN HO TB'!$R:$R,'YBHN HO P&amp;L'!$A55,'YBHN HO TB'!C:C)))</f>
        <v/>
      </c>
      <c r="P55" s="37">
        <f>(SUMIF('YBHN Blank TB'!$R:$R,'YBHN HO P&amp;L'!$A55,'YBHN Blank TB'!D:D)+(SUMIF('YBHN HO TB'!$R:$R,'YBHN HO P&amp;L'!$A55,'YBHN HO TB'!D:D)))</f>
        <v/>
      </c>
      <c r="Q55" s="37">
        <f>(SUMIF('YBHN Blank TB'!$R:$R,'YBHN HO P&amp;L'!$A55,'YBHN Blank TB'!E:E)+(SUMIF('YBHN HO TB'!$R:$R,'YBHN HO P&amp;L'!$A55,'YBHN HO TB'!E:E)))</f>
        <v/>
      </c>
      <c r="R55" s="37">
        <f>(SUMIF('YBHN Blank TB'!$R:$R,'YBHN HO P&amp;L'!$A55,'YBHN Blank TB'!F:F)+(SUMIF('YBHN HO TB'!$R:$R,'YBHN HO P&amp;L'!$A55,'YBHN HO TB'!F:F)))</f>
        <v/>
      </c>
      <c r="S55" s="37">
        <f>(SUMIF('YBHN Blank TB'!$R:$R,'YBHN HO P&amp;L'!$A55,'YBHN Blank TB'!G:G)+(SUMIF('YBHN HO TB'!$R:$R,'YBHN HO P&amp;L'!$A55,'YBHN HO TB'!G:G)))</f>
        <v/>
      </c>
      <c r="T55" s="37">
        <f>(SUMIF('YBHN Blank TB'!$R:$R,'YBHN HO P&amp;L'!$A55,'YBHN Blank TB'!H:H)+(SUMIF('YBHN HO TB'!$R:$R,'YBHN HO P&amp;L'!$A55,'YBHN HO TB'!H:H)))</f>
        <v/>
      </c>
      <c r="U55" s="37">
        <f>(SUMIF('YBHN Blank TB'!$R:$R,'YBHN HO P&amp;L'!$A55,'YBHN Blank TB'!I:I)+(SUMIF('YBHN HO TB'!$R:$R,'YBHN HO P&amp;L'!$A55,'YBHN HO TB'!I:I)))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8" t="n">
        <v>0</v>
      </c>
      <c r="AJ55" s="119" t="n">
        <v>0</v>
      </c>
      <c r="AK55" s="119" t="n">
        <v>0</v>
      </c>
      <c r="AL55" s="119" t="n">
        <v>0</v>
      </c>
      <c r="AM55" s="120" t="n">
        <v>0</v>
      </c>
      <c r="AN55" s="118" t="n">
        <v>0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(SUMIF('YBHN Blank TB'!$R:$R,'YBHN HO P&amp;L'!$A56,'YBHN Blank TB'!C:C)+(SUMIF('YBHN HO TB'!$R:$R,'YBHN HO P&amp;L'!$A56,'YBHN HO TB'!C:C)))</f>
        <v/>
      </c>
      <c r="P56" s="37">
        <f>(SUMIF('YBHN Blank TB'!$R:$R,'YBHN HO P&amp;L'!$A56,'YBHN Blank TB'!D:D)+(SUMIF('YBHN HO TB'!$R:$R,'YBHN HO P&amp;L'!$A56,'YBHN HO TB'!D:D)))</f>
        <v/>
      </c>
      <c r="Q56" s="37">
        <f>(SUMIF('YBHN Blank TB'!$R:$R,'YBHN HO P&amp;L'!$A56,'YBHN Blank TB'!E:E)+(SUMIF('YBHN HO TB'!$R:$R,'YBHN HO P&amp;L'!$A56,'YBHN HO TB'!E:E)))</f>
        <v/>
      </c>
      <c r="R56" s="37">
        <f>(SUMIF('YBHN Blank TB'!$R:$R,'YBHN HO P&amp;L'!$A56,'YBHN Blank TB'!F:F)+(SUMIF('YBHN HO TB'!$R:$R,'YBHN HO P&amp;L'!$A56,'YBHN HO TB'!F:F)))</f>
        <v/>
      </c>
      <c r="S56" s="37">
        <f>(SUMIF('YBHN Blank TB'!$R:$R,'YBHN HO P&amp;L'!$A56,'YBHN Blank TB'!G:G)+(SUMIF('YBHN HO TB'!$R:$R,'YBHN HO P&amp;L'!$A56,'YBHN HO TB'!G:G)))</f>
        <v/>
      </c>
      <c r="T56" s="37">
        <f>(SUMIF('YBHN Blank TB'!$R:$R,'YBHN HO P&amp;L'!$A56,'YBHN Blank TB'!H:H)+(SUMIF('YBHN HO TB'!$R:$R,'YBHN HO P&amp;L'!$A56,'YBHN HO TB'!H:H)))</f>
        <v/>
      </c>
      <c r="U56" s="37">
        <f>(SUMIF('YBHN Blank TB'!$R:$R,'YBHN HO P&amp;L'!$A56,'YBHN Blank TB'!I:I)+(SUMIF('YBHN HO TB'!$R:$R,'YBHN HO P&amp;L'!$A56,'YBHN HO TB'!I:I)))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8" t="n">
        <v>0</v>
      </c>
      <c r="AJ56" s="119" t="n">
        <v>0</v>
      </c>
      <c r="AK56" s="119" t="n">
        <v>0</v>
      </c>
      <c r="AL56" s="119" t="n">
        <v>0</v>
      </c>
      <c r="AM56" s="120" t="n">
        <v>0</v>
      </c>
      <c r="AN56" s="118" t="n">
        <v>0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0</v>
      </c>
      <c r="N57" s="36">
        <f>SUM(B57:M57)</f>
        <v/>
      </c>
      <c r="O57" s="37">
        <f>(SUMIF('YBHN Blank TB'!$R:$R,'YBHN HO P&amp;L'!$A57,'YBHN Blank TB'!C:C)+(SUMIF('YBHN HO TB'!$R:$R,'YBHN HO P&amp;L'!$A57,'YBHN HO TB'!C:C)))</f>
        <v/>
      </c>
      <c r="P57" s="37">
        <f>(SUMIF('YBHN Blank TB'!$R:$R,'YBHN HO P&amp;L'!$A57,'YBHN Blank TB'!D:D)+(SUMIF('YBHN HO TB'!$R:$R,'YBHN HO P&amp;L'!$A57,'YBHN HO TB'!D:D)))</f>
        <v/>
      </c>
      <c r="Q57" s="37">
        <f>(SUMIF('YBHN Blank TB'!$R:$R,'YBHN HO P&amp;L'!$A57,'YBHN Blank TB'!E:E)+(SUMIF('YBHN HO TB'!$R:$R,'YBHN HO P&amp;L'!$A57,'YBHN HO TB'!E:E)))</f>
        <v/>
      </c>
      <c r="R57" s="37">
        <f>(SUMIF('YBHN Blank TB'!$R:$R,'YBHN HO P&amp;L'!$A57,'YBHN Blank TB'!F:F)+(SUMIF('YBHN HO TB'!$R:$R,'YBHN HO P&amp;L'!$A57,'YBHN HO TB'!F:F)))</f>
        <v/>
      </c>
      <c r="S57" s="37">
        <f>(SUMIF('YBHN Blank TB'!$R:$R,'YBHN HO P&amp;L'!$A57,'YBHN Blank TB'!G:G)+(SUMIF('YBHN HO TB'!$R:$R,'YBHN HO P&amp;L'!$A57,'YBHN HO TB'!G:G)))</f>
        <v/>
      </c>
      <c r="T57" s="37">
        <f>(SUMIF('YBHN Blank TB'!$R:$R,'YBHN HO P&amp;L'!$A57,'YBHN Blank TB'!H:H)+(SUMIF('YBHN HO TB'!$R:$R,'YBHN HO P&amp;L'!$A57,'YBHN HO TB'!H:H)))</f>
        <v/>
      </c>
      <c r="U57" s="37">
        <f>(SUMIF('YBHN Blank TB'!$R:$R,'YBHN HO P&amp;L'!$A57,'YBHN Blank TB'!I:I)+(SUMIF('YBHN HO TB'!$R:$R,'YBHN HO P&amp;L'!$A57,'YBHN HO TB'!I:I)))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 t="n"/>
      <c r="AD57" s="38" t="n"/>
      <c r="AE57" s="38" t="n"/>
      <c r="AF57" s="38" t="n"/>
      <c r="AG57" s="38" t="n"/>
      <c r="AH57" s="38" t="n"/>
      <c r="AI57" s="118" t="n">
        <v>0</v>
      </c>
      <c r="AJ57" s="119" t="n">
        <v>0</v>
      </c>
      <c r="AK57" s="119" t="n">
        <v>0</v>
      </c>
      <c r="AL57" s="119" t="n">
        <v>0</v>
      </c>
      <c r="AM57" s="120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(SUMIF('YBHN Blank TB'!$R:$R,'YBHN HO P&amp;L'!$A58,'YBHN Blank TB'!C:C)+(SUMIF('YBHN HO TB'!$R:$R,'YBHN HO P&amp;L'!$A58,'YBHN HO TB'!C:C)))</f>
        <v/>
      </c>
      <c r="P58" s="37">
        <f>(SUMIF('YBHN Blank TB'!$R:$R,'YBHN HO P&amp;L'!$A58,'YBHN Blank TB'!D:D)+(SUMIF('YBHN HO TB'!$R:$R,'YBHN HO P&amp;L'!$A58,'YBHN HO TB'!D:D)))</f>
        <v/>
      </c>
      <c r="Q58" s="37">
        <f>(SUMIF('YBHN Blank TB'!$R:$R,'YBHN HO P&amp;L'!$A58,'YBHN Blank TB'!E:E)+(SUMIF('YBHN HO TB'!$R:$R,'YBHN HO P&amp;L'!$A58,'YBHN HO TB'!E:E)))</f>
        <v/>
      </c>
      <c r="R58" s="37">
        <f>(SUMIF('YBHN Blank TB'!$R:$R,'YBHN HO P&amp;L'!$A58,'YBHN Blank TB'!F:F)+(SUMIF('YBHN HO TB'!$R:$R,'YBHN HO P&amp;L'!$A58,'YBHN HO TB'!F:F)))</f>
        <v/>
      </c>
      <c r="S58" s="37">
        <f>(SUMIF('YBHN Blank TB'!$R:$R,'YBHN HO P&amp;L'!$A58,'YBHN Blank TB'!G:G)+(SUMIF('YBHN HO TB'!$R:$R,'YBHN HO P&amp;L'!$A58,'YBHN HO TB'!G:G)))</f>
        <v/>
      </c>
      <c r="T58" s="37">
        <f>(SUMIF('YBHN Blank TB'!$R:$R,'YBHN HO P&amp;L'!$A58,'YBHN Blank TB'!H:H)+(SUMIF('YBHN HO TB'!$R:$R,'YBHN HO P&amp;L'!$A58,'YBHN HO TB'!H:H)))</f>
        <v/>
      </c>
      <c r="U58" s="37">
        <f>(SUMIF('YBHN Blank TB'!$R:$R,'YBHN HO P&amp;L'!$A58,'YBHN Blank TB'!I:I)+(SUMIF('YBHN HO TB'!$R:$R,'YBHN HO P&amp;L'!$A58,'YBHN HO TB'!I:I)))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8" t="n">
        <v>0</v>
      </c>
      <c r="AJ58" s="119" t="n">
        <v>0</v>
      </c>
      <c r="AK58" s="119" t="n">
        <v>0</v>
      </c>
      <c r="AL58" s="119" t="n">
        <v>0</v>
      </c>
      <c r="AM58" s="120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0</v>
      </c>
      <c r="C59" s="35" t="n">
        <v>0</v>
      </c>
      <c r="D59" s="35" t="n">
        <v>0</v>
      </c>
      <c r="E59" s="35" t="n">
        <v>0</v>
      </c>
      <c r="F59" s="35" t="n">
        <v>0</v>
      </c>
      <c r="G59" s="35" t="n">
        <v>0</v>
      </c>
      <c r="H59" s="35" t="n">
        <v>0</v>
      </c>
      <c r="I59" s="35" t="n">
        <v>0</v>
      </c>
      <c r="J59" s="35" t="n">
        <v>0</v>
      </c>
      <c r="K59" s="35" t="n">
        <v>0</v>
      </c>
      <c r="L59" s="35" t="n">
        <v>0</v>
      </c>
      <c r="M59" s="35" t="n">
        <v>0</v>
      </c>
      <c r="N59" s="36">
        <f>SUM(B59:M59)</f>
        <v/>
      </c>
      <c r="O59" s="37">
        <f>(SUMIF('YBHN Blank TB'!$R:$R,'YBHN HO P&amp;L'!$A59,'YBHN Blank TB'!C:C)+(SUMIF('YBHN HO TB'!$R:$R,'YBHN HO P&amp;L'!$A59,'YBHN HO TB'!C:C)))</f>
        <v/>
      </c>
      <c r="P59" s="37">
        <f>(SUMIF('YBHN Blank TB'!$R:$R,'YBHN HO P&amp;L'!$A59,'YBHN Blank TB'!D:D)+(SUMIF('YBHN HO TB'!$R:$R,'YBHN HO P&amp;L'!$A59,'YBHN HO TB'!D:D)))</f>
        <v/>
      </c>
      <c r="Q59" s="37">
        <f>(SUMIF('YBHN Blank TB'!$R:$R,'YBHN HO P&amp;L'!$A59,'YBHN Blank TB'!E:E)+(SUMIF('YBHN HO TB'!$R:$R,'YBHN HO P&amp;L'!$A59,'YBHN HO TB'!E:E)))</f>
        <v/>
      </c>
      <c r="R59" s="37">
        <f>(SUMIF('YBHN Blank TB'!$R:$R,'YBHN HO P&amp;L'!$A59,'YBHN Blank TB'!F:F)+(SUMIF('YBHN HO TB'!$R:$R,'YBHN HO P&amp;L'!$A59,'YBHN HO TB'!F:F)))</f>
        <v/>
      </c>
      <c r="S59" s="37">
        <f>(SUMIF('YBHN Blank TB'!$R:$R,'YBHN HO P&amp;L'!$A59,'YBHN Blank TB'!G:G)+(SUMIF('YBHN HO TB'!$R:$R,'YBHN HO P&amp;L'!$A59,'YBHN HO TB'!G:G)))</f>
        <v/>
      </c>
      <c r="T59" s="37">
        <f>(SUMIF('YBHN Blank TB'!$R:$R,'YBHN HO P&amp;L'!$A59,'YBHN Blank TB'!H:H)+(SUMIF('YBHN HO TB'!$R:$R,'YBHN HO P&amp;L'!$A59,'YBHN HO TB'!H:H)))</f>
        <v/>
      </c>
      <c r="U59" s="37">
        <f>(SUMIF('YBHN Blank TB'!$R:$R,'YBHN HO P&amp;L'!$A59,'YBHN Blank TB'!I:I)+(SUMIF('YBHN HO TB'!$R:$R,'YBHN HO P&amp;L'!$A59,'YBHN HO TB'!I:I)))</f>
        <v/>
      </c>
      <c r="V59" s="38" t="n"/>
      <c r="W59" s="38" t="n"/>
      <c r="X59" s="38" t="n"/>
      <c r="Y59" s="38" t="n"/>
      <c r="Z59" s="38" t="n"/>
      <c r="AA59" s="36">
        <f>SUM(O59:U59)</f>
        <v/>
      </c>
      <c r="AB59" s="36">
        <f>SUM(O59:Z59)</f>
        <v/>
      </c>
      <c r="AC59" s="38" t="n"/>
      <c r="AD59" s="38" t="n"/>
      <c r="AE59" s="38" t="n"/>
      <c r="AF59" s="38" t="n"/>
      <c r="AG59" s="38" t="n"/>
      <c r="AH59" s="38" t="n"/>
      <c r="AI59" s="118" t="n">
        <v>0</v>
      </c>
      <c r="AJ59" s="119" t="n">
        <v>0</v>
      </c>
      <c r="AK59" s="119" t="n">
        <v>0</v>
      </c>
      <c r="AL59" s="119" t="n">
        <v>0</v>
      </c>
      <c r="AM59" s="120" t="n">
        <v>0</v>
      </c>
      <c r="AN59" s="118" t="n">
        <v>0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1830.97</v>
      </c>
      <c r="C60" s="35" t="n">
        <v>458.41</v>
      </c>
      <c r="D60" s="35" t="n">
        <v>256.59</v>
      </c>
      <c r="E60" s="35" t="n">
        <v>385.3100000000001</v>
      </c>
      <c r="F60" s="35" t="n">
        <v>206.21</v>
      </c>
      <c r="G60" s="35" t="n">
        <v>108.78</v>
      </c>
      <c r="H60" s="35" t="n">
        <v>259.42</v>
      </c>
      <c r="I60" s="35" t="n">
        <v>188.7</v>
      </c>
      <c r="J60" s="35" t="n">
        <v>247.71</v>
      </c>
      <c r="K60" s="35" t="n">
        <v>308.29</v>
      </c>
      <c r="L60" s="35" t="n">
        <v>237.44</v>
      </c>
      <c r="M60" s="35" t="n">
        <v>53.14</v>
      </c>
      <c r="N60" s="36">
        <f>SUM(B60:M60)</f>
        <v/>
      </c>
      <c r="O60" s="37">
        <f>(SUMIF('YBHN Blank TB'!$R:$R,'YBHN HO P&amp;L'!$A60,'YBHN Blank TB'!C:C)+(SUMIF('YBHN HO TB'!$R:$R,'YBHN HO P&amp;L'!$A60,'YBHN HO TB'!C:C)))</f>
        <v/>
      </c>
      <c r="P60" s="37">
        <f>(SUMIF('YBHN Blank TB'!$R:$R,'YBHN HO P&amp;L'!$A60,'YBHN Blank TB'!D:D)+(SUMIF('YBHN HO TB'!$R:$R,'YBHN HO P&amp;L'!$A60,'YBHN HO TB'!D:D)))</f>
        <v/>
      </c>
      <c r="Q60" s="37">
        <f>(SUMIF('YBHN Blank TB'!$R:$R,'YBHN HO P&amp;L'!$A60,'YBHN Blank TB'!E:E)+(SUMIF('YBHN HO TB'!$R:$R,'YBHN HO P&amp;L'!$A60,'YBHN HO TB'!E:E)))</f>
        <v/>
      </c>
      <c r="R60" s="37">
        <f>(SUMIF('YBHN Blank TB'!$R:$R,'YBHN HO P&amp;L'!$A60,'YBHN Blank TB'!F:F)+(SUMIF('YBHN HO TB'!$R:$R,'YBHN HO P&amp;L'!$A60,'YBHN HO TB'!F:F)))</f>
        <v/>
      </c>
      <c r="S60" s="37">
        <f>(SUMIF('YBHN Blank TB'!$R:$R,'YBHN HO P&amp;L'!$A60,'YBHN Blank TB'!G:G)+(SUMIF('YBHN HO TB'!$R:$R,'YBHN HO P&amp;L'!$A60,'YBHN HO TB'!G:G)))</f>
        <v/>
      </c>
      <c r="T60" s="37">
        <f>(SUMIF('YBHN Blank TB'!$R:$R,'YBHN HO P&amp;L'!$A60,'YBHN Blank TB'!H:H)+(SUMIF('YBHN HO TB'!$R:$R,'YBHN HO P&amp;L'!$A60,'YBHN HO TB'!H:H)))</f>
        <v/>
      </c>
      <c r="U60" s="37">
        <f>(SUMIF('YBHN Blank TB'!$R:$R,'YBHN HO P&amp;L'!$A60,'YBHN Blank TB'!I:I)+(SUMIF('YBHN HO TB'!$R:$R,'YBHN HO P&amp;L'!$A60,'YBHN HO TB'!I:I)))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8" t="n">
        <v>0</v>
      </c>
      <c r="AJ60" s="119" t="n">
        <v>0</v>
      </c>
      <c r="AK60" s="119" t="n">
        <v>0</v>
      </c>
      <c r="AL60" s="119" t="n">
        <v>0</v>
      </c>
      <c r="AM60" s="120" t="n">
        <v>0</v>
      </c>
      <c r="AN60" s="118" t="n">
        <v>0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-1.71</v>
      </c>
      <c r="I61" s="35" t="n">
        <v>0</v>
      </c>
      <c r="J61" s="35" t="n">
        <v>0</v>
      </c>
      <c r="K61" s="35" t="n">
        <v>0</v>
      </c>
      <c r="L61" s="35" t="n">
        <v>0</v>
      </c>
      <c r="M61" s="35" t="n">
        <v>0</v>
      </c>
      <c r="N61" s="36">
        <f>SUM(B61:M61)</f>
        <v/>
      </c>
      <c r="O61" s="37">
        <f>(SUMIF('YBHN Blank TB'!$R:$R,'YBHN HO P&amp;L'!$A61,'YBHN Blank TB'!C:C)+(SUMIF('YBHN HO TB'!$R:$R,'YBHN HO P&amp;L'!$A61,'YBHN HO TB'!C:C)))</f>
        <v/>
      </c>
      <c r="P61" s="37">
        <f>(SUMIF('YBHN Blank TB'!$R:$R,'YBHN HO P&amp;L'!$A61,'YBHN Blank TB'!D:D)+(SUMIF('YBHN HO TB'!$R:$R,'YBHN HO P&amp;L'!$A61,'YBHN HO TB'!D:D)))</f>
        <v/>
      </c>
      <c r="Q61" s="37">
        <f>(SUMIF('YBHN Blank TB'!$R:$R,'YBHN HO P&amp;L'!$A61,'YBHN Blank TB'!E:E)+(SUMIF('YBHN HO TB'!$R:$R,'YBHN HO P&amp;L'!$A61,'YBHN HO TB'!E:E)))</f>
        <v/>
      </c>
      <c r="R61" s="37">
        <f>(SUMIF('YBHN Blank TB'!$R:$R,'YBHN HO P&amp;L'!$A61,'YBHN Blank TB'!F:F)+(SUMIF('YBHN HO TB'!$R:$R,'YBHN HO P&amp;L'!$A61,'YBHN HO TB'!F:F)))</f>
        <v/>
      </c>
      <c r="S61" s="37">
        <f>(SUMIF('YBHN Blank TB'!$R:$R,'YBHN HO P&amp;L'!$A61,'YBHN Blank TB'!G:G)+(SUMIF('YBHN HO TB'!$R:$R,'YBHN HO P&amp;L'!$A61,'YBHN HO TB'!G:G)))</f>
        <v/>
      </c>
      <c r="T61" s="37">
        <f>(SUMIF('YBHN Blank TB'!$R:$R,'YBHN HO P&amp;L'!$A61,'YBHN Blank TB'!H:H)+(SUMIF('YBHN HO TB'!$R:$R,'YBHN HO P&amp;L'!$A61,'YBHN HO TB'!H:H)))</f>
        <v/>
      </c>
      <c r="U61" s="37">
        <f>(SUMIF('YBHN Blank TB'!$R:$R,'YBHN HO P&amp;L'!$A61,'YBHN Blank TB'!I:I)+(SUMIF('YBHN HO TB'!$R:$R,'YBHN HO P&amp;L'!$A61,'YBHN HO TB'!I:I)))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8" t="n">
        <v>0</v>
      </c>
      <c r="AJ61" s="119" t="n">
        <v>0</v>
      </c>
      <c r="AK61" s="119" t="n">
        <v>0</v>
      </c>
      <c r="AL61" s="119" t="n">
        <v>0</v>
      </c>
      <c r="AM61" s="120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697.5</v>
      </c>
      <c r="K62" s="35" t="n">
        <v>0</v>
      </c>
      <c r="L62" s="35" t="n">
        <v>0</v>
      </c>
      <c r="M62" s="35" t="n">
        <v>20</v>
      </c>
      <c r="N62" s="36">
        <f>SUM(B62:M62)</f>
        <v/>
      </c>
      <c r="O62" s="37">
        <f>(SUMIF('YBHN Blank TB'!$R:$R,'YBHN HO P&amp;L'!$A62,'YBHN Blank TB'!C:C)+(SUMIF('YBHN HO TB'!$R:$R,'YBHN HO P&amp;L'!$A62,'YBHN HO TB'!C:C)))</f>
        <v/>
      </c>
      <c r="P62" s="37">
        <f>(SUMIF('YBHN Blank TB'!$R:$R,'YBHN HO P&amp;L'!$A62,'YBHN Blank TB'!D:D)+(SUMIF('YBHN HO TB'!$R:$R,'YBHN HO P&amp;L'!$A62,'YBHN HO TB'!D:D)))</f>
        <v/>
      </c>
      <c r="Q62" s="37">
        <f>(SUMIF('YBHN Blank TB'!$R:$R,'YBHN HO P&amp;L'!$A62,'YBHN Blank TB'!E:E)+(SUMIF('YBHN HO TB'!$R:$R,'YBHN HO P&amp;L'!$A62,'YBHN HO TB'!E:E)))</f>
        <v/>
      </c>
      <c r="R62" s="37">
        <f>(SUMIF('YBHN Blank TB'!$R:$R,'YBHN HO P&amp;L'!$A62,'YBHN Blank TB'!F:F)+(SUMIF('YBHN HO TB'!$R:$R,'YBHN HO P&amp;L'!$A62,'YBHN HO TB'!F:F)))</f>
        <v/>
      </c>
      <c r="S62" s="37">
        <f>(SUMIF('YBHN Blank TB'!$R:$R,'YBHN HO P&amp;L'!$A62,'YBHN Blank TB'!G:G)+(SUMIF('YBHN HO TB'!$R:$R,'YBHN HO P&amp;L'!$A62,'YBHN HO TB'!G:G)))</f>
        <v/>
      </c>
      <c r="T62" s="37">
        <f>(SUMIF('YBHN Blank TB'!$R:$R,'YBHN HO P&amp;L'!$A62,'YBHN Blank TB'!H:H)+(SUMIF('YBHN HO TB'!$R:$R,'YBHN HO P&amp;L'!$A62,'YBHN HO TB'!H:H)))</f>
        <v/>
      </c>
      <c r="U62" s="37">
        <f>(SUMIF('YBHN Blank TB'!$R:$R,'YBHN HO P&amp;L'!$A62,'YBHN Blank TB'!I:I)+(SUMIF('YBHN HO TB'!$R:$R,'YBHN HO P&amp;L'!$A62,'YBHN HO TB'!I:I)))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8" t="n">
        <v>0</v>
      </c>
      <c r="AJ62" s="119" t="n">
        <v>0</v>
      </c>
      <c r="AK62" s="119" t="n">
        <v>0</v>
      </c>
      <c r="AL62" s="119" t="n">
        <v>0</v>
      </c>
      <c r="AM62" s="120" t="n">
        <v>0</v>
      </c>
      <c r="AN62" s="118" t="n">
        <v>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(SUMIF('YBHN Blank TB'!$R:$R,'YBHN HO P&amp;L'!$A63,'YBHN Blank TB'!C:C)+(SUMIF('YBHN HO TB'!$R:$R,'YBHN HO P&amp;L'!$A63,'YBHN HO TB'!C:C)))</f>
        <v/>
      </c>
      <c r="P63" s="37">
        <f>(SUMIF('YBHN Blank TB'!$R:$R,'YBHN HO P&amp;L'!$A63,'YBHN Blank TB'!D:D)+(SUMIF('YBHN HO TB'!$R:$R,'YBHN HO P&amp;L'!$A63,'YBHN HO TB'!D:D)))</f>
        <v/>
      </c>
      <c r="Q63" s="37">
        <f>(SUMIF('YBHN Blank TB'!$R:$R,'YBHN HO P&amp;L'!$A63,'YBHN Blank TB'!E:E)+(SUMIF('YBHN HO TB'!$R:$R,'YBHN HO P&amp;L'!$A63,'YBHN HO TB'!E:E)))</f>
        <v/>
      </c>
      <c r="R63" s="37">
        <f>(SUMIF('YBHN Blank TB'!$R:$R,'YBHN HO P&amp;L'!$A63,'YBHN Blank TB'!F:F)+(SUMIF('YBHN HO TB'!$R:$R,'YBHN HO P&amp;L'!$A63,'YBHN HO TB'!F:F)))</f>
        <v/>
      </c>
      <c r="S63" s="37">
        <f>(SUMIF('YBHN Blank TB'!$R:$R,'YBHN HO P&amp;L'!$A63,'YBHN Blank TB'!G:G)+(SUMIF('YBHN HO TB'!$R:$R,'YBHN HO P&amp;L'!$A63,'YBHN HO TB'!G:G)))</f>
        <v/>
      </c>
      <c r="T63" s="37">
        <f>(SUMIF('YBHN Blank TB'!$R:$R,'YBHN HO P&amp;L'!$A63,'YBHN Blank TB'!H:H)+(SUMIF('YBHN HO TB'!$R:$R,'YBHN HO P&amp;L'!$A63,'YBHN HO TB'!H:H)))</f>
        <v/>
      </c>
      <c r="U63" s="37">
        <f>(SUMIF('YBHN Blank TB'!$R:$R,'YBHN HO P&amp;L'!$A63,'YBHN Blank TB'!I:I)+(SUMIF('YBHN HO TB'!$R:$R,'YBHN HO P&amp;L'!$A63,'YBHN HO TB'!I:I)))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8" t="n">
        <v>0</v>
      </c>
      <c r="AJ63" s="119" t="n">
        <v>0</v>
      </c>
      <c r="AK63" s="119" t="n">
        <v>0</v>
      </c>
      <c r="AL63" s="119" t="n">
        <v>0</v>
      </c>
      <c r="AM63" s="120" t="n">
        <v>0</v>
      </c>
      <c r="AN63" s="118" t="n">
        <v>0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(SUMIF('YBHN Blank TB'!$R:$R,'YBHN HO P&amp;L'!$A64,'YBHN Blank TB'!C:C)+(SUMIF('YBHN HO TB'!$R:$R,'YBHN HO P&amp;L'!$A64,'YBHN HO TB'!C:C)))</f>
        <v/>
      </c>
      <c r="P64" s="37">
        <f>(SUMIF('YBHN Blank TB'!$R:$R,'YBHN HO P&amp;L'!$A64,'YBHN Blank TB'!D:D)+(SUMIF('YBHN HO TB'!$R:$R,'YBHN HO P&amp;L'!$A64,'YBHN HO TB'!D:D)))</f>
        <v/>
      </c>
      <c r="Q64" s="37">
        <f>(SUMIF('YBHN Blank TB'!$R:$R,'YBHN HO P&amp;L'!$A64,'YBHN Blank TB'!E:E)+(SUMIF('YBHN HO TB'!$R:$R,'YBHN HO P&amp;L'!$A64,'YBHN HO TB'!E:E)))</f>
        <v/>
      </c>
      <c r="R64" s="37">
        <f>(SUMIF('YBHN Blank TB'!$R:$R,'YBHN HO P&amp;L'!$A64,'YBHN Blank TB'!F:F)+(SUMIF('YBHN HO TB'!$R:$R,'YBHN HO P&amp;L'!$A64,'YBHN HO TB'!F:F)))</f>
        <v/>
      </c>
      <c r="S64" s="37">
        <f>(SUMIF('YBHN Blank TB'!$R:$R,'YBHN HO P&amp;L'!$A64,'YBHN Blank TB'!G:G)+(SUMIF('YBHN HO TB'!$R:$R,'YBHN HO P&amp;L'!$A64,'YBHN HO TB'!G:G)))</f>
        <v/>
      </c>
      <c r="T64" s="37">
        <f>(SUMIF('YBHN Blank TB'!$R:$R,'YBHN HO P&amp;L'!$A64,'YBHN Blank TB'!H:H)+(SUMIF('YBHN HO TB'!$R:$R,'YBHN HO P&amp;L'!$A64,'YBHN HO TB'!H:H)))</f>
        <v/>
      </c>
      <c r="U64" s="37">
        <f>(SUMIF('YBHN Blank TB'!$R:$R,'YBHN HO P&amp;L'!$A64,'YBHN Blank TB'!I:I)+(SUMIF('YBHN HO TB'!$R:$R,'YBHN HO P&amp;L'!$A64,'YBHN HO TB'!I:I)))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8" t="n">
        <v>0</v>
      </c>
      <c r="AJ64" s="119" t="n">
        <v>0</v>
      </c>
      <c r="AK64" s="119" t="n">
        <v>0</v>
      </c>
      <c r="AL64" s="119" t="n">
        <v>0</v>
      </c>
      <c r="AM64" s="120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30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(SUMIF('YBHN Blank TB'!$R:$R,'YBHN HO P&amp;L'!$A65,'YBHN Blank TB'!C:C)+(SUMIF('YBHN HO TB'!$R:$R,'YBHN HO P&amp;L'!$A65,'YBHN HO TB'!C:C)))</f>
        <v/>
      </c>
      <c r="P65" s="37">
        <f>(SUMIF('YBHN Blank TB'!$R:$R,'YBHN HO P&amp;L'!$A65,'YBHN Blank TB'!D:D)+(SUMIF('YBHN HO TB'!$R:$R,'YBHN HO P&amp;L'!$A65,'YBHN HO TB'!D:D)))</f>
        <v/>
      </c>
      <c r="Q65" s="37">
        <f>(SUMIF('YBHN Blank TB'!$R:$R,'YBHN HO P&amp;L'!$A65,'YBHN Blank TB'!E:E)+(SUMIF('YBHN HO TB'!$R:$R,'YBHN HO P&amp;L'!$A65,'YBHN HO TB'!E:E)))</f>
        <v/>
      </c>
      <c r="R65" s="37">
        <f>(SUMIF('YBHN Blank TB'!$R:$R,'YBHN HO P&amp;L'!$A65,'YBHN Blank TB'!F:F)+(SUMIF('YBHN HO TB'!$R:$R,'YBHN HO P&amp;L'!$A65,'YBHN HO TB'!F:F)))</f>
        <v/>
      </c>
      <c r="S65" s="37">
        <f>(SUMIF('YBHN Blank TB'!$R:$R,'YBHN HO P&amp;L'!$A65,'YBHN Blank TB'!G:G)+(SUMIF('YBHN HO TB'!$R:$R,'YBHN HO P&amp;L'!$A65,'YBHN HO TB'!G:G)))</f>
        <v/>
      </c>
      <c r="T65" s="37">
        <f>(SUMIF('YBHN Blank TB'!$R:$R,'YBHN HO P&amp;L'!$A65,'YBHN Blank TB'!H:H)+(SUMIF('YBHN HO TB'!$R:$R,'YBHN HO P&amp;L'!$A65,'YBHN HO TB'!H:H)))</f>
        <v/>
      </c>
      <c r="U65" s="37">
        <f>(SUMIF('YBHN Blank TB'!$R:$R,'YBHN HO P&amp;L'!$A65,'YBHN Blank TB'!I:I)+(SUMIF('YBHN HO TB'!$R:$R,'YBHN HO P&amp;L'!$A65,'YBHN HO TB'!I:I)))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8" t="n">
        <v>0</v>
      </c>
      <c r="AJ65" s="119" t="n">
        <v>0</v>
      </c>
      <c r="AK65" s="119" t="n">
        <v>0</v>
      </c>
      <c r="AL65" s="119" t="n">
        <v>0</v>
      </c>
      <c r="AM65" s="120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(SUMIF('YBHN Blank TB'!$R:$R,'YBHN HO P&amp;L'!$A66,'YBHN Blank TB'!C:C)+(SUMIF('YBHN HO TB'!$R:$R,'YBHN HO P&amp;L'!$A66,'YBHN HO TB'!C:C)))</f>
        <v/>
      </c>
      <c r="P66" s="37">
        <f>(SUMIF('YBHN Blank TB'!$R:$R,'YBHN HO P&amp;L'!$A66,'YBHN Blank TB'!D:D)+(SUMIF('YBHN HO TB'!$R:$R,'YBHN HO P&amp;L'!$A66,'YBHN HO TB'!D:D)))</f>
        <v/>
      </c>
      <c r="Q66" s="37">
        <f>(SUMIF('YBHN Blank TB'!$R:$R,'YBHN HO P&amp;L'!$A66,'YBHN Blank TB'!E:E)+(SUMIF('YBHN HO TB'!$R:$R,'YBHN HO P&amp;L'!$A66,'YBHN HO TB'!E:E)))</f>
        <v/>
      </c>
      <c r="R66" s="37">
        <f>(SUMIF('YBHN Blank TB'!$R:$R,'YBHN HO P&amp;L'!$A66,'YBHN Blank TB'!F:F)+(SUMIF('YBHN HO TB'!$R:$R,'YBHN HO P&amp;L'!$A66,'YBHN HO TB'!F:F)))</f>
        <v/>
      </c>
      <c r="S66" s="37">
        <f>(SUMIF('YBHN Blank TB'!$R:$R,'YBHN HO P&amp;L'!$A66,'YBHN Blank TB'!G:G)+(SUMIF('YBHN HO TB'!$R:$R,'YBHN HO P&amp;L'!$A66,'YBHN HO TB'!G:G)))</f>
        <v/>
      </c>
      <c r="T66" s="37">
        <f>(SUMIF('YBHN Blank TB'!$R:$R,'YBHN HO P&amp;L'!$A66,'YBHN Blank TB'!H:H)+(SUMIF('YBHN HO TB'!$R:$R,'YBHN HO P&amp;L'!$A66,'YBHN HO TB'!H:H)))</f>
        <v/>
      </c>
      <c r="U66" s="37">
        <f>(SUMIF('YBHN Blank TB'!$R:$R,'YBHN HO P&amp;L'!$A66,'YBHN Blank TB'!I:I)+(SUMIF('YBHN HO TB'!$R:$R,'YBHN HO P&amp;L'!$A66,'YBHN HO TB'!I:I)))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8" t="n">
        <v>0</v>
      </c>
      <c r="AJ66" s="119" t="n">
        <v>0</v>
      </c>
      <c r="AK66" s="119" t="n">
        <v>0</v>
      </c>
      <c r="AL66" s="119" t="n">
        <v>0</v>
      </c>
      <c r="AM66" s="120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1220.4</v>
      </c>
      <c r="F67" s="35" t="n">
        <v>0</v>
      </c>
      <c r="G67" s="35" t="n">
        <v>0</v>
      </c>
      <c r="H67" s="35" t="n">
        <v>62.55</v>
      </c>
      <c r="I67" s="35" t="n">
        <v>62.55</v>
      </c>
      <c r="J67" s="35" t="n">
        <v>62.55</v>
      </c>
      <c r="K67" s="35" t="n">
        <v>62.55</v>
      </c>
      <c r="L67" s="35" t="n">
        <v>62.55</v>
      </c>
      <c r="M67" s="35" t="n">
        <v>1002.15</v>
      </c>
      <c r="N67" s="36">
        <f>SUM(B67:M67)</f>
        <v/>
      </c>
      <c r="O67" s="37">
        <f>(SUMIF('YBHN Blank TB'!$R:$R,'YBHN HO P&amp;L'!$A67,'YBHN Blank TB'!C:C)+(SUMIF('YBHN HO TB'!$R:$R,'YBHN HO P&amp;L'!$A67,'YBHN HO TB'!C:C)))</f>
        <v/>
      </c>
      <c r="P67" s="37">
        <f>(SUMIF('YBHN Blank TB'!$R:$R,'YBHN HO P&amp;L'!$A67,'YBHN Blank TB'!D:D)+(SUMIF('YBHN HO TB'!$R:$R,'YBHN HO P&amp;L'!$A67,'YBHN HO TB'!D:D)))</f>
        <v/>
      </c>
      <c r="Q67" s="37">
        <f>(SUMIF('YBHN Blank TB'!$R:$R,'YBHN HO P&amp;L'!$A67,'YBHN Blank TB'!E:E)+(SUMIF('YBHN HO TB'!$R:$R,'YBHN HO P&amp;L'!$A67,'YBHN HO TB'!E:E)))</f>
        <v/>
      </c>
      <c r="R67" s="37">
        <f>(SUMIF('YBHN Blank TB'!$R:$R,'YBHN HO P&amp;L'!$A67,'YBHN Blank TB'!F:F)+(SUMIF('YBHN HO TB'!$R:$R,'YBHN HO P&amp;L'!$A67,'YBHN HO TB'!F:F)))</f>
        <v/>
      </c>
      <c r="S67" s="37">
        <f>(SUMIF('YBHN Blank TB'!$R:$R,'YBHN HO P&amp;L'!$A67,'YBHN Blank TB'!G:G)+(SUMIF('YBHN HO TB'!$R:$R,'YBHN HO P&amp;L'!$A67,'YBHN HO TB'!G:G)))</f>
        <v/>
      </c>
      <c r="T67" s="37">
        <f>(SUMIF('YBHN Blank TB'!$R:$R,'YBHN HO P&amp;L'!$A67,'YBHN Blank TB'!H:H)+(SUMIF('YBHN HO TB'!$R:$R,'YBHN HO P&amp;L'!$A67,'YBHN HO TB'!H:H)))</f>
        <v/>
      </c>
      <c r="U67" s="37">
        <f>(SUMIF('YBHN Blank TB'!$R:$R,'YBHN HO P&amp;L'!$A67,'YBHN Blank TB'!I:I)+(SUMIF('YBHN HO TB'!$R:$R,'YBHN HO P&amp;L'!$A67,'YBHN HO TB'!I:I)))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8" t="n">
        <v>0</v>
      </c>
      <c r="AJ67" s="119" t="n">
        <v>0</v>
      </c>
      <c r="AK67" s="119" t="n">
        <v>0</v>
      </c>
      <c r="AL67" s="119" t="n">
        <v>0</v>
      </c>
      <c r="AM67" s="120" t="n">
        <v>0</v>
      </c>
      <c r="AN67" s="118" t="n">
        <v>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26.95</v>
      </c>
      <c r="C68" s="35" t="n">
        <v>29.75</v>
      </c>
      <c r="D68" s="35" t="n">
        <v>23.45</v>
      </c>
      <c r="E68" s="35" t="n">
        <v>28.7</v>
      </c>
      <c r="F68" s="35" t="n">
        <v>25.2</v>
      </c>
      <c r="G68" s="35" t="n">
        <v>24.15</v>
      </c>
      <c r="H68" s="35" t="n">
        <v>24.85</v>
      </c>
      <c r="I68" s="35" t="n">
        <v>23.8</v>
      </c>
      <c r="J68" s="35" t="n">
        <v>17.85</v>
      </c>
      <c r="K68" s="35" t="n">
        <v>20.3</v>
      </c>
      <c r="L68" s="35" t="n">
        <v>21</v>
      </c>
      <c r="M68" s="35" t="n">
        <v>19.95</v>
      </c>
      <c r="N68" s="36">
        <f>SUM(B68:M68)</f>
        <v/>
      </c>
      <c r="O68" s="37">
        <f>(SUMIF('YBHN Blank TB'!$R:$R,'YBHN HO P&amp;L'!$A68,'YBHN Blank TB'!C:C)+(SUMIF('YBHN HO TB'!$R:$R,'YBHN HO P&amp;L'!$A68,'YBHN HO TB'!C:C)))</f>
        <v/>
      </c>
      <c r="P68" s="37">
        <f>(SUMIF('YBHN Blank TB'!$R:$R,'YBHN HO P&amp;L'!$A68,'YBHN Blank TB'!D:D)+(SUMIF('YBHN HO TB'!$R:$R,'YBHN HO P&amp;L'!$A68,'YBHN HO TB'!D:D)))</f>
        <v/>
      </c>
      <c r="Q68" s="37">
        <f>(SUMIF('YBHN Blank TB'!$R:$R,'YBHN HO P&amp;L'!$A68,'YBHN Blank TB'!E:E)+(SUMIF('YBHN HO TB'!$R:$R,'YBHN HO P&amp;L'!$A68,'YBHN HO TB'!E:E)))</f>
        <v/>
      </c>
      <c r="R68" s="37">
        <f>(SUMIF('YBHN Blank TB'!$R:$R,'YBHN HO P&amp;L'!$A68,'YBHN Blank TB'!F:F)+(SUMIF('YBHN HO TB'!$R:$R,'YBHN HO P&amp;L'!$A68,'YBHN HO TB'!F:F)))</f>
        <v/>
      </c>
      <c r="S68" s="37">
        <f>(SUMIF('YBHN Blank TB'!$R:$R,'YBHN HO P&amp;L'!$A68,'YBHN Blank TB'!G:G)+(SUMIF('YBHN HO TB'!$R:$R,'YBHN HO P&amp;L'!$A68,'YBHN HO TB'!G:G)))</f>
        <v/>
      </c>
      <c r="T68" s="37">
        <f>(SUMIF('YBHN Blank TB'!$R:$R,'YBHN HO P&amp;L'!$A68,'YBHN Blank TB'!H:H)+(SUMIF('YBHN HO TB'!$R:$R,'YBHN HO P&amp;L'!$A68,'YBHN HO TB'!H:H)))</f>
        <v/>
      </c>
      <c r="U68" s="37">
        <f>(SUMIF('YBHN Blank TB'!$R:$R,'YBHN HO P&amp;L'!$A68,'YBHN Blank TB'!I:I)+(SUMIF('YBHN HO TB'!$R:$R,'YBHN HO P&amp;L'!$A68,'YBHN HO TB'!I:I)))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8" t="n">
        <v>0</v>
      </c>
      <c r="AJ68" s="119" t="n">
        <v>0</v>
      </c>
      <c r="AK68" s="119" t="n">
        <v>0</v>
      </c>
      <c r="AL68" s="119" t="n">
        <v>0</v>
      </c>
      <c r="AM68" s="120" t="n">
        <v>0</v>
      </c>
      <c r="AN68" s="118" t="n">
        <v>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1857.92</v>
      </c>
      <c r="C69" s="42" t="n">
        <v>518.1600000000001</v>
      </c>
      <c r="D69" s="42" t="n">
        <v>280.04</v>
      </c>
      <c r="E69" s="42" t="n">
        <v>1634.41</v>
      </c>
      <c r="F69" s="42" t="n">
        <v>231.41</v>
      </c>
      <c r="G69" s="42" t="n">
        <v>132.93</v>
      </c>
      <c r="H69" s="42" t="n">
        <v>345.1100000000001</v>
      </c>
      <c r="I69" s="42" t="n">
        <v>275.05</v>
      </c>
      <c r="J69" s="42" t="n">
        <v>1025.61</v>
      </c>
      <c r="K69" s="42" t="n">
        <v>391.14</v>
      </c>
      <c r="L69" s="42" t="n">
        <v>320.99</v>
      </c>
      <c r="M69" s="42" t="n">
        <v>1095.24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 t="n"/>
      <c r="AD69" s="45" t="n"/>
      <c r="AE69" s="45" t="n"/>
      <c r="AF69" s="45" t="n"/>
      <c r="AG69" s="45" t="n"/>
      <c r="AH69" s="45" t="n"/>
      <c r="AI69" s="134" t="n">
        <v>0</v>
      </c>
      <c r="AJ69" s="152" t="n">
        <v>0</v>
      </c>
      <c r="AK69" s="152" t="n">
        <v>0</v>
      </c>
      <c r="AL69" s="152" t="n">
        <v>0</v>
      </c>
      <c r="AM69" s="152" t="n">
        <v>0</v>
      </c>
      <c r="AN69" s="134" t="n">
        <v>0</v>
      </c>
      <c r="AO69" s="125">
        <f>SUM(AC69:AH69)+SUM(AI69:AN69)</f>
        <v/>
      </c>
      <c r="AP69" s="126">
        <f>IF(AB69&lt;&gt;0,(AO69-AB69)/ABS(AB69),0)</f>
        <v/>
      </c>
    </row>
    <row r="70">
      <c r="A70" s="54" t="inlineStr">
        <is>
          <t>EBITDA</t>
        </is>
      </c>
      <c r="B70" s="55" t="n">
        <v>-11499.45</v>
      </c>
      <c r="C70" s="55" t="n">
        <v>-5189.969999999999</v>
      </c>
      <c r="D70" s="55" t="n">
        <v>-4521.490000000001</v>
      </c>
      <c r="E70" s="55" t="n">
        <v>-5091.85</v>
      </c>
      <c r="F70" s="55" t="n">
        <v>-4912.95</v>
      </c>
      <c r="G70" s="55" t="n">
        <v>-6766.93</v>
      </c>
      <c r="H70" s="55" t="n">
        <v>-10152.1</v>
      </c>
      <c r="I70" s="55" t="n">
        <v>-6258.990000000001</v>
      </c>
      <c r="J70" s="55" t="n">
        <v>-6476.589999999999</v>
      </c>
      <c r="K70" s="55" t="n">
        <v>-5062.780000000001</v>
      </c>
      <c r="L70" s="55" t="n">
        <v>-4167.65</v>
      </c>
      <c r="M70" s="55" t="n">
        <v>-4178.22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0">
        <f>AI50-AI69</f>
        <v/>
      </c>
      <c r="AJ70" s="140">
        <f>AJ50-AJ69</f>
        <v/>
      </c>
      <c r="AK70" s="140">
        <f>AK50-AK69</f>
        <v/>
      </c>
      <c r="AL70" s="140">
        <f>AL50-AL69</f>
        <v/>
      </c>
      <c r="AM70" s="140">
        <f>AM50-AM69</f>
        <v/>
      </c>
      <c r="AN70" s="140">
        <f>AN50-AN69</f>
        <v/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54" t="n"/>
      <c r="B71" s="55" t="n"/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5" t="n"/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  <c r="Z71" s="55" t="n"/>
      <c r="AA71" s="55" t="n"/>
      <c r="AB71" s="55" t="n"/>
      <c r="AC71" s="55" t="n"/>
      <c r="AD71" s="55" t="n"/>
      <c r="AE71" s="55" t="n"/>
      <c r="AF71" s="55" t="n"/>
      <c r="AG71" s="55" t="n"/>
      <c r="AH71" s="55" t="n"/>
      <c r="AI71" s="8" t="n"/>
      <c r="AJ71" s="55" t="n"/>
      <c r="AK71" s="55" t="n"/>
      <c r="AL71" s="55" t="n"/>
      <c r="AM71" s="55" t="n"/>
      <c r="AN71" s="55" t="n"/>
      <c r="AO71" s="55" t="n"/>
      <c r="AP71" s="55" t="n"/>
    </row>
    <row r="72">
      <c r="A72" s="28" t="n"/>
      <c r="B72" s="56" t="n"/>
      <c r="C72" s="56" t="n"/>
      <c r="D72" s="56" t="n"/>
      <c r="E72" s="56" t="n"/>
      <c r="F72" s="56" t="n"/>
      <c r="G72" s="56" t="n"/>
      <c r="H72" s="56" t="n"/>
      <c r="I72" s="56" t="n"/>
      <c r="J72" s="56" t="n"/>
      <c r="K72" s="56" t="n"/>
      <c r="L72" s="56" t="n"/>
      <c r="M72" s="56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6" t="n"/>
      <c r="X72" s="56" t="n"/>
      <c r="Y72" s="56" t="n"/>
      <c r="Z72" s="56" t="n"/>
      <c r="AA72" s="56">
        <f>SUM(O72:T72)</f>
        <v/>
      </c>
      <c r="AB72" s="56" t="n"/>
      <c r="AC72" s="56" t="n"/>
      <c r="AD72" s="56" t="n"/>
      <c r="AE72" s="56" t="n"/>
      <c r="AF72" s="56" t="n"/>
      <c r="AG72" s="56" t="n"/>
      <c r="AH72" s="56" t="n"/>
      <c r="AI72" s="8" t="n"/>
      <c r="AJ72" s="56" t="n"/>
      <c r="AK72" s="56" t="n"/>
      <c r="AL72" s="56" t="n"/>
      <c r="AM72" s="56" t="n"/>
      <c r="AN72" s="56" t="n"/>
      <c r="AO72" s="56" t="n"/>
      <c r="AP72" s="56" t="n"/>
    </row>
    <row r="73">
      <c r="A73" s="28" t="inlineStr">
        <is>
          <t>Borrowing Costs</t>
        </is>
      </c>
      <c r="B73" s="56" t="n"/>
      <c r="C73" s="56" t="n"/>
      <c r="D73" s="56" t="n"/>
      <c r="E73" s="56" t="n"/>
      <c r="F73" s="56" t="n"/>
      <c r="G73" s="56" t="n"/>
      <c r="H73" s="56" t="n"/>
      <c r="I73" s="56" t="n"/>
      <c r="J73" s="56" t="n"/>
      <c r="K73" s="56" t="n"/>
      <c r="L73" s="56" t="n"/>
      <c r="M73" s="56" t="n"/>
      <c r="N73" s="56" t="n"/>
      <c r="O73" s="56" t="n">
        <v>0</v>
      </c>
      <c r="P73" s="56" t="n">
        <v>0</v>
      </c>
      <c r="Q73" s="56" t="n">
        <v>0</v>
      </c>
      <c r="R73" s="56" t="n">
        <v>0</v>
      </c>
      <c r="S73" s="56" t="n">
        <v>0</v>
      </c>
      <c r="T73" s="56" t="n">
        <v>0</v>
      </c>
      <c r="U73" s="56" t="n">
        <v>1</v>
      </c>
      <c r="V73" s="56" t="n">
        <v>0</v>
      </c>
      <c r="W73" s="56" t="n">
        <v>0</v>
      </c>
      <c r="X73" s="56" t="n">
        <v>0</v>
      </c>
      <c r="Y73" s="56" t="n">
        <v>0</v>
      </c>
      <c r="Z73" s="56" t="n">
        <v>0</v>
      </c>
      <c r="AA73" s="56" t="n"/>
      <c r="AB73" s="60" t="n">
        <v>0</v>
      </c>
      <c r="AC73" s="56" t="n"/>
      <c r="AD73" s="56" t="n"/>
      <c r="AE73" s="56" t="n"/>
      <c r="AF73" s="56" t="n"/>
      <c r="AG73" s="56" t="n"/>
      <c r="AH73" s="56" t="n"/>
      <c r="AI73" s="127" t="n">
        <v>0</v>
      </c>
      <c r="AJ73" s="127" t="n">
        <v>0</v>
      </c>
      <c r="AK73" s="127" t="n">
        <v>0</v>
      </c>
      <c r="AL73" s="127" t="n">
        <v>0</v>
      </c>
      <c r="AM73" s="127" t="n">
        <v>0</v>
      </c>
      <c r="AN73" s="127" t="n">
        <v>0</v>
      </c>
      <c r="AO73" s="145">
        <f>SUM(AC73:AH73)+SUM(AI73:AN73)</f>
        <v/>
      </c>
      <c r="AP73" s="142">
        <f>IF(AB73&lt;&gt;0,(AO73-AB73)/ABS(AB73),0)</f>
        <v/>
      </c>
    </row>
    <row r="74">
      <c r="A74" s="28" t="inlineStr">
        <is>
          <t>Depreciation</t>
        </is>
      </c>
      <c r="B74" s="56" t="n"/>
      <c r="C74" s="56" t="n"/>
      <c r="D74" s="56" t="n"/>
      <c r="E74" s="56" t="n"/>
      <c r="F74" s="56" t="n"/>
      <c r="G74" s="56" t="n"/>
      <c r="H74" s="56" t="n"/>
      <c r="I74" s="56" t="n"/>
      <c r="J74" s="56" t="n"/>
      <c r="K74" s="56" t="n"/>
      <c r="L74" s="56" t="n"/>
      <c r="M74" s="56" t="n"/>
      <c r="N74" s="56" t="n"/>
      <c r="O74" s="56" t="n">
        <v>579.4525</v>
      </c>
      <c r="P74" s="56" t="n">
        <v>579.4525</v>
      </c>
      <c r="Q74" s="56" t="n">
        <v>579.4525</v>
      </c>
      <c r="R74" s="56" t="n">
        <v>579.4525</v>
      </c>
      <c r="S74" s="56" t="n">
        <v>579.4525</v>
      </c>
      <c r="T74" s="56" t="n">
        <v>579.4525</v>
      </c>
      <c r="U74" s="56" t="n">
        <v>580.4525</v>
      </c>
      <c r="V74" s="56" t="n">
        <v>547.8125</v>
      </c>
      <c r="W74" s="56" t="n">
        <v>547.8125</v>
      </c>
      <c r="X74" s="56" t="n">
        <v>547.8125</v>
      </c>
      <c r="Y74" s="56" t="n">
        <v>547.8125</v>
      </c>
      <c r="Z74" s="56" t="n">
        <v>542.1725</v>
      </c>
      <c r="AA74" s="56" t="n"/>
      <c r="AB74" s="60" t="n">
        <v>102606.8643965906</v>
      </c>
      <c r="AC74" s="56" t="n"/>
      <c r="AD74" s="56" t="n"/>
      <c r="AE74" s="56" t="n"/>
      <c r="AF74" s="56" t="n"/>
      <c r="AG74" s="56" t="n"/>
      <c r="AH74" s="56" t="n"/>
      <c r="AI74" s="127" t="n">
        <v>0</v>
      </c>
      <c r="AJ74" s="127" t="n">
        <v>0</v>
      </c>
      <c r="AK74" s="127" t="n">
        <v>0</v>
      </c>
      <c r="AL74" s="127" t="n">
        <v>0</v>
      </c>
      <c r="AM74" s="127" t="n">
        <v>0</v>
      </c>
      <c r="AN74" s="127" t="n">
        <v>0</v>
      </c>
      <c r="AO74" s="145">
        <f>SUM(AC74:AH74)+SUM(AI74:AN74)</f>
        <v/>
      </c>
      <c r="AP74" s="142">
        <f>IF(AB74&lt;&gt;0,(AO74-AB74)/ABS(AB74),0)</f>
        <v/>
      </c>
    </row>
    <row r="75">
      <c r="A75" s="28" t="inlineStr">
        <is>
          <t>Amortisation</t>
        </is>
      </c>
      <c r="B75" s="56" t="n"/>
      <c r="C75" s="56" t="n"/>
      <c r="D75" s="56" t="n"/>
      <c r="E75" s="56" t="n"/>
      <c r="F75" s="56" t="n"/>
      <c r="G75" s="56" t="n"/>
      <c r="H75" s="56" t="n"/>
      <c r="I75" s="56" t="n"/>
      <c r="J75" s="56" t="n"/>
      <c r="K75" s="56" t="n"/>
      <c r="L75" s="56" t="n"/>
      <c r="M75" s="56" t="n"/>
      <c r="N75" s="56" t="n"/>
      <c r="O75" s="56" t="n">
        <v>0</v>
      </c>
      <c r="P75" s="56" t="n">
        <v>0</v>
      </c>
      <c r="Q75" s="56" t="n">
        <v>0</v>
      </c>
      <c r="R75" s="56" t="n">
        <v>0</v>
      </c>
      <c r="S75" s="56" t="n">
        <v>0</v>
      </c>
      <c r="T75" s="56" t="n">
        <v>0</v>
      </c>
      <c r="U75" s="56" t="n">
        <v>1</v>
      </c>
      <c r="V75" s="56" t="n">
        <v>0</v>
      </c>
      <c r="W75" s="56" t="n">
        <v>0</v>
      </c>
      <c r="X75" s="56" t="n">
        <v>0</v>
      </c>
      <c r="Y75" s="56" t="n">
        <v>0</v>
      </c>
      <c r="Z75" s="56" t="n">
        <v>0</v>
      </c>
      <c r="AA75" s="56" t="n"/>
      <c r="AB75" s="60" t="n">
        <v>0</v>
      </c>
      <c r="AC75" s="56" t="n"/>
      <c r="AD75" s="56" t="n"/>
      <c r="AE75" s="56" t="n"/>
      <c r="AF75" s="56" t="n"/>
      <c r="AG75" s="56" t="n"/>
      <c r="AH75" s="56" t="n"/>
      <c r="AI75" s="127" t="n">
        <v>0</v>
      </c>
      <c r="AJ75" s="127" t="n">
        <v>0</v>
      </c>
      <c r="AK75" s="127" t="n">
        <v>0</v>
      </c>
      <c r="AL75" s="127" t="n">
        <v>0</v>
      </c>
      <c r="AM75" s="127" t="n">
        <v>0</v>
      </c>
      <c r="AN75" s="127" t="n">
        <v>0</v>
      </c>
      <c r="AO75" s="145">
        <f>SUM(AC75:AH75)+SUM(AI75:AN75)</f>
        <v/>
      </c>
      <c r="AP75" s="142">
        <f>IF(AB75&lt;&gt;0,(AO75-AB75)/ABS(AB75),0)</f>
        <v/>
      </c>
    </row>
    <row r="76">
      <c r="A76" s="28" t="inlineStr">
        <is>
          <t>Profit Before Tax</t>
        </is>
      </c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>
        <f>O70-O74</f>
        <v/>
      </c>
      <c r="P76" s="56">
        <f>P70-P74</f>
        <v/>
      </c>
      <c r="Q76" s="56">
        <f>Q70-Q74</f>
        <v/>
      </c>
      <c r="R76" s="56">
        <f>R70-R74</f>
        <v/>
      </c>
      <c r="S76" s="56">
        <f>S70-S74</f>
        <v/>
      </c>
      <c r="T76" s="56">
        <f>T70-T74</f>
        <v/>
      </c>
      <c r="U76" s="56">
        <f>U70-U74</f>
        <v/>
      </c>
      <c r="V76" s="56">
        <f>V70-V74</f>
        <v/>
      </c>
      <c r="W76" s="56">
        <f>W70-W74</f>
        <v/>
      </c>
      <c r="X76" s="56">
        <f>X70-X74</f>
        <v/>
      </c>
      <c r="Y76" s="56">
        <f>Y70-Y74</f>
        <v/>
      </c>
      <c r="Z76" s="56">
        <f>Z70-Z74</f>
        <v/>
      </c>
      <c r="AA76" s="56" t="n"/>
      <c r="AB76" s="56">
        <f>AB60-AB74</f>
        <v/>
      </c>
      <c r="AC76" s="56" t="n"/>
      <c r="AD76" s="56" t="n"/>
      <c r="AE76" s="56" t="n"/>
      <c r="AF76" s="56" t="n"/>
      <c r="AG76" s="56" t="n"/>
      <c r="AH76" s="56" t="n"/>
      <c r="AI76" s="127" t="n">
        <v>0</v>
      </c>
      <c r="AJ76" s="127" t="n">
        <v>0</v>
      </c>
      <c r="AK76" s="127" t="n">
        <v>0</v>
      </c>
      <c r="AL76" s="127" t="n">
        <v>0</v>
      </c>
      <c r="AM76" s="127" t="n">
        <v>0</v>
      </c>
      <c r="AN76" s="127" t="n">
        <v>0</v>
      </c>
      <c r="AO76" s="145">
        <f>SUM(AC76:AH76)+SUM(AI76:AN76)</f>
        <v/>
      </c>
      <c r="AP76" s="142">
        <f>IF(AB76&lt;&gt;0,(AO76-AB76)/ABS(AB76),0)</f>
        <v/>
      </c>
    </row>
    <row r="77" ht="15.75" customHeight="1">
      <c r="A77" s="82" t="inlineStr">
        <is>
          <t>Corp Tax Due</t>
        </is>
      </c>
      <c r="B77" s="72" t="n"/>
      <c r="C77" s="72" t="n"/>
      <c r="D77" s="72" t="n"/>
      <c r="E77" s="72" t="n"/>
      <c r="F77" s="72" t="n"/>
      <c r="G77" s="72" t="n"/>
      <c r="H77" s="72" t="n"/>
      <c r="I77" s="72" t="n"/>
      <c r="J77" s="72" t="n"/>
      <c r="K77" s="72" t="n"/>
      <c r="L77" s="72" t="n"/>
      <c r="M77" s="72" t="n"/>
      <c r="N77" s="72" t="n"/>
      <c r="O77" s="72">
        <f>O76*0.25</f>
        <v/>
      </c>
      <c r="P77" s="72">
        <f>P76*0.25</f>
        <v/>
      </c>
      <c r="Q77" s="72">
        <f>Q76*0.25</f>
        <v/>
      </c>
      <c r="R77" s="72">
        <f>R76*0.25</f>
        <v/>
      </c>
      <c r="S77" s="72">
        <f>S76*0.25</f>
        <v/>
      </c>
      <c r="T77" s="72">
        <f>T76*0.25</f>
        <v/>
      </c>
      <c r="U77" s="72">
        <f>U76*0.25</f>
        <v/>
      </c>
      <c r="V77" s="72">
        <f>V76*0.25</f>
        <v/>
      </c>
      <c r="W77" s="72">
        <f>W76*0.25</f>
        <v/>
      </c>
      <c r="X77" s="72">
        <f>X76*0.25</f>
        <v/>
      </c>
      <c r="Y77" s="72">
        <f>Y76*0.25</f>
        <v/>
      </c>
      <c r="Z77" s="72">
        <f>Z76*0.25</f>
        <v/>
      </c>
      <c r="AA77" s="72" t="n"/>
      <c r="AB77" s="72">
        <f>AB76*0.25</f>
        <v/>
      </c>
      <c r="AC77" s="72" t="n"/>
      <c r="AD77" s="72" t="n"/>
      <c r="AE77" s="72" t="n"/>
      <c r="AF77" s="72" t="n"/>
      <c r="AG77" s="72" t="n"/>
      <c r="AH77" s="72" t="n"/>
      <c r="AI77" s="127" t="n">
        <v>0</v>
      </c>
      <c r="AJ77" s="127" t="n">
        <v>0</v>
      </c>
      <c r="AK77" s="127" t="n">
        <v>0</v>
      </c>
      <c r="AL77" s="127" t="n">
        <v>0</v>
      </c>
      <c r="AM77" s="127" t="n">
        <v>0</v>
      </c>
      <c r="AN77" s="127" t="n">
        <v>0</v>
      </c>
      <c r="AO77" s="145">
        <f>SUM(AC77:AH77)+SUM(AI77:AN77)</f>
        <v/>
      </c>
      <c r="AP77" s="142">
        <f>IF(AB77&lt;&gt;0,(AO77-AB77)/ABS(AB77),0)</f>
        <v/>
      </c>
    </row>
    <row r="78" ht="15.75" customHeight="1">
      <c r="A78" s="22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60">
        <f>SUM(B78:M78)</f>
        <v/>
      </c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60">
        <f>SUM(O78:T78)</f>
        <v/>
      </c>
      <c r="AB78" s="56" t="n"/>
      <c r="AC78" s="8" t="n"/>
      <c r="AD78" s="8" t="n"/>
      <c r="AE78" s="8" t="n"/>
      <c r="AF78" s="8" t="n"/>
      <c r="AG78" s="8" t="n"/>
      <c r="AH78" s="8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8" t="n"/>
      <c r="AO78" s="8" t="n"/>
      <c r="AP78" s="8" t="n"/>
    </row>
    <row r="79">
      <c r="A79" s="34" t="inlineStr">
        <is>
          <t>Direct - Sales</t>
        </is>
      </c>
      <c r="B79" s="18" t="n">
        <v>0</v>
      </c>
      <c r="C79" s="18" t="n">
        <v>44.5</v>
      </c>
      <c r="D79" s="18" t="n">
        <v>0</v>
      </c>
      <c r="E79" s="18" t="n">
        <v>0</v>
      </c>
      <c r="F79" s="18" t="n">
        <v>0</v>
      </c>
      <c r="G79" s="18" t="n">
        <v>0</v>
      </c>
      <c r="H79" s="18" t="n">
        <v>0</v>
      </c>
      <c r="I79" s="18" t="n">
        <v>0</v>
      </c>
      <c r="J79" s="18" t="n">
        <v>0</v>
      </c>
      <c r="K79" s="18" t="n">
        <v>0</v>
      </c>
      <c r="L79" s="18" t="n">
        <v>0</v>
      </c>
      <c r="M79" s="18" t="n"/>
      <c r="N79" s="8" t="n"/>
      <c r="O79" s="60">
        <f>-SUMIF('YBHN Blank TB'!$T:$T,'YBHN HO P&amp;L'!$A79,'YBHN Blank TB'!C:C)-SUMIF('YBHN HO TB'!$T:$T,'YBHN HO P&amp;L'!$A79,'YBHN HO TB'!C:C)</f>
        <v/>
      </c>
      <c r="P79" s="60">
        <f>-SUMIF('YBHN Blank TB'!$T:$T,'YBHN HO P&amp;L'!$A79,'YBHN Blank TB'!D:D)-SUMIF('YBHN HO TB'!$T:$T,'YBHN HO P&amp;L'!$A79,'YBHN HO TB'!D:D)</f>
        <v/>
      </c>
      <c r="Q79" s="60">
        <f>-SUMIF('YBHN Blank TB'!$T:$T,'YBHN HO P&amp;L'!$A79,'YBHN Blank TB'!E:E)-SUMIF('YBHN HO TB'!$T:$T,'YBHN HO P&amp;L'!$A79,'YBHN HO TB'!E:E)</f>
        <v/>
      </c>
      <c r="R79" s="60">
        <f>-SUMIF('YBHN Blank TB'!$T:$T,'YBHN HO P&amp;L'!$A79,'YBHN Blank TB'!F:F)-SUMIF('YBHN HO TB'!$T:$T,'YBHN HO P&amp;L'!$A79,'YBHN HO TB'!F:F)</f>
        <v/>
      </c>
      <c r="S79" s="60">
        <f>-SUMIF('YBHN Blank TB'!$T:$T,'YBHN HO P&amp;L'!$A79,'YBHN Blank TB'!G:G)-SUMIF('YBHN HO TB'!$T:$T,'YBHN HO P&amp;L'!$A79,'YBHN HO TB'!G:G)</f>
        <v/>
      </c>
      <c r="T79" s="60">
        <f>-SUMIF('YBHN Blank TB'!$T:$T,'YBHN HO P&amp;L'!$A79,'YBHN Blank TB'!H:H)-SUMIF('YBHN HO TB'!$T:$T,'YBHN HO P&amp;L'!$A79,'YBHN HO TB'!H:H)</f>
        <v/>
      </c>
      <c r="U79" s="60">
        <f>-SUMIF('YBHN Blank TB'!$T:$T,'YBHN HO P&amp;L'!$A79,'YBHN Blank TB'!I:I)-SUMIF('YBHN HO TB'!$T:$T,'YBHN HO P&amp;L'!$A79,'YBHN HO TB'!I:I)</f>
        <v/>
      </c>
      <c r="V79" s="60">
        <f>-SUMIF('YBHN Blank TB'!$T:$T,'YBHN HO P&amp;L'!$A79,'YBHN Blank TB'!J:J)-SUMIF('YBHN HO TB'!$T:$T,'YBHN HO P&amp;L'!$A79,'YBHN HO TB'!J:J)</f>
        <v/>
      </c>
      <c r="W79" s="60">
        <f>-SUMIF('YBHN Blank TB'!$T:$T,'YBHN HO P&amp;L'!$A79,'YBHN Blank TB'!K:K)-SUMIF('YBHN HO TB'!$T:$T,'YBHN HO P&amp;L'!$A79,'YBHN HO TB'!K:K)</f>
        <v/>
      </c>
      <c r="X79" s="60">
        <f>-SUMIF('YBHN Blank TB'!$T:$T,'YBHN HO P&amp;L'!$A79,'YBHN Blank TB'!L:L)-SUMIF('YBHN HO TB'!$T:$T,'YBHN HO P&amp;L'!$A79,'YBHN HO TB'!L:L)</f>
        <v/>
      </c>
      <c r="Y79" s="60">
        <f>-SUMIF('YBHN Blank TB'!$T:$T,'YBHN HO P&amp;L'!$A79,'YBHN Blank TB'!M:M)-SUMIF('YBHN HO TB'!$T:$T,'YBHN HO P&amp;L'!$A79,'YBHN HO TB'!M:M)</f>
        <v/>
      </c>
      <c r="Z79" s="60">
        <f>-SUMIF('YBHN Blank TB'!$T:$T,'YBHN HO P&amp;L'!$A79,'YBHN Blank TB'!N:N)-SUMIF('YBHN HO TB'!$T:$T,'YBHN HO P&amp;L'!$A79,'YBHN HO TB'!N:N)</f>
        <v/>
      </c>
      <c r="AA79" s="60">
        <f>SUM(O79:T79)</f>
        <v/>
      </c>
      <c r="AB79" s="56" t="n"/>
      <c r="AC79" s="8" t="n"/>
      <c r="AD79" s="8" t="n"/>
      <c r="AE79" s="8" t="n"/>
      <c r="AF79" s="8" t="n"/>
      <c r="AG79" s="8" t="n"/>
      <c r="AH79" s="8" t="n"/>
      <c r="AI79" s="134" t="n">
        <v>0</v>
      </c>
      <c r="AJ79" s="134" t="n">
        <v>0</v>
      </c>
      <c r="AK79" s="134" t="n">
        <v>0</v>
      </c>
      <c r="AL79" s="134" t="n">
        <v>0</v>
      </c>
      <c r="AM79" s="134" t="n">
        <v>0</v>
      </c>
      <c r="AN79" s="134" t="n">
        <v>0</v>
      </c>
      <c r="AO79" s="144">
        <f>SUM(AC79:AH79)+SUM(AI79:AN79)</f>
        <v/>
      </c>
      <c r="AP79" s="142">
        <f>IF(AB79&lt;&gt;0,(AO79-AB79)/ABS(AB79),0)</f>
        <v/>
      </c>
    </row>
    <row r="80">
      <c r="A80" s="60" t="inlineStr">
        <is>
          <t>Direct - Staff Cost</t>
        </is>
      </c>
      <c r="B80" s="60" t="n">
        <v>-7085.94</v>
      </c>
      <c r="C80" s="60" t="n">
        <v>-2122</v>
      </c>
      <c r="D80" s="60" t="n">
        <v>-1589.67</v>
      </c>
      <c r="E80" s="60" t="n">
        <v>-797.4400000000001</v>
      </c>
      <c r="F80" s="60" t="n">
        <v>-2125.69</v>
      </c>
      <c r="G80" s="60" t="n">
        <v>-3710.27</v>
      </c>
      <c r="H80" s="60" t="n">
        <v>-7240.57</v>
      </c>
      <c r="I80" s="60" t="n">
        <v>-3434</v>
      </c>
      <c r="J80" s="60" t="n">
        <v>-2901.03</v>
      </c>
      <c r="K80" s="60" t="n">
        <v>-4121.8</v>
      </c>
      <c r="L80" s="60" t="n">
        <v>-3846.66</v>
      </c>
      <c r="M80" s="8" t="n"/>
      <c r="N80" s="8" t="n"/>
      <c r="O80" s="60">
        <f>-SUMIF('YBHN Blank TB'!$T:$T,'YBHN HO P&amp;L'!$A80,'YBHN Blank TB'!C:C)-SUMIF('YBHN HO TB'!$T:$T,'YBHN HO P&amp;L'!$A80,'YBHN HO TB'!C:C)</f>
        <v/>
      </c>
      <c r="P80" s="60">
        <f>-SUMIF('YBHN Blank TB'!$T:$T,'YBHN HO P&amp;L'!$A80,'YBHN Blank TB'!D:D)-SUMIF('YBHN HO TB'!$T:$T,'YBHN HO P&amp;L'!$A80,'YBHN HO TB'!D:D)</f>
        <v/>
      </c>
      <c r="Q80" s="60">
        <f>-SUMIF('YBHN Blank TB'!$T:$T,'YBHN HO P&amp;L'!$A80,'YBHN Blank TB'!E:E)-SUMIF('YBHN HO TB'!$T:$T,'YBHN HO P&amp;L'!$A80,'YBHN HO TB'!E:E)</f>
        <v/>
      </c>
      <c r="R80" s="60">
        <f>-SUMIF('YBHN Blank TB'!$T:$T,'YBHN HO P&amp;L'!$A80,'YBHN Blank TB'!F:F)-SUMIF('YBHN HO TB'!$T:$T,'YBHN HO P&amp;L'!$A80,'YBHN HO TB'!F:F)</f>
        <v/>
      </c>
      <c r="S80" s="60">
        <f>-SUMIF('YBHN Blank TB'!$T:$T,'YBHN HO P&amp;L'!$A80,'YBHN Blank TB'!G:G)-SUMIF('YBHN HO TB'!$T:$T,'YBHN HO P&amp;L'!$A80,'YBHN HO TB'!G:G)</f>
        <v/>
      </c>
      <c r="T80" s="60">
        <f>-SUMIF('YBHN Blank TB'!$T:$T,'YBHN HO P&amp;L'!$A80,'YBHN Blank TB'!H:H)-SUMIF('YBHN HO TB'!$T:$T,'YBHN HO P&amp;L'!$A80,'YBHN HO TB'!H:H)</f>
        <v/>
      </c>
      <c r="U80" s="60">
        <f>-SUMIF('YBHN Blank TB'!$T:$T,'YBHN HO P&amp;L'!$A80,'YBHN Blank TB'!I:I)-SUMIF('YBHN HO TB'!$T:$T,'YBHN HO P&amp;L'!$A80,'YBHN HO TB'!I:I)</f>
        <v/>
      </c>
      <c r="V80" s="60">
        <f>-SUMIF('YBHN Blank TB'!$T:$T,'YBHN HO P&amp;L'!$A80,'YBHN Blank TB'!J:J)-SUMIF('YBHN HO TB'!$T:$T,'YBHN HO P&amp;L'!$A80,'YBHN HO TB'!J:J)</f>
        <v/>
      </c>
      <c r="W80" s="60">
        <f>-SUMIF('YBHN Blank TB'!$T:$T,'YBHN HO P&amp;L'!$A80,'YBHN Blank TB'!K:K)-SUMIF('YBHN HO TB'!$T:$T,'YBHN HO P&amp;L'!$A80,'YBHN HO TB'!K:K)</f>
        <v/>
      </c>
      <c r="X80" s="60">
        <f>-SUMIF('YBHN Blank TB'!$T:$T,'YBHN HO P&amp;L'!$A80,'YBHN Blank TB'!L:L)-SUMIF('YBHN HO TB'!$T:$T,'YBHN HO P&amp;L'!$A80,'YBHN HO TB'!L:L)</f>
        <v/>
      </c>
      <c r="Y80" s="60">
        <f>-SUMIF('YBHN Blank TB'!$T:$T,'YBHN HO P&amp;L'!$A80,'YBHN Blank TB'!M:M)-SUMIF('YBHN HO TB'!$T:$T,'YBHN HO P&amp;L'!$A80,'YBHN HO TB'!M:M)</f>
        <v/>
      </c>
      <c r="Z80" s="60">
        <f>-SUMIF('YBHN Blank TB'!$T:$T,'YBHN HO P&amp;L'!$A80,'YBHN Blank TB'!N:N)-SUMIF('YBHN HO TB'!$T:$T,'YBHN HO P&amp;L'!$A80,'YBHN HO TB'!N:N)</f>
        <v/>
      </c>
      <c r="AA80" s="60">
        <f>SUM(O80:T80)</f>
        <v/>
      </c>
      <c r="AB80" s="8" t="n"/>
      <c r="AC80" s="8" t="n"/>
      <c r="AD80" s="8" t="n"/>
      <c r="AE80" s="8" t="n"/>
      <c r="AF80" s="8" t="n"/>
      <c r="AG80" s="8" t="n"/>
      <c r="AH80" s="8" t="n"/>
      <c r="AI80" s="134" t="n">
        <v>0</v>
      </c>
      <c r="AJ80" s="134" t="n">
        <v>0</v>
      </c>
      <c r="AK80" s="134" t="n">
        <v>0</v>
      </c>
      <c r="AL80" s="134" t="n">
        <v>0</v>
      </c>
      <c r="AM80" s="134" t="n">
        <v>0</v>
      </c>
      <c r="AN80" s="134" t="n">
        <v>0</v>
      </c>
      <c r="AO80" s="145">
        <f>SUM(AC80:AH80)+SUM(AI80:AN80)</f>
        <v/>
      </c>
      <c r="AP80" s="142">
        <f>IF(AB80&lt;&gt;0,(AO80-AB80)/ABS(AB80),0)</f>
        <v/>
      </c>
    </row>
    <row r="81">
      <c r="A81" s="60" t="inlineStr">
        <is>
          <t>Direct - Childcare Cost</t>
        </is>
      </c>
      <c r="B81" s="60" t="n">
        <v>0</v>
      </c>
      <c r="C81" s="60" t="n">
        <v>0</v>
      </c>
      <c r="D81" s="60" t="n">
        <v>0</v>
      </c>
      <c r="E81" s="60" t="n">
        <v>-104.48</v>
      </c>
      <c r="F81" s="60" t="n">
        <v>0</v>
      </c>
      <c r="G81" s="60" t="n">
        <v>0</v>
      </c>
      <c r="H81" s="60" t="n">
        <v>-16.44</v>
      </c>
      <c r="I81" s="60" t="n">
        <v>0</v>
      </c>
      <c r="J81" s="60" t="n">
        <v>0</v>
      </c>
      <c r="K81" s="60" t="n">
        <v>0</v>
      </c>
      <c r="L81" s="60" t="n">
        <v>0</v>
      </c>
      <c r="M81" s="8" t="n"/>
      <c r="N81" s="8" t="n"/>
      <c r="O81" s="60">
        <f>-SUMIF('YBHN Blank TB'!$T:$T,'YBHN HO P&amp;L'!$A81,'YBHN Blank TB'!C:C)-SUMIF('YBHN HO TB'!$T:$T,'YBHN HO P&amp;L'!$A81,'YBHN HO TB'!C:C)</f>
        <v/>
      </c>
      <c r="P81" s="60">
        <f>-SUMIF('YBHN Blank TB'!$T:$T,'YBHN HO P&amp;L'!$A81,'YBHN Blank TB'!D:D)-SUMIF('YBHN HO TB'!$T:$T,'YBHN HO P&amp;L'!$A81,'YBHN HO TB'!D:D)</f>
        <v/>
      </c>
      <c r="Q81" s="60">
        <f>-SUMIF('YBHN Blank TB'!$T:$T,'YBHN HO P&amp;L'!$A81,'YBHN Blank TB'!E:E)-SUMIF('YBHN HO TB'!$T:$T,'YBHN HO P&amp;L'!$A81,'YBHN HO TB'!E:E)</f>
        <v/>
      </c>
      <c r="R81" s="60">
        <f>-SUMIF('YBHN Blank TB'!$T:$T,'YBHN HO P&amp;L'!$A81,'YBHN Blank TB'!F:F)-SUMIF('YBHN HO TB'!$T:$T,'YBHN HO P&amp;L'!$A81,'YBHN HO TB'!F:F)</f>
        <v/>
      </c>
      <c r="S81" s="60">
        <f>-SUMIF('YBHN Blank TB'!$T:$T,'YBHN HO P&amp;L'!$A81,'YBHN Blank TB'!G:G)-SUMIF('YBHN HO TB'!$T:$T,'YBHN HO P&amp;L'!$A81,'YBHN HO TB'!G:G)</f>
        <v/>
      </c>
      <c r="T81" s="60">
        <f>-SUMIF('YBHN Blank TB'!$T:$T,'YBHN HO P&amp;L'!$A81,'YBHN Blank TB'!H:H)-SUMIF('YBHN HO TB'!$T:$T,'YBHN HO P&amp;L'!$A81,'YBHN HO TB'!H:H)</f>
        <v/>
      </c>
      <c r="U81" s="60">
        <f>-SUMIF('YBHN Blank TB'!$T:$T,'YBHN HO P&amp;L'!$A81,'YBHN Blank TB'!I:I)-SUMIF('YBHN HO TB'!$T:$T,'YBHN HO P&amp;L'!$A81,'YBHN HO TB'!I:I)</f>
        <v/>
      </c>
      <c r="V81" s="60">
        <f>-SUMIF('YBHN Blank TB'!$T:$T,'YBHN HO P&amp;L'!$A81,'YBHN Blank TB'!J:J)-SUMIF('YBHN HO TB'!$T:$T,'YBHN HO P&amp;L'!$A81,'YBHN HO TB'!J:J)</f>
        <v/>
      </c>
      <c r="W81" s="60">
        <f>-SUMIF('YBHN Blank TB'!$T:$T,'YBHN HO P&amp;L'!$A81,'YBHN Blank TB'!K:K)-SUMIF('YBHN HO TB'!$T:$T,'YBHN HO P&amp;L'!$A81,'YBHN HO TB'!K:K)</f>
        <v/>
      </c>
      <c r="X81" s="60">
        <f>-SUMIF('YBHN Blank TB'!$T:$T,'YBHN HO P&amp;L'!$A81,'YBHN Blank TB'!L:L)-SUMIF('YBHN HO TB'!$T:$T,'YBHN HO P&amp;L'!$A81,'YBHN HO TB'!L:L)</f>
        <v/>
      </c>
      <c r="Y81" s="60">
        <f>-SUMIF('YBHN Blank TB'!$T:$T,'YBHN HO P&amp;L'!$A81,'YBHN Blank TB'!M:M)-SUMIF('YBHN HO TB'!$T:$T,'YBHN HO P&amp;L'!$A81,'YBHN HO TB'!M:M)</f>
        <v/>
      </c>
      <c r="Z81" s="60">
        <f>-SUMIF('YBHN Blank TB'!$T:$T,'YBHN HO P&amp;L'!$A81,'YBHN Blank TB'!N:N)-SUMIF('YBHN HO TB'!$T:$T,'YBHN HO P&amp;L'!$A81,'YBHN HO TB'!N:N)</f>
        <v/>
      </c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134" t="n">
        <v>0</v>
      </c>
      <c r="AJ81" s="134" t="n">
        <v>0</v>
      </c>
      <c r="AK81" s="134" t="n">
        <v>0</v>
      </c>
      <c r="AL81" s="134" t="n">
        <v>0</v>
      </c>
      <c r="AM81" s="134" t="n">
        <v>0</v>
      </c>
      <c r="AN81" s="134" t="n">
        <v>0</v>
      </c>
      <c r="AO81" s="145">
        <f>SUM(AC81:AH81)+SUM(AI81:AN81)</f>
        <v/>
      </c>
      <c r="AP81" s="142">
        <f>IF(AB81&lt;&gt;0,(AO81-AB81)/ABS(AB81),0)</f>
        <v/>
      </c>
    </row>
    <row r="82">
      <c r="A82" s="60" t="inlineStr">
        <is>
          <t>Direct - Premises &amp; Admin</t>
        </is>
      </c>
      <c r="B82" s="18" t="n">
        <v>-2555.59</v>
      </c>
      <c r="C82" s="18" t="n">
        <v>-2594.31</v>
      </c>
      <c r="D82" s="18" t="n">
        <v>-2651.78</v>
      </c>
      <c r="E82" s="18" t="n">
        <v>-2555.52</v>
      </c>
      <c r="F82" s="18" t="n">
        <v>-2555.85</v>
      </c>
      <c r="G82" s="18" t="n">
        <v>-2923.73</v>
      </c>
      <c r="H82" s="18" t="n">
        <v>-2549.98</v>
      </c>
      <c r="I82" s="18" t="n">
        <v>-2549.94</v>
      </c>
      <c r="J82" s="18" t="n">
        <v>-2549.95</v>
      </c>
      <c r="K82" s="18" t="n">
        <v>-549.84</v>
      </c>
      <c r="L82" s="18" t="n">
        <v>0</v>
      </c>
      <c r="M82" s="18" t="n"/>
      <c r="N82" s="8" t="n"/>
      <c r="O82" s="60">
        <f>-SUMIF('YBHN Blank TB'!$T:$T,'YBHN HO P&amp;L'!$A82,'YBHN Blank TB'!C:C)-SUMIF('YBHN HO TB'!$T:$T,'YBHN HO P&amp;L'!$A82,'YBHN HO TB'!C:C)</f>
        <v/>
      </c>
      <c r="P82" s="60">
        <f>-SUMIF('YBHN Blank TB'!$T:$T,'YBHN HO P&amp;L'!$A82,'YBHN Blank TB'!D:D)-SUMIF('YBHN HO TB'!$T:$T,'YBHN HO P&amp;L'!$A82,'YBHN HO TB'!D:D)</f>
        <v/>
      </c>
      <c r="Q82" s="60">
        <f>-SUMIF('YBHN Blank TB'!$T:$T,'YBHN HO P&amp;L'!$A82,'YBHN Blank TB'!E:E)-SUMIF('YBHN HO TB'!$T:$T,'YBHN HO P&amp;L'!$A82,'YBHN HO TB'!E:E)</f>
        <v/>
      </c>
      <c r="R82" s="60">
        <f>-SUMIF('YBHN Blank TB'!$T:$T,'YBHN HO P&amp;L'!$A82,'YBHN Blank TB'!F:F)-SUMIF('YBHN HO TB'!$T:$T,'YBHN HO P&amp;L'!$A82,'YBHN HO TB'!F:F)</f>
        <v/>
      </c>
      <c r="S82" s="60">
        <f>-SUMIF('YBHN Blank TB'!$T:$T,'YBHN HO P&amp;L'!$A82,'YBHN Blank TB'!G:G)-SUMIF('YBHN HO TB'!$T:$T,'YBHN HO P&amp;L'!$A82,'YBHN HO TB'!G:G)</f>
        <v/>
      </c>
      <c r="T82" s="60">
        <f>-SUMIF('YBHN Blank TB'!$T:$T,'YBHN HO P&amp;L'!$A82,'YBHN Blank TB'!H:H)-SUMIF('YBHN HO TB'!$T:$T,'YBHN HO P&amp;L'!$A82,'YBHN HO TB'!H:H)</f>
        <v/>
      </c>
      <c r="U82" s="60">
        <f>-SUMIF('YBHN Blank TB'!$T:$T,'YBHN HO P&amp;L'!$A82,'YBHN Blank TB'!I:I)-SUMIF('YBHN HO TB'!$T:$T,'YBHN HO P&amp;L'!$A82,'YBHN HO TB'!I:I)</f>
        <v/>
      </c>
      <c r="V82" s="60">
        <f>-SUMIF('YBHN Blank TB'!$T:$T,'YBHN HO P&amp;L'!$A82,'YBHN Blank TB'!J:J)-SUMIF('YBHN HO TB'!$T:$T,'YBHN HO P&amp;L'!$A82,'YBHN HO TB'!J:J)</f>
        <v/>
      </c>
      <c r="W82" s="60">
        <f>-SUMIF('YBHN Blank TB'!$T:$T,'YBHN HO P&amp;L'!$A82,'YBHN Blank TB'!K:K)-SUMIF('YBHN HO TB'!$T:$T,'YBHN HO P&amp;L'!$A82,'YBHN HO TB'!K:K)</f>
        <v/>
      </c>
      <c r="X82" s="60">
        <f>-SUMIF('YBHN Blank TB'!$T:$T,'YBHN HO P&amp;L'!$A82,'YBHN Blank TB'!L:L)-SUMIF('YBHN HO TB'!$T:$T,'YBHN HO P&amp;L'!$A82,'YBHN HO TB'!L:L)</f>
        <v/>
      </c>
      <c r="Y82" s="60">
        <f>-SUMIF('YBHN Blank TB'!$T:$T,'YBHN HO P&amp;L'!$A82,'YBHN Blank TB'!M:M)-SUMIF('YBHN HO TB'!$T:$T,'YBHN HO P&amp;L'!$A82,'YBHN HO TB'!M:M)</f>
        <v/>
      </c>
      <c r="Z82" s="60">
        <f>-SUMIF('YBHN Blank TB'!$T:$T,'YBHN HO P&amp;L'!$A82,'YBHN Blank TB'!N:N)-SUMIF('YBHN HO TB'!$T:$T,'YBHN HO P&amp;L'!$A82,'YBHN HO TB'!N:N)</f>
        <v/>
      </c>
      <c r="AA82" s="60">
        <f>SUM(O82:T82)</f>
        <v/>
      </c>
      <c r="AB82" s="8" t="n"/>
      <c r="AC82" s="8" t="n"/>
      <c r="AD82" s="8" t="n"/>
      <c r="AE82" s="8" t="n"/>
      <c r="AF82" s="8" t="n"/>
      <c r="AG82" s="8" t="n"/>
      <c r="AH82" s="8" t="n"/>
      <c r="AI82" s="134" t="n">
        <v>0</v>
      </c>
      <c r="AJ82" s="134" t="n">
        <v>0</v>
      </c>
      <c r="AK82" s="134" t="n">
        <v>0</v>
      </c>
      <c r="AL82" s="134" t="n">
        <v>0</v>
      </c>
      <c r="AM82" s="134" t="n">
        <v>0</v>
      </c>
      <c r="AN82" s="134" t="n">
        <v>0</v>
      </c>
      <c r="AO82" s="144">
        <f>SUM(AC82:AH82)+SUM(AI82:AN82)</f>
        <v/>
      </c>
      <c r="AP82" s="142">
        <f>IF(AB82&lt;&gt;0,(AO82-AB82)/ABS(AB82),0)</f>
        <v/>
      </c>
    </row>
    <row r="83">
      <c r="A83" s="60" t="inlineStr">
        <is>
          <t>In-Direct - Staff Cost</t>
        </is>
      </c>
      <c r="B83" s="60" t="n">
        <v>0</v>
      </c>
      <c r="C83" s="60" t="n">
        <v>0</v>
      </c>
      <c r="D83" s="60" t="n">
        <v>0</v>
      </c>
      <c r="E83" s="60" t="n">
        <v>0</v>
      </c>
      <c r="F83" s="60" t="n">
        <v>0</v>
      </c>
      <c r="G83" s="60" t="n">
        <v>0</v>
      </c>
      <c r="H83" s="60" t="n">
        <v>0</v>
      </c>
      <c r="I83" s="60" t="n">
        <v>0</v>
      </c>
      <c r="J83" s="60" t="n">
        <v>0</v>
      </c>
      <c r="K83" s="60" t="n">
        <v>0</v>
      </c>
      <c r="L83" s="60" t="n">
        <v>0</v>
      </c>
      <c r="M83" s="8" t="n"/>
      <c r="N83" s="8" t="n"/>
      <c r="O83" s="60">
        <f>-SUMIF('YBHN Blank TB'!$T:$T,'YBHN HO P&amp;L'!$A83,'YBHN Blank TB'!C:C)-SUMIF('YBHN HO TB'!$T:$T,'YBHN HO P&amp;L'!$A83,'YBHN HO TB'!C:C)</f>
        <v/>
      </c>
      <c r="P83" s="60">
        <f>-SUMIF('YBHN Blank TB'!$T:$T,'YBHN HO P&amp;L'!$A83,'YBHN Blank TB'!D:D)-SUMIF('YBHN HO TB'!$T:$T,'YBHN HO P&amp;L'!$A83,'YBHN HO TB'!D:D)</f>
        <v/>
      </c>
      <c r="Q83" s="60">
        <f>-SUMIF('YBHN Blank TB'!$T:$T,'YBHN HO P&amp;L'!$A83,'YBHN Blank TB'!E:E)-SUMIF('YBHN HO TB'!$T:$T,'YBHN HO P&amp;L'!$A83,'YBHN HO TB'!E:E)</f>
        <v/>
      </c>
      <c r="R83" s="60">
        <f>-SUMIF('YBHN Blank TB'!$T:$T,'YBHN HO P&amp;L'!$A83,'YBHN Blank TB'!F:F)-SUMIF('YBHN HO TB'!$T:$T,'YBHN HO P&amp;L'!$A83,'YBHN HO TB'!F:F)</f>
        <v/>
      </c>
      <c r="S83" s="60">
        <f>-SUMIF('YBHN Blank TB'!$T:$T,'YBHN HO P&amp;L'!$A83,'YBHN Blank TB'!G:G)-SUMIF('YBHN HO TB'!$T:$T,'YBHN HO P&amp;L'!$A83,'YBHN HO TB'!G:G)</f>
        <v/>
      </c>
      <c r="T83" s="60">
        <f>-SUMIF('YBHN Blank TB'!$T:$T,'YBHN HO P&amp;L'!$A83,'YBHN Blank TB'!H:H)-SUMIF('YBHN HO TB'!$T:$T,'YBHN HO P&amp;L'!$A83,'YBHN HO TB'!H:H)</f>
        <v/>
      </c>
      <c r="U83" s="60">
        <f>-SUMIF('YBHN Blank TB'!$T:$T,'YBHN HO P&amp;L'!$A83,'YBHN Blank TB'!I:I)-SUMIF('YBHN HO TB'!$T:$T,'YBHN HO P&amp;L'!$A83,'YBHN HO TB'!I:I)</f>
        <v/>
      </c>
      <c r="V83" s="60">
        <f>-SUMIF('YBHN Blank TB'!$T:$T,'YBHN HO P&amp;L'!$A83,'YBHN Blank TB'!J:J)-SUMIF('YBHN HO TB'!$T:$T,'YBHN HO P&amp;L'!$A83,'YBHN HO TB'!J:J)</f>
        <v/>
      </c>
      <c r="W83" s="60">
        <f>-SUMIF('YBHN Blank TB'!$T:$T,'YBHN HO P&amp;L'!$A83,'YBHN Blank TB'!K:K)-SUMIF('YBHN HO TB'!$T:$T,'YBHN HO P&amp;L'!$A83,'YBHN HO TB'!K:K)</f>
        <v/>
      </c>
      <c r="X83" s="60">
        <f>-SUMIF('YBHN Blank TB'!$T:$T,'YBHN HO P&amp;L'!$A83,'YBHN Blank TB'!L:L)-SUMIF('YBHN HO TB'!$T:$T,'YBHN HO P&amp;L'!$A83,'YBHN HO TB'!L:L)</f>
        <v/>
      </c>
      <c r="Y83" s="60">
        <f>-SUMIF('YBHN Blank TB'!$T:$T,'YBHN HO P&amp;L'!$A83,'YBHN Blank TB'!M:M)-SUMIF('YBHN HO TB'!$T:$T,'YBHN HO P&amp;L'!$A83,'YBHN HO TB'!M:M)</f>
        <v/>
      </c>
      <c r="Z83" s="60">
        <f>-SUMIF('YBHN Blank TB'!$T:$T,'YBHN HO P&amp;L'!$A83,'YBHN Blank TB'!N:N)-SUMIF('YBHN HO TB'!$T:$T,'YBHN HO P&amp;L'!$A83,'YBHN HO TB'!N:N)</f>
        <v/>
      </c>
      <c r="AA83" s="60">
        <f>SUM(O83:T83)</f>
        <v/>
      </c>
      <c r="AB83" s="8" t="n"/>
      <c r="AC83" s="8" t="n"/>
      <c r="AD83" s="8" t="n"/>
      <c r="AE83" s="8" t="n"/>
      <c r="AF83" s="8" t="n"/>
      <c r="AG83" s="8" t="n"/>
      <c r="AH83" s="8" t="n"/>
      <c r="AI83" s="134" t="n">
        <v>0</v>
      </c>
      <c r="AJ83" s="134" t="n">
        <v>0</v>
      </c>
      <c r="AK83" s="134" t="n">
        <v>0</v>
      </c>
      <c r="AL83" s="134" t="n">
        <v>0</v>
      </c>
      <c r="AM83" s="134" t="n">
        <v>0</v>
      </c>
      <c r="AN83" s="134" t="n">
        <v>0</v>
      </c>
      <c r="AO83" s="145">
        <f>SUM(AC83:AH83)+SUM(AI83:AN83)</f>
        <v/>
      </c>
      <c r="AP83" s="142">
        <f>IF(AB83&lt;&gt;0,(AO83-AB83)/ABS(AB83),0)</f>
        <v/>
      </c>
    </row>
    <row r="84">
      <c r="A84" s="60" t="inlineStr">
        <is>
          <t>In-Direct - Overheads</t>
        </is>
      </c>
      <c r="B84" s="60" t="n">
        <v>-1857.92</v>
      </c>
      <c r="C84" s="60" t="n">
        <v>-518.1600000000001</v>
      </c>
      <c r="D84" s="60" t="n">
        <v>-280.04</v>
      </c>
      <c r="E84" s="60" t="n">
        <v>-1634.41</v>
      </c>
      <c r="F84" s="60" t="n">
        <v>-231.41</v>
      </c>
      <c r="G84" s="60" t="n">
        <v>-132.93</v>
      </c>
      <c r="H84" s="60" t="n">
        <v>-345.11</v>
      </c>
      <c r="I84" s="60" t="n">
        <v>-275.05</v>
      </c>
      <c r="J84" s="60" t="n">
        <v>-1025.61</v>
      </c>
      <c r="K84" s="60" t="n">
        <v>-391.14</v>
      </c>
      <c r="L84" s="60" t="n">
        <v>-320.99</v>
      </c>
      <c r="M84" s="8" t="n"/>
      <c r="N84" s="8" t="n"/>
      <c r="O84" s="60">
        <f>-SUMIF('YBHN Blank TB'!$T:$T,'YBHN HO P&amp;L'!$A84,'YBHN Blank TB'!C:C)-SUMIF('YBHN HO TB'!$T:$T,'YBHN HO P&amp;L'!$A84,'YBHN HO TB'!C:C)</f>
        <v/>
      </c>
      <c r="P84" s="60">
        <f>-SUMIF('YBHN Blank TB'!$T:$T,'YBHN HO P&amp;L'!$A84,'YBHN Blank TB'!D:D)-SUMIF('YBHN HO TB'!$T:$T,'YBHN HO P&amp;L'!$A84,'YBHN HO TB'!D:D)</f>
        <v/>
      </c>
      <c r="Q84" s="60">
        <f>-SUMIF('YBHN Blank TB'!$T:$T,'YBHN HO P&amp;L'!$A84,'YBHN Blank TB'!E:E)-SUMIF('YBHN HO TB'!$T:$T,'YBHN HO P&amp;L'!$A84,'YBHN HO TB'!E:E)</f>
        <v/>
      </c>
      <c r="R84" s="60">
        <f>-SUMIF('YBHN Blank TB'!$T:$T,'YBHN HO P&amp;L'!$A84,'YBHN Blank TB'!F:F)-SUMIF('YBHN HO TB'!$T:$T,'YBHN HO P&amp;L'!$A84,'YBHN HO TB'!F:F)</f>
        <v/>
      </c>
      <c r="S84" s="60">
        <f>-SUMIF('YBHN Blank TB'!$T:$T,'YBHN HO P&amp;L'!$A84,'YBHN Blank TB'!G:G)-SUMIF('YBHN HO TB'!$T:$T,'YBHN HO P&amp;L'!$A84,'YBHN HO TB'!G:G)</f>
        <v/>
      </c>
      <c r="T84" s="60">
        <f>-SUMIF('YBHN Blank TB'!$T:$T,'YBHN HO P&amp;L'!$A84,'YBHN Blank TB'!H:H)-SUMIF('YBHN HO TB'!$T:$T,'YBHN HO P&amp;L'!$A84,'YBHN HO TB'!H:H)</f>
        <v/>
      </c>
      <c r="U84" s="60">
        <f>-SUMIF('YBHN Blank TB'!$T:$T,'YBHN HO P&amp;L'!$A84,'YBHN Blank TB'!I:I)-SUMIF('YBHN HO TB'!$T:$T,'YBHN HO P&amp;L'!$A84,'YBHN HO TB'!I:I)</f>
        <v/>
      </c>
      <c r="V84" s="60">
        <f>-SUMIF('YBHN Blank TB'!$T:$T,'YBHN HO P&amp;L'!$A84,'YBHN Blank TB'!J:J)-SUMIF('YBHN HO TB'!$T:$T,'YBHN HO P&amp;L'!$A84,'YBHN HO TB'!J:J)</f>
        <v/>
      </c>
      <c r="W84" s="60">
        <f>-SUMIF('YBHN Blank TB'!$T:$T,'YBHN HO P&amp;L'!$A84,'YBHN Blank TB'!K:K)-SUMIF('YBHN HO TB'!$T:$T,'YBHN HO P&amp;L'!$A84,'YBHN HO TB'!K:K)</f>
        <v/>
      </c>
      <c r="X84" s="60">
        <f>-SUMIF('YBHN Blank TB'!$T:$T,'YBHN HO P&amp;L'!$A84,'YBHN Blank TB'!L:L)-SUMIF('YBHN HO TB'!$T:$T,'YBHN HO P&amp;L'!$A84,'YBHN HO TB'!L:L)</f>
        <v/>
      </c>
      <c r="Y84" s="60">
        <f>-SUMIF('YBHN Blank TB'!$T:$T,'YBHN HO P&amp;L'!$A84,'YBHN Blank TB'!M:M)-SUMIF('YBHN HO TB'!$T:$T,'YBHN HO P&amp;L'!$A84,'YBHN HO TB'!M:M)</f>
        <v/>
      </c>
      <c r="Z84" s="60">
        <f>-SUMIF('YBHN Blank TB'!$T:$T,'YBHN HO P&amp;L'!$A84,'YBHN Blank TB'!N:N)-SUMIF('YBHN HO TB'!$T:$T,'YBHN HO P&amp;L'!$A84,'YBHN HO TB'!N:N)</f>
        <v/>
      </c>
      <c r="AA84" s="60">
        <f>SUM(O84:T84)</f>
        <v/>
      </c>
      <c r="AB84" s="8" t="n"/>
      <c r="AC84" s="8" t="n"/>
      <c r="AD84" s="8" t="n"/>
      <c r="AE84" s="8" t="n"/>
      <c r="AF84" s="8" t="n"/>
      <c r="AG84" s="8" t="n"/>
      <c r="AH84" s="8" t="n"/>
      <c r="AI84" s="134" t="n">
        <v>0</v>
      </c>
      <c r="AJ84" s="134" t="n">
        <v>0</v>
      </c>
      <c r="AK84" s="134" t="n">
        <v>0</v>
      </c>
      <c r="AL84" s="134" t="n">
        <v>0</v>
      </c>
      <c r="AM84" s="134" t="n">
        <v>0</v>
      </c>
      <c r="AN84" s="134" t="n">
        <v>0</v>
      </c>
      <c r="AO84" s="145">
        <f>SUM(AC84:AH84)+SUM(AI84:AN84)</f>
        <v/>
      </c>
      <c r="AP84" s="142">
        <f>IF(AB84&lt;&gt;0,(AO84-AB84)/ABS(AB84),0)</f>
        <v/>
      </c>
    </row>
    <row r="85" ht="15.75" customHeight="1">
      <c r="A85" s="8" t="n"/>
      <c r="B85" s="67" t="n">
        <v>-11499.45</v>
      </c>
      <c r="C85" s="67" t="n">
        <v>-5189.969999999999</v>
      </c>
      <c r="D85" s="67" t="n">
        <v>-4521.490000000001</v>
      </c>
      <c r="E85" s="67" t="n">
        <v>-5091.85</v>
      </c>
      <c r="F85" s="67" t="n">
        <v>-4912.95</v>
      </c>
      <c r="G85" s="67" t="n">
        <v>-6766.93</v>
      </c>
      <c r="H85" s="67" t="n">
        <v>-10152.1</v>
      </c>
      <c r="I85" s="67" t="n">
        <v>-6258.990000000001</v>
      </c>
      <c r="J85" s="67" t="n">
        <v>-6476.59</v>
      </c>
      <c r="K85" s="67" t="n">
        <v>-5062.780000000001</v>
      </c>
      <c r="L85" s="67" t="n">
        <v>-4167.65</v>
      </c>
      <c r="M85" s="18" t="n"/>
      <c r="N85" s="8" t="n"/>
      <c r="O85" s="64">
        <f>SUM(O79:O84)</f>
        <v/>
      </c>
      <c r="P85" s="64">
        <f>SUM(P79:P84)</f>
        <v/>
      </c>
      <c r="Q85" s="64">
        <f>SUM(Q79:Q84)</f>
        <v/>
      </c>
      <c r="R85" s="64">
        <f>SUM(R79:R84)</f>
        <v/>
      </c>
      <c r="S85" s="64">
        <f>SUM(S79:S84)</f>
        <v/>
      </c>
      <c r="T85" s="64">
        <f>SUM(T79:T84)</f>
        <v/>
      </c>
      <c r="U85" s="64">
        <f>SUM(U79:U84)</f>
        <v/>
      </c>
      <c r="V85" s="64">
        <f>SUM(V79:V84)</f>
        <v/>
      </c>
      <c r="W85" s="64">
        <f>SUM(W79:W84)</f>
        <v/>
      </c>
      <c r="X85" s="64">
        <f>SUM(X79:X84)</f>
        <v/>
      </c>
      <c r="Y85" s="64">
        <f>SUM(Y79:Y84)</f>
        <v/>
      </c>
      <c r="Z85" s="64">
        <f>SUM(Z79:Z84)</f>
        <v/>
      </c>
      <c r="AA85" s="60">
        <f>SUM(O85:T85)</f>
        <v/>
      </c>
      <c r="AB85" s="8" t="n"/>
      <c r="AC85" s="64" t="n"/>
      <c r="AD85" s="64" t="n"/>
      <c r="AE85" s="64" t="n"/>
      <c r="AF85" s="64" t="n"/>
      <c r="AG85" s="64" t="n"/>
      <c r="AH85" s="64" t="n"/>
      <c r="AI85" s="134" t="n">
        <v>0</v>
      </c>
      <c r="AJ85" s="134" t="n">
        <v>0</v>
      </c>
      <c r="AK85" s="134" t="n">
        <v>0</v>
      </c>
      <c r="AL85" s="134" t="n">
        <v>0</v>
      </c>
      <c r="AM85" s="134" t="n">
        <v>0</v>
      </c>
      <c r="AN85" s="134" t="n">
        <v>0</v>
      </c>
      <c r="AO85" s="144">
        <f>SUM(AC85:AH85)+SUM(AI85:AN85)</f>
        <v/>
      </c>
      <c r="AP85" s="142">
        <f>IF(AB85&lt;&gt;0,(AO85-AB85)/ABS(AB85),0)</f>
        <v/>
      </c>
    </row>
    <row r="86" ht="15.75" customHeight="1">
      <c r="A86" s="8" t="n"/>
      <c r="B86" s="18" t="n">
        <v>0</v>
      </c>
      <c r="C86" s="18" t="n">
        <v>0</v>
      </c>
      <c r="D86" s="18" t="n">
        <v>0</v>
      </c>
      <c r="E86" s="18" t="n">
        <v>0</v>
      </c>
      <c r="F86" s="18" t="n">
        <v>0</v>
      </c>
      <c r="G86" s="18" t="n">
        <v>0</v>
      </c>
      <c r="H86" s="18" t="n">
        <v>0</v>
      </c>
      <c r="I86" s="18" t="n">
        <v>0</v>
      </c>
      <c r="J86" s="18" t="n">
        <v>0</v>
      </c>
      <c r="K86" s="18" t="n">
        <v>0</v>
      </c>
      <c r="L86" s="18" t="n">
        <v>0</v>
      </c>
      <c r="M86" s="18" t="n">
        <v>-4178.22</v>
      </c>
      <c r="N86" s="8" t="n"/>
      <c r="O86" s="60">
        <f>+O70-O85</f>
        <v/>
      </c>
      <c r="P86" s="60">
        <f>+P70-P85</f>
        <v/>
      </c>
      <c r="Q86" s="60">
        <f>+Q70-Q85</f>
        <v/>
      </c>
      <c r="R86" s="60">
        <f>+R70-R85</f>
        <v/>
      </c>
      <c r="S86" s="60">
        <f>+S70-S85</f>
        <v/>
      </c>
      <c r="T86" s="60">
        <f>+T70-T85</f>
        <v/>
      </c>
      <c r="U86" s="60">
        <f>+U70-U85</f>
        <v/>
      </c>
      <c r="V86" s="60">
        <f>+V70-V85</f>
        <v/>
      </c>
      <c r="W86" s="60">
        <f>+W70-W85</f>
        <v/>
      </c>
      <c r="X86" s="60">
        <f>+X70-X85</f>
        <v/>
      </c>
      <c r="Y86" s="60">
        <f>+Y70-Y85</f>
        <v/>
      </c>
      <c r="Z86" s="60">
        <f>+Z70-Z85</f>
        <v/>
      </c>
      <c r="AA86" s="60">
        <f>SUM(O86:T86)</f>
        <v/>
      </c>
      <c r="AB86" s="8" t="n"/>
      <c r="AC86" s="8" t="n"/>
      <c r="AD86" s="8" t="n"/>
      <c r="AE86" s="8" t="n"/>
      <c r="AF86" s="8" t="n"/>
      <c r="AG86" s="8" t="n"/>
      <c r="AH86" s="8" t="n"/>
      <c r="AI86" s="134" t="n">
        <v>0</v>
      </c>
      <c r="AJ86" s="134" t="n">
        <v>0</v>
      </c>
      <c r="AK86" s="134" t="n">
        <v>0</v>
      </c>
      <c r="AL86" s="134" t="n">
        <v>0</v>
      </c>
      <c r="AM86" s="134" t="n">
        <v>0</v>
      </c>
      <c r="AN86" s="134" t="n">
        <v>0</v>
      </c>
      <c r="AO86" s="144">
        <f>SUM(AC86:AH86)+SUM(AI86:AN86)</f>
        <v/>
      </c>
      <c r="AP86" s="142">
        <f>IF(AB86&lt;&gt;0,(AO86-AB86)/ABS(AB86),0)</f>
        <v/>
      </c>
    </row>
    <row r="87">
      <c r="A87" s="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  <c r="M87" s="1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60">
        <f>SUM(O87:T87)</f>
        <v/>
      </c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8" t="n"/>
      <c r="B88" s="18" t="n">
        <v>-26.95000000000073</v>
      </c>
      <c r="C88" s="18" t="n">
        <v>-29.75</v>
      </c>
      <c r="D88" s="18" t="n">
        <v>-23.44999999999982</v>
      </c>
      <c r="E88" s="18" t="n">
        <v>-28.70000000000073</v>
      </c>
      <c r="F88" s="18" t="n">
        <v>-25.19999999999982</v>
      </c>
      <c r="G88" s="18" t="n">
        <v>-24.15000000000146</v>
      </c>
      <c r="H88" s="18" t="n">
        <v>-24.85000000000036</v>
      </c>
      <c r="I88" s="18" t="n">
        <v>-23.80000000000018</v>
      </c>
      <c r="J88" s="18" t="n">
        <v>-17.85000000000036</v>
      </c>
      <c r="K88" s="18" t="n">
        <v>-20.30000000000109</v>
      </c>
      <c r="L88" s="18" t="n">
        <v>-20.99999999999909</v>
      </c>
      <c r="M88" s="18" t="n">
        <v>4158.27</v>
      </c>
      <c r="N88" s="8" t="n"/>
      <c r="O88" s="60">
        <f>O85+O89</f>
        <v/>
      </c>
      <c r="P88" s="60">
        <f>P85+P89</f>
        <v/>
      </c>
      <c r="Q88" s="60">
        <f>Q85+Q89</f>
        <v/>
      </c>
      <c r="R88" s="60">
        <f>R85+R89</f>
        <v/>
      </c>
      <c r="S88" s="60">
        <f>S85+S89</f>
        <v/>
      </c>
      <c r="T88" s="60">
        <f>T85+T89</f>
        <v/>
      </c>
      <c r="U88" s="60">
        <f>U85+U89</f>
        <v/>
      </c>
      <c r="V88" s="60">
        <f>V85+V89</f>
        <v/>
      </c>
      <c r="W88" s="60">
        <f>W85+W89</f>
        <v/>
      </c>
      <c r="X88" s="60">
        <f>X85+X89</f>
        <v/>
      </c>
      <c r="Y88" s="60">
        <f>Y85+Y89</f>
        <v/>
      </c>
      <c r="Z88" s="60">
        <f>Z85+Z89</f>
        <v/>
      </c>
      <c r="AA88" s="8" t="n"/>
      <c r="AB88" s="8" t="n"/>
      <c r="AC88" s="8" t="n"/>
      <c r="AD88" s="8" t="n"/>
      <c r="AE88" s="8" t="n"/>
      <c r="AF88" s="8" t="n"/>
      <c r="AG88" s="8" t="n"/>
      <c r="AH88" s="8" t="n"/>
      <c r="AI88" s="134" t="n">
        <v>0</v>
      </c>
      <c r="AJ88" s="134" t="n">
        <v>0</v>
      </c>
      <c r="AK88" s="134" t="n">
        <v>0</v>
      </c>
      <c r="AL88" s="134" t="n">
        <v>0</v>
      </c>
      <c r="AM88" s="134" t="n">
        <v>0</v>
      </c>
      <c r="AN88" s="134" t="n">
        <v>0</v>
      </c>
      <c r="AO88" s="144">
        <f>SUM(AC88:AH88)+SUM(AI88:AN88)</f>
        <v/>
      </c>
      <c r="AP88" s="142">
        <f>IF(AB88&lt;&gt;0,(AO88-AB88)/ABS(AB88),0)</f>
        <v/>
      </c>
    </row>
    <row r="89">
      <c r="A89" s="8" t="n"/>
      <c r="B89" s="18" t="n">
        <v>11472.5</v>
      </c>
      <c r="C89" s="18" t="n">
        <v>5160.219999999999</v>
      </c>
      <c r="D89" s="18" t="n">
        <v>4498.040000000001</v>
      </c>
      <c r="E89" s="18" t="n">
        <v>5063.15</v>
      </c>
      <c r="F89" s="18" t="n">
        <v>4887.75</v>
      </c>
      <c r="G89" s="18" t="n">
        <v>6742.779999999999</v>
      </c>
      <c r="H89" s="18" t="n">
        <v>10127.25</v>
      </c>
      <c r="I89" s="18" t="n">
        <v>6235.190000000001</v>
      </c>
      <c r="J89" s="18" t="n">
        <v>6458.74</v>
      </c>
      <c r="K89" s="18" t="n">
        <v>5042.48</v>
      </c>
      <c r="L89" s="18" t="n">
        <v>4146.650000000001</v>
      </c>
      <c r="M89" s="18" t="n">
        <v>4158.27</v>
      </c>
      <c r="N89" s="8" t="n"/>
      <c r="O89" s="60">
        <f>SUM('YBHN Blank TB'!C2:C36)+SUM('YBHN HO TB'!C2:C43)</f>
        <v/>
      </c>
      <c r="P89" s="60">
        <f>SUM('YBHN Blank TB'!D2:D36)+SUM('YBHN HO TB'!D2:D43)</f>
        <v/>
      </c>
      <c r="Q89" s="60">
        <f>SUM('YBHN Blank TB'!E2:E36)+SUM('YBHN HO TB'!E2:E43)</f>
        <v/>
      </c>
      <c r="R89" s="60">
        <f>SUM('YBHN Blank TB'!F2:F36)+SUM('YBHN HO TB'!F2:F43)</f>
        <v/>
      </c>
      <c r="S89" s="60">
        <f>SUM('YBHN Blank TB'!G2:G36)+SUM('YBHN HO TB'!G2:G43)</f>
        <v/>
      </c>
      <c r="T89" s="60">
        <f>SUM('YBHN Blank TB'!H2:H36)+SUM('YBHN HO TB'!H2:H43)</f>
        <v/>
      </c>
      <c r="U89" s="60">
        <f>SUM('YBHN Blank TB'!I2:I36)+SUM('YBHN HO TB'!I2:I43)</f>
        <v/>
      </c>
      <c r="V89" s="60">
        <f>SUM('YBHN Blank TB'!J2:J36)+SUM('YBHN HO TB'!J2:J43)</f>
        <v/>
      </c>
      <c r="W89" s="60">
        <f>SUM('YBHN Blank TB'!K2:K36)+SUM('YBHN HO TB'!K2:K43)</f>
        <v/>
      </c>
      <c r="X89" s="60">
        <f>SUM('YBHN Blank TB'!L2:L36)+SUM('YBHN HO TB'!L2:L43)</f>
        <v/>
      </c>
      <c r="Y89" s="60">
        <f>SUM('YBHN Blank TB'!M2:M36)+SUM('YBHN HO TB'!M2:M43)</f>
        <v/>
      </c>
      <c r="Z89" s="60">
        <f>SUM('YBHN Blank TB'!N2:N36)+SUM('YBHN HO TB'!N2:N43)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34" t="n">
        <v>0</v>
      </c>
      <c r="AJ89" s="134" t="n">
        <v>0</v>
      </c>
      <c r="AK89" s="134" t="n">
        <v>0</v>
      </c>
      <c r="AL89" s="134" t="n">
        <v>0</v>
      </c>
      <c r="AM89" s="134" t="n">
        <v>0</v>
      </c>
      <c r="AN89" s="134" t="n">
        <v>0</v>
      </c>
      <c r="AO89" s="144">
        <f>SUM(AC89:AH89)+SUM(AI89:AN89)</f>
        <v/>
      </c>
      <c r="AP89" s="142">
        <f>IF(AB89&lt;&gt;0,(AO89-AB89)/ABS(AB89),0)</f>
        <v/>
      </c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</row>
    <row r="92">
      <c r="A92" s="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</sheetData>
  <mergeCells count="1">
    <mergeCell ref="AI1:AQ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140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YBN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0" t="inlineStr">
        <is>
          <t>2027 PLAN — Jul to Dec (editable)</t>
        </is>
      </c>
    </row>
    <row r="2" ht="45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3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 ht="15" customHeight="1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21" t="n"/>
      <c r="AN3" s="8" t="n"/>
      <c r="AO3" s="19" t="n"/>
      <c r="AP3" s="19" t="n"/>
    </row>
    <row r="4" ht="15" customHeight="1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7" t="n"/>
      <c r="AN4" s="25" t="n"/>
      <c r="AO4" s="24" t="n"/>
      <c r="AP4" s="24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7" t="n"/>
      <c r="AN5" s="25" t="n"/>
      <c r="AO5" s="24" t="n"/>
      <c r="AP5" s="24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3" t="n"/>
      <c r="AN6" s="31" t="n"/>
      <c r="AO6" s="30" t="n"/>
      <c r="AP6" s="30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7" t="n"/>
      <c r="AN7" s="25" t="n"/>
      <c r="AO7" s="24" t="n"/>
      <c r="AP7" s="24" t="n"/>
    </row>
    <row r="8">
      <c r="A8" s="34" t="inlineStr">
        <is>
          <t>Fee Income Regular</t>
        </is>
      </c>
      <c r="B8" s="35" t="n">
        <v>0</v>
      </c>
      <c r="C8" s="35" t="n">
        <v>0</v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 t="n">
        <v>0</v>
      </c>
      <c r="J8" s="35" t="n">
        <v>0</v>
      </c>
      <c r="K8" s="35" t="n">
        <v>0</v>
      </c>
      <c r="L8" s="35" t="n">
        <v>0</v>
      </c>
      <c r="M8" s="35" t="n">
        <v>0</v>
      </c>
      <c r="N8" s="36">
        <f>SUM(B8:M8)</f>
        <v/>
      </c>
      <c r="O8" s="37">
        <f>-(SUMIF('YBN Blank TB'!$R:$R,'YBN HO P&amp;L'!$A8,'YBN Blank TB'!C:C)+(SUMIF('YBN HO TB'!$R:$R,'YBN HO P&amp;L'!$A8,'YBN HO TB'!C:C)))</f>
        <v/>
      </c>
      <c r="P8" s="37">
        <f>-(SUMIF('YBN Blank TB'!$R:$R,'YBN HO P&amp;L'!$A8,'YBN Blank TB'!D:D)+(SUMIF('YBN HO TB'!$R:$R,'YBN HO P&amp;L'!$A8,'YBN HO TB'!D:D)))</f>
        <v/>
      </c>
      <c r="Q8" s="37">
        <f>-(SUMIF('YBN Blank TB'!$R:$R,'YBN HO P&amp;L'!$A8,'YBN Blank TB'!E:E)+(SUMIF('YBN HO TB'!$R:$R,'YBN HO P&amp;L'!$A8,'YBN HO TB'!E:E)))</f>
        <v/>
      </c>
      <c r="R8" s="37">
        <f>-(SUMIF('YBN Blank TB'!$R:$R,'YBN HO P&amp;L'!$A8,'YBN Blank TB'!F:F)+(SUMIF('YBN HO TB'!$R:$R,'YBN HO P&amp;L'!$A8,'YBN HO TB'!F:F)))</f>
        <v/>
      </c>
      <c r="S8" s="37">
        <f>-(SUMIF('YBN Blank TB'!$R:$R,'YBN HO P&amp;L'!$A8,'YBN Blank TB'!G:G)+(SUMIF('YBN HO TB'!$R:$R,'YBN HO P&amp;L'!$A8,'YBN HO TB'!G:G)))</f>
        <v/>
      </c>
      <c r="T8" s="37">
        <f>-(SUMIF('YBN Blank TB'!$R:$R,'YBN HO P&amp;L'!$A8,'YBN Blank TB'!H:H)+(SUMIF('YBN HO TB'!$R:$R,'YBN HO P&amp;L'!$A8,'YBN HO TB'!H:H)))</f>
        <v/>
      </c>
      <c r="U8" s="37">
        <f>-(SUMIF('YBN Blank TB'!$R:$R,'YBN HO P&amp;L'!$A8,'YBN Blank TB'!I:I)+(SUMIF('YBN HO TB'!$R:$R,'YBN HO P&amp;L'!$A8,'YBN HO TB'!I:I)))</f>
        <v/>
      </c>
      <c r="V8" s="38" t="n"/>
      <c r="W8" s="38" t="n"/>
      <c r="X8" s="38" t="n"/>
      <c r="Y8" s="38" t="n"/>
      <c r="Z8" s="38" t="n"/>
      <c r="AA8" s="36">
        <f>SUM(O8:U8)</f>
        <v/>
      </c>
      <c r="AB8" s="36">
        <f>SUM(O8:Z8)</f>
        <v/>
      </c>
      <c r="AC8" s="38" t="n"/>
      <c r="AD8" s="38" t="n"/>
      <c r="AE8" s="38" t="n"/>
      <c r="AF8" s="38" t="n"/>
      <c r="AG8" s="38" t="n"/>
      <c r="AH8" s="38" t="n"/>
      <c r="AI8" s="118" t="n">
        <v>0</v>
      </c>
      <c r="AJ8" s="119" t="n">
        <v>0</v>
      </c>
      <c r="AK8" s="119" t="n">
        <v>0</v>
      </c>
      <c r="AL8" s="119" t="n">
        <v>0</v>
      </c>
      <c r="AM8" s="120" t="n">
        <v>0</v>
      </c>
      <c r="AN8" s="118" t="n">
        <v>0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0</v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  <c r="H9" s="35" t="n">
        <v>0</v>
      </c>
      <c r="I9" s="35" t="n">
        <v>0</v>
      </c>
      <c r="J9" s="35" t="n">
        <v>0</v>
      </c>
      <c r="K9" s="35" t="n">
        <v>0</v>
      </c>
      <c r="L9" s="35" t="n">
        <v>0</v>
      </c>
      <c r="M9" s="35" t="n">
        <v>0</v>
      </c>
      <c r="N9" s="36">
        <f>SUM(B9:M9)</f>
        <v/>
      </c>
      <c r="O9" s="37">
        <f>-(SUMIF('YBN Blank TB'!$R:$R,'YBN HO P&amp;L'!$A9,'YBN Blank TB'!C:C)+(SUMIF('YBN HO TB'!$R:$R,'YBN HO P&amp;L'!$A9,'YBN HO TB'!C:C)))</f>
        <v/>
      </c>
      <c r="P9" s="37">
        <f>-(SUMIF('YBN Blank TB'!$R:$R,'YBN HO P&amp;L'!$A9,'YBN Blank TB'!D:D)+(SUMIF('YBN HO TB'!$R:$R,'YBN HO P&amp;L'!$A9,'YBN HO TB'!D:D)))</f>
        <v/>
      </c>
      <c r="Q9" s="37">
        <f>-(SUMIF('YBN Blank TB'!$R:$R,'YBN HO P&amp;L'!$A9,'YBN Blank TB'!E:E)+(SUMIF('YBN HO TB'!$R:$R,'YBN HO P&amp;L'!$A9,'YBN HO TB'!E:E)))</f>
        <v/>
      </c>
      <c r="R9" s="37">
        <f>-(SUMIF('YBN Blank TB'!$R:$R,'YBN HO P&amp;L'!$A9,'YBN Blank TB'!F:F)+(SUMIF('YBN HO TB'!$R:$R,'YBN HO P&amp;L'!$A9,'YBN HO TB'!F:F)))</f>
        <v/>
      </c>
      <c r="S9" s="37">
        <f>-(SUMIF('YBN Blank TB'!$R:$R,'YBN HO P&amp;L'!$A9,'YBN Blank TB'!G:G)+(SUMIF('YBN HO TB'!$R:$R,'YBN HO P&amp;L'!$A9,'YBN HO TB'!G:G)))</f>
        <v/>
      </c>
      <c r="T9" s="37">
        <f>-(SUMIF('YBN Blank TB'!$R:$R,'YBN HO P&amp;L'!$A9,'YBN Blank TB'!H:H)+(SUMIF('YBN HO TB'!$R:$R,'YBN HO P&amp;L'!$A9,'YBN HO TB'!H:H)))</f>
        <v/>
      </c>
      <c r="U9" s="37">
        <f>-(SUMIF('YBN Blank TB'!$R:$R,'YBN HO P&amp;L'!$A9,'YBN Blank TB'!I:I)+(SUMIF('YBN HO TB'!$R:$R,'YBN HO P&amp;L'!$A9,'YBN HO TB'!I:I)))</f>
        <v/>
      </c>
      <c r="V9" s="38" t="n"/>
      <c r="W9" s="38" t="n"/>
      <c r="X9" s="38" t="n"/>
      <c r="Y9" s="38" t="n"/>
      <c r="Z9" s="38" t="n"/>
      <c r="AA9" s="36">
        <f>SUM(O9:U9)</f>
        <v/>
      </c>
      <c r="AB9" s="36">
        <f>SUM(O9:Z9)</f>
        <v/>
      </c>
      <c r="AC9" s="38" t="n"/>
      <c r="AD9" s="38" t="n"/>
      <c r="AE9" s="38" t="n"/>
      <c r="AF9" s="38" t="n"/>
      <c r="AG9" s="38" t="n"/>
      <c r="AH9" s="38" t="n"/>
      <c r="AI9" s="118" t="n">
        <v>0</v>
      </c>
      <c r="AJ9" s="119" t="n">
        <v>0</v>
      </c>
      <c r="AK9" s="119" t="n">
        <v>0</v>
      </c>
      <c r="AL9" s="119" t="n">
        <v>0</v>
      </c>
      <c r="AM9" s="120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0</v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v>0</v>
      </c>
      <c r="K10" s="35" t="n">
        <v>0</v>
      </c>
      <c r="L10" s="35" t="n">
        <v>0</v>
      </c>
      <c r="M10" s="35" t="n">
        <v>0</v>
      </c>
      <c r="N10" s="36">
        <f>SUM(B10:M10)</f>
        <v/>
      </c>
      <c r="O10" s="37">
        <f>-(SUMIF('YBN Blank TB'!$R:$R,'YBN HO P&amp;L'!$A10,'YBN Blank TB'!C:C)+(SUMIF('YBN HO TB'!$R:$R,'YBN HO P&amp;L'!$A10,'YBN HO TB'!C:C)))</f>
        <v/>
      </c>
      <c r="P10" s="37">
        <f>-(SUMIF('YBN Blank TB'!$R:$R,'YBN HO P&amp;L'!$A10,'YBN Blank TB'!D:D)+(SUMIF('YBN HO TB'!$R:$R,'YBN HO P&amp;L'!$A10,'YBN HO TB'!D:D)))</f>
        <v/>
      </c>
      <c r="Q10" s="37">
        <f>-(SUMIF('YBN Blank TB'!$R:$R,'YBN HO P&amp;L'!$A10,'YBN Blank TB'!E:E)+(SUMIF('YBN HO TB'!$R:$R,'YBN HO P&amp;L'!$A10,'YBN HO TB'!E:E)))</f>
        <v/>
      </c>
      <c r="R10" s="37">
        <f>-(SUMIF('YBN Blank TB'!$R:$R,'YBN HO P&amp;L'!$A10,'YBN Blank TB'!F:F)+(SUMIF('YBN HO TB'!$R:$R,'YBN HO P&amp;L'!$A10,'YBN HO TB'!F:F)))</f>
        <v/>
      </c>
      <c r="S10" s="37">
        <f>-(SUMIF('YBN Blank TB'!$R:$R,'YBN HO P&amp;L'!$A10,'YBN Blank TB'!G:G)+(SUMIF('YBN HO TB'!$R:$R,'YBN HO P&amp;L'!$A10,'YBN HO TB'!G:G)))</f>
        <v/>
      </c>
      <c r="T10" s="37">
        <f>-(SUMIF('YBN Blank TB'!$R:$R,'YBN HO P&amp;L'!$A10,'YBN Blank TB'!H:H)+(SUMIF('YBN HO TB'!$R:$R,'YBN HO P&amp;L'!$A10,'YBN HO TB'!H:H)))</f>
        <v/>
      </c>
      <c r="U10" s="37">
        <f>-(SUMIF('YBN Blank TB'!$R:$R,'YBN HO P&amp;L'!$A10,'YBN Blank TB'!I:I)+(SUMIF('YBN HO TB'!$R:$R,'YBN HO P&amp;L'!$A10,'YBN HO TB'!I:I)))</f>
        <v/>
      </c>
      <c r="V10" s="38" t="n"/>
      <c r="W10" s="38" t="n"/>
      <c r="X10" s="38" t="n"/>
      <c r="Y10" s="38" t="n"/>
      <c r="Z10" s="38" t="n"/>
      <c r="AA10" s="36">
        <f>SUM(O10:U10)</f>
        <v/>
      </c>
      <c r="AB10" s="36">
        <f>SUM(O10:Z10)</f>
        <v/>
      </c>
      <c r="AC10" s="38" t="n"/>
      <c r="AD10" s="38" t="n"/>
      <c r="AE10" s="38" t="n"/>
      <c r="AF10" s="38" t="n"/>
      <c r="AG10" s="38" t="n"/>
      <c r="AH10" s="38" t="n"/>
      <c r="AI10" s="118" t="n">
        <v>0</v>
      </c>
      <c r="AJ10" s="119" t="n">
        <v>0</v>
      </c>
      <c r="AK10" s="119" t="n">
        <v>0</v>
      </c>
      <c r="AL10" s="119" t="n">
        <v>0</v>
      </c>
      <c r="AM10" s="120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0</v>
      </c>
      <c r="C11" s="42" t="n">
        <v>0</v>
      </c>
      <c r="D11" s="42" t="n">
        <v>0</v>
      </c>
      <c r="E11" s="42" t="n">
        <v>0</v>
      </c>
      <c r="F11" s="42" t="n">
        <v>0</v>
      </c>
      <c r="G11" s="42" t="n">
        <v>0</v>
      </c>
      <c r="H11" s="42" t="n">
        <v>0</v>
      </c>
      <c r="I11" s="42" t="n">
        <v>0</v>
      </c>
      <c r="J11" s="42" t="n">
        <v>0</v>
      </c>
      <c r="K11" s="42" t="n">
        <v>0</v>
      </c>
      <c r="L11" s="42" t="n">
        <v>0</v>
      </c>
      <c r="M11" s="42" t="n">
        <v>0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SUM(AA8:AA10)</f>
        <v/>
      </c>
      <c r="AB11" s="43">
        <f>SUM(AB8:AB10)</f>
        <v/>
      </c>
      <c r="AC11" s="45" t="n"/>
      <c r="AD11" s="45" t="n"/>
      <c r="AE11" s="45" t="n"/>
      <c r="AF11" s="45" t="n"/>
      <c r="AG11" s="45" t="n"/>
      <c r="AH11" s="45" t="n"/>
      <c r="AI11" s="134" t="n">
        <v>0</v>
      </c>
      <c r="AJ11" s="152" t="n">
        <v>0</v>
      </c>
      <c r="AK11" s="152" t="n">
        <v>0</v>
      </c>
      <c r="AL11" s="152" t="n">
        <v>0</v>
      </c>
      <c r="AM11" s="152" t="n">
        <v>0</v>
      </c>
      <c r="AN11" s="134" t="n">
        <v>0</v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>
        <f>SUM(B12:M12)</f>
        <v/>
      </c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SUM(O12:T12)</f>
        <v/>
      </c>
      <c r="AB12" s="36">
        <f>SUM(O12:Z12)</f>
        <v/>
      </c>
      <c r="AC12" s="32" t="n"/>
      <c r="AD12" s="32" t="n"/>
      <c r="AE12" s="32" t="n"/>
      <c r="AF12" s="32" t="n"/>
      <c r="AG12" s="32" t="n"/>
      <c r="AH12" s="32" t="n"/>
      <c r="AI12" s="127" t="n">
        <v>0</v>
      </c>
      <c r="AJ12" s="128" t="n">
        <v>0</v>
      </c>
      <c r="AK12" s="128" t="n">
        <v>0</v>
      </c>
      <c r="AL12" s="128" t="n">
        <v>0</v>
      </c>
      <c r="AM12" s="129" t="n">
        <v>0</v>
      </c>
      <c r="AN12" s="127" t="n">
        <v>0</v>
      </c>
      <c r="AO12" s="121">
        <f>SUM(AC12:AH12)+SUM(AI12:AN12)</f>
        <v/>
      </c>
      <c r="AP12" s="122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 t="n"/>
      <c r="AD13" s="47" t="n"/>
      <c r="AE13" s="47" t="n"/>
      <c r="AF13" s="47" t="n"/>
      <c r="AG13" s="47" t="n"/>
      <c r="AH13" s="47" t="n"/>
      <c r="AI13" s="130" t="n">
        <v>0</v>
      </c>
      <c r="AJ13" s="131" t="n">
        <v>0</v>
      </c>
      <c r="AK13" s="131" t="n">
        <v>0</v>
      </c>
      <c r="AL13" s="131" t="n">
        <v>0</v>
      </c>
      <c r="AM13" s="132" t="n">
        <v>0</v>
      </c>
      <c r="AN13" s="130" t="n">
        <v>0</v>
      </c>
      <c r="AO13" s="133">
        <f>SUM(AC13:AH13)+SUM(AI13:AN13)</f>
        <v/>
      </c>
      <c r="AP13" s="122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 t="n"/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9" t="n"/>
      <c r="AN14" s="40" t="n"/>
      <c r="AO14" s="36" t="n"/>
      <c r="AP14" s="36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>
        <f>SUM(B15:M15)</f>
        <v/>
      </c>
      <c r="O15" s="25" t="n"/>
      <c r="P15" s="66" t="n"/>
      <c r="Q15" s="25" t="n"/>
      <c r="R15" s="25" t="n"/>
      <c r="S15" s="25" t="n"/>
      <c r="T15" s="25" t="n"/>
      <c r="U15" s="25" t="n"/>
      <c r="V15" s="26" t="n"/>
      <c r="W15" s="26" t="n"/>
      <c r="X15" s="26" t="n"/>
      <c r="Y15" s="26" t="n"/>
      <c r="Z15" s="26" t="n"/>
      <c r="AA15" s="36">
        <f>SUM(O15:T15)</f>
        <v/>
      </c>
      <c r="AB15" s="36">
        <f>SUM(O15:Z15)</f>
        <v/>
      </c>
      <c r="AC15" s="26" t="n"/>
      <c r="AD15" s="26" t="n"/>
      <c r="AE15" s="26" t="n"/>
      <c r="AF15" s="26" t="n"/>
      <c r="AG15" s="26" t="n"/>
      <c r="AH15" s="26" t="n"/>
      <c r="AI15" s="134" t="n">
        <v>0</v>
      </c>
      <c r="AJ15" s="135" t="n">
        <v>0</v>
      </c>
      <c r="AK15" s="135" t="n">
        <v>0</v>
      </c>
      <c r="AL15" s="135" t="n">
        <v>0</v>
      </c>
      <c r="AM15" s="136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0</v>
      </c>
      <c r="C16" s="35" t="n">
        <v>0</v>
      </c>
      <c r="D16" s="35" t="n">
        <v>0</v>
      </c>
      <c r="E16" s="35" t="n">
        <v>0</v>
      </c>
      <c r="F16" s="35" t="n">
        <v>0</v>
      </c>
      <c r="G16" s="35" t="n">
        <v>0</v>
      </c>
      <c r="H16" s="35" t="n">
        <v>0</v>
      </c>
      <c r="I16" s="35" t="n">
        <v>0</v>
      </c>
      <c r="J16" s="35" t="n">
        <v>0</v>
      </c>
      <c r="K16" s="35" t="n">
        <v>0</v>
      </c>
      <c r="L16" s="35" t="n">
        <v>0</v>
      </c>
      <c r="M16" s="35" t="n">
        <v>0</v>
      </c>
      <c r="N16" s="36">
        <f>SUM(B16:M16)</f>
        <v/>
      </c>
      <c r="O16" s="37">
        <f>(SUMIF('YBN Blank TB'!$R:$R,'YBN HO P&amp;L'!$A16,'YBN Blank TB'!C:C)+(SUMIF('YBN HO TB'!$R:$R,'YBN HO P&amp;L'!$A16,'YBN HO TB'!C:C)))</f>
        <v/>
      </c>
      <c r="P16" s="37">
        <f>(SUMIF('YBN Blank TB'!$R:$R,'YBN HO P&amp;L'!$A16,'YBN Blank TB'!D:D)+(SUMIF('YBN HO TB'!$R:$R,'YBN HO P&amp;L'!$A16,'YBN HO TB'!D:D)))</f>
        <v/>
      </c>
      <c r="Q16" s="37">
        <f>(SUMIF('YBN Blank TB'!$R:$R,'YBN HO P&amp;L'!$A16,'YBN Blank TB'!E:E)+(SUMIF('YBN HO TB'!$R:$R,'YBN HO P&amp;L'!$A16,'YBN HO TB'!E:E)))</f>
        <v/>
      </c>
      <c r="R16" s="37">
        <f>(SUMIF('YBN Blank TB'!$R:$R,'YBN HO P&amp;L'!$A16,'YBN Blank TB'!F:F)+(SUMIF('YBN HO TB'!$R:$R,'YBN HO P&amp;L'!$A16,'YBN HO TB'!F:F)))</f>
        <v/>
      </c>
      <c r="S16" s="37">
        <f>(SUMIF('YBN Blank TB'!$R:$R,'YBN HO P&amp;L'!$A16,'YBN Blank TB'!G:G)+(SUMIF('YBN HO TB'!$R:$R,'YBN HO P&amp;L'!$A16,'YBN HO TB'!G:G)))</f>
        <v/>
      </c>
      <c r="T16" s="37">
        <f>(SUMIF('YBN Blank TB'!$R:$R,'YBN HO P&amp;L'!$A16,'YBN Blank TB'!H:H)+(SUMIF('YBN HO TB'!$R:$R,'YBN HO P&amp;L'!$A16,'YBN HO TB'!H:H)))</f>
        <v/>
      </c>
      <c r="U16" s="37">
        <f>(SUMIF('YBN Blank TB'!$R:$R,'YBN HO P&amp;L'!$A16,'YBN Blank TB'!I:I)+(SUMIF('YBN HO TB'!$R:$R,'YBN HO P&amp;L'!$A16,'YBN HO TB'!I:I)))</f>
        <v/>
      </c>
      <c r="V16" s="38" t="n"/>
      <c r="W16" s="38" t="n"/>
      <c r="X16" s="38" t="n"/>
      <c r="Y16" s="38" t="n"/>
      <c r="Z16" s="38" t="n"/>
      <c r="AA16" s="36">
        <f>SUM(O16:U16)</f>
        <v/>
      </c>
      <c r="AB16" s="36">
        <f>SUM(O16:Z16)</f>
        <v/>
      </c>
      <c r="AC16" s="38" t="n"/>
      <c r="AD16" s="38" t="n"/>
      <c r="AE16" s="38" t="n"/>
      <c r="AF16" s="38" t="n"/>
      <c r="AG16" s="38" t="n"/>
      <c r="AH16" s="38" t="n"/>
      <c r="AI16" s="118" t="n">
        <v>0</v>
      </c>
      <c r="AJ16" s="119" t="n">
        <v>0</v>
      </c>
      <c r="AK16" s="119" t="n">
        <v>0</v>
      </c>
      <c r="AL16" s="119" t="n">
        <v>0</v>
      </c>
      <c r="AM16" s="120" t="n">
        <v>0</v>
      </c>
      <c r="AN16" s="118" t="n">
        <v>0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0</v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0</v>
      </c>
      <c r="K17" s="35" t="n">
        <v>0</v>
      </c>
      <c r="L17" s="35" t="n">
        <v>0</v>
      </c>
      <c r="M17" s="35" t="n">
        <v>0</v>
      </c>
      <c r="N17" s="36">
        <f>SUM(B17:M17)</f>
        <v/>
      </c>
      <c r="O17" s="37">
        <f>(SUMIF('YBN Blank TB'!$R:$R,'YBN HO P&amp;L'!$A17,'YBN Blank TB'!C:C)+(SUMIF('YBN HO TB'!$R:$R,'YBN HO P&amp;L'!$A17,'YBN HO TB'!C:C)))</f>
        <v/>
      </c>
      <c r="P17" s="37">
        <f>(SUMIF('YBN Blank TB'!$R:$R,'YBN HO P&amp;L'!$A17,'YBN Blank TB'!D:D)+(SUMIF('YBN HO TB'!$R:$R,'YBN HO P&amp;L'!$A17,'YBN HO TB'!D:D)))</f>
        <v/>
      </c>
      <c r="Q17" s="37">
        <f>(SUMIF('YBN Blank TB'!$R:$R,'YBN HO P&amp;L'!$A17,'YBN Blank TB'!E:E)+(SUMIF('YBN HO TB'!$R:$R,'YBN HO P&amp;L'!$A17,'YBN HO TB'!E:E)))</f>
        <v/>
      </c>
      <c r="R17" s="37">
        <f>(SUMIF('YBN Blank TB'!$R:$R,'YBN HO P&amp;L'!$A17,'YBN Blank TB'!F:F)+(SUMIF('YBN HO TB'!$R:$R,'YBN HO P&amp;L'!$A17,'YBN HO TB'!F:F)))</f>
        <v/>
      </c>
      <c r="S17" s="37">
        <f>(SUMIF('YBN Blank TB'!$R:$R,'YBN HO P&amp;L'!$A17,'YBN Blank TB'!G:G)+(SUMIF('YBN HO TB'!$R:$R,'YBN HO P&amp;L'!$A17,'YBN HO TB'!G:G)))</f>
        <v/>
      </c>
      <c r="T17" s="37">
        <f>(SUMIF('YBN Blank TB'!$R:$R,'YBN HO P&amp;L'!$A17,'YBN Blank TB'!H:H)+(SUMIF('YBN HO TB'!$R:$R,'YBN HO P&amp;L'!$A17,'YBN HO TB'!H:H)))</f>
        <v/>
      </c>
      <c r="U17" s="37">
        <f>(SUMIF('YBN Blank TB'!$R:$R,'YBN HO P&amp;L'!$A17,'YBN Blank TB'!I:I)+(SUMIF('YBN HO TB'!$R:$R,'YBN HO P&amp;L'!$A17,'YBN HO TB'!I:I)))</f>
        <v/>
      </c>
      <c r="V17" s="38" t="n"/>
      <c r="W17" s="38" t="n"/>
      <c r="X17" s="38" t="n"/>
      <c r="Y17" s="38" t="n"/>
      <c r="Z17" s="38" t="n"/>
      <c r="AA17" s="36">
        <f>SUM(O17:U17)</f>
        <v/>
      </c>
      <c r="AB17" s="36">
        <f>SUM(O17:Z17)</f>
        <v/>
      </c>
      <c r="AC17" s="38" t="n"/>
      <c r="AD17" s="38" t="n"/>
      <c r="AE17" s="38" t="n"/>
      <c r="AF17" s="38" t="n"/>
      <c r="AG17" s="38" t="n"/>
      <c r="AH17" s="38" t="n"/>
      <c r="AI17" s="118" t="n">
        <v>0</v>
      </c>
      <c r="AJ17" s="119" t="n">
        <v>0</v>
      </c>
      <c r="AK17" s="119" t="n">
        <v>0</v>
      </c>
      <c r="AL17" s="119" t="n">
        <v>0</v>
      </c>
      <c r="AM17" s="120" t="n">
        <v>0</v>
      </c>
      <c r="AN17" s="118" t="n">
        <v>0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0</v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  <c r="H18" s="35" t="n">
        <v>0</v>
      </c>
      <c r="I18" s="35" t="n">
        <v>0</v>
      </c>
      <c r="J18" s="35" t="n">
        <v>0</v>
      </c>
      <c r="K18" s="35" t="n">
        <v>0</v>
      </c>
      <c r="L18" s="35" t="n">
        <v>0</v>
      </c>
      <c r="M18" s="35" t="n">
        <v>0</v>
      </c>
      <c r="N18" s="36">
        <f>SUM(B18:M18)</f>
        <v/>
      </c>
      <c r="O18" s="37">
        <f>(SUMIF('YBN Blank TB'!$R:$R,'YBN HO P&amp;L'!$A18,'YBN Blank TB'!C:C)+(SUMIF('YBN HO TB'!$R:$R,'YBN HO P&amp;L'!$A18,'YBN HO TB'!C:C)))</f>
        <v/>
      </c>
      <c r="P18" s="37">
        <f>(SUMIF('YBN Blank TB'!$R:$R,'YBN HO P&amp;L'!$A18,'YBN Blank TB'!D:D)+(SUMIF('YBN HO TB'!$R:$R,'YBN HO P&amp;L'!$A18,'YBN HO TB'!D:D)))</f>
        <v/>
      </c>
      <c r="Q18" s="37">
        <f>(SUMIF('YBN Blank TB'!$R:$R,'YBN HO P&amp;L'!$A18,'YBN Blank TB'!E:E)+(SUMIF('YBN HO TB'!$R:$R,'YBN HO P&amp;L'!$A18,'YBN HO TB'!E:E)))</f>
        <v/>
      </c>
      <c r="R18" s="37">
        <f>(SUMIF('YBN Blank TB'!$R:$R,'YBN HO P&amp;L'!$A18,'YBN Blank TB'!F:F)+(SUMIF('YBN HO TB'!$R:$R,'YBN HO P&amp;L'!$A18,'YBN HO TB'!F:F)))</f>
        <v/>
      </c>
      <c r="S18" s="37">
        <f>(SUMIF('YBN Blank TB'!$R:$R,'YBN HO P&amp;L'!$A18,'YBN Blank TB'!G:G)+(SUMIF('YBN HO TB'!$R:$R,'YBN HO P&amp;L'!$A18,'YBN HO TB'!G:G)))</f>
        <v/>
      </c>
      <c r="T18" s="37">
        <f>(SUMIF('YBN Blank TB'!$R:$R,'YBN HO P&amp;L'!$A18,'YBN Blank TB'!H:H)+(SUMIF('YBN HO TB'!$R:$R,'YBN HO P&amp;L'!$A18,'YBN HO TB'!H:H)))</f>
        <v/>
      </c>
      <c r="U18" s="37">
        <f>(SUMIF('YBN Blank TB'!$R:$R,'YBN HO P&amp;L'!$A18,'YBN Blank TB'!I:I)+(SUMIF('YBN HO TB'!$R:$R,'YBN HO P&amp;L'!$A18,'YBN HO TB'!I:I)))</f>
        <v/>
      </c>
      <c r="V18" s="38" t="n"/>
      <c r="W18" s="38" t="n"/>
      <c r="X18" s="38" t="n"/>
      <c r="Y18" s="38" t="n"/>
      <c r="Z18" s="38" t="n"/>
      <c r="AA18" s="36">
        <f>SUM(O18:U18)</f>
        <v/>
      </c>
      <c r="AB18" s="36">
        <f>SUM(O18:Z18)</f>
        <v/>
      </c>
      <c r="AC18" s="38" t="n"/>
      <c r="AD18" s="38" t="n"/>
      <c r="AE18" s="38" t="n"/>
      <c r="AF18" s="38" t="n"/>
      <c r="AG18" s="38" t="n"/>
      <c r="AH18" s="38" t="n"/>
      <c r="AI18" s="118" t="n">
        <v>0</v>
      </c>
      <c r="AJ18" s="119" t="n">
        <v>0</v>
      </c>
      <c r="AK18" s="119" t="n">
        <v>0</v>
      </c>
      <c r="AL18" s="119" t="n">
        <v>0</v>
      </c>
      <c r="AM18" s="120" t="n">
        <v>0</v>
      </c>
      <c r="AN18" s="118" t="n">
        <v>0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0</v>
      </c>
      <c r="C19" s="35" t="n">
        <v>0</v>
      </c>
      <c r="D19" s="35" t="n">
        <v>0</v>
      </c>
      <c r="E19" s="35" t="n">
        <v>0</v>
      </c>
      <c r="F19" s="35" t="n">
        <v>0</v>
      </c>
      <c r="G19" s="35" t="n">
        <v>0</v>
      </c>
      <c r="H19" s="35" t="n">
        <v>0</v>
      </c>
      <c r="I19" s="35" t="n">
        <v>0</v>
      </c>
      <c r="J19" s="35" t="n">
        <v>0</v>
      </c>
      <c r="K19" s="35" t="n">
        <v>0</v>
      </c>
      <c r="L19" s="35" t="n">
        <v>0</v>
      </c>
      <c r="M19" s="35" t="n">
        <v>0</v>
      </c>
      <c r="N19" s="36">
        <f>SUM(B19:M19)</f>
        <v/>
      </c>
      <c r="O19" s="37">
        <f>(SUMIF('YBN Blank TB'!$R:$R,'YBN HO P&amp;L'!$A19,'YBN Blank TB'!C:C)+(SUMIF('YBN HO TB'!$R:$R,'YBN HO P&amp;L'!$A19,'YBN HO TB'!C:C)))</f>
        <v/>
      </c>
      <c r="P19" s="37">
        <f>(SUMIF('YBN Blank TB'!$R:$R,'YBN HO P&amp;L'!$A19,'YBN Blank TB'!D:D)+(SUMIF('YBN HO TB'!$R:$R,'YBN HO P&amp;L'!$A19,'YBN HO TB'!D:D)))</f>
        <v/>
      </c>
      <c r="Q19" s="37">
        <f>(SUMIF('YBN Blank TB'!$R:$R,'YBN HO P&amp;L'!$A19,'YBN Blank TB'!E:E)+(SUMIF('YBN HO TB'!$R:$R,'YBN HO P&amp;L'!$A19,'YBN HO TB'!E:E)))</f>
        <v/>
      </c>
      <c r="R19" s="37">
        <f>(SUMIF('YBN Blank TB'!$R:$R,'YBN HO P&amp;L'!$A19,'YBN Blank TB'!F:F)+(SUMIF('YBN HO TB'!$R:$R,'YBN HO P&amp;L'!$A19,'YBN HO TB'!F:F)))</f>
        <v/>
      </c>
      <c r="S19" s="37">
        <f>(SUMIF('YBN Blank TB'!$R:$R,'YBN HO P&amp;L'!$A19,'YBN Blank TB'!G:G)+(SUMIF('YBN HO TB'!$R:$R,'YBN HO P&amp;L'!$A19,'YBN HO TB'!G:G)))</f>
        <v/>
      </c>
      <c r="T19" s="37">
        <f>(SUMIF('YBN Blank TB'!$R:$R,'YBN HO P&amp;L'!$A19,'YBN Blank TB'!H:H)+(SUMIF('YBN HO TB'!$R:$R,'YBN HO P&amp;L'!$A19,'YBN HO TB'!H:H)))</f>
        <v/>
      </c>
      <c r="U19" s="37">
        <f>(SUMIF('YBN Blank TB'!$R:$R,'YBN HO P&amp;L'!$A19,'YBN Blank TB'!I:I)+(SUMIF('YBN HO TB'!$R:$R,'YBN HO P&amp;L'!$A19,'YBN HO TB'!I:I)))</f>
        <v/>
      </c>
      <c r="V19" s="38" t="n"/>
      <c r="W19" s="38" t="n"/>
      <c r="X19" s="38" t="n"/>
      <c r="Y19" s="38" t="n"/>
      <c r="Z19" s="38" t="n"/>
      <c r="AA19" s="36">
        <f>SUM(O19:U19)</f>
        <v/>
      </c>
      <c r="AB19" s="36">
        <f>SUM(O19:Z19)</f>
        <v/>
      </c>
      <c r="AC19" s="38" t="n"/>
      <c r="AD19" s="38" t="n"/>
      <c r="AE19" s="38" t="n"/>
      <c r="AF19" s="38" t="n"/>
      <c r="AG19" s="38" t="n"/>
      <c r="AH19" s="38" t="n"/>
      <c r="AI19" s="118" t="n">
        <v>0</v>
      </c>
      <c r="AJ19" s="119" t="n">
        <v>0</v>
      </c>
      <c r="AK19" s="119" t="n">
        <v>0</v>
      </c>
      <c r="AL19" s="119" t="n">
        <v>0</v>
      </c>
      <c r="AM19" s="120" t="n">
        <v>0</v>
      </c>
      <c r="AN19" s="118" t="n">
        <v>0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0</v>
      </c>
      <c r="C20" s="35" t="n">
        <v>0</v>
      </c>
      <c r="D20" s="35" t="n">
        <v>0</v>
      </c>
      <c r="E20" s="35" t="n">
        <v>0</v>
      </c>
      <c r="F20" s="35" t="n">
        <v>0</v>
      </c>
      <c r="G20" s="35" t="n">
        <v>0</v>
      </c>
      <c r="H20" s="35" t="n">
        <v>0</v>
      </c>
      <c r="I20" s="35" t="n">
        <v>0</v>
      </c>
      <c r="J20" s="35" t="n">
        <v>0</v>
      </c>
      <c r="K20" s="35" t="n">
        <v>0</v>
      </c>
      <c r="L20" s="35" t="n">
        <v>0</v>
      </c>
      <c r="M20" s="35" t="n">
        <v>0</v>
      </c>
      <c r="N20" s="36">
        <f>SUM(B20:M20)</f>
        <v/>
      </c>
      <c r="O20" s="37">
        <f>(SUMIF('YBN Blank TB'!$R:$R,'YBN HO P&amp;L'!$A20,'YBN Blank TB'!C:C)+(SUMIF('YBN HO TB'!$R:$R,'YBN HO P&amp;L'!$A20,'YBN HO TB'!C:C)))</f>
        <v/>
      </c>
      <c r="P20" s="37">
        <f>(SUMIF('YBN Blank TB'!$R:$R,'YBN HO P&amp;L'!$A20,'YBN Blank TB'!D:D)+(SUMIF('YBN HO TB'!$R:$R,'YBN HO P&amp;L'!$A20,'YBN HO TB'!D:D)))</f>
        <v/>
      </c>
      <c r="Q20" s="37">
        <f>(SUMIF('YBN Blank TB'!$R:$R,'YBN HO P&amp;L'!$A20,'YBN Blank TB'!E:E)+(SUMIF('YBN HO TB'!$R:$R,'YBN HO P&amp;L'!$A20,'YBN HO TB'!E:E)))</f>
        <v/>
      </c>
      <c r="R20" s="37">
        <f>(SUMIF('YBN Blank TB'!$R:$R,'YBN HO P&amp;L'!$A20,'YBN Blank TB'!F:F)+(SUMIF('YBN HO TB'!$R:$R,'YBN HO P&amp;L'!$A20,'YBN HO TB'!F:F)))</f>
        <v/>
      </c>
      <c r="S20" s="37">
        <f>(SUMIF('YBN Blank TB'!$R:$R,'YBN HO P&amp;L'!$A20,'YBN Blank TB'!G:G)+(SUMIF('YBN HO TB'!$R:$R,'YBN HO P&amp;L'!$A20,'YBN HO TB'!G:G)))</f>
        <v/>
      </c>
      <c r="T20" s="37">
        <f>(SUMIF('YBN Blank TB'!$R:$R,'YBN HO P&amp;L'!$A20,'YBN Blank TB'!H:H)+(SUMIF('YBN HO TB'!$R:$R,'YBN HO P&amp;L'!$A20,'YBN HO TB'!H:H)))</f>
        <v/>
      </c>
      <c r="U20" s="37">
        <f>(SUMIF('YBN Blank TB'!$R:$R,'YBN HO P&amp;L'!$A20,'YBN Blank TB'!I:I)+(SUMIF('YBN HO TB'!$R:$R,'YBN HO P&amp;L'!$A20,'YBN HO TB'!I:I)))</f>
        <v/>
      </c>
      <c r="V20" s="38" t="n"/>
      <c r="W20" s="38" t="n"/>
      <c r="X20" s="38" t="n"/>
      <c r="Y20" s="38" t="n"/>
      <c r="Z20" s="38" t="n"/>
      <c r="AA20" s="36">
        <f>SUM(O20:U20)</f>
        <v/>
      </c>
      <c r="AB20" s="36">
        <f>SUM(O20:Z20)</f>
        <v/>
      </c>
      <c r="AC20" s="38" t="n"/>
      <c r="AD20" s="38" t="n"/>
      <c r="AE20" s="38" t="n"/>
      <c r="AF20" s="38" t="n"/>
      <c r="AG20" s="38" t="n"/>
      <c r="AH20" s="38" t="n"/>
      <c r="AI20" s="118" t="n">
        <v>0</v>
      </c>
      <c r="AJ20" s="119" t="n">
        <v>0</v>
      </c>
      <c r="AK20" s="119" t="n">
        <v>0</v>
      </c>
      <c r="AL20" s="119" t="n">
        <v>0</v>
      </c>
      <c r="AM20" s="120" t="n">
        <v>0</v>
      </c>
      <c r="AN20" s="118" t="n">
        <v>0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0</v>
      </c>
      <c r="C21" s="35" t="n">
        <v>0</v>
      </c>
      <c r="D21" s="35" t="n">
        <v>0</v>
      </c>
      <c r="E21" s="35" t="n">
        <v>0</v>
      </c>
      <c r="F21" s="35" t="n">
        <v>0</v>
      </c>
      <c r="G21" s="35" t="n">
        <v>0</v>
      </c>
      <c r="H21" s="35" t="n">
        <v>0</v>
      </c>
      <c r="I21" s="35" t="n">
        <v>0</v>
      </c>
      <c r="J21" s="35" t="n">
        <v>0</v>
      </c>
      <c r="K21" s="35" t="n">
        <v>0</v>
      </c>
      <c r="L21" s="35" t="n">
        <v>0</v>
      </c>
      <c r="M21" s="35" t="n">
        <v>0</v>
      </c>
      <c r="N21" s="36">
        <f>SUM(B21:M21)</f>
        <v/>
      </c>
      <c r="O21" s="37">
        <f>(SUMIF('YBN Blank TB'!$R:$R,'YBN HO P&amp;L'!$A21,'YBN Blank TB'!C:C)+(SUMIF('YBN HO TB'!$R:$R,'YBN HO P&amp;L'!$A21,'YBN HO TB'!C:C)))</f>
        <v/>
      </c>
      <c r="P21" s="37">
        <f>(SUMIF('YBN Blank TB'!$R:$R,'YBN HO P&amp;L'!$A21,'YBN Blank TB'!D:D)+(SUMIF('YBN HO TB'!$R:$R,'YBN HO P&amp;L'!$A21,'YBN HO TB'!D:D)))</f>
        <v/>
      </c>
      <c r="Q21" s="37">
        <f>(SUMIF('YBN Blank TB'!$R:$R,'YBN HO P&amp;L'!$A21,'YBN Blank TB'!E:E)+(SUMIF('YBN HO TB'!$R:$R,'YBN HO P&amp;L'!$A21,'YBN HO TB'!E:E)))</f>
        <v/>
      </c>
      <c r="R21" s="37">
        <f>(SUMIF('YBN Blank TB'!$R:$R,'YBN HO P&amp;L'!$A21,'YBN Blank TB'!F:F)+(SUMIF('YBN HO TB'!$R:$R,'YBN HO P&amp;L'!$A21,'YBN HO TB'!F:F)))</f>
        <v/>
      </c>
      <c r="S21" s="37">
        <f>(SUMIF('YBN Blank TB'!$R:$R,'YBN HO P&amp;L'!$A21,'YBN Blank TB'!G:G)+(SUMIF('YBN HO TB'!$R:$R,'YBN HO P&amp;L'!$A21,'YBN HO TB'!G:G)))</f>
        <v/>
      </c>
      <c r="T21" s="37">
        <f>(SUMIF('YBN Blank TB'!$R:$R,'YBN HO P&amp;L'!$A21,'YBN Blank TB'!H:H)+(SUMIF('YBN HO TB'!$R:$R,'YBN HO P&amp;L'!$A21,'YBN HO TB'!H:H)))</f>
        <v/>
      </c>
      <c r="U21" s="37">
        <f>(SUMIF('YBN Blank TB'!$R:$R,'YBN HO P&amp;L'!$A21,'YBN Blank TB'!I:I)+(SUMIF('YBN HO TB'!$R:$R,'YBN HO P&amp;L'!$A21,'YBN HO TB'!I:I)))</f>
        <v/>
      </c>
      <c r="V21" s="38" t="n"/>
      <c r="W21" s="38" t="n"/>
      <c r="X21" s="38" t="n"/>
      <c r="Y21" s="38" t="n"/>
      <c r="Z21" s="38" t="n"/>
      <c r="AA21" s="36">
        <f>SUM(O21:U21)</f>
        <v/>
      </c>
      <c r="AB21" s="36">
        <f>SUM(O21:Z21)</f>
        <v/>
      </c>
      <c r="AC21" s="38" t="n"/>
      <c r="AD21" s="38" t="n"/>
      <c r="AE21" s="38" t="n"/>
      <c r="AF21" s="38" t="n"/>
      <c r="AG21" s="38" t="n"/>
      <c r="AH21" s="38" t="n"/>
      <c r="AI21" s="118" t="n">
        <v>0</v>
      </c>
      <c r="AJ21" s="119" t="n">
        <v>0</v>
      </c>
      <c r="AK21" s="119" t="n">
        <v>0</v>
      </c>
      <c r="AL21" s="119" t="n">
        <v>0</v>
      </c>
      <c r="AM21" s="120" t="n">
        <v>0</v>
      </c>
      <c r="AN21" s="118" t="n">
        <v>0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0</v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  <c r="N22" s="36">
        <f>SUM(B22:M22)</f>
        <v/>
      </c>
      <c r="O22" s="37">
        <f>(SUMIF('YBN Blank TB'!$R:$R,'YBN HO P&amp;L'!$A22,'YBN Blank TB'!C:C)+(SUMIF('YBN HO TB'!$R:$R,'YBN HO P&amp;L'!$A22,'YBN HO TB'!C:C)))</f>
        <v/>
      </c>
      <c r="P22" s="37">
        <f>(SUMIF('YBN Blank TB'!$R:$R,'YBN HO P&amp;L'!$A22,'YBN Blank TB'!D:D)+(SUMIF('YBN HO TB'!$R:$R,'YBN HO P&amp;L'!$A22,'YBN HO TB'!D:D)))</f>
        <v/>
      </c>
      <c r="Q22" s="37">
        <f>(SUMIF('YBN Blank TB'!$R:$R,'YBN HO P&amp;L'!$A22,'YBN Blank TB'!E:E)+(SUMIF('YBN HO TB'!$R:$R,'YBN HO P&amp;L'!$A22,'YBN HO TB'!E:E)))</f>
        <v/>
      </c>
      <c r="R22" s="37">
        <f>(SUMIF('YBN Blank TB'!$R:$R,'YBN HO P&amp;L'!$A22,'YBN Blank TB'!F:F)+(SUMIF('YBN HO TB'!$R:$R,'YBN HO P&amp;L'!$A22,'YBN HO TB'!F:F)))</f>
        <v/>
      </c>
      <c r="S22" s="37">
        <f>(SUMIF('YBN Blank TB'!$R:$R,'YBN HO P&amp;L'!$A22,'YBN Blank TB'!G:G)+(SUMIF('YBN HO TB'!$R:$R,'YBN HO P&amp;L'!$A22,'YBN HO TB'!G:G)))</f>
        <v/>
      </c>
      <c r="T22" s="37">
        <f>(SUMIF('YBN Blank TB'!$R:$R,'YBN HO P&amp;L'!$A22,'YBN Blank TB'!H:H)+(SUMIF('YBN HO TB'!$R:$R,'YBN HO P&amp;L'!$A22,'YBN HO TB'!H:H)))</f>
        <v/>
      </c>
      <c r="U22" s="37">
        <f>(SUMIF('YBN Blank TB'!$R:$R,'YBN HO P&amp;L'!$A22,'YBN Blank TB'!I:I)+(SUMIF('YBN HO TB'!$R:$R,'YBN HO P&amp;L'!$A22,'YBN HO TB'!I:I)))</f>
        <v/>
      </c>
      <c r="V22" s="38" t="n"/>
      <c r="W22" s="38" t="n"/>
      <c r="X22" s="38" t="n"/>
      <c r="Y22" s="38" t="n"/>
      <c r="Z22" s="38" t="n"/>
      <c r="AA22" s="36">
        <f>SUM(O22:U22)</f>
        <v/>
      </c>
      <c r="AB22" s="36">
        <f>SUM(O22:Z22)</f>
        <v/>
      </c>
      <c r="AC22" s="38" t="n"/>
      <c r="AD22" s="38" t="n"/>
      <c r="AE22" s="38" t="n"/>
      <c r="AF22" s="38" t="n"/>
      <c r="AG22" s="38" t="n"/>
      <c r="AH22" s="38" t="n"/>
      <c r="AI22" s="118" t="n">
        <v>0</v>
      </c>
      <c r="AJ22" s="119" t="n">
        <v>0</v>
      </c>
      <c r="AK22" s="119" t="n">
        <v>0</v>
      </c>
      <c r="AL22" s="119" t="n">
        <v>0</v>
      </c>
      <c r="AM22" s="120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0</v>
      </c>
      <c r="M23" s="35" t="n">
        <v>0</v>
      </c>
      <c r="N23" s="36">
        <f>SUM(B23:M23)</f>
        <v/>
      </c>
      <c r="O23" s="37">
        <f>(SUMIF('YBN Blank TB'!$R:$R,'YBN HO P&amp;L'!$A23,'YBN Blank TB'!C:C)+(SUMIF('YBN HO TB'!$R:$R,'YBN HO P&amp;L'!$A23,'YBN HO TB'!C:C)))</f>
        <v/>
      </c>
      <c r="P23" s="37">
        <f>(SUMIF('YBN Blank TB'!$R:$R,'YBN HO P&amp;L'!$A23,'YBN Blank TB'!D:D)+(SUMIF('YBN HO TB'!$R:$R,'YBN HO P&amp;L'!$A23,'YBN HO TB'!D:D)))</f>
        <v/>
      </c>
      <c r="Q23" s="37">
        <f>(SUMIF('YBN Blank TB'!$R:$R,'YBN HO P&amp;L'!$A23,'YBN Blank TB'!E:E)+(SUMIF('YBN HO TB'!$R:$R,'YBN HO P&amp;L'!$A23,'YBN HO TB'!E:E)))</f>
        <v/>
      </c>
      <c r="R23" s="37">
        <f>(SUMIF('YBN Blank TB'!$R:$R,'YBN HO P&amp;L'!$A23,'YBN Blank TB'!F:F)+(SUMIF('YBN HO TB'!$R:$R,'YBN HO P&amp;L'!$A23,'YBN HO TB'!F:F)))</f>
        <v/>
      </c>
      <c r="S23" s="37">
        <f>(SUMIF('YBN Blank TB'!$R:$R,'YBN HO P&amp;L'!$A23,'YBN Blank TB'!G:G)+(SUMIF('YBN HO TB'!$R:$R,'YBN HO P&amp;L'!$A23,'YBN HO TB'!G:G)))</f>
        <v/>
      </c>
      <c r="T23" s="37">
        <f>(SUMIF('YBN Blank TB'!$R:$R,'YBN HO P&amp;L'!$A23,'YBN Blank TB'!H:H)+(SUMIF('YBN HO TB'!$R:$R,'YBN HO P&amp;L'!$A23,'YBN HO TB'!H:H)))</f>
        <v/>
      </c>
      <c r="U23" s="37">
        <f>(SUMIF('YBN Blank TB'!$R:$R,'YBN HO P&amp;L'!$A23,'YBN Blank TB'!I:I)+(SUMIF('YBN HO TB'!$R:$R,'YBN HO P&amp;L'!$A23,'YBN HO TB'!I:I)))</f>
        <v/>
      </c>
      <c r="V23" s="38" t="n"/>
      <c r="W23" s="38" t="n"/>
      <c r="X23" s="38" t="n"/>
      <c r="Y23" s="38" t="n"/>
      <c r="Z23" s="38" t="n"/>
      <c r="AA23" s="36">
        <f>SUM(O23:U23)</f>
        <v/>
      </c>
      <c r="AB23" s="36">
        <f>SUM(O23:Z23)</f>
        <v/>
      </c>
      <c r="AC23" s="38" t="n"/>
      <c r="AD23" s="38" t="n"/>
      <c r="AE23" s="38" t="n"/>
      <c r="AF23" s="38" t="n"/>
      <c r="AG23" s="38" t="n"/>
      <c r="AH23" s="38" t="n"/>
      <c r="AI23" s="118" t="n">
        <v>0</v>
      </c>
      <c r="AJ23" s="119" t="n">
        <v>0</v>
      </c>
      <c r="AK23" s="119" t="n">
        <v>0</v>
      </c>
      <c r="AL23" s="119" t="n">
        <v>0</v>
      </c>
      <c r="AM23" s="120" t="n">
        <v>0</v>
      </c>
      <c r="AN23" s="118" t="n">
        <v>0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5" t="n">
        <v>0</v>
      </c>
      <c r="J24" s="35" t="n">
        <v>0</v>
      </c>
      <c r="K24" s="35" t="n">
        <v>0</v>
      </c>
      <c r="L24" s="35" t="n">
        <v>0</v>
      </c>
      <c r="M24" s="35" t="n">
        <v>0</v>
      </c>
      <c r="N24" s="36">
        <f>SUM(B24:M24)</f>
        <v/>
      </c>
      <c r="O24" s="37">
        <f>(SUMIF('YBN Blank TB'!$R:$R,'YBN HO P&amp;L'!$A24,'YBN Blank TB'!C:C)+(SUMIF('YBN HO TB'!$R:$R,'YBN HO P&amp;L'!$A24,'YBN HO TB'!C:C)))</f>
        <v/>
      </c>
      <c r="P24" s="37">
        <f>(SUMIF('YBN Blank TB'!$R:$R,'YBN HO P&amp;L'!$A24,'YBN Blank TB'!D:D)+(SUMIF('YBN HO TB'!$R:$R,'YBN HO P&amp;L'!$A24,'YBN HO TB'!D:D)))</f>
        <v/>
      </c>
      <c r="Q24" s="37">
        <f>(SUMIF('YBN Blank TB'!$R:$R,'YBN HO P&amp;L'!$A24,'YBN Blank TB'!E:E)+(SUMIF('YBN HO TB'!$R:$R,'YBN HO P&amp;L'!$A24,'YBN HO TB'!E:E)))</f>
        <v/>
      </c>
      <c r="R24" s="37">
        <f>(SUMIF('YBN Blank TB'!$R:$R,'YBN HO P&amp;L'!$A24,'YBN Blank TB'!F:F)+(SUMIF('YBN HO TB'!$R:$R,'YBN HO P&amp;L'!$A24,'YBN HO TB'!F:F)))</f>
        <v/>
      </c>
      <c r="S24" s="37">
        <f>(SUMIF('YBN Blank TB'!$R:$R,'YBN HO P&amp;L'!$A24,'YBN Blank TB'!G:G)+(SUMIF('YBN HO TB'!$R:$R,'YBN HO P&amp;L'!$A24,'YBN HO TB'!G:G)))</f>
        <v/>
      </c>
      <c r="T24" s="37">
        <f>(SUMIF('YBN Blank TB'!$R:$R,'YBN HO P&amp;L'!$A24,'YBN Blank TB'!H:H)+(SUMIF('YBN HO TB'!$R:$R,'YBN HO P&amp;L'!$A24,'YBN HO TB'!H:H)))</f>
        <v/>
      </c>
      <c r="U24" s="37">
        <f>(SUMIF('YBN Blank TB'!$R:$R,'YBN HO P&amp;L'!$A24,'YBN Blank TB'!I:I)+(SUMIF('YBN HO TB'!$R:$R,'YBN HO P&amp;L'!$A24,'YBN HO TB'!I:I)))</f>
        <v/>
      </c>
      <c r="V24" s="38" t="n"/>
      <c r="W24" s="38" t="n"/>
      <c r="X24" s="38" t="n"/>
      <c r="Y24" s="38" t="n"/>
      <c r="Z24" s="38" t="n"/>
      <c r="AA24" s="36">
        <f>SUM(O24:U24)</f>
        <v/>
      </c>
      <c r="AB24" s="36">
        <f>SUM(O24:Z24)</f>
        <v/>
      </c>
      <c r="AC24" s="38" t="n"/>
      <c r="AD24" s="38" t="n"/>
      <c r="AE24" s="38" t="n"/>
      <c r="AF24" s="38" t="n"/>
      <c r="AG24" s="38" t="n"/>
      <c r="AH24" s="38" t="n"/>
      <c r="AI24" s="118" t="n">
        <v>0</v>
      </c>
      <c r="AJ24" s="119" t="n">
        <v>0</v>
      </c>
      <c r="AK24" s="119" t="n">
        <v>0</v>
      </c>
      <c r="AL24" s="119" t="n">
        <v>0</v>
      </c>
      <c r="AM24" s="120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0</v>
      </c>
      <c r="C25" s="42" t="n">
        <v>0</v>
      </c>
      <c r="D25" s="42" t="n">
        <v>0</v>
      </c>
      <c r="E25" s="42" t="n">
        <v>0</v>
      </c>
      <c r="F25" s="42" t="n">
        <v>0</v>
      </c>
      <c r="G25" s="42" t="n">
        <v>0</v>
      </c>
      <c r="H25" s="42" t="n">
        <v>0</v>
      </c>
      <c r="I25" s="42" t="n">
        <v>0</v>
      </c>
      <c r="J25" s="42" t="n">
        <v>0</v>
      </c>
      <c r="K25" s="42" t="n">
        <v>0</v>
      </c>
      <c r="L25" s="42" t="n">
        <v>0</v>
      </c>
      <c r="M25" s="42" t="n">
        <v>0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SUM(AA16:AA24)</f>
        <v/>
      </c>
      <c r="AB25" s="43">
        <f>SUM(AB16:AB24)</f>
        <v/>
      </c>
      <c r="AC25" s="45" t="n"/>
      <c r="AD25" s="45" t="n"/>
      <c r="AE25" s="45" t="n"/>
      <c r="AF25" s="45" t="n"/>
      <c r="AG25" s="45" t="n"/>
      <c r="AH25" s="45" t="n"/>
      <c r="AI25" s="134" t="n">
        <v>0</v>
      </c>
      <c r="AJ25" s="152" t="n">
        <v>0</v>
      </c>
      <c r="AK25" s="152" t="n">
        <v>0</v>
      </c>
      <c r="AL25" s="152" t="n">
        <v>0</v>
      </c>
      <c r="AM25" s="152" t="n">
        <v>0</v>
      </c>
      <c r="AN25" s="134" t="n">
        <v>0</v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>
        <f>SUM(B26:M26)</f>
        <v/>
      </c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SUM(O26:T26)</f>
        <v/>
      </c>
      <c r="AB26" s="36">
        <f>SUM(O26:Z26)</f>
        <v/>
      </c>
      <c r="AC26" s="32" t="n"/>
      <c r="AD26" s="32" t="n"/>
      <c r="AE26" s="32" t="n"/>
      <c r="AF26" s="32" t="n"/>
      <c r="AG26" s="32" t="n"/>
      <c r="AH26" s="32" t="n"/>
      <c r="AI26" s="127" t="n">
        <v>0</v>
      </c>
      <c r="AJ26" s="128" t="n">
        <v>0</v>
      </c>
      <c r="AK26" s="128" t="n">
        <v>0</v>
      </c>
      <c r="AL26" s="128" t="n">
        <v>0</v>
      </c>
      <c r="AM26" s="129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  <c r="H27" s="35" t="n">
        <v>0</v>
      </c>
      <c r="I27" s="35" t="n">
        <v>0</v>
      </c>
      <c r="J27" s="35" t="n">
        <v>0</v>
      </c>
      <c r="K27" s="35" t="n">
        <v>0</v>
      </c>
      <c r="L27" s="35" t="n">
        <v>0</v>
      </c>
      <c r="M27" s="35" t="n">
        <v>0</v>
      </c>
      <c r="N27" s="36">
        <f>SUM(B27:M27)</f>
        <v/>
      </c>
      <c r="O27" s="37">
        <f>(SUMIF('YBN Blank TB'!$R:$R,'YBN HO P&amp;L'!$A27,'YBN Blank TB'!C:C)+(SUMIF('YBN HO TB'!$R:$R,'YBN HO P&amp;L'!$A27,'YBN HO TB'!C:C)))</f>
        <v/>
      </c>
      <c r="P27" s="37">
        <f>(SUMIF('YBN Blank TB'!$R:$R,'YBN HO P&amp;L'!$A27,'YBN Blank TB'!D:D)+(SUMIF('YBN HO TB'!$R:$R,'YBN HO P&amp;L'!$A27,'YBN HO TB'!D:D)))</f>
        <v/>
      </c>
      <c r="Q27" s="37">
        <f>(SUMIF('YBN Blank TB'!$R:$R,'YBN HO P&amp;L'!$A27,'YBN Blank TB'!E:E)+(SUMIF('YBN HO TB'!$R:$R,'YBN HO P&amp;L'!$A27,'YBN HO TB'!E:E)))</f>
        <v/>
      </c>
      <c r="R27" s="37">
        <f>(SUMIF('YBN Blank TB'!$R:$R,'YBN HO P&amp;L'!$A27,'YBN Blank TB'!F:F)+(SUMIF('YBN HO TB'!$R:$R,'YBN HO P&amp;L'!$A27,'YBN HO TB'!F:F)))</f>
        <v/>
      </c>
      <c r="S27" s="37">
        <f>(SUMIF('YBN Blank TB'!$R:$R,'YBN HO P&amp;L'!$A27,'YBN Blank TB'!G:G)+(SUMIF('YBN HO TB'!$R:$R,'YBN HO P&amp;L'!$A27,'YBN HO TB'!G:G)))</f>
        <v/>
      </c>
      <c r="T27" s="37">
        <f>(SUMIF('YBN Blank TB'!$R:$R,'YBN HO P&amp;L'!$A27,'YBN Blank TB'!H:H)+(SUMIF('YBN HO TB'!$R:$R,'YBN HO P&amp;L'!$A27,'YBN HO TB'!H:H)))</f>
        <v/>
      </c>
      <c r="U27" s="37">
        <f>(SUMIF('YBN Blank TB'!$R:$R,'YBN HO P&amp;L'!$A27,'YBN Blank TB'!I:I)+(SUMIF('YBN HO TB'!$R:$R,'YBN HO P&amp;L'!$A27,'YBN HO TB'!I:I)))</f>
        <v/>
      </c>
      <c r="V27" s="38" t="n"/>
      <c r="W27" s="38" t="n"/>
      <c r="X27" s="38" t="n"/>
      <c r="Y27" s="38" t="n"/>
      <c r="Z27" s="38" t="n"/>
      <c r="AA27" s="36">
        <f>SUM(O27:U27)</f>
        <v/>
      </c>
      <c r="AB27" s="36">
        <f>SUM(O27:Z27)</f>
        <v/>
      </c>
      <c r="AC27" s="38" t="n"/>
      <c r="AD27" s="38" t="n"/>
      <c r="AE27" s="38" t="n"/>
      <c r="AF27" s="38" t="n"/>
      <c r="AG27" s="38" t="n"/>
      <c r="AH27" s="38" t="n"/>
      <c r="AI27" s="118" t="n">
        <v>0</v>
      </c>
      <c r="AJ27" s="119" t="n">
        <v>0</v>
      </c>
      <c r="AK27" s="119" t="n">
        <v>0</v>
      </c>
      <c r="AL27" s="119" t="n">
        <v>0</v>
      </c>
      <c r="AM27" s="120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5" t="n">
        <v>0</v>
      </c>
      <c r="I28" s="35" t="n">
        <v>0</v>
      </c>
      <c r="J28" s="35" t="n">
        <v>0</v>
      </c>
      <c r="K28" s="35" t="n">
        <v>0</v>
      </c>
      <c r="L28" s="35" t="n">
        <v>0</v>
      </c>
      <c r="M28" s="35" t="n">
        <v>0</v>
      </c>
      <c r="N28" s="36">
        <f>SUM(B28:M28)</f>
        <v/>
      </c>
      <c r="O28" s="37">
        <f>(SUMIF('YBN Blank TB'!$R:$R,'YBN HO P&amp;L'!$A28,'YBN Blank TB'!C:C)+(SUMIF('YBN HO TB'!$R:$R,'YBN HO P&amp;L'!$A28,'YBN HO TB'!C:C)))</f>
        <v/>
      </c>
      <c r="P28" s="37">
        <f>(SUMIF('YBN Blank TB'!$R:$R,'YBN HO P&amp;L'!$A28,'YBN Blank TB'!D:D)+(SUMIF('YBN HO TB'!$R:$R,'YBN HO P&amp;L'!$A28,'YBN HO TB'!D:D)))</f>
        <v/>
      </c>
      <c r="Q28" s="37">
        <f>(SUMIF('YBN Blank TB'!$R:$R,'YBN HO P&amp;L'!$A28,'YBN Blank TB'!E:E)+(SUMIF('YBN HO TB'!$R:$R,'YBN HO P&amp;L'!$A28,'YBN HO TB'!E:E)))</f>
        <v/>
      </c>
      <c r="R28" s="37">
        <f>(SUMIF('YBN Blank TB'!$R:$R,'YBN HO P&amp;L'!$A28,'YBN Blank TB'!F:F)+(SUMIF('YBN HO TB'!$R:$R,'YBN HO P&amp;L'!$A28,'YBN HO TB'!F:F)))</f>
        <v/>
      </c>
      <c r="S28" s="37">
        <f>(SUMIF('YBN Blank TB'!$R:$R,'YBN HO P&amp;L'!$A28,'YBN Blank TB'!G:G)+(SUMIF('YBN HO TB'!$R:$R,'YBN HO P&amp;L'!$A28,'YBN HO TB'!G:G)))</f>
        <v/>
      </c>
      <c r="T28" s="37">
        <f>(SUMIF('YBN Blank TB'!$R:$R,'YBN HO P&amp;L'!$A28,'YBN Blank TB'!H:H)+(SUMIF('YBN HO TB'!$R:$R,'YBN HO P&amp;L'!$A28,'YBN HO TB'!H:H)))</f>
        <v/>
      </c>
      <c r="U28" s="37">
        <f>(SUMIF('YBN Blank TB'!$R:$R,'YBN HO P&amp;L'!$A28,'YBN Blank TB'!I:I)+(SUMIF('YBN HO TB'!$R:$R,'YBN HO P&amp;L'!$A28,'YBN HO TB'!I:I)))</f>
        <v/>
      </c>
      <c r="V28" s="38" t="n"/>
      <c r="W28" s="38" t="n"/>
      <c r="X28" s="38" t="n"/>
      <c r="Y28" s="38" t="n"/>
      <c r="Z28" s="38" t="n"/>
      <c r="AA28" s="36">
        <f>SUM(O28:U28)</f>
        <v/>
      </c>
      <c r="AB28" s="36">
        <f>SUM(O28:Z28)</f>
        <v/>
      </c>
      <c r="AC28" s="38" t="n"/>
      <c r="AD28" s="38" t="n"/>
      <c r="AE28" s="38" t="n"/>
      <c r="AF28" s="38" t="n"/>
      <c r="AG28" s="38" t="n"/>
      <c r="AH28" s="38" t="n"/>
      <c r="AI28" s="118" t="n">
        <v>0</v>
      </c>
      <c r="AJ28" s="119" t="n">
        <v>0</v>
      </c>
      <c r="AK28" s="119" t="n">
        <v>0</v>
      </c>
      <c r="AL28" s="119" t="n">
        <v>0</v>
      </c>
      <c r="AM28" s="120" t="n">
        <v>0</v>
      </c>
      <c r="AN28" s="118" t="n">
        <v>0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5" t="n">
        <v>0</v>
      </c>
      <c r="J29" s="35" t="n">
        <v>0</v>
      </c>
      <c r="K29" s="35" t="n">
        <v>0</v>
      </c>
      <c r="L29" s="35" t="n">
        <v>45</v>
      </c>
      <c r="M29" s="35" t="n">
        <v>0</v>
      </c>
      <c r="N29" s="36">
        <f>SUM(B29:M29)</f>
        <v/>
      </c>
      <c r="O29" s="37">
        <f>(SUMIF('YBN Blank TB'!$R:$R,'YBN HO P&amp;L'!$A29,'YBN Blank TB'!C:C)+(SUMIF('YBN HO TB'!$R:$R,'YBN HO P&amp;L'!$A29,'YBN HO TB'!C:C)))</f>
        <v/>
      </c>
      <c r="P29" s="37">
        <f>(SUMIF('YBN Blank TB'!$R:$R,'YBN HO P&amp;L'!$A29,'YBN Blank TB'!D:D)+(SUMIF('YBN HO TB'!$R:$R,'YBN HO P&amp;L'!$A29,'YBN HO TB'!D:D)))</f>
        <v/>
      </c>
      <c r="Q29" s="37">
        <f>(SUMIF('YBN Blank TB'!$R:$R,'YBN HO P&amp;L'!$A29,'YBN Blank TB'!E:E)+(SUMIF('YBN HO TB'!$R:$R,'YBN HO P&amp;L'!$A29,'YBN HO TB'!E:E)))</f>
        <v/>
      </c>
      <c r="R29" s="37">
        <f>(SUMIF('YBN Blank TB'!$R:$R,'YBN HO P&amp;L'!$A29,'YBN Blank TB'!F:F)+(SUMIF('YBN HO TB'!$R:$R,'YBN HO P&amp;L'!$A29,'YBN HO TB'!F:F)))</f>
        <v/>
      </c>
      <c r="S29" s="37">
        <f>(SUMIF('YBN Blank TB'!$R:$R,'YBN HO P&amp;L'!$A29,'YBN Blank TB'!G:G)+(SUMIF('YBN HO TB'!$R:$R,'YBN HO P&amp;L'!$A29,'YBN HO TB'!G:G)))</f>
        <v/>
      </c>
      <c r="T29" s="37">
        <f>(SUMIF('YBN Blank TB'!$R:$R,'YBN HO P&amp;L'!$A29,'YBN Blank TB'!H:H)+(SUMIF('YBN HO TB'!$R:$R,'YBN HO P&amp;L'!$A29,'YBN HO TB'!H:H)))</f>
        <v/>
      </c>
      <c r="U29" s="37">
        <f>(SUMIF('YBN Blank TB'!$R:$R,'YBN HO P&amp;L'!$A29,'YBN Blank TB'!I:I)+(SUMIF('YBN HO TB'!$R:$R,'YBN HO P&amp;L'!$A29,'YBN HO TB'!I:I)))</f>
        <v/>
      </c>
      <c r="V29" s="38" t="n"/>
      <c r="W29" s="38" t="n"/>
      <c r="X29" s="38" t="n"/>
      <c r="Y29" s="38" t="n"/>
      <c r="Z29" s="38" t="n"/>
      <c r="AA29" s="36">
        <f>SUM(O29:U29)</f>
        <v/>
      </c>
      <c r="AB29" s="36">
        <f>SUM(O29:Z29)</f>
        <v/>
      </c>
      <c r="AC29" s="38" t="n"/>
      <c r="AD29" s="38" t="n"/>
      <c r="AE29" s="38" t="n"/>
      <c r="AF29" s="38" t="n"/>
      <c r="AG29" s="38" t="n"/>
      <c r="AH29" s="38" t="n"/>
      <c r="AI29" s="118" t="n">
        <v>0</v>
      </c>
      <c r="AJ29" s="119" t="n">
        <v>0</v>
      </c>
      <c r="AK29" s="119" t="n">
        <v>0</v>
      </c>
      <c r="AL29" s="119" t="n">
        <v>0</v>
      </c>
      <c r="AM29" s="120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0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5" t="n">
        <v>0</v>
      </c>
      <c r="J30" s="35" t="n">
        <v>0</v>
      </c>
      <c r="K30" s="35" t="n">
        <v>0</v>
      </c>
      <c r="L30" s="35" t="n">
        <v>0</v>
      </c>
      <c r="M30" s="35" t="n">
        <v>0</v>
      </c>
      <c r="N30" s="36">
        <f>SUM(B30:M30)</f>
        <v/>
      </c>
      <c r="O30" s="37">
        <f>(SUMIF('YBN Blank TB'!$R:$R,'YBN HO P&amp;L'!$A30,'YBN Blank TB'!C:C)+(SUMIF('YBN HO TB'!$R:$R,'YBN HO P&amp;L'!$A30,'YBN HO TB'!C:C)))</f>
        <v/>
      </c>
      <c r="P30" s="37">
        <f>(SUMIF('YBN Blank TB'!$R:$R,'YBN HO P&amp;L'!$A30,'YBN Blank TB'!D:D)+(SUMIF('YBN HO TB'!$R:$R,'YBN HO P&amp;L'!$A30,'YBN HO TB'!D:D)))</f>
        <v/>
      </c>
      <c r="Q30" s="37">
        <f>(SUMIF('YBN Blank TB'!$R:$R,'YBN HO P&amp;L'!$A30,'YBN Blank TB'!E:E)+(SUMIF('YBN HO TB'!$R:$R,'YBN HO P&amp;L'!$A30,'YBN HO TB'!E:E)))</f>
        <v/>
      </c>
      <c r="R30" s="37">
        <f>(SUMIF('YBN Blank TB'!$R:$R,'YBN HO P&amp;L'!$A30,'YBN Blank TB'!F:F)+(SUMIF('YBN HO TB'!$R:$R,'YBN HO P&amp;L'!$A30,'YBN HO TB'!F:F)))</f>
        <v/>
      </c>
      <c r="S30" s="37">
        <f>(SUMIF('YBN Blank TB'!$R:$R,'YBN HO P&amp;L'!$A30,'YBN Blank TB'!G:G)+(SUMIF('YBN HO TB'!$R:$R,'YBN HO P&amp;L'!$A30,'YBN HO TB'!G:G)))</f>
        <v/>
      </c>
      <c r="T30" s="37">
        <f>(SUMIF('YBN Blank TB'!$R:$R,'YBN HO P&amp;L'!$A30,'YBN Blank TB'!H:H)+(SUMIF('YBN HO TB'!$R:$R,'YBN HO P&amp;L'!$A30,'YBN HO TB'!H:H)))</f>
        <v/>
      </c>
      <c r="U30" s="37">
        <f>(SUMIF('YBN Blank TB'!$R:$R,'YBN HO P&amp;L'!$A30,'YBN Blank TB'!I:I)+(SUMIF('YBN HO TB'!$R:$R,'YBN HO P&amp;L'!$A30,'YBN HO TB'!I:I)))</f>
        <v/>
      </c>
      <c r="V30" s="38" t="n"/>
      <c r="W30" s="38" t="n"/>
      <c r="X30" s="38" t="n"/>
      <c r="Y30" s="38" t="n"/>
      <c r="Z30" s="38" t="n"/>
      <c r="AA30" s="36">
        <f>SUM(O30:U30)</f>
        <v/>
      </c>
      <c r="AB30" s="36">
        <f>SUM(O30:Z30)</f>
        <v/>
      </c>
      <c r="AC30" s="38" t="n"/>
      <c r="AD30" s="38" t="n"/>
      <c r="AE30" s="38" t="n"/>
      <c r="AF30" s="38" t="n"/>
      <c r="AG30" s="38" t="n"/>
      <c r="AH30" s="38" t="n"/>
      <c r="AI30" s="118" t="n">
        <v>0</v>
      </c>
      <c r="AJ30" s="119" t="n">
        <v>0</v>
      </c>
      <c r="AK30" s="119" t="n">
        <v>0</v>
      </c>
      <c r="AL30" s="119" t="n">
        <v>0</v>
      </c>
      <c r="AM30" s="120" t="n">
        <v>0</v>
      </c>
      <c r="AN30" s="118" t="n">
        <v>0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0</v>
      </c>
      <c r="C31" s="35" t="n">
        <v>0</v>
      </c>
      <c r="D31" s="35" t="n">
        <v>0</v>
      </c>
      <c r="E31" s="35" t="n">
        <v>0</v>
      </c>
      <c r="F31" s="35" t="n">
        <v>0</v>
      </c>
      <c r="G31" s="35" t="n">
        <v>0</v>
      </c>
      <c r="H31" s="35" t="n">
        <v>0</v>
      </c>
      <c r="I31" s="35" t="n">
        <v>0</v>
      </c>
      <c r="J31" s="35" t="n">
        <v>0</v>
      </c>
      <c r="K31" s="35" t="n">
        <v>0</v>
      </c>
      <c r="L31" s="35" t="n">
        <v>0</v>
      </c>
      <c r="M31" s="35" t="n">
        <v>0</v>
      </c>
      <c r="N31" s="36">
        <f>SUM(B31:M31)</f>
        <v/>
      </c>
      <c r="O31" s="37">
        <f>(SUMIF('YBN Blank TB'!$R:$R,'YBN HO P&amp;L'!$A31,'YBN Blank TB'!C:C)+(SUMIF('YBN HO TB'!$R:$R,'YBN HO P&amp;L'!$A31,'YBN HO TB'!C:C)))</f>
        <v/>
      </c>
      <c r="P31" s="37">
        <f>(SUMIF('YBN Blank TB'!$R:$R,'YBN HO P&amp;L'!$A31,'YBN Blank TB'!D:D)+(SUMIF('YBN HO TB'!$R:$R,'YBN HO P&amp;L'!$A31,'YBN HO TB'!D:D)))</f>
        <v/>
      </c>
      <c r="Q31" s="37">
        <f>(SUMIF('YBN Blank TB'!$R:$R,'YBN HO P&amp;L'!$A31,'YBN Blank TB'!E:E)+(SUMIF('YBN HO TB'!$R:$R,'YBN HO P&amp;L'!$A31,'YBN HO TB'!E:E)))</f>
        <v/>
      </c>
      <c r="R31" s="37">
        <f>(SUMIF('YBN Blank TB'!$R:$R,'YBN HO P&amp;L'!$A31,'YBN Blank TB'!F:F)+(SUMIF('YBN HO TB'!$R:$R,'YBN HO P&amp;L'!$A31,'YBN HO TB'!F:F)))</f>
        <v/>
      </c>
      <c r="S31" s="37">
        <f>(SUMIF('YBN Blank TB'!$R:$R,'YBN HO P&amp;L'!$A31,'YBN Blank TB'!G:G)+(SUMIF('YBN HO TB'!$R:$R,'YBN HO P&amp;L'!$A31,'YBN HO TB'!G:G)))</f>
        <v/>
      </c>
      <c r="T31" s="37">
        <f>(SUMIF('YBN Blank TB'!$R:$R,'YBN HO P&amp;L'!$A31,'YBN Blank TB'!H:H)+(SUMIF('YBN HO TB'!$R:$R,'YBN HO P&amp;L'!$A31,'YBN HO TB'!H:H)))</f>
        <v/>
      </c>
      <c r="U31" s="37">
        <f>(SUMIF('YBN Blank TB'!$R:$R,'YBN HO P&amp;L'!$A31,'YBN Blank TB'!I:I)+(SUMIF('YBN HO TB'!$R:$R,'YBN HO P&amp;L'!$A31,'YBN HO TB'!I:I)))</f>
        <v/>
      </c>
      <c r="V31" s="38" t="n"/>
      <c r="W31" s="38" t="n"/>
      <c r="X31" s="38" t="n"/>
      <c r="Y31" s="38" t="n"/>
      <c r="Z31" s="38" t="n"/>
      <c r="AA31" s="36">
        <f>SUM(O31:U31)</f>
        <v/>
      </c>
      <c r="AB31" s="36">
        <f>SUM(O31:Z31)</f>
        <v/>
      </c>
      <c r="AC31" s="38" t="n"/>
      <c r="AD31" s="38" t="n"/>
      <c r="AE31" s="38" t="n"/>
      <c r="AF31" s="38" t="n"/>
      <c r="AG31" s="38" t="n"/>
      <c r="AH31" s="38" t="n"/>
      <c r="AI31" s="118" t="n">
        <v>0</v>
      </c>
      <c r="AJ31" s="119" t="n">
        <v>0</v>
      </c>
      <c r="AK31" s="119" t="n">
        <v>0</v>
      </c>
      <c r="AL31" s="119" t="n">
        <v>0</v>
      </c>
      <c r="AM31" s="120" t="n">
        <v>0</v>
      </c>
      <c r="AN31" s="118" t="n">
        <v>0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0</v>
      </c>
      <c r="C32" s="35" t="n">
        <v>0</v>
      </c>
      <c r="D32" s="35" t="n">
        <v>0</v>
      </c>
      <c r="E32" s="35" t="n">
        <v>0</v>
      </c>
      <c r="F32" s="35" t="n">
        <v>0</v>
      </c>
      <c r="G32" s="35" t="n">
        <v>0</v>
      </c>
      <c r="H32" s="35" t="n">
        <v>0</v>
      </c>
      <c r="I32" s="35" t="n">
        <v>0</v>
      </c>
      <c r="J32" s="35" t="n">
        <v>0</v>
      </c>
      <c r="K32" s="35" t="n">
        <v>0</v>
      </c>
      <c r="L32" s="35" t="n">
        <v>0</v>
      </c>
      <c r="M32" s="35" t="n">
        <v>0</v>
      </c>
      <c r="N32" s="36">
        <f>SUM(B32:M32)</f>
        <v/>
      </c>
      <c r="O32" s="37">
        <f>(SUMIF('YBN Blank TB'!$R:$R,'YBN HO P&amp;L'!$A32,'YBN Blank TB'!C:C)+(SUMIF('YBN HO TB'!$R:$R,'YBN HO P&amp;L'!$A32,'YBN HO TB'!C:C)))</f>
        <v/>
      </c>
      <c r="P32" s="37">
        <f>(SUMIF('YBN Blank TB'!$R:$R,'YBN HO P&amp;L'!$A32,'YBN Blank TB'!D:D)+(SUMIF('YBN HO TB'!$R:$R,'YBN HO P&amp;L'!$A32,'YBN HO TB'!D:D)))</f>
        <v/>
      </c>
      <c r="Q32" s="37">
        <f>(SUMIF('YBN Blank TB'!$R:$R,'YBN HO P&amp;L'!$A32,'YBN Blank TB'!E:E)+(SUMIF('YBN HO TB'!$R:$R,'YBN HO P&amp;L'!$A32,'YBN HO TB'!E:E)))</f>
        <v/>
      </c>
      <c r="R32" s="37">
        <f>(SUMIF('YBN Blank TB'!$R:$R,'YBN HO P&amp;L'!$A32,'YBN Blank TB'!F:F)+(SUMIF('YBN HO TB'!$R:$R,'YBN HO P&amp;L'!$A32,'YBN HO TB'!F:F)))</f>
        <v/>
      </c>
      <c r="S32" s="37">
        <f>(SUMIF('YBN Blank TB'!$R:$R,'YBN HO P&amp;L'!$A32,'YBN Blank TB'!G:G)+(SUMIF('YBN HO TB'!$R:$R,'YBN HO P&amp;L'!$A32,'YBN HO TB'!G:G)))</f>
        <v/>
      </c>
      <c r="T32" s="37">
        <f>(SUMIF('YBN Blank TB'!$R:$R,'YBN HO P&amp;L'!$A32,'YBN Blank TB'!H:H)+(SUMIF('YBN HO TB'!$R:$R,'YBN HO P&amp;L'!$A32,'YBN HO TB'!H:H)))</f>
        <v/>
      </c>
      <c r="U32" s="37">
        <f>(SUMIF('YBN Blank TB'!$R:$R,'YBN HO P&amp;L'!$A32,'YBN Blank TB'!I:I)+(SUMIF('YBN HO TB'!$R:$R,'YBN HO P&amp;L'!$A32,'YBN HO TB'!I:I)))</f>
        <v/>
      </c>
      <c r="V32" s="38" t="n"/>
      <c r="W32" s="38" t="n"/>
      <c r="X32" s="38" t="n"/>
      <c r="Y32" s="38" t="n"/>
      <c r="Z32" s="38" t="n"/>
      <c r="AA32" s="36">
        <f>SUM(O32:U32)</f>
        <v/>
      </c>
      <c r="AB32" s="36">
        <f>SUM(O32:Z32)</f>
        <v/>
      </c>
      <c r="AC32" s="38" t="n"/>
      <c r="AD32" s="38" t="n"/>
      <c r="AE32" s="38" t="n"/>
      <c r="AF32" s="38" t="n"/>
      <c r="AG32" s="38" t="n"/>
      <c r="AH32" s="38" t="n"/>
      <c r="AI32" s="118" t="n">
        <v>0</v>
      </c>
      <c r="AJ32" s="119" t="n">
        <v>0</v>
      </c>
      <c r="AK32" s="119" t="n">
        <v>0</v>
      </c>
      <c r="AL32" s="119" t="n">
        <v>0</v>
      </c>
      <c r="AM32" s="120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(SUMIF('YBN Blank TB'!$R:$R,'YBN HO P&amp;L'!$A33,'YBN Blank TB'!C:C)+(SUMIF('YBN HO TB'!$R:$R,'YBN HO P&amp;L'!$A33,'YBN HO TB'!C:C)))</f>
        <v/>
      </c>
      <c r="P33" s="37">
        <f>(SUMIF('YBN Blank TB'!$R:$R,'YBN HO P&amp;L'!$A33,'YBN Blank TB'!D:D)+(SUMIF('YBN HO TB'!$R:$R,'YBN HO P&amp;L'!$A33,'YBN HO TB'!D:D)))</f>
        <v/>
      </c>
      <c r="Q33" s="37">
        <f>(SUMIF('YBN Blank TB'!$R:$R,'YBN HO P&amp;L'!$A33,'YBN Blank TB'!E:E)+(SUMIF('YBN HO TB'!$R:$R,'YBN HO P&amp;L'!$A33,'YBN HO TB'!E:E)))</f>
        <v/>
      </c>
      <c r="R33" s="37">
        <f>(SUMIF('YBN Blank TB'!$R:$R,'YBN HO P&amp;L'!$A33,'YBN Blank TB'!F:F)+(SUMIF('YBN HO TB'!$R:$R,'YBN HO P&amp;L'!$A33,'YBN HO TB'!F:F)))</f>
        <v/>
      </c>
      <c r="S33" s="37">
        <f>(SUMIF('YBN Blank TB'!$R:$R,'YBN HO P&amp;L'!$A33,'YBN Blank TB'!G:G)+(SUMIF('YBN HO TB'!$R:$R,'YBN HO P&amp;L'!$A33,'YBN HO TB'!G:G)))</f>
        <v/>
      </c>
      <c r="T33" s="37">
        <f>(SUMIF('YBN Blank TB'!$R:$R,'YBN HO P&amp;L'!$A33,'YBN Blank TB'!H:H)+(SUMIF('YBN HO TB'!$R:$R,'YBN HO P&amp;L'!$A33,'YBN HO TB'!H:H)))</f>
        <v/>
      </c>
      <c r="U33" s="37">
        <f>(SUMIF('YBN Blank TB'!$R:$R,'YBN HO P&amp;L'!$A33,'YBN Blank TB'!I:I)+(SUMIF('YBN HO TB'!$R:$R,'YBN HO P&amp;L'!$A33,'YBN HO TB'!I:I)))</f>
        <v/>
      </c>
      <c r="V33" s="38" t="n"/>
      <c r="W33" s="38" t="n"/>
      <c r="X33" s="38" t="n"/>
      <c r="Y33" s="38" t="n"/>
      <c r="Z33" s="38" t="n"/>
      <c r="AA33" s="36">
        <f>SUM(O33:U33)</f>
        <v/>
      </c>
      <c r="AB33" s="36">
        <f>SUM(O33:Z33)</f>
        <v/>
      </c>
      <c r="AC33" s="38" t="n"/>
      <c r="AD33" s="38" t="n"/>
      <c r="AE33" s="38" t="n"/>
      <c r="AF33" s="38" t="n"/>
      <c r="AG33" s="38" t="n"/>
      <c r="AH33" s="38" t="n"/>
      <c r="AI33" s="118" t="n">
        <v>0</v>
      </c>
      <c r="AJ33" s="119" t="n">
        <v>0</v>
      </c>
      <c r="AK33" s="119" t="n">
        <v>0</v>
      </c>
      <c r="AL33" s="119" t="n">
        <v>0</v>
      </c>
      <c r="AM33" s="120" t="n">
        <v>0</v>
      </c>
      <c r="AN33" s="118" t="n">
        <v>0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0</v>
      </c>
      <c r="C34" s="42" t="n">
        <v>0</v>
      </c>
      <c r="D34" s="42" t="n">
        <v>0</v>
      </c>
      <c r="E34" s="42" t="n">
        <v>0</v>
      </c>
      <c r="F34" s="42" t="n">
        <v>0</v>
      </c>
      <c r="G34" s="42" t="n">
        <v>0</v>
      </c>
      <c r="H34" s="42" t="n">
        <v>0</v>
      </c>
      <c r="I34" s="42" t="n">
        <v>0</v>
      </c>
      <c r="J34" s="42" t="n">
        <v>0</v>
      </c>
      <c r="K34" s="42" t="n">
        <v>0</v>
      </c>
      <c r="L34" s="42" t="n">
        <v>45</v>
      </c>
      <c r="M34" s="42" t="n">
        <v>0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SUM(AA27:AA33)</f>
        <v/>
      </c>
      <c r="AB34" s="43">
        <f>SUM(AB27:AB33)</f>
        <v/>
      </c>
      <c r="AC34" s="45" t="n"/>
      <c r="AD34" s="45" t="n"/>
      <c r="AE34" s="45" t="n"/>
      <c r="AF34" s="45" t="n"/>
      <c r="AG34" s="45" t="n"/>
      <c r="AH34" s="45" t="n"/>
      <c r="AI34" s="134" t="n">
        <v>0</v>
      </c>
      <c r="AJ34" s="152" t="n">
        <v>0</v>
      </c>
      <c r="AK34" s="152" t="n">
        <v>0</v>
      </c>
      <c r="AL34" s="152" t="n">
        <v>0</v>
      </c>
      <c r="AM34" s="152" t="n">
        <v>0</v>
      </c>
      <c r="AN34" s="134" t="n">
        <v>0</v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>
        <f>SUM(B35:M35)</f>
        <v/>
      </c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SUM(O35:T35)</f>
        <v/>
      </c>
      <c r="AB35" s="36">
        <f>SUM(O35:Z35)</f>
        <v/>
      </c>
      <c r="AC35" s="32" t="n"/>
      <c r="AD35" s="32" t="n"/>
      <c r="AE35" s="32" t="n"/>
      <c r="AF35" s="32" t="n"/>
      <c r="AG35" s="32" t="n"/>
      <c r="AH35" s="32" t="n"/>
      <c r="AI35" s="127" t="n">
        <v>0</v>
      </c>
      <c r="AJ35" s="128" t="n">
        <v>0</v>
      </c>
      <c r="AK35" s="128" t="n">
        <v>0</v>
      </c>
      <c r="AL35" s="128" t="n">
        <v>0</v>
      </c>
      <c r="AM35" s="129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0</v>
      </c>
      <c r="C36" s="35" t="n">
        <v>0</v>
      </c>
      <c r="D36" s="35" t="n">
        <v>0</v>
      </c>
      <c r="E36" s="35" t="n">
        <v>0</v>
      </c>
      <c r="F36" s="35" t="n">
        <v>0</v>
      </c>
      <c r="G36" s="35" t="n">
        <v>0</v>
      </c>
      <c r="H36" s="35" t="n">
        <v>0</v>
      </c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  <c r="N36" s="36">
        <f>SUM(B36:M36)</f>
        <v/>
      </c>
      <c r="O36" s="37">
        <f>(SUMIF('YBN Blank TB'!$R:$R,'YBN HO P&amp;L'!$A36,'YBN Blank TB'!C:C)+(SUMIF('YBN HO TB'!$R:$R,'YBN HO P&amp;L'!$A36,'YBN HO TB'!C:C)))</f>
        <v/>
      </c>
      <c r="P36" s="37">
        <f>(SUMIF('YBN Blank TB'!$R:$R,'YBN HO P&amp;L'!$A36,'YBN Blank TB'!D:D)+(SUMIF('YBN HO TB'!$R:$R,'YBN HO P&amp;L'!$A36,'YBN HO TB'!D:D)))</f>
        <v/>
      </c>
      <c r="Q36" s="37">
        <f>(SUMIF('YBN Blank TB'!$R:$R,'YBN HO P&amp;L'!$A36,'YBN Blank TB'!E:E)+(SUMIF('YBN HO TB'!$R:$R,'YBN HO P&amp;L'!$A36,'YBN HO TB'!E:E)))</f>
        <v/>
      </c>
      <c r="R36" s="37">
        <f>(SUMIF('YBN Blank TB'!$R:$R,'YBN HO P&amp;L'!$A36,'YBN Blank TB'!F:F)+(SUMIF('YBN HO TB'!$R:$R,'YBN HO P&amp;L'!$A36,'YBN HO TB'!F:F)))</f>
        <v/>
      </c>
      <c r="S36" s="37">
        <f>(SUMIF('YBN Blank TB'!$R:$R,'YBN HO P&amp;L'!$A36,'YBN Blank TB'!G:G)+(SUMIF('YBN HO TB'!$R:$R,'YBN HO P&amp;L'!$A36,'YBN HO TB'!G:G)))</f>
        <v/>
      </c>
      <c r="T36" s="37">
        <f>(SUMIF('YBN Blank TB'!$R:$R,'YBN HO P&amp;L'!$A36,'YBN Blank TB'!H:H)+(SUMIF('YBN HO TB'!$R:$R,'YBN HO P&amp;L'!$A36,'YBN HO TB'!H:H)))</f>
        <v/>
      </c>
      <c r="U36" s="37">
        <f>(SUMIF('YBN Blank TB'!$R:$R,'YBN HO P&amp;L'!$A36,'YBN Blank TB'!I:I)+(SUMIF('YBN HO TB'!$R:$R,'YBN HO P&amp;L'!$A36,'YBN HO TB'!I:I)))</f>
        <v/>
      </c>
      <c r="V36" s="38" t="n"/>
      <c r="W36" s="38" t="n"/>
      <c r="X36" s="38" t="n"/>
      <c r="Y36" s="38" t="n"/>
      <c r="Z36" s="38" t="n"/>
      <c r="AA36" s="36">
        <f>SUM(O36:U36)</f>
        <v/>
      </c>
      <c r="AB36" s="36">
        <f>SUM(O36:Z36)</f>
        <v/>
      </c>
      <c r="AC36" s="38" t="n"/>
      <c r="AD36" s="38" t="n"/>
      <c r="AE36" s="38" t="n"/>
      <c r="AF36" s="38" t="n"/>
      <c r="AG36" s="38" t="n"/>
      <c r="AH36" s="38" t="n"/>
      <c r="AI36" s="118" t="n">
        <v>0</v>
      </c>
      <c r="AJ36" s="119" t="n">
        <v>0</v>
      </c>
      <c r="AK36" s="119" t="n">
        <v>0</v>
      </c>
      <c r="AL36" s="119" t="n">
        <v>0</v>
      </c>
      <c r="AM36" s="120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0</v>
      </c>
      <c r="C37" s="35" t="n">
        <v>0</v>
      </c>
      <c r="D37" s="35" t="n">
        <v>0</v>
      </c>
      <c r="E37" s="35" t="n">
        <v>0</v>
      </c>
      <c r="F37" s="35" t="n">
        <v>0</v>
      </c>
      <c r="G37" s="35" t="n">
        <v>0</v>
      </c>
      <c r="H37" s="35" t="n">
        <v>0</v>
      </c>
      <c r="I37" s="35" t="n">
        <v>0</v>
      </c>
      <c r="J37" s="35" t="n">
        <v>0</v>
      </c>
      <c r="K37" s="35" t="n">
        <v>0</v>
      </c>
      <c r="L37" s="35" t="n">
        <v>0</v>
      </c>
      <c r="M37" s="35" t="n">
        <v>0</v>
      </c>
      <c r="N37" s="36">
        <f>SUM(B37:M37)</f>
        <v/>
      </c>
      <c r="O37" s="37">
        <f>(SUMIF('YBN Blank TB'!$R:$R,'YBN HO P&amp;L'!$A37,'YBN Blank TB'!C:C)+(SUMIF('YBN HO TB'!$R:$R,'YBN HO P&amp;L'!$A37,'YBN HO TB'!C:C)))</f>
        <v/>
      </c>
      <c r="P37" s="37">
        <f>(SUMIF('YBN Blank TB'!$R:$R,'YBN HO P&amp;L'!$A37,'YBN Blank TB'!D:D)+(SUMIF('YBN HO TB'!$R:$R,'YBN HO P&amp;L'!$A37,'YBN HO TB'!D:D)))</f>
        <v/>
      </c>
      <c r="Q37" s="37">
        <f>(SUMIF('YBN Blank TB'!$R:$R,'YBN HO P&amp;L'!$A37,'YBN Blank TB'!E:E)+(SUMIF('YBN HO TB'!$R:$R,'YBN HO P&amp;L'!$A37,'YBN HO TB'!E:E)))</f>
        <v/>
      </c>
      <c r="R37" s="37">
        <f>(SUMIF('YBN Blank TB'!$R:$R,'YBN HO P&amp;L'!$A37,'YBN Blank TB'!F:F)+(SUMIF('YBN HO TB'!$R:$R,'YBN HO P&amp;L'!$A37,'YBN HO TB'!F:F)))</f>
        <v/>
      </c>
      <c r="S37" s="37">
        <f>(SUMIF('YBN Blank TB'!$R:$R,'YBN HO P&amp;L'!$A37,'YBN Blank TB'!G:G)+(SUMIF('YBN HO TB'!$R:$R,'YBN HO P&amp;L'!$A37,'YBN HO TB'!G:G)))</f>
        <v/>
      </c>
      <c r="T37" s="37">
        <f>(SUMIF('YBN Blank TB'!$R:$R,'YBN HO P&amp;L'!$A37,'YBN Blank TB'!H:H)+(SUMIF('YBN HO TB'!$R:$R,'YBN HO P&amp;L'!$A37,'YBN HO TB'!H:H)))</f>
        <v/>
      </c>
      <c r="U37" s="37">
        <f>(SUMIF('YBN Blank TB'!$R:$R,'YBN HO P&amp;L'!$A37,'YBN Blank TB'!I:I)+(SUMIF('YBN HO TB'!$R:$R,'YBN HO P&amp;L'!$A37,'YBN HO TB'!I:I)))</f>
        <v/>
      </c>
      <c r="V37" s="38" t="n"/>
      <c r="W37" s="38" t="n"/>
      <c r="X37" s="38" t="n"/>
      <c r="Y37" s="38" t="n"/>
      <c r="Z37" s="38" t="n"/>
      <c r="AA37" s="36">
        <f>SUM(O37:U37)</f>
        <v/>
      </c>
      <c r="AB37" s="36">
        <f>SUM(O37:Z37)</f>
        <v/>
      </c>
      <c r="AC37" s="38" t="n"/>
      <c r="AD37" s="38" t="n"/>
      <c r="AE37" s="38" t="n"/>
      <c r="AF37" s="38" t="n"/>
      <c r="AG37" s="38" t="n"/>
      <c r="AH37" s="38" t="n"/>
      <c r="AI37" s="118" t="n">
        <v>0</v>
      </c>
      <c r="AJ37" s="119" t="n">
        <v>0</v>
      </c>
      <c r="AK37" s="119" t="n">
        <v>0</v>
      </c>
      <c r="AL37" s="119" t="n">
        <v>0</v>
      </c>
      <c r="AM37" s="120" t="n">
        <v>0</v>
      </c>
      <c r="AN37" s="118" t="n">
        <v>0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0</v>
      </c>
      <c r="C38" s="35" t="n">
        <v>0</v>
      </c>
      <c r="D38" s="35" t="n">
        <v>0</v>
      </c>
      <c r="E38" s="35" t="n">
        <v>0</v>
      </c>
      <c r="F38" s="35" t="n">
        <v>0</v>
      </c>
      <c r="G38" s="35" t="n">
        <v>0</v>
      </c>
      <c r="H38" s="35" t="n">
        <v>0</v>
      </c>
      <c r="I38" s="35" t="n">
        <v>0</v>
      </c>
      <c r="J38" s="35" t="n">
        <v>0</v>
      </c>
      <c r="K38" s="35" t="n">
        <v>0</v>
      </c>
      <c r="L38" s="35" t="n">
        <v>0</v>
      </c>
      <c r="M38" s="35" t="n">
        <v>0</v>
      </c>
      <c r="N38" s="36">
        <f>SUM(B38:M38)</f>
        <v/>
      </c>
      <c r="O38" s="37">
        <f>(SUMIF('YBN Blank TB'!$R:$R,'YBN HO P&amp;L'!$A38,'YBN Blank TB'!C:C)+(SUMIF('YBN HO TB'!$R:$R,'YBN HO P&amp;L'!$A38,'YBN HO TB'!C:C)))</f>
        <v/>
      </c>
      <c r="P38" s="37">
        <f>(SUMIF('YBN Blank TB'!$R:$R,'YBN HO P&amp;L'!$A38,'YBN Blank TB'!D:D)+(SUMIF('YBN HO TB'!$R:$R,'YBN HO P&amp;L'!$A38,'YBN HO TB'!D:D)))</f>
        <v/>
      </c>
      <c r="Q38" s="37">
        <f>(SUMIF('YBN Blank TB'!$R:$R,'YBN HO P&amp;L'!$A38,'YBN Blank TB'!E:E)+(SUMIF('YBN HO TB'!$R:$R,'YBN HO P&amp;L'!$A38,'YBN HO TB'!E:E)))</f>
        <v/>
      </c>
      <c r="R38" s="37">
        <f>(SUMIF('YBN Blank TB'!$R:$R,'YBN HO P&amp;L'!$A38,'YBN Blank TB'!F:F)+(SUMIF('YBN HO TB'!$R:$R,'YBN HO P&amp;L'!$A38,'YBN HO TB'!F:F)))</f>
        <v/>
      </c>
      <c r="S38" s="37">
        <f>(SUMIF('YBN Blank TB'!$R:$R,'YBN HO P&amp;L'!$A38,'YBN Blank TB'!G:G)+(SUMIF('YBN HO TB'!$R:$R,'YBN HO P&amp;L'!$A38,'YBN HO TB'!G:G)))</f>
        <v/>
      </c>
      <c r="T38" s="37">
        <f>(SUMIF('YBN Blank TB'!$R:$R,'YBN HO P&amp;L'!$A38,'YBN Blank TB'!H:H)+(SUMIF('YBN HO TB'!$R:$R,'YBN HO P&amp;L'!$A38,'YBN HO TB'!H:H)))</f>
        <v/>
      </c>
      <c r="U38" s="37">
        <f>(SUMIF('YBN Blank TB'!$R:$R,'YBN HO P&amp;L'!$A38,'YBN Blank TB'!I:I)+(SUMIF('YBN HO TB'!$R:$R,'YBN HO P&amp;L'!$A38,'YBN HO TB'!I:I)))</f>
        <v/>
      </c>
      <c r="V38" s="38" t="n"/>
      <c r="W38" s="38" t="n"/>
      <c r="X38" s="38" t="n"/>
      <c r="Y38" s="38" t="n"/>
      <c r="Z38" s="38" t="n"/>
      <c r="AA38" s="36">
        <f>SUM(O38:U38)</f>
        <v/>
      </c>
      <c r="AB38" s="36">
        <f>SUM(O38:Z38)</f>
        <v/>
      </c>
      <c r="AC38" s="38" t="n"/>
      <c r="AD38" s="38" t="n"/>
      <c r="AE38" s="38" t="n"/>
      <c r="AF38" s="38" t="n"/>
      <c r="AG38" s="38" t="n"/>
      <c r="AH38" s="38" t="n"/>
      <c r="AI38" s="118" t="n">
        <v>0</v>
      </c>
      <c r="AJ38" s="119" t="n">
        <v>0</v>
      </c>
      <c r="AK38" s="119" t="n">
        <v>0</v>
      </c>
      <c r="AL38" s="119" t="n">
        <v>0</v>
      </c>
      <c r="AM38" s="120" t="n">
        <v>0</v>
      </c>
      <c r="AN38" s="118" t="n">
        <v>0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0</v>
      </c>
      <c r="C39" s="35" t="n">
        <v>0</v>
      </c>
      <c r="D39" s="35" t="n">
        <v>0</v>
      </c>
      <c r="E39" s="35" t="n">
        <v>0</v>
      </c>
      <c r="F39" s="35" t="n">
        <v>71.98</v>
      </c>
      <c r="G39" s="35" t="n">
        <v>0</v>
      </c>
      <c r="H39" s="35" t="n">
        <v>0</v>
      </c>
      <c r="I39" s="35" t="n">
        <v>0</v>
      </c>
      <c r="J39" s="35" t="n">
        <v>0</v>
      </c>
      <c r="K39" s="35" t="n">
        <v>0</v>
      </c>
      <c r="L39" s="35" t="n">
        <v>0</v>
      </c>
      <c r="M39" s="35" t="n">
        <v>0</v>
      </c>
      <c r="N39" s="36">
        <f>SUM(B39:M39)</f>
        <v/>
      </c>
      <c r="O39" s="37">
        <f>(SUMIF('YBN Blank TB'!$R:$R,'YBN HO P&amp;L'!$A39,'YBN Blank TB'!C:C)+(SUMIF('YBN HO TB'!$R:$R,'YBN HO P&amp;L'!$A39,'YBN HO TB'!C:C)))</f>
        <v/>
      </c>
      <c r="P39" s="37">
        <f>(SUMIF('YBN Blank TB'!$R:$R,'YBN HO P&amp;L'!$A39,'YBN Blank TB'!D:D)+(SUMIF('YBN HO TB'!$R:$R,'YBN HO P&amp;L'!$A39,'YBN HO TB'!D:D)))</f>
        <v/>
      </c>
      <c r="Q39" s="37">
        <f>(SUMIF('YBN Blank TB'!$R:$R,'YBN HO P&amp;L'!$A39,'YBN Blank TB'!E:E)+(SUMIF('YBN HO TB'!$R:$R,'YBN HO P&amp;L'!$A39,'YBN HO TB'!E:E)))</f>
        <v/>
      </c>
      <c r="R39" s="37">
        <f>(SUMIF('YBN Blank TB'!$R:$R,'YBN HO P&amp;L'!$A39,'YBN Blank TB'!F:F)+(SUMIF('YBN HO TB'!$R:$R,'YBN HO P&amp;L'!$A39,'YBN HO TB'!F:F)))</f>
        <v/>
      </c>
      <c r="S39" s="37">
        <f>(SUMIF('YBN Blank TB'!$R:$R,'YBN HO P&amp;L'!$A39,'YBN Blank TB'!G:G)+(SUMIF('YBN HO TB'!$R:$R,'YBN HO P&amp;L'!$A39,'YBN HO TB'!G:G)))</f>
        <v/>
      </c>
      <c r="T39" s="37">
        <f>(SUMIF('YBN Blank TB'!$R:$R,'YBN HO P&amp;L'!$A39,'YBN Blank TB'!H:H)+(SUMIF('YBN HO TB'!$R:$R,'YBN HO P&amp;L'!$A39,'YBN HO TB'!H:H)))</f>
        <v/>
      </c>
      <c r="U39" s="37">
        <f>(SUMIF('YBN Blank TB'!$R:$R,'YBN HO P&amp;L'!$A39,'YBN Blank TB'!I:I)+(SUMIF('YBN HO TB'!$R:$R,'YBN HO P&amp;L'!$A39,'YBN HO TB'!I:I)))</f>
        <v/>
      </c>
      <c r="V39" s="38" t="n"/>
      <c r="W39" s="38" t="n"/>
      <c r="X39" s="38" t="n"/>
      <c r="Y39" s="38" t="n"/>
      <c r="Z39" s="38" t="n"/>
      <c r="AA39" s="36">
        <f>SUM(O39:U39)</f>
        <v/>
      </c>
      <c r="AB39" s="36">
        <f>SUM(O39:Z39)</f>
        <v/>
      </c>
      <c r="AC39" s="38" t="n"/>
      <c r="AD39" s="38" t="n"/>
      <c r="AE39" s="38" t="n"/>
      <c r="AF39" s="38" t="n"/>
      <c r="AG39" s="38" t="n"/>
      <c r="AH39" s="38" t="n"/>
      <c r="AI39" s="118" t="n">
        <v>0</v>
      </c>
      <c r="AJ39" s="119" t="n">
        <v>0</v>
      </c>
      <c r="AK39" s="119" t="n">
        <v>0</v>
      </c>
      <c r="AL39" s="119" t="n">
        <v>0</v>
      </c>
      <c r="AM39" s="120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0</v>
      </c>
      <c r="C40" s="35" t="n">
        <v>0</v>
      </c>
      <c r="D40" s="35" t="n">
        <v>0</v>
      </c>
      <c r="E40" s="35" t="n">
        <v>0</v>
      </c>
      <c r="F40" s="35" t="n">
        <v>0</v>
      </c>
      <c r="G40" s="35" t="n">
        <v>0</v>
      </c>
      <c r="H40" s="35" t="n">
        <v>0</v>
      </c>
      <c r="I40" s="35" t="n">
        <v>0</v>
      </c>
      <c r="J40" s="35" t="n">
        <v>0</v>
      </c>
      <c r="K40" s="35" t="n">
        <v>0</v>
      </c>
      <c r="L40" s="35" t="n">
        <v>0</v>
      </c>
      <c r="M40" s="35" t="n">
        <v>0</v>
      </c>
      <c r="N40" s="36">
        <f>SUM(B40:M40)</f>
        <v/>
      </c>
      <c r="O40" s="37">
        <f>(SUMIF('YBN Blank TB'!$R:$R,'YBN HO P&amp;L'!$A40,'YBN Blank TB'!C:C)+(SUMIF('YBN HO TB'!$R:$R,'YBN HO P&amp;L'!$A40,'YBN HO TB'!C:C)))</f>
        <v/>
      </c>
      <c r="P40" s="37">
        <f>(SUMIF('YBN Blank TB'!$R:$R,'YBN HO P&amp;L'!$A40,'YBN Blank TB'!D:D)+(SUMIF('YBN HO TB'!$R:$R,'YBN HO P&amp;L'!$A40,'YBN HO TB'!D:D)))</f>
        <v/>
      </c>
      <c r="Q40" s="37">
        <f>(SUMIF('YBN Blank TB'!$R:$R,'YBN HO P&amp;L'!$A40,'YBN Blank TB'!E:E)+(SUMIF('YBN HO TB'!$R:$R,'YBN HO P&amp;L'!$A40,'YBN HO TB'!E:E)))</f>
        <v/>
      </c>
      <c r="R40" s="37">
        <f>(SUMIF('YBN Blank TB'!$R:$R,'YBN HO P&amp;L'!$A40,'YBN Blank TB'!F:F)+(SUMIF('YBN HO TB'!$R:$R,'YBN HO P&amp;L'!$A40,'YBN HO TB'!F:F)))</f>
        <v/>
      </c>
      <c r="S40" s="37">
        <f>(SUMIF('YBN Blank TB'!$R:$R,'YBN HO P&amp;L'!$A40,'YBN Blank TB'!G:G)+(SUMIF('YBN HO TB'!$R:$R,'YBN HO P&amp;L'!$A40,'YBN HO TB'!G:G)))</f>
        <v/>
      </c>
      <c r="T40" s="37">
        <f>(SUMIF('YBN Blank TB'!$R:$R,'YBN HO P&amp;L'!$A40,'YBN Blank TB'!H:H)+(SUMIF('YBN HO TB'!$R:$R,'YBN HO P&amp;L'!$A40,'YBN HO TB'!H:H)))</f>
        <v/>
      </c>
      <c r="U40" s="37">
        <f>(SUMIF('YBN Blank TB'!$R:$R,'YBN HO P&amp;L'!$A40,'YBN Blank TB'!I:I)+(SUMIF('YBN HO TB'!$R:$R,'YBN HO P&amp;L'!$A40,'YBN HO TB'!I:I)))</f>
        <v/>
      </c>
      <c r="V40" s="38" t="n"/>
      <c r="W40" s="38" t="n"/>
      <c r="X40" s="38" t="n"/>
      <c r="Y40" s="38" t="n"/>
      <c r="Z40" s="38" t="n"/>
      <c r="AA40" s="36">
        <f>SUM(O40:U40)</f>
        <v/>
      </c>
      <c r="AB40" s="36">
        <f>SUM(O40:Z40)</f>
        <v/>
      </c>
      <c r="AC40" s="38" t="n"/>
      <c r="AD40" s="38" t="n"/>
      <c r="AE40" s="38" t="n"/>
      <c r="AF40" s="38" t="n"/>
      <c r="AG40" s="38" t="n"/>
      <c r="AH40" s="38" t="n"/>
      <c r="AI40" s="118" t="n">
        <v>0</v>
      </c>
      <c r="AJ40" s="119" t="n">
        <v>0</v>
      </c>
      <c r="AK40" s="119" t="n">
        <v>0</v>
      </c>
      <c r="AL40" s="119" t="n">
        <v>0</v>
      </c>
      <c r="AM40" s="120" t="n">
        <v>0</v>
      </c>
      <c r="AN40" s="118" t="n">
        <v>0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0</v>
      </c>
      <c r="C41" s="35" t="n">
        <v>0</v>
      </c>
      <c r="D41" s="35" t="n">
        <v>0</v>
      </c>
      <c r="E41" s="35" t="n">
        <v>0</v>
      </c>
      <c r="F41" s="35" t="n">
        <v>0</v>
      </c>
      <c r="G41" s="35" t="n">
        <v>0</v>
      </c>
      <c r="H41" s="35" t="n">
        <v>0</v>
      </c>
      <c r="I41" s="35" t="n">
        <v>0</v>
      </c>
      <c r="J41" s="35" t="n">
        <v>0</v>
      </c>
      <c r="K41" s="35" t="n">
        <v>0</v>
      </c>
      <c r="L41" s="35" t="n">
        <v>0</v>
      </c>
      <c r="M41" s="35" t="n">
        <v>0</v>
      </c>
      <c r="N41" s="36">
        <f>SUM(B41:M41)</f>
        <v/>
      </c>
      <c r="O41" s="37">
        <f>(SUMIF('YBN Blank TB'!$R:$R,'YBN HO P&amp;L'!$A41,'YBN Blank TB'!C:C)+(SUMIF('YBN HO TB'!$R:$R,'YBN HO P&amp;L'!$A41,'YBN HO TB'!C:C)))</f>
        <v/>
      </c>
      <c r="P41" s="37">
        <f>(SUMIF('YBN Blank TB'!$R:$R,'YBN HO P&amp;L'!$A41,'YBN Blank TB'!D:D)+(SUMIF('YBN HO TB'!$R:$R,'YBN HO P&amp;L'!$A41,'YBN HO TB'!D:D)))</f>
        <v/>
      </c>
      <c r="Q41" s="37">
        <f>(SUMIF('YBN Blank TB'!$R:$R,'YBN HO P&amp;L'!$A41,'YBN Blank TB'!E:E)+(SUMIF('YBN HO TB'!$R:$R,'YBN HO P&amp;L'!$A41,'YBN HO TB'!E:E)))</f>
        <v/>
      </c>
      <c r="R41" s="37">
        <f>(SUMIF('YBN Blank TB'!$R:$R,'YBN HO P&amp;L'!$A41,'YBN Blank TB'!F:F)+(SUMIF('YBN HO TB'!$R:$R,'YBN HO P&amp;L'!$A41,'YBN HO TB'!F:F)))</f>
        <v/>
      </c>
      <c r="S41" s="37">
        <f>(SUMIF('YBN Blank TB'!$R:$R,'YBN HO P&amp;L'!$A41,'YBN Blank TB'!G:G)+(SUMIF('YBN HO TB'!$R:$R,'YBN HO P&amp;L'!$A41,'YBN HO TB'!G:G)))</f>
        <v/>
      </c>
      <c r="T41" s="37">
        <f>(SUMIF('YBN Blank TB'!$R:$R,'YBN HO P&amp;L'!$A41,'YBN Blank TB'!H:H)+(SUMIF('YBN HO TB'!$R:$R,'YBN HO P&amp;L'!$A41,'YBN HO TB'!H:H)))</f>
        <v/>
      </c>
      <c r="U41" s="37">
        <f>(SUMIF('YBN Blank TB'!$R:$R,'YBN HO P&amp;L'!$A41,'YBN Blank TB'!I:I)+(SUMIF('YBN HO TB'!$R:$R,'YBN HO P&amp;L'!$A41,'YBN HO TB'!I:I)))</f>
        <v/>
      </c>
      <c r="V41" s="38" t="n"/>
      <c r="W41" s="38" t="n"/>
      <c r="X41" s="38" t="n"/>
      <c r="Y41" s="38" t="n"/>
      <c r="Z41" s="38" t="n"/>
      <c r="AA41" s="36">
        <f>SUM(O41:U41)</f>
        <v/>
      </c>
      <c r="AB41" s="36">
        <f>SUM(O41:Z41)</f>
        <v/>
      </c>
      <c r="AC41" s="38" t="n"/>
      <c r="AD41" s="38" t="n"/>
      <c r="AE41" s="38" t="n"/>
      <c r="AF41" s="38" t="n"/>
      <c r="AG41" s="38" t="n"/>
      <c r="AH41" s="38" t="n"/>
      <c r="AI41" s="118" t="n">
        <v>0</v>
      </c>
      <c r="AJ41" s="119" t="n">
        <v>0</v>
      </c>
      <c r="AK41" s="119" t="n">
        <v>0</v>
      </c>
      <c r="AL41" s="119" t="n">
        <v>0</v>
      </c>
      <c r="AM41" s="120" t="n">
        <v>0</v>
      </c>
      <c r="AN41" s="118" t="n">
        <v>0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0</v>
      </c>
      <c r="C42" s="35" t="n">
        <v>0</v>
      </c>
      <c r="D42" s="35" t="n">
        <v>0</v>
      </c>
      <c r="E42" s="35" t="n">
        <v>0</v>
      </c>
      <c r="F42" s="35" t="n">
        <v>0</v>
      </c>
      <c r="G42" s="35" t="n">
        <v>0</v>
      </c>
      <c r="H42" s="35" t="n">
        <v>0</v>
      </c>
      <c r="I42" s="35" t="n">
        <v>0</v>
      </c>
      <c r="J42" s="35" t="n">
        <v>0</v>
      </c>
      <c r="K42" s="35" t="n">
        <v>0</v>
      </c>
      <c r="L42" s="35" t="n">
        <v>0</v>
      </c>
      <c r="M42" s="35" t="n">
        <v>0</v>
      </c>
      <c r="N42" s="36">
        <f>SUM(B42:M42)</f>
        <v/>
      </c>
      <c r="O42" s="37">
        <f>(SUMIF('YBN Blank TB'!$R:$R,'YBN HO P&amp;L'!$A42,'YBN Blank TB'!C:C)+(SUMIF('YBN HO TB'!$R:$R,'YBN HO P&amp;L'!$A42,'YBN HO TB'!C:C)))</f>
        <v/>
      </c>
      <c r="P42" s="37">
        <f>(SUMIF('YBN Blank TB'!$R:$R,'YBN HO P&amp;L'!$A42,'YBN Blank TB'!D:D)+(SUMIF('YBN HO TB'!$R:$R,'YBN HO P&amp;L'!$A42,'YBN HO TB'!D:D)))</f>
        <v/>
      </c>
      <c r="Q42" s="37">
        <f>(SUMIF('YBN Blank TB'!$R:$R,'YBN HO P&amp;L'!$A42,'YBN Blank TB'!E:E)+(SUMIF('YBN HO TB'!$R:$R,'YBN HO P&amp;L'!$A42,'YBN HO TB'!E:E)))</f>
        <v/>
      </c>
      <c r="R42" s="37">
        <f>(SUMIF('YBN Blank TB'!$R:$R,'YBN HO P&amp;L'!$A42,'YBN Blank TB'!F:F)+(SUMIF('YBN HO TB'!$R:$R,'YBN HO P&amp;L'!$A42,'YBN HO TB'!F:F)))</f>
        <v/>
      </c>
      <c r="S42" s="37">
        <f>(SUMIF('YBN Blank TB'!$R:$R,'YBN HO P&amp;L'!$A42,'YBN Blank TB'!G:G)+(SUMIF('YBN HO TB'!$R:$R,'YBN HO P&amp;L'!$A42,'YBN HO TB'!G:G)))</f>
        <v/>
      </c>
      <c r="T42" s="37">
        <f>(SUMIF('YBN Blank TB'!$R:$R,'YBN HO P&amp;L'!$A42,'YBN Blank TB'!H:H)+(SUMIF('YBN HO TB'!$R:$R,'YBN HO P&amp;L'!$A42,'YBN HO TB'!H:H)))</f>
        <v/>
      </c>
      <c r="U42" s="37">
        <f>(SUMIF('YBN Blank TB'!$R:$R,'YBN HO P&amp;L'!$A42,'YBN Blank TB'!I:I)+(SUMIF('YBN HO TB'!$R:$R,'YBN HO P&amp;L'!$A42,'YBN HO TB'!I:I)))</f>
        <v/>
      </c>
      <c r="V42" s="38" t="n"/>
      <c r="W42" s="38" t="n"/>
      <c r="X42" s="38" t="n"/>
      <c r="Y42" s="38" t="n"/>
      <c r="Z42" s="38" t="n"/>
      <c r="AA42" s="36">
        <f>SUM(O42:U42)</f>
        <v/>
      </c>
      <c r="AB42" s="36">
        <f>SUM(O42:Z42)</f>
        <v/>
      </c>
      <c r="AC42" s="38" t="n"/>
      <c r="AD42" s="38" t="n"/>
      <c r="AE42" s="38" t="n"/>
      <c r="AF42" s="38" t="n"/>
      <c r="AG42" s="38" t="n"/>
      <c r="AH42" s="38" t="n"/>
      <c r="AI42" s="118" t="n">
        <v>0</v>
      </c>
      <c r="AJ42" s="119" t="n">
        <v>0</v>
      </c>
      <c r="AK42" s="119" t="n">
        <v>0</v>
      </c>
      <c r="AL42" s="119" t="n">
        <v>0</v>
      </c>
      <c r="AM42" s="120" t="n">
        <v>0</v>
      </c>
      <c r="AN42" s="118" t="n">
        <v>0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0</v>
      </c>
      <c r="C43" s="35" t="n">
        <v>0</v>
      </c>
      <c r="D43" s="35" t="n">
        <v>0</v>
      </c>
      <c r="E43" s="35" t="n">
        <v>0</v>
      </c>
      <c r="F43" s="35" t="n">
        <v>0</v>
      </c>
      <c r="G43" s="35" t="n">
        <v>0</v>
      </c>
      <c r="H43" s="35" t="n">
        <v>0</v>
      </c>
      <c r="I43" s="35" t="n">
        <v>0</v>
      </c>
      <c r="J43" s="35" t="n">
        <v>0</v>
      </c>
      <c r="K43" s="35" t="n">
        <v>0</v>
      </c>
      <c r="L43" s="35" t="n">
        <v>0</v>
      </c>
      <c r="M43" s="35" t="n">
        <v>0</v>
      </c>
      <c r="N43" s="36">
        <f>SUM(B43:M43)</f>
        <v/>
      </c>
      <c r="O43" s="37">
        <f>(SUMIF('YBN Blank TB'!$R:$R,'YBN HO P&amp;L'!$A43,'YBN Blank TB'!C:C)+(SUMIF('YBN HO TB'!$R:$R,'YBN HO P&amp;L'!$A43,'YBN HO TB'!C:C)))</f>
        <v/>
      </c>
      <c r="P43" s="37">
        <f>(SUMIF('YBN Blank TB'!$R:$R,'YBN HO P&amp;L'!$A43,'YBN Blank TB'!D:D)+(SUMIF('YBN HO TB'!$R:$R,'YBN HO P&amp;L'!$A43,'YBN HO TB'!D:D)))</f>
        <v/>
      </c>
      <c r="Q43" s="37">
        <f>(SUMIF('YBN Blank TB'!$R:$R,'YBN HO P&amp;L'!$A43,'YBN Blank TB'!E:E)+(SUMIF('YBN HO TB'!$R:$R,'YBN HO P&amp;L'!$A43,'YBN HO TB'!E:E)))</f>
        <v/>
      </c>
      <c r="R43" s="37">
        <f>(SUMIF('YBN Blank TB'!$R:$R,'YBN HO P&amp;L'!$A43,'YBN Blank TB'!F:F)+(SUMIF('YBN HO TB'!$R:$R,'YBN HO P&amp;L'!$A43,'YBN HO TB'!F:F)))</f>
        <v/>
      </c>
      <c r="S43" s="37">
        <f>(SUMIF('YBN Blank TB'!$R:$R,'YBN HO P&amp;L'!$A43,'YBN Blank TB'!G:G)+(SUMIF('YBN HO TB'!$R:$R,'YBN HO P&amp;L'!$A43,'YBN HO TB'!G:G)))</f>
        <v/>
      </c>
      <c r="T43" s="37">
        <f>(SUMIF('YBN Blank TB'!$R:$R,'YBN HO P&amp;L'!$A43,'YBN Blank TB'!H:H)+(SUMIF('YBN HO TB'!$R:$R,'YBN HO P&amp;L'!$A43,'YBN HO TB'!H:H)))</f>
        <v/>
      </c>
      <c r="U43" s="37">
        <f>(SUMIF('YBN Blank TB'!$R:$R,'YBN HO P&amp;L'!$A43,'YBN Blank TB'!I:I)+(SUMIF('YBN HO TB'!$R:$R,'YBN HO P&amp;L'!$A43,'YBN HO TB'!I:I)))</f>
        <v/>
      </c>
      <c r="V43" s="38" t="n"/>
      <c r="W43" s="38" t="n"/>
      <c r="X43" s="38" t="n"/>
      <c r="Y43" s="38" t="n"/>
      <c r="Z43" s="38" t="n"/>
      <c r="AA43" s="36">
        <f>SUM(O43:U43)</f>
        <v/>
      </c>
      <c r="AB43" s="36">
        <f>SUM(O43:Z43)</f>
        <v/>
      </c>
      <c r="AC43" s="38" t="n"/>
      <c r="AD43" s="38" t="n"/>
      <c r="AE43" s="38" t="n"/>
      <c r="AF43" s="38" t="n"/>
      <c r="AG43" s="38" t="n"/>
      <c r="AH43" s="38" t="n"/>
      <c r="AI43" s="118" t="n">
        <v>0</v>
      </c>
      <c r="AJ43" s="119" t="n">
        <v>0</v>
      </c>
      <c r="AK43" s="119" t="n">
        <v>0</v>
      </c>
      <c r="AL43" s="119" t="n">
        <v>0</v>
      </c>
      <c r="AM43" s="120" t="n">
        <v>0</v>
      </c>
      <c r="AN43" s="118" t="n">
        <v>0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(SUMIF('YBN Blank TB'!$R:$R,'YBN HO P&amp;L'!$A44,'YBN Blank TB'!C:C)+(SUMIF('YBN HO TB'!$R:$R,'YBN HO P&amp;L'!$A44,'YBN HO TB'!C:C)))</f>
        <v/>
      </c>
      <c r="P44" s="37">
        <f>(SUMIF('YBN Blank TB'!$R:$R,'YBN HO P&amp;L'!$A44,'YBN Blank TB'!D:D)+(SUMIF('YBN HO TB'!$R:$R,'YBN HO P&amp;L'!$A44,'YBN HO TB'!D:D)))</f>
        <v/>
      </c>
      <c r="Q44" s="37">
        <f>(SUMIF('YBN Blank TB'!$R:$R,'YBN HO P&amp;L'!$A44,'YBN Blank TB'!E:E)+(SUMIF('YBN HO TB'!$R:$R,'YBN HO P&amp;L'!$A44,'YBN HO TB'!E:E)))</f>
        <v/>
      </c>
      <c r="R44" s="37">
        <f>(SUMIF('YBN Blank TB'!$R:$R,'YBN HO P&amp;L'!$A44,'YBN Blank TB'!F:F)+(SUMIF('YBN HO TB'!$R:$R,'YBN HO P&amp;L'!$A44,'YBN HO TB'!F:F)))</f>
        <v/>
      </c>
      <c r="S44" s="37">
        <f>(SUMIF('YBN Blank TB'!$R:$R,'YBN HO P&amp;L'!$A44,'YBN Blank TB'!G:G)+(SUMIF('YBN HO TB'!$R:$R,'YBN HO P&amp;L'!$A44,'YBN HO TB'!G:G)))</f>
        <v/>
      </c>
      <c r="T44" s="37">
        <f>(SUMIF('YBN Blank TB'!$R:$R,'YBN HO P&amp;L'!$A44,'YBN Blank TB'!H:H)+(SUMIF('YBN HO TB'!$R:$R,'YBN HO P&amp;L'!$A44,'YBN HO TB'!H:H)))</f>
        <v/>
      </c>
      <c r="U44" s="37">
        <f>(SUMIF('YBN Blank TB'!$R:$R,'YBN HO P&amp;L'!$A44,'YBN Blank TB'!I:I)+(SUMIF('YBN HO TB'!$R:$R,'YBN HO P&amp;L'!$A44,'YBN HO TB'!I:I)))</f>
        <v/>
      </c>
      <c r="V44" s="38" t="n"/>
      <c r="W44" s="38" t="n"/>
      <c r="X44" s="38" t="n"/>
      <c r="Y44" s="38" t="n"/>
      <c r="Z44" s="38" t="n"/>
      <c r="AA44" s="36">
        <f>SUM(O44:U44)</f>
        <v/>
      </c>
      <c r="AB44" s="36">
        <f>SUM(O44:Z44)</f>
        <v/>
      </c>
      <c r="AC44" s="38" t="n"/>
      <c r="AD44" s="38" t="n"/>
      <c r="AE44" s="38" t="n"/>
      <c r="AF44" s="38" t="n"/>
      <c r="AG44" s="38" t="n"/>
      <c r="AH44" s="38" t="n"/>
      <c r="AI44" s="118" t="n">
        <v>0</v>
      </c>
      <c r="AJ44" s="119" t="n">
        <v>0</v>
      </c>
      <c r="AK44" s="119" t="n">
        <v>0</v>
      </c>
      <c r="AL44" s="119" t="n">
        <v>0</v>
      </c>
      <c r="AM44" s="120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0</v>
      </c>
      <c r="C45" s="35" t="n">
        <v>0</v>
      </c>
      <c r="D45" s="35" t="n">
        <v>0</v>
      </c>
      <c r="E45" s="35" t="n">
        <v>0</v>
      </c>
      <c r="F45" s="35" t="n">
        <v>0</v>
      </c>
      <c r="G45" s="35" t="n">
        <v>0</v>
      </c>
      <c r="H45" s="35" t="n">
        <v>0</v>
      </c>
      <c r="I45" s="35" t="n">
        <v>0</v>
      </c>
      <c r="J45" s="35" t="n">
        <v>0</v>
      </c>
      <c r="K45" s="35" t="n">
        <v>0</v>
      </c>
      <c r="L45" s="35" t="n">
        <v>0</v>
      </c>
      <c r="M45" s="35" t="n">
        <v>0</v>
      </c>
      <c r="N45" s="36">
        <f>SUM(B45:M45)</f>
        <v/>
      </c>
      <c r="O45" s="37">
        <f>(SUMIF('YBN Blank TB'!$R:$R,'YBN HO P&amp;L'!$A45,'YBN Blank TB'!C:C)+(SUMIF('YBN HO TB'!$R:$R,'YBN HO P&amp;L'!$A45,'YBN HO TB'!C:C)))</f>
        <v/>
      </c>
      <c r="P45" s="37">
        <f>(SUMIF('YBN Blank TB'!$R:$R,'YBN HO P&amp;L'!$A45,'YBN Blank TB'!D:D)+(SUMIF('YBN HO TB'!$R:$R,'YBN HO P&amp;L'!$A45,'YBN HO TB'!D:D)))</f>
        <v/>
      </c>
      <c r="Q45" s="37">
        <f>(SUMIF('YBN Blank TB'!$R:$R,'YBN HO P&amp;L'!$A45,'YBN Blank TB'!E:E)+(SUMIF('YBN HO TB'!$R:$R,'YBN HO P&amp;L'!$A45,'YBN HO TB'!E:E)))</f>
        <v/>
      </c>
      <c r="R45" s="37">
        <f>(SUMIF('YBN Blank TB'!$R:$R,'YBN HO P&amp;L'!$A45,'YBN Blank TB'!F:F)+(SUMIF('YBN HO TB'!$R:$R,'YBN HO P&amp;L'!$A45,'YBN HO TB'!F:F)))</f>
        <v/>
      </c>
      <c r="S45" s="37">
        <f>(SUMIF('YBN Blank TB'!$R:$R,'YBN HO P&amp;L'!$A45,'YBN Blank TB'!G:G)+(SUMIF('YBN HO TB'!$R:$R,'YBN HO P&amp;L'!$A45,'YBN HO TB'!G:G)))</f>
        <v/>
      </c>
      <c r="T45" s="37">
        <f>(SUMIF('YBN Blank TB'!$R:$R,'YBN HO P&amp;L'!$A45,'YBN Blank TB'!H:H)+(SUMIF('YBN HO TB'!$R:$R,'YBN HO P&amp;L'!$A45,'YBN HO TB'!H:H)))</f>
        <v/>
      </c>
      <c r="U45" s="37">
        <f>(SUMIF('YBN Blank TB'!$R:$R,'YBN HO P&amp;L'!$A45,'YBN Blank TB'!I:I)+(SUMIF('YBN HO TB'!$R:$R,'YBN HO P&amp;L'!$A45,'YBN HO TB'!I:I)))</f>
        <v/>
      </c>
      <c r="V45" s="38" t="n"/>
      <c r="W45" s="38" t="n"/>
      <c r="X45" s="38" t="n"/>
      <c r="Y45" s="38" t="n"/>
      <c r="Z45" s="38" t="n"/>
      <c r="AA45" s="36">
        <f>SUM(O45:U45)</f>
        <v/>
      </c>
      <c r="AB45" s="36">
        <f>SUM(O45:Z45)</f>
        <v/>
      </c>
      <c r="AC45" s="38" t="n"/>
      <c r="AD45" s="38" t="n"/>
      <c r="AE45" s="38" t="n"/>
      <c r="AF45" s="38" t="n"/>
      <c r="AG45" s="38" t="n"/>
      <c r="AH45" s="38" t="n"/>
      <c r="AI45" s="118" t="n">
        <v>0</v>
      </c>
      <c r="AJ45" s="119" t="n">
        <v>0</v>
      </c>
      <c r="AK45" s="119" t="n">
        <v>0</v>
      </c>
      <c r="AL45" s="119" t="n">
        <v>0</v>
      </c>
      <c r="AM45" s="120" t="n">
        <v>0</v>
      </c>
      <c r="AN45" s="118" t="n">
        <v>0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6">
        <f>SUM(B46:M46)</f>
        <v/>
      </c>
      <c r="O46" s="37">
        <f>(SUMIF('YBN Blank TB'!$R:$R,'YBN HO P&amp;L'!$A46,'YBN Blank TB'!C:C)+(SUMIF('YBN HO TB'!$R:$R,'YBN HO P&amp;L'!$A46,'YBN HO TB'!C:C)))</f>
        <v/>
      </c>
      <c r="P46" s="37">
        <f>(SUMIF('YBN Blank TB'!$R:$R,'YBN HO P&amp;L'!$A46,'YBN Blank TB'!D:D)+(SUMIF('YBN HO TB'!$R:$R,'YBN HO P&amp;L'!$A46,'YBN HO TB'!D:D)))</f>
        <v/>
      </c>
      <c r="Q46" s="37">
        <f>(SUMIF('YBN Blank TB'!$R:$R,'YBN HO P&amp;L'!$A46,'YBN Blank TB'!E:E)+(SUMIF('YBN HO TB'!$R:$R,'YBN HO P&amp;L'!$A46,'YBN HO TB'!E:E)))</f>
        <v/>
      </c>
      <c r="R46" s="37">
        <f>(SUMIF('YBN Blank TB'!$R:$R,'YBN HO P&amp;L'!$A46,'YBN Blank TB'!F:F)+(SUMIF('YBN HO TB'!$R:$R,'YBN HO P&amp;L'!$A46,'YBN HO TB'!F:F)))</f>
        <v/>
      </c>
      <c r="S46" s="37">
        <f>(SUMIF('YBN Blank TB'!$R:$R,'YBN HO P&amp;L'!$A46,'YBN Blank TB'!G:G)+(SUMIF('YBN HO TB'!$R:$R,'YBN HO P&amp;L'!$A46,'YBN HO TB'!G:G)))</f>
        <v/>
      </c>
      <c r="T46" s="37">
        <f>(SUMIF('YBN Blank TB'!$R:$R,'YBN HO P&amp;L'!$A46,'YBN Blank TB'!H:H)+(SUMIF('YBN HO TB'!$R:$R,'YBN HO P&amp;L'!$A46,'YBN HO TB'!H:H)))</f>
        <v/>
      </c>
      <c r="U46" s="37">
        <f>(SUMIF('YBN Blank TB'!$R:$R,'YBN HO P&amp;L'!$A46,'YBN Blank TB'!I:I)+(SUMIF('YBN HO TB'!$R:$R,'YBN HO P&amp;L'!$A46,'YBN HO TB'!I:I)))</f>
        <v/>
      </c>
      <c r="V46" s="38" t="n"/>
      <c r="W46" s="38" t="n"/>
      <c r="X46" s="38" t="n"/>
      <c r="Y46" s="38" t="n"/>
      <c r="Z46" s="38" t="n"/>
      <c r="AA46" s="36">
        <f>SUM(O46:U46)</f>
        <v/>
      </c>
      <c r="AB46" s="36">
        <f>SUM(O46:Z46)</f>
        <v/>
      </c>
      <c r="AC46" s="38" t="n"/>
      <c r="AD46" s="38" t="n"/>
      <c r="AE46" s="38" t="n"/>
      <c r="AF46" s="38" t="n"/>
      <c r="AG46" s="38" t="n"/>
      <c r="AH46" s="38" t="n"/>
      <c r="AI46" s="118" t="n">
        <v>0</v>
      </c>
      <c r="AJ46" s="119" t="n">
        <v>0</v>
      </c>
      <c r="AK46" s="119" t="n">
        <v>0</v>
      </c>
      <c r="AL46" s="119" t="n">
        <v>0</v>
      </c>
      <c r="AM46" s="120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0</v>
      </c>
      <c r="C47" s="42" t="n">
        <v>0</v>
      </c>
      <c r="D47" s="42" t="n">
        <v>0</v>
      </c>
      <c r="E47" s="42" t="n">
        <v>0</v>
      </c>
      <c r="F47" s="42" t="n">
        <v>71.98</v>
      </c>
      <c r="G47" s="42" t="n">
        <v>0</v>
      </c>
      <c r="H47" s="42" t="n">
        <v>0</v>
      </c>
      <c r="I47" s="42" t="n">
        <v>0</v>
      </c>
      <c r="J47" s="42" t="n">
        <v>0</v>
      </c>
      <c r="K47" s="42" t="n">
        <v>0</v>
      </c>
      <c r="L47" s="42" t="n">
        <v>0</v>
      </c>
      <c r="M47" s="42" t="n">
        <v>0</v>
      </c>
      <c r="N47" s="52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SUM(V36:V46)</f>
        <v/>
      </c>
      <c r="W47" s="45">
        <f>SUM(W36:W46)</f>
        <v/>
      </c>
      <c r="X47" s="45">
        <f>SUM(X36:X46)</f>
        <v/>
      </c>
      <c r="Y47" s="45">
        <f>SUM(Y36:Y46)</f>
        <v/>
      </c>
      <c r="Z47" s="45">
        <f>SUM(Z36:Z46)</f>
        <v/>
      </c>
      <c r="AA47" s="36">
        <f>SUM(O47:U47)</f>
        <v/>
      </c>
      <c r="AB47" s="52">
        <f>SUM(O47:Z47)</f>
        <v/>
      </c>
      <c r="AC47" s="45" t="n"/>
      <c r="AD47" s="45" t="n"/>
      <c r="AE47" s="45" t="n"/>
      <c r="AF47" s="45" t="n"/>
      <c r="AG47" s="45" t="n"/>
      <c r="AH47" s="45" t="n"/>
      <c r="AI47" s="134" t="n">
        <v>0</v>
      </c>
      <c r="AJ47" s="152" t="n">
        <v>0</v>
      </c>
      <c r="AK47" s="152" t="n">
        <v>0</v>
      </c>
      <c r="AL47" s="152" t="n">
        <v>0</v>
      </c>
      <c r="AM47" s="153" t="n">
        <v>0</v>
      </c>
      <c r="AN47" s="134" t="n">
        <v>0</v>
      </c>
      <c r="AO47" s="125">
        <f>SUM(AC47:AH47)+SUM(AI47:AN47)</f>
        <v/>
      </c>
      <c r="AP47" s="126">
        <f>IF(AB47&lt;&gt;0,(AO47-AB47)/ABS(AB47),0)</f>
        <v/>
      </c>
    </row>
    <row r="48">
      <c r="A48" s="22" t="inlineStr">
        <is>
          <t>Total Direct Costs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71.98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45</v>
      </c>
      <c r="M48" s="23" t="n">
        <v>0</v>
      </c>
      <c r="N48" s="36">
        <f>SUM(B48:M48)</f>
        <v/>
      </c>
      <c r="O48" s="25">
        <f t="array" ref="O48">O25+O34+_xlfn.ANCHORARRAY(O47)</f>
        <v/>
      </c>
      <c r="P48" s="25">
        <f t="array" ref="P48">P25+P34+_xlfn.ANCHORARRAY(P47)</f>
        <v/>
      </c>
      <c r="Q48" s="25">
        <f t="array" ref="Q48">Q25+Q34+_xlfn.ANCHORARRAY(Q47)</f>
        <v/>
      </c>
      <c r="R48" s="25">
        <f t="array" ref="R48">R25+R34+_xlfn.ANCHORARRAY(R47)</f>
        <v/>
      </c>
      <c r="S48" s="25">
        <f t="array" ref="S48">S25+S34+_xlfn.ANCHORARRAY(S47)</f>
        <v/>
      </c>
      <c r="T48" s="25">
        <f t="array" ref="T48">T25+T34+_xlfn.ANCHORARRAY(T47)</f>
        <v/>
      </c>
      <c r="U48" s="25">
        <f t="array" ref="U48">U25+U34+_xlfn.ANCHORARRAY(U47)</f>
        <v/>
      </c>
      <c r="V48" s="26">
        <f>V25+V34+V47</f>
        <v/>
      </c>
      <c r="W48" s="26">
        <f>W25+W34+W47</f>
        <v/>
      </c>
      <c r="X48" s="26">
        <f>X25+X34+X47</f>
        <v/>
      </c>
      <c r="Y48" s="26">
        <f>Y25+Y34+Y47</f>
        <v/>
      </c>
      <c r="Z48" s="26">
        <f>Z25+Z34+Z47</f>
        <v/>
      </c>
      <c r="AA48" s="36">
        <f>AA25+AA34+AA47</f>
        <v/>
      </c>
      <c r="AB48" s="36">
        <f>AB25+AB34+AB47</f>
        <v/>
      </c>
      <c r="AC48" s="26" t="n"/>
      <c r="AD48" s="26" t="n"/>
      <c r="AE48" s="26" t="n"/>
      <c r="AF48" s="26" t="n"/>
      <c r="AG48" s="26" t="n"/>
      <c r="AH48" s="26" t="n"/>
      <c r="AI48" s="134" t="n">
        <v>0</v>
      </c>
      <c r="AJ48" s="135" t="n">
        <v>0</v>
      </c>
      <c r="AK48" s="135" t="n">
        <v>0</v>
      </c>
      <c r="AL48" s="135" t="n">
        <v>0</v>
      </c>
      <c r="AM48" s="135" t="n">
        <v>0</v>
      </c>
      <c r="AN48" s="134" t="n">
        <v>0</v>
      </c>
      <c r="AO48" s="121">
        <f>SUM(AC48:AH48)+SUM(AI48:AN48)</f>
        <v/>
      </c>
      <c r="AP48" s="122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>
        <f>SUM(B49:M49)</f>
        <v/>
      </c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6">
        <f>SUM(O49:T49)</f>
        <v/>
      </c>
      <c r="AB49" s="36">
        <f>SUM(O49:Z49)</f>
        <v/>
      </c>
      <c r="AC49" s="20" t="n"/>
      <c r="AD49" s="20" t="n"/>
      <c r="AE49" s="20" t="n"/>
      <c r="AF49" s="20" t="n"/>
      <c r="AG49" s="20" t="n"/>
      <c r="AH49" s="20" t="n"/>
      <c r="AI49" s="8" t="n"/>
      <c r="AJ49" s="36">
        <f>SUM(E49:Q49)-$N49</f>
        <v/>
      </c>
      <c r="AK49" s="36">
        <f>SUM(H49:T49)-$N49</f>
        <v/>
      </c>
      <c r="AL49" s="36">
        <f>SUM(K49:W49)-$N49</f>
        <v/>
      </c>
      <c r="AM49" s="39">
        <f>SUM(N49:Z49)-$N49</f>
        <v/>
      </c>
      <c r="AN49" s="40" t="n"/>
      <c r="AO49" s="36">
        <f>SUM(I49:U49)-$N49</f>
        <v/>
      </c>
      <c r="AP49" s="36">
        <f>SUM(J49:V49)-$N49</f>
        <v/>
      </c>
    </row>
    <row r="50">
      <c r="A50" s="54" t="inlineStr">
        <is>
          <t>CONTRIBUTION</t>
        </is>
      </c>
      <c r="B50" s="55" t="n">
        <v>0</v>
      </c>
      <c r="C50" s="55" t="n">
        <v>0</v>
      </c>
      <c r="D50" s="55" t="n">
        <v>0</v>
      </c>
      <c r="E50" s="55" t="n">
        <v>0</v>
      </c>
      <c r="F50" s="55" t="n">
        <v>-71.98</v>
      </c>
      <c r="G50" s="55" t="n">
        <v>0</v>
      </c>
      <c r="H50" s="55" t="n">
        <v>0</v>
      </c>
      <c r="I50" s="55" t="n">
        <v>0</v>
      </c>
      <c r="J50" s="55" t="n">
        <v>0</v>
      </c>
      <c r="K50" s="55" t="n">
        <v>0</v>
      </c>
      <c r="L50" s="55" t="n">
        <v>-45</v>
      </c>
      <c r="M50" s="55" t="n">
        <v>0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55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0">
        <f>AI11-AI48</f>
        <v/>
      </c>
      <c r="AJ50" s="140">
        <f>AJ11-AJ48</f>
        <v/>
      </c>
      <c r="AK50" s="140">
        <f>AK11-AK48</f>
        <v/>
      </c>
      <c r="AL50" s="140">
        <f>AL11-AL48</f>
        <v/>
      </c>
      <c r="AM50" s="140">
        <f>AM11-AM48</f>
        <v/>
      </c>
      <c r="AN50" s="140">
        <f>AN11-AN48</f>
        <v/>
      </c>
      <c r="AO50" s="141">
        <f>SUM(AC50:AH50)+SUM(AI50:AN50)</f>
        <v/>
      </c>
      <c r="AP50" s="14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>
        <f>SUM(B51:M51)</f>
        <v/>
      </c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6">
        <f>SUM(O51:T51)</f>
        <v/>
      </c>
      <c r="AB51" s="36">
        <f>SUM(O51:Z51)</f>
        <v/>
      </c>
      <c r="AC51" s="20" t="n"/>
      <c r="AD51" s="20" t="n"/>
      <c r="AE51" s="20" t="n"/>
      <c r="AF51" s="20" t="n"/>
      <c r="AG51" s="20" t="n"/>
      <c r="AH51" s="20" t="n"/>
      <c r="AI51" s="8" t="n"/>
      <c r="AJ51" s="36">
        <f>SUM(E51:Q51)-$N51</f>
        <v/>
      </c>
      <c r="AK51" s="36">
        <f>SUM(H51:T51)-$N51</f>
        <v/>
      </c>
      <c r="AL51" s="36">
        <f>SUM(K51:W51)-$N51</f>
        <v/>
      </c>
      <c r="AM51" s="39">
        <f>SUM(N51:Z51)-$N51</f>
        <v/>
      </c>
      <c r="AN51" s="40" t="n"/>
      <c r="AO51" s="36">
        <f>SUM(I51:U51)-$N51</f>
        <v/>
      </c>
      <c r="AP51" s="36">
        <f>SUM(J51:V51)-$N51</f>
        <v/>
      </c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>
        <f>SUM(B52:M52)</f>
        <v/>
      </c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6">
        <f>SUM(O52:T52)</f>
        <v/>
      </c>
      <c r="AB52" s="36">
        <f>SUM(O52:Z52)</f>
        <v/>
      </c>
      <c r="AC52" s="20" t="n"/>
      <c r="AD52" s="20" t="n"/>
      <c r="AE52" s="20" t="n"/>
      <c r="AF52" s="20" t="n"/>
      <c r="AG52" s="20" t="n"/>
      <c r="AH52" s="20" t="n"/>
      <c r="AI52" s="134" t="n">
        <v>0</v>
      </c>
      <c r="AJ52" s="135" t="n">
        <v>0</v>
      </c>
      <c r="AK52" s="135" t="n">
        <v>0</v>
      </c>
      <c r="AL52" s="135" t="n">
        <v>0</v>
      </c>
      <c r="AM52" s="136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0</v>
      </c>
      <c r="C53" s="35" t="n">
        <v>0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5" t="n">
        <v>0</v>
      </c>
      <c r="K53" s="35" t="n">
        <v>0</v>
      </c>
      <c r="L53" s="35" t="n">
        <v>0</v>
      </c>
      <c r="M53" s="35" t="n">
        <v>0</v>
      </c>
      <c r="N53" s="36">
        <f>SUM(B53:M53)</f>
        <v/>
      </c>
      <c r="O53" s="37">
        <f>(SUMIF('YBN Blank TB'!$R:$R,'YBN HO P&amp;L'!$A53,'YBN Blank TB'!C:C)+(SUMIF('YBN HO TB'!$R:$R,'YBN HO P&amp;L'!$A53,'YBN HO TB'!C:C)))</f>
        <v/>
      </c>
      <c r="P53" s="37">
        <f>(SUMIF('YBN Blank TB'!$R:$R,'YBN HO P&amp;L'!$A53,'YBN Blank TB'!D:D)+(SUMIF('YBN HO TB'!$R:$R,'YBN HO P&amp;L'!$A53,'YBN HO TB'!D:D)))</f>
        <v/>
      </c>
      <c r="Q53" s="37">
        <f>(SUMIF('YBN Blank TB'!$R:$R,'YBN HO P&amp;L'!$A53,'YBN Blank TB'!E:E)+(SUMIF('YBN HO TB'!$R:$R,'YBN HO P&amp;L'!$A53,'YBN HO TB'!E:E)))</f>
        <v/>
      </c>
      <c r="R53" s="37">
        <f>(SUMIF('YBN Blank TB'!$R:$R,'YBN HO P&amp;L'!$A53,'YBN Blank TB'!F:F)+(SUMIF('YBN HO TB'!$R:$R,'YBN HO P&amp;L'!$A53,'YBN HO TB'!F:F)))</f>
        <v/>
      </c>
      <c r="S53" s="37">
        <f>(SUMIF('YBN Blank TB'!$R:$R,'YBN HO P&amp;L'!$A53,'YBN Blank TB'!G:G)+(SUMIF('YBN HO TB'!$R:$R,'YBN HO P&amp;L'!$A53,'YBN HO TB'!G:G)))</f>
        <v/>
      </c>
      <c r="T53" s="37">
        <f>(SUMIF('YBN Blank TB'!$R:$R,'YBN HO P&amp;L'!$A53,'YBN Blank TB'!H:H)+(SUMIF('YBN HO TB'!$R:$R,'YBN HO P&amp;L'!$A53,'YBN HO TB'!H:H)))</f>
        <v/>
      </c>
      <c r="U53" s="37">
        <f>(SUMIF('YBN Blank TB'!$R:$R,'YBN HO P&amp;L'!$A53,'YBN Blank TB'!I:I)+(SUMIF('YBN HO TB'!$R:$R,'YBN HO P&amp;L'!$A53,'YBN HO TB'!I:I)))</f>
        <v/>
      </c>
      <c r="V53" s="38" t="n"/>
      <c r="W53" s="38" t="n"/>
      <c r="X53" s="38" t="n"/>
      <c r="Y53" s="38" t="n"/>
      <c r="Z53" s="38" t="n"/>
      <c r="AA53" s="36">
        <f>SUM(O53:U53)</f>
        <v/>
      </c>
      <c r="AB53" s="36">
        <f>SUM(O53:Z53)</f>
        <v/>
      </c>
      <c r="AC53" s="38" t="n"/>
      <c r="AD53" s="38" t="n"/>
      <c r="AE53" s="38" t="n"/>
      <c r="AF53" s="38" t="n"/>
      <c r="AG53" s="38" t="n"/>
      <c r="AH53" s="38" t="n"/>
      <c r="AI53" s="118" t="n">
        <v>0</v>
      </c>
      <c r="AJ53" s="119" t="n">
        <v>0</v>
      </c>
      <c r="AK53" s="119" t="n">
        <v>0</v>
      </c>
      <c r="AL53" s="119" t="n">
        <v>0</v>
      </c>
      <c r="AM53" s="120" t="n">
        <v>0</v>
      </c>
      <c r="AN53" s="118" t="n">
        <v>0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5" t="n">
        <v>0</v>
      </c>
      <c r="K54" s="35" t="n">
        <v>0</v>
      </c>
      <c r="L54" s="35" t="n">
        <v>0</v>
      </c>
      <c r="M54" s="35" t="n">
        <v>0</v>
      </c>
      <c r="N54" s="36">
        <f>SUM(B54:M54)</f>
        <v/>
      </c>
      <c r="O54" s="37">
        <f>(SUMIF('YBN Blank TB'!$R:$R,'YBN HO P&amp;L'!$A54,'YBN Blank TB'!C:C)+(SUMIF('YBN HO TB'!$R:$R,'YBN HO P&amp;L'!$A54,'YBN HO TB'!C:C)))</f>
        <v/>
      </c>
      <c r="P54" s="37">
        <f>(SUMIF('YBN Blank TB'!$R:$R,'YBN HO P&amp;L'!$A54,'YBN Blank TB'!D:D)+(SUMIF('YBN HO TB'!$R:$R,'YBN HO P&amp;L'!$A54,'YBN HO TB'!D:D)))</f>
        <v/>
      </c>
      <c r="Q54" s="37">
        <f>(SUMIF('YBN Blank TB'!$R:$R,'YBN HO P&amp;L'!$A54,'YBN Blank TB'!E:E)+(SUMIF('YBN HO TB'!$R:$R,'YBN HO P&amp;L'!$A54,'YBN HO TB'!E:E)))</f>
        <v/>
      </c>
      <c r="R54" s="37">
        <f>(SUMIF('YBN Blank TB'!$R:$R,'YBN HO P&amp;L'!$A54,'YBN Blank TB'!F:F)+(SUMIF('YBN HO TB'!$R:$R,'YBN HO P&amp;L'!$A54,'YBN HO TB'!F:F)))</f>
        <v/>
      </c>
      <c r="S54" s="37">
        <f>(SUMIF('YBN Blank TB'!$R:$R,'YBN HO P&amp;L'!$A54,'YBN Blank TB'!G:G)+(SUMIF('YBN HO TB'!$R:$R,'YBN HO P&amp;L'!$A54,'YBN HO TB'!G:G)))</f>
        <v/>
      </c>
      <c r="T54" s="37">
        <f>(SUMIF('YBN Blank TB'!$R:$R,'YBN HO P&amp;L'!$A54,'YBN Blank TB'!H:H)+(SUMIF('YBN HO TB'!$R:$R,'YBN HO P&amp;L'!$A54,'YBN HO TB'!H:H)))</f>
        <v/>
      </c>
      <c r="U54" s="37">
        <f>(SUMIF('YBN Blank TB'!$R:$R,'YBN HO P&amp;L'!$A54,'YBN Blank TB'!I:I)+(SUMIF('YBN HO TB'!$R:$R,'YBN HO P&amp;L'!$A54,'YBN HO TB'!I:I)))</f>
        <v/>
      </c>
      <c r="V54" s="38" t="n"/>
      <c r="W54" s="38" t="n"/>
      <c r="X54" s="38" t="n"/>
      <c r="Y54" s="38" t="n"/>
      <c r="Z54" s="38" t="n"/>
      <c r="AA54" s="36">
        <f>SUM(O54:U54)</f>
        <v/>
      </c>
      <c r="AB54" s="36">
        <f>SUM(O54:Z54)</f>
        <v/>
      </c>
      <c r="AC54" s="38" t="n"/>
      <c r="AD54" s="38" t="n"/>
      <c r="AE54" s="38" t="n"/>
      <c r="AF54" s="38" t="n"/>
      <c r="AG54" s="38" t="n"/>
      <c r="AH54" s="38" t="n"/>
      <c r="AI54" s="118" t="n">
        <v>0</v>
      </c>
      <c r="AJ54" s="119" t="n">
        <v>0</v>
      </c>
      <c r="AK54" s="119" t="n">
        <v>0</v>
      </c>
      <c r="AL54" s="119" t="n">
        <v>0</v>
      </c>
      <c r="AM54" s="120" t="n">
        <v>0</v>
      </c>
      <c r="AN54" s="118" t="n">
        <v>0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5" t="n">
        <v>0</v>
      </c>
      <c r="K55" s="35" t="n">
        <v>0</v>
      </c>
      <c r="L55" s="35" t="n">
        <v>0</v>
      </c>
      <c r="M55" s="35" t="n">
        <v>0</v>
      </c>
      <c r="N55" s="36">
        <f>SUM(B55:M55)</f>
        <v/>
      </c>
      <c r="O55" s="37">
        <f>(SUMIF('YBN Blank TB'!$R:$R,'YBN HO P&amp;L'!$A55,'YBN Blank TB'!C:C)+(SUMIF('YBN HO TB'!$R:$R,'YBN HO P&amp;L'!$A55,'YBN HO TB'!C:C)))</f>
        <v/>
      </c>
      <c r="P55" s="37">
        <f>(SUMIF('YBN Blank TB'!$R:$R,'YBN HO P&amp;L'!$A55,'YBN Blank TB'!D:D)+(SUMIF('YBN HO TB'!$R:$R,'YBN HO P&amp;L'!$A55,'YBN HO TB'!D:D)))</f>
        <v/>
      </c>
      <c r="Q55" s="37">
        <f>(SUMIF('YBN Blank TB'!$R:$R,'YBN HO P&amp;L'!$A55,'YBN Blank TB'!E:E)+(SUMIF('YBN HO TB'!$R:$R,'YBN HO P&amp;L'!$A55,'YBN HO TB'!E:E)))</f>
        <v/>
      </c>
      <c r="R55" s="37">
        <f>(SUMIF('YBN Blank TB'!$R:$R,'YBN HO P&amp;L'!$A55,'YBN Blank TB'!F:F)+(SUMIF('YBN HO TB'!$R:$R,'YBN HO P&amp;L'!$A55,'YBN HO TB'!F:F)))</f>
        <v/>
      </c>
      <c r="S55" s="37">
        <f>(SUMIF('YBN Blank TB'!$R:$R,'YBN HO P&amp;L'!$A55,'YBN Blank TB'!G:G)+(SUMIF('YBN HO TB'!$R:$R,'YBN HO P&amp;L'!$A55,'YBN HO TB'!G:G)))</f>
        <v/>
      </c>
      <c r="T55" s="37">
        <f>(SUMIF('YBN Blank TB'!$R:$R,'YBN HO P&amp;L'!$A55,'YBN Blank TB'!H:H)+(SUMIF('YBN HO TB'!$R:$R,'YBN HO P&amp;L'!$A55,'YBN HO TB'!H:H)))</f>
        <v/>
      </c>
      <c r="U55" s="37">
        <f>(SUMIF('YBN Blank TB'!$R:$R,'YBN HO P&amp;L'!$A55,'YBN Blank TB'!I:I)+(SUMIF('YBN HO TB'!$R:$R,'YBN HO P&amp;L'!$A55,'YBN HO TB'!I:I)))</f>
        <v/>
      </c>
      <c r="V55" s="38" t="n"/>
      <c r="W55" s="38" t="n"/>
      <c r="X55" s="38" t="n"/>
      <c r="Y55" s="38" t="n"/>
      <c r="Z55" s="38" t="n"/>
      <c r="AA55" s="36">
        <f>SUM(O55:U55)</f>
        <v/>
      </c>
      <c r="AB55" s="36">
        <f>SUM(O55:Z55)</f>
        <v/>
      </c>
      <c r="AC55" s="38" t="n"/>
      <c r="AD55" s="38" t="n"/>
      <c r="AE55" s="38" t="n"/>
      <c r="AF55" s="38" t="n"/>
      <c r="AG55" s="38" t="n"/>
      <c r="AH55" s="38" t="n"/>
      <c r="AI55" s="118" t="n">
        <v>0</v>
      </c>
      <c r="AJ55" s="119" t="n">
        <v>0</v>
      </c>
      <c r="AK55" s="119" t="n">
        <v>0</v>
      </c>
      <c r="AL55" s="119" t="n">
        <v>0</v>
      </c>
      <c r="AM55" s="120" t="n">
        <v>0</v>
      </c>
      <c r="AN55" s="118" t="n">
        <v>0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5" t="n">
        <v>0</v>
      </c>
      <c r="K56" s="35" t="n">
        <v>0</v>
      </c>
      <c r="L56" s="35" t="n">
        <v>0</v>
      </c>
      <c r="M56" s="35" t="n">
        <v>0</v>
      </c>
      <c r="N56" s="36">
        <f>SUM(B56:M56)</f>
        <v/>
      </c>
      <c r="O56" s="37">
        <f>(SUMIF('YBN Blank TB'!$R:$R,'YBN HO P&amp;L'!$A56,'YBN Blank TB'!C:C)+(SUMIF('YBN HO TB'!$R:$R,'YBN HO P&amp;L'!$A56,'YBN HO TB'!C:C)))</f>
        <v/>
      </c>
      <c r="P56" s="37">
        <f>(SUMIF('YBN Blank TB'!$R:$R,'YBN HO P&amp;L'!$A56,'YBN Blank TB'!D:D)+(SUMIF('YBN HO TB'!$R:$R,'YBN HO P&amp;L'!$A56,'YBN HO TB'!D:D)))</f>
        <v/>
      </c>
      <c r="Q56" s="37">
        <f>(SUMIF('YBN Blank TB'!$R:$R,'YBN HO P&amp;L'!$A56,'YBN Blank TB'!E:E)+(SUMIF('YBN HO TB'!$R:$R,'YBN HO P&amp;L'!$A56,'YBN HO TB'!E:E)))</f>
        <v/>
      </c>
      <c r="R56" s="37">
        <f>(SUMIF('YBN Blank TB'!$R:$R,'YBN HO P&amp;L'!$A56,'YBN Blank TB'!F:F)+(SUMIF('YBN HO TB'!$R:$R,'YBN HO P&amp;L'!$A56,'YBN HO TB'!F:F)))</f>
        <v/>
      </c>
      <c r="S56" s="37">
        <f>(SUMIF('YBN Blank TB'!$R:$R,'YBN HO P&amp;L'!$A56,'YBN Blank TB'!G:G)+(SUMIF('YBN HO TB'!$R:$R,'YBN HO P&amp;L'!$A56,'YBN HO TB'!G:G)))</f>
        <v/>
      </c>
      <c r="T56" s="37">
        <f>(SUMIF('YBN Blank TB'!$R:$R,'YBN HO P&amp;L'!$A56,'YBN Blank TB'!H:H)+(SUMIF('YBN HO TB'!$R:$R,'YBN HO P&amp;L'!$A56,'YBN HO TB'!H:H)))</f>
        <v/>
      </c>
      <c r="U56" s="37">
        <f>(SUMIF('YBN Blank TB'!$R:$R,'YBN HO P&amp;L'!$A56,'YBN Blank TB'!I:I)+(SUMIF('YBN HO TB'!$R:$R,'YBN HO P&amp;L'!$A56,'YBN HO TB'!I:I)))</f>
        <v/>
      </c>
      <c r="V56" s="38" t="n"/>
      <c r="W56" s="38" t="n"/>
      <c r="X56" s="38" t="n"/>
      <c r="Y56" s="38" t="n"/>
      <c r="Z56" s="38" t="n"/>
      <c r="AA56" s="36">
        <f>SUM(O56:U56)</f>
        <v/>
      </c>
      <c r="AB56" s="36">
        <f>SUM(O56:Z56)</f>
        <v/>
      </c>
      <c r="AC56" s="38" t="n"/>
      <c r="AD56" s="38" t="n"/>
      <c r="AE56" s="38" t="n"/>
      <c r="AF56" s="38" t="n"/>
      <c r="AG56" s="38" t="n"/>
      <c r="AH56" s="38" t="n"/>
      <c r="AI56" s="118" t="n">
        <v>0</v>
      </c>
      <c r="AJ56" s="119" t="n">
        <v>0</v>
      </c>
      <c r="AK56" s="119" t="n">
        <v>0</v>
      </c>
      <c r="AL56" s="119" t="n">
        <v>0</v>
      </c>
      <c r="AM56" s="120" t="n">
        <v>0</v>
      </c>
      <c r="AN56" s="118" t="n">
        <v>0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5" t="n">
        <v>0</v>
      </c>
      <c r="K57" s="35" t="n">
        <v>0</v>
      </c>
      <c r="L57" s="35" t="n">
        <v>0</v>
      </c>
      <c r="M57" s="35" t="n">
        <v>0</v>
      </c>
      <c r="N57" s="36">
        <f>SUM(B57:M57)</f>
        <v/>
      </c>
      <c r="O57" s="37">
        <f>(SUMIF('YBN Blank TB'!$R:$R,'YBN HO P&amp;L'!$A57,'YBN Blank TB'!C:C)+(SUMIF('YBN HO TB'!$R:$R,'YBN HO P&amp;L'!$A57,'YBN HO TB'!C:C)))</f>
        <v/>
      </c>
      <c r="P57" s="37">
        <f>(SUMIF('YBN Blank TB'!$R:$R,'YBN HO P&amp;L'!$A57,'YBN Blank TB'!D:D)+(SUMIF('YBN HO TB'!$R:$R,'YBN HO P&amp;L'!$A57,'YBN HO TB'!D:D)))</f>
        <v/>
      </c>
      <c r="Q57" s="37">
        <f>(SUMIF('YBN Blank TB'!$R:$R,'YBN HO P&amp;L'!$A57,'YBN Blank TB'!E:E)+(SUMIF('YBN HO TB'!$R:$R,'YBN HO P&amp;L'!$A57,'YBN HO TB'!E:E)))</f>
        <v/>
      </c>
      <c r="R57" s="37">
        <f>(SUMIF('YBN Blank TB'!$R:$R,'YBN HO P&amp;L'!$A57,'YBN Blank TB'!F:F)+(SUMIF('YBN HO TB'!$R:$R,'YBN HO P&amp;L'!$A57,'YBN HO TB'!F:F)))</f>
        <v/>
      </c>
      <c r="S57" s="37">
        <f>(SUMIF('YBN Blank TB'!$R:$R,'YBN HO P&amp;L'!$A57,'YBN Blank TB'!G:G)+(SUMIF('YBN HO TB'!$R:$R,'YBN HO P&amp;L'!$A57,'YBN HO TB'!G:G)))</f>
        <v/>
      </c>
      <c r="T57" s="37">
        <f>(SUMIF('YBN Blank TB'!$R:$R,'YBN HO P&amp;L'!$A57,'YBN Blank TB'!H:H)+(SUMIF('YBN HO TB'!$R:$R,'YBN HO P&amp;L'!$A57,'YBN HO TB'!H:H)))</f>
        <v/>
      </c>
      <c r="U57" s="37">
        <f>(SUMIF('YBN Blank TB'!$R:$R,'YBN HO P&amp;L'!$A57,'YBN Blank TB'!I:I)+(SUMIF('YBN HO TB'!$R:$R,'YBN HO P&amp;L'!$A57,'YBN HO TB'!I:I)))</f>
        <v/>
      </c>
      <c r="V57" s="38" t="n"/>
      <c r="W57" s="38" t="n"/>
      <c r="X57" s="38" t="n"/>
      <c r="Y57" s="38" t="n"/>
      <c r="Z57" s="38" t="n"/>
      <c r="AA57" s="36">
        <f>SUM(O57:U57)</f>
        <v/>
      </c>
      <c r="AB57" s="36">
        <f>SUM(O57:Z57)</f>
        <v/>
      </c>
      <c r="AC57" s="38" t="n"/>
      <c r="AD57" s="38" t="n"/>
      <c r="AE57" s="38" t="n"/>
      <c r="AF57" s="38" t="n"/>
      <c r="AG57" s="38" t="n"/>
      <c r="AH57" s="38" t="n"/>
      <c r="AI57" s="118" t="n">
        <v>0</v>
      </c>
      <c r="AJ57" s="119" t="n">
        <v>0</v>
      </c>
      <c r="AK57" s="119" t="n">
        <v>0</v>
      </c>
      <c r="AL57" s="119" t="n">
        <v>0</v>
      </c>
      <c r="AM57" s="120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0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5" t="n">
        <v>0</v>
      </c>
      <c r="K58" s="35" t="n">
        <v>0</v>
      </c>
      <c r="L58" s="35" t="n">
        <v>0</v>
      </c>
      <c r="M58" s="35" t="n">
        <v>0</v>
      </c>
      <c r="N58" s="36">
        <f>SUM(B58:M58)</f>
        <v/>
      </c>
      <c r="O58" s="37">
        <f>(SUMIF('YBN Blank TB'!$R:$R,'YBN HO P&amp;L'!$A58,'YBN Blank TB'!C:C)+(SUMIF('YBN HO TB'!$R:$R,'YBN HO P&amp;L'!$A58,'YBN HO TB'!C:C)))</f>
        <v/>
      </c>
      <c r="P58" s="37">
        <f>(SUMIF('YBN Blank TB'!$R:$R,'YBN HO P&amp;L'!$A58,'YBN Blank TB'!D:D)+(SUMIF('YBN HO TB'!$R:$R,'YBN HO P&amp;L'!$A58,'YBN HO TB'!D:D)))</f>
        <v/>
      </c>
      <c r="Q58" s="37">
        <f>(SUMIF('YBN Blank TB'!$R:$R,'YBN HO P&amp;L'!$A58,'YBN Blank TB'!E:E)+(SUMIF('YBN HO TB'!$R:$R,'YBN HO P&amp;L'!$A58,'YBN HO TB'!E:E)))</f>
        <v/>
      </c>
      <c r="R58" s="37">
        <f>(SUMIF('YBN Blank TB'!$R:$R,'YBN HO P&amp;L'!$A58,'YBN Blank TB'!F:F)+(SUMIF('YBN HO TB'!$R:$R,'YBN HO P&amp;L'!$A58,'YBN HO TB'!F:F)))</f>
        <v/>
      </c>
      <c r="S58" s="37">
        <f>(SUMIF('YBN Blank TB'!$R:$R,'YBN HO P&amp;L'!$A58,'YBN Blank TB'!G:G)+(SUMIF('YBN HO TB'!$R:$R,'YBN HO P&amp;L'!$A58,'YBN HO TB'!G:G)))</f>
        <v/>
      </c>
      <c r="T58" s="37">
        <f>(SUMIF('YBN Blank TB'!$R:$R,'YBN HO P&amp;L'!$A58,'YBN Blank TB'!H:H)+(SUMIF('YBN HO TB'!$R:$R,'YBN HO P&amp;L'!$A58,'YBN HO TB'!H:H)))</f>
        <v/>
      </c>
      <c r="U58" s="37">
        <f>(SUMIF('YBN Blank TB'!$R:$R,'YBN HO P&amp;L'!$A58,'YBN Blank TB'!I:I)+(SUMIF('YBN HO TB'!$R:$R,'YBN HO P&amp;L'!$A58,'YBN HO TB'!I:I)))</f>
        <v/>
      </c>
      <c r="V58" s="38" t="n"/>
      <c r="W58" s="38" t="n"/>
      <c r="X58" s="38" t="n"/>
      <c r="Y58" s="38" t="n"/>
      <c r="Z58" s="38" t="n"/>
      <c r="AA58" s="36">
        <f>SUM(O58:U58)</f>
        <v/>
      </c>
      <c r="AB58" s="36">
        <f>SUM(O58:Z58)</f>
        <v/>
      </c>
      <c r="AC58" s="38" t="n"/>
      <c r="AD58" s="38" t="n"/>
      <c r="AE58" s="38" t="n"/>
      <c r="AF58" s="38" t="n"/>
      <c r="AG58" s="38" t="n"/>
      <c r="AH58" s="38" t="n"/>
      <c r="AI58" s="118" t="n">
        <v>0</v>
      </c>
      <c r="AJ58" s="119" t="n">
        <v>0</v>
      </c>
      <c r="AK58" s="119" t="n">
        <v>0</v>
      </c>
      <c r="AL58" s="119" t="n">
        <v>0</v>
      </c>
      <c r="AM58" s="120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0</v>
      </c>
      <c r="C59" s="35" t="n">
        <v>0</v>
      </c>
      <c r="D59" s="35" t="n">
        <v>0</v>
      </c>
      <c r="E59" s="35" t="n">
        <v>0</v>
      </c>
      <c r="F59" s="35" t="n">
        <v>0</v>
      </c>
      <c r="G59" s="35" t="n">
        <v>0</v>
      </c>
      <c r="H59" s="35" t="n">
        <v>0</v>
      </c>
      <c r="I59" s="35" t="n">
        <v>0</v>
      </c>
      <c r="J59" s="35" t="n">
        <v>0</v>
      </c>
      <c r="K59" s="35" t="n">
        <v>0</v>
      </c>
      <c r="L59" s="35" t="n">
        <v>0</v>
      </c>
      <c r="M59" s="35" t="n">
        <v>0</v>
      </c>
      <c r="N59" s="36">
        <f>SUM(B59:M59)</f>
        <v/>
      </c>
      <c r="O59" s="37">
        <f>(SUMIF('YBN Blank TB'!$R:$R,'YBN HO P&amp;L'!$A59,'YBN Blank TB'!C:C)+(SUMIF('YBN HO TB'!$R:$R,'YBN HO P&amp;L'!$A59,'YBN HO TB'!C:C)))</f>
        <v/>
      </c>
      <c r="P59" s="37">
        <f>(SUMIF('YBN Blank TB'!$R:$R,'YBN HO P&amp;L'!$A59,'YBN Blank TB'!D:D)+(SUMIF('YBN HO TB'!$R:$R,'YBN HO P&amp;L'!$A59,'YBN HO TB'!D:D)))</f>
        <v/>
      </c>
      <c r="Q59" s="37">
        <f>(SUMIF('YBN Blank TB'!$R:$R,'YBN HO P&amp;L'!$A59,'YBN Blank TB'!E:E)+(SUMIF('YBN HO TB'!$R:$R,'YBN HO P&amp;L'!$A59,'YBN HO TB'!E:E)))</f>
        <v/>
      </c>
      <c r="R59" s="37">
        <f>(SUMIF('YBN Blank TB'!$R:$R,'YBN HO P&amp;L'!$A59,'YBN Blank TB'!F:F)+(SUMIF('YBN HO TB'!$R:$R,'YBN HO P&amp;L'!$A59,'YBN HO TB'!F:F)))</f>
        <v/>
      </c>
      <c r="S59" s="37">
        <f>(SUMIF('YBN Blank TB'!$R:$R,'YBN HO P&amp;L'!$A59,'YBN Blank TB'!G:G)+(SUMIF('YBN HO TB'!$R:$R,'YBN HO P&amp;L'!$A59,'YBN HO TB'!G:G)))</f>
        <v/>
      </c>
      <c r="T59" s="37">
        <f>(SUMIF('YBN Blank TB'!$R:$R,'YBN HO P&amp;L'!$A59,'YBN Blank TB'!H:H)+(SUMIF('YBN HO TB'!$R:$R,'YBN HO P&amp;L'!$A59,'YBN HO TB'!H:H)))</f>
        <v/>
      </c>
      <c r="U59" s="37">
        <f>(SUMIF('YBN Blank TB'!$R:$R,'YBN HO P&amp;L'!$A59,'YBN Blank TB'!I:I)+(SUMIF('YBN HO TB'!$R:$R,'YBN HO P&amp;L'!$A59,'YBN HO TB'!I:I)))</f>
        <v/>
      </c>
      <c r="V59" s="38" t="n"/>
      <c r="W59" s="38" t="n"/>
      <c r="X59" s="38" t="n"/>
      <c r="Y59" s="38" t="n"/>
      <c r="Z59" s="38" t="n"/>
      <c r="AA59" s="36">
        <f>SUM(O59:U59)</f>
        <v/>
      </c>
      <c r="AB59" s="36">
        <f>SUM(O59:Z59)</f>
        <v/>
      </c>
      <c r="AC59" s="38" t="n"/>
      <c r="AD59" s="38" t="n"/>
      <c r="AE59" s="38" t="n"/>
      <c r="AF59" s="38" t="n"/>
      <c r="AG59" s="38" t="n"/>
      <c r="AH59" s="38" t="n"/>
      <c r="AI59" s="118" t="n">
        <v>0</v>
      </c>
      <c r="AJ59" s="119" t="n">
        <v>0</v>
      </c>
      <c r="AK59" s="119" t="n">
        <v>0</v>
      </c>
      <c r="AL59" s="119" t="n">
        <v>0</v>
      </c>
      <c r="AM59" s="120" t="n">
        <v>0</v>
      </c>
      <c r="AN59" s="118" t="n">
        <v>0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0</v>
      </c>
      <c r="C60" s="35" t="n">
        <v>0</v>
      </c>
      <c r="D60" s="35" t="n">
        <v>0</v>
      </c>
      <c r="E60" s="35" t="n">
        <v>0</v>
      </c>
      <c r="F60" s="35" t="n">
        <v>0</v>
      </c>
      <c r="G60" s="35" t="n">
        <v>0</v>
      </c>
      <c r="H60" s="35" t="n">
        <v>0</v>
      </c>
      <c r="I60" s="35" t="n">
        <v>0</v>
      </c>
      <c r="J60" s="35" t="n">
        <v>0</v>
      </c>
      <c r="K60" s="35" t="n">
        <v>0</v>
      </c>
      <c r="L60" s="35" t="n">
        <v>0</v>
      </c>
      <c r="M60" s="35" t="n">
        <v>0</v>
      </c>
      <c r="N60" s="36">
        <f>SUM(B60:M60)</f>
        <v/>
      </c>
      <c r="O60" s="37">
        <f>(SUMIF('YBN Blank TB'!$R:$R,'YBN HO P&amp;L'!$A60,'YBN Blank TB'!C:C)+(SUMIF('YBN HO TB'!$R:$R,'YBN HO P&amp;L'!$A60,'YBN HO TB'!C:C)))</f>
        <v/>
      </c>
      <c r="P60" s="37">
        <f>(SUMIF('YBN Blank TB'!$R:$R,'YBN HO P&amp;L'!$A60,'YBN Blank TB'!D:D)+(SUMIF('YBN HO TB'!$R:$R,'YBN HO P&amp;L'!$A60,'YBN HO TB'!D:D)))</f>
        <v/>
      </c>
      <c r="Q60" s="37">
        <f>(SUMIF('YBN Blank TB'!$R:$R,'YBN HO P&amp;L'!$A60,'YBN Blank TB'!E:E)+(SUMIF('YBN HO TB'!$R:$R,'YBN HO P&amp;L'!$A60,'YBN HO TB'!E:E)))</f>
        <v/>
      </c>
      <c r="R60" s="37">
        <f>(SUMIF('YBN Blank TB'!$R:$R,'YBN HO P&amp;L'!$A60,'YBN Blank TB'!F:F)+(SUMIF('YBN HO TB'!$R:$R,'YBN HO P&amp;L'!$A60,'YBN HO TB'!F:F)))</f>
        <v/>
      </c>
      <c r="S60" s="37">
        <f>(SUMIF('YBN Blank TB'!$R:$R,'YBN HO P&amp;L'!$A60,'YBN Blank TB'!G:G)+(SUMIF('YBN HO TB'!$R:$R,'YBN HO P&amp;L'!$A60,'YBN HO TB'!G:G)))</f>
        <v/>
      </c>
      <c r="T60" s="37">
        <f>(SUMIF('YBN Blank TB'!$R:$R,'YBN HO P&amp;L'!$A60,'YBN Blank TB'!H:H)+(SUMIF('YBN HO TB'!$R:$R,'YBN HO P&amp;L'!$A60,'YBN HO TB'!H:H)))</f>
        <v/>
      </c>
      <c r="U60" s="37">
        <f>(SUMIF('YBN Blank TB'!$R:$R,'YBN HO P&amp;L'!$A60,'YBN Blank TB'!I:I)+(SUMIF('YBN HO TB'!$R:$R,'YBN HO P&amp;L'!$A60,'YBN HO TB'!I:I)))</f>
        <v/>
      </c>
      <c r="V60" s="38" t="n"/>
      <c r="W60" s="38" t="n"/>
      <c r="X60" s="38" t="n"/>
      <c r="Y60" s="38" t="n"/>
      <c r="Z60" s="38" t="n"/>
      <c r="AA60" s="36">
        <f>SUM(O60:U60)</f>
        <v/>
      </c>
      <c r="AB60" s="36">
        <f>SUM(O60:Z60)</f>
        <v/>
      </c>
      <c r="AC60" s="38" t="n"/>
      <c r="AD60" s="38" t="n"/>
      <c r="AE60" s="38" t="n"/>
      <c r="AF60" s="38" t="n"/>
      <c r="AG60" s="38" t="n"/>
      <c r="AH60" s="38" t="n"/>
      <c r="AI60" s="118" t="n">
        <v>0</v>
      </c>
      <c r="AJ60" s="119" t="n">
        <v>0</v>
      </c>
      <c r="AK60" s="119" t="n">
        <v>0</v>
      </c>
      <c r="AL60" s="119" t="n">
        <v>0</v>
      </c>
      <c r="AM60" s="120" t="n">
        <v>0</v>
      </c>
      <c r="AN60" s="118" t="n">
        <v>0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-1.97</v>
      </c>
      <c r="I61" s="35" t="n">
        <v>0</v>
      </c>
      <c r="J61" s="35" t="n">
        <v>0</v>
      </c>
      <c r="K61" s="35" t="n">
        <v>0</v>
      </c>
      <c r="L61" s="35" t="n">
        <v>0</v>
      </c>
      <c r="M61" s="35" t="n">
        <v>0</v>
      </c>
      <c r="N61" s="36">
        <f>SUM(B61:M61)</f>
        <v/>
      </c>
      <c r="O61" s="37">
        <f>(SUMIF('YBN Blank TB'!$R:$R,'YBN HO P&amp;L'!$A61,'YBN Blank TB'!C:C)+(SUMIF('YBN HO TB'!$R:$R,'YBN HO P&amp;L'!$A61,'YBN HO TB'!C:C)))</f>
        <v/>
      </c>
      <c r="P61" s="37">
        <f>(SUMIF('YBN Blank TB'!$R:$R,'YBN HO P&amp;L'!$A61,'YBN Blank TB'!D:D)+(SUMIF('YBN HO TB'!$R:$R,'YBN HO P&amp;L'!$A61,'YBN HO TB'!D:D)))</f>
        <v/>
      </c>
      <c r="Q61" s="37">
        <f>(SUMIF('YBN Blank TB'!$R:$R,'YBN HO P&amp;L'!$A61,'YBN Blank TB'!E:E)+(SUMIF('YBN HO TB'!$R:$R,'YBN HO P&amp;L'!$A61,'YBN HO TB'!E:E)))</f>
        <v/>
      </c>
      <c r="R61" s="37">
        <f>(SUMIF('YBN Blank TB'!$R:$R,'YBN HO P&amp;L'!$A61,'YBN Blank TB'!F:F)+(SUMIF('YBN HO TB'!$R:$R,'YBN HO P&amp;L'!$A61,'YBN HO TB'!F:F)))</f>
        <v/>
      </c>
      <c r="S61" s="37">
        <f>(SUMIF('YBN Blank TB'!$R:$R,'YBN HO P&amp;L'!$A61,'YBN Blank TB'!G:G)+(SUMIF('YBN HO TB'!$R:$R,'YBN HO P&amp;L'!$A61,'YBN HO TB'!G:G)))</f>
        <v/>
      </c>
      <c r="T61" s="37">
        <f>(SUMIF('YBN Blank TB'!$R:$R,'YBN HO P&amp;L'!$A61,'YBN Blank TB'!H:H)+(SUMIF('YBN HO TB'!$R:$R,'YBN HO P&amp;L'!$A61,'YBN HO TB'!H:H)))</f>
        <v/>
      </c>
      <c r="U61" s="37">
        <f>(SUMIF('YBN Blank TB'!$R:$R,'YBN HO P&amp;L'!$A61,'YBN Blank TB'!I:I)+(SUMIF('YBN HO TB'!$R:$R,'YBN HO P&amp;L'!$A61,'YBN HO TB'!I:I)))</f>
        <v/>
      </c>
      <c r="V61" s="38" t="n"/>
      <c r="W61" s="38" t="n"/>
      <c r="X61" s="38" t="n"/>
      <c r="Y61" s="38" t="n"/>
      <c r="Z61" s="38" t="n"/>
      <c r="AA61" s="36">
        <f>SUM(O61:U61)</f>
        <v/>
      </c>
      <c r="AB61" s="36">
        <f>SUM(O61:Z61)</f>
        <v/>
      </c>
      <c r="AC61" s="38" t="n"/>
      <c r="AD61" s="38" t="n"/>
      <c r="AE61" s="38" t="n"/>
      <c r="AF61" s="38" t="n"/>
      <c r="AG61" s="38" t="n"/>
      <c r="AH61" s="38" t="n"/>
      <c r="AI61" s="118" t="n">
        <v>0</v>
      </c>
      <c r="AJ61" s="119" t="n">
        <v>0</v>
      </c>
      <c r="AK61" s="119" t="n">
        <v>0</v>
      </c>
      <c r="AL61" s="119" t="n">
        <v>0</v>
      </c>
      <c r="AM61" s="120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0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0</v>
      </c>
      <c r="J62" s="35" t="n">
        <v>0</v>
      </c>
      <c r="K62" s="35" t="n">
        <v>0</v>
      </c>
      <c r="L62" s="35" t="n">
        <v>0</v>
      </c>
      <c r="M62" s="35" t="n">
        <v>0</v>
      </c>
      <c r="N62" s="36">
        <f>SUM(B62:M62)</f>
        <v/>
      </c>
      <c r="O62" s="37">
        <f>(SUMIF('YBN Blank TB'!$R:$R,'YBN HO P&amp;L'!$A62,'YBN Blank TB'!C:C)+(SUMIF('YBN HO TB'!$R:$R,'YBN HO P&amp;L'!$A62,'YBN HO TB'!C:C)))</f>
        <v/>
      </c>
      <c r="P62" s="37">
        <f>(SUMIF('YBN Blank TB'!$R:$R,'YBN HO P&amp;L'!$A62,'YBN Blank TB'!D:D)+(SUMIF('YBN HO TB'!$R:$R,'YBN HO P&amp;L'!$A62,'YBN HO TB'!D:D)))</f>
        <v/>
      </c>
      <c r="Q62" s="37">
        <f>(SUMIF('YBN Blank TB'!$R:$R,'YBN HO P&amp;L'!$A62,'YBN Blank TB'!E:E)+(SUMIF('YBN HO TB'!$R:$R,'YBN HO P&amp;L'!$A62,'YBN HO TB'!E:E)))</f>
        <v/>
      </c>
      <c r="R62" s="37">
        <f>(SUMIF('YBN Blank TB'!$R:$R,'YBN HO P&amp;L'!$A62,'YBN Blank TB'!F:F)+(SUMIF('YBN HO TB'!$R:$R,'YBN HO P&amp;L'!$A62,'YBN HO TB'!F:F)))</f>
        <v/>
      </c>
      <c r="S62" s="37">
        <f>(SUMIF('YBN Blank TB'!$R:$R,'YBN HO P&amp;L'!$A62,'YBN Blank TB'!G:G)+(SUMIF('YBN HO TB'!$R:$R,'YBN HO P&amp;L'!$A62,'YBN HO TB'!G:G)))</f>
        <v/>
      </c>
      <c r="T62" s="37">
        <f>(SUMIF('YBN Blank TB'!$R:$R,'YBN HO P&amp;L'!$A62,'YBN Blank TB'!H:H)+(SUMIF('YBN HO TB'!$R:$R,'YBN HO P&amp;L'!$A62,'YBN HO TB'!H:H)))</f>
        <v/>
      </c>
      <c r="U62" s="37">
        <f>(SUMIF('YBN Blank TB'!$R:$R,'YBN HO P&amp;L'!$A62,'YBN Blank TB'!I:I)+(SUMIF('YBN HO TB'!$R:$R,'YBN HO P&amp;L'!$A62,'YBN HO TB'!I:I)))</f>
        <v/>
      </c>
      <c r="V62" s="38" t="n"/>
      <c r="W62" s="38" t="n"/>
      <c r="X62" s="38" t="n"/>
      <c r="Y62" s="38" t="n"/>
      <c r="Z62" s="38" t="n"/>
      <c r="AA62" s="36">
        <f>SUM(O62:U62)</f>
        <v/>
      </c>
      <c r="AB62" s="36">
        <f>SUM(O62:Z62)</f>
        <v/>
      </c>
      <c r="AC62" s="38" t="n"/>
      <c r="AD62" s="38" t="n"/>
      <c r="AE62" s="38" t="n"/>
      <c r="AF62" s="38" t="n"/>
      <c r="AG62" s="38" t="n"/>
      <c r="AH62" s="38" t="n"/>
      <c r="AI62" s="118" t="n">
        <v>0</v>
      </c>
      <c r="AJ62" s="119" t="n">
        <v>0</v>
      </c>
      <c r="AK62" s="119" t="n">
        <v>0</v>
      </c>
      <c r="AL62" s="119" t="n">
        <v>0</v>
      </c>
      <c r="AM62" s="120" t="n">
        <v>0</v>
      </c>
      <c r="AN62" s="118" t="n">
        <v>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0</v>
      </c>
      <c r="J63" s="35" t="n">
        <v>0</v>
      </c>
      <c r="K63" s="35" t="n">
        <v>0</v>
      </c>
      <c r="L63" s="35" t="n">
        <v>0</v>
      </c>
      <c r="M63" s="35" t="n">
        <v>0</v>
      </c>
      <c r="N63" s="36">
        <f>SUM(B63:M63)</f>
        <v/>
      </c>
      <c r="O63" s="37">
        <f>(SUMIF('YBN Blank TB'!$R:$R,'YBN HO P&amp;L'!$A63,'YBN Blank TB'!C:C)+(SUMIF('YBN HO TB'!$R:$R,'YBN HO P&amp;L'!$A63,'YBN HO TB'!C:C)))</f>
        <v/>
      </c>
      <c r="P63" s="37">
        <f>(SUMIF('YBN Blank TB'!$R:$R,'YBN HO P&amp;L'!$A63,'YBN Blank TB'!D:D)+(SUMIF('YBN HO TB'!$R:$R,'YBN HO P&amp;L'!$A63,'YBN HO TB'!D:D)))</f>
        <v/>
      </c>
      <c r="Q63" s="37">
        <f>(SUMIF('YBN Blank TB'!$R:$R,'YBN HO P&amp;L'!$A63,'YBN Blank TB'!E:E)+(SUMIF('YBN HO TB'!$R:$R,'YBN HO P&amp;L'!$A63,'YBN HO TB'!E:E)))</f>
        <v/>
      </c>
      <c r="R63" s="37">
        <f>(SUMIF('YBN Blank TB'!$R:$R,'YBN HO P&amp;L'!$A63,'YBN Blank TB'!F:F)+(SUMIF('YBN HO TB'!$R:$R,'YBN HO P&amp;L'!$A63,'YBN HO TB'!F:F)))</f>
        <v/>
      </c>
      <c r="S63" s="37">
        <f>(SUMIF('YBN Blank TB'!$R:$R,'YBN HO P&amp;L'!$A63,'YBN Blank TB'!G:G)+(SUMIF('YBN HO TB'!$R:$R,'YBN HO P&amp;L'!$A63,'YBN HO TB'!G:G)))</f>
        <v/>
      </c>
      <c r="T63" s="37">
        <f>(SUMIF('YBN Blank TB'!$R:$R,'YBN HO P&amp;L'!$A63,'YBN Blank TB'!H:H)+(SUMIF('YBN HO TB'!$R:$R,'YBN HO P&amp;L'!$A63,'YBN HO TB'!H:H)))</f>
        <v/>
      </c>
      <c r="U63" s="37">
        <f>(SUMIF('YBN Blank TB'!$R:$R,'YBN HO P&amp;L'!$A63,'YBN Blank TB'!I:I)+(SUMIF('YBN HO TB'!$R:$R,'YBN HO P&amp;L'!$A63,'YBN HO TB'!I:I)))</f>
        <v/>
      </c>
      <c r="V63" s="38" t="n"/>
      <c r="W63" s="38" t="n"/>
      <c r="X63" s="38" t="n"/>
      <c r="Y63" s="38" t="n"/>
      <c r="Z63" s="38" t="n"/>
      <c r="AA63" s="36">
        <f>SUM(O63:U63)</f>
        <v/>
      </c>
      <c r="AB63" s="36">
        <f>SUM(O63:Z63)</f>
        <v/>
      </c>
      <c r="AC63" s="38" t="n"/>
      <c r="AD63" s="38" t="n"/>
      <c r="AE63" s="38" t="n"/>
      <c r="AF63" s="38" t="n"/>
      <c r="AG63" s="38" t="n"/>
      <c r="AH63" s="38" t="n"/>
      <c r="AI63" s="118" t="n">
        <v>0</v>
      </c>
      <c r="AJ63" s="119" t="n">
        <v>0</v>
      </c>
      <c r="AK63" s="119" t="n">
        <v>0</v>
      </c>
      <c r="AL63" s="119" t="n">
        <v>0</v>
      </c>
      <c r="AM63" s="120" t="n">
        <v>0</v>
      </c>
      <c r="AN63" s="118" t="n">
        <v>0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(SUMIF('YBN Blank TB'!$R:$R,'YBN HO P&amp;L'!$A64,'YBN Blank TB'!C:C)+(SUMIF('YBN HO TB'!$R:$R,'YBN HO P&amp;L'!$A64,'YBN HO TB'!C:C)))</f>
        <v/>
      </c>
      <c r="P64" s="37">
        <f>(SUMIF('YBN Blank TB'!$R:$R,'YBN HO P&amp;L'!$A64,'YBN Blank TB'!D:D)+(SUMIF('YBN HO TB'!$R:$R,'YBN HO P&amp;L'!$A64,'YBN HO TB'!D:D)))</f>
        <v/>
      </c>
      <c r="Q64" s="37">
        <f>(SUMIF('YBN Blank TB'!$R:$R,'YBN HO P&amp;L'!$A64,'YBN Blank TB'!E:E)+(SUMIF('YBN HO TB'!$R:$R,'YBN HO P&amp;L'!$A64,'YBN HO TB'!E:E)))</f>
        <v/>
      </c>
      <c r="R64" s="37">
        <f>(SUMIF('YBN Blank TB'!$R:$R,'YBN HO P&amp;L'!$A64,'YBN Blank TB'!F:F)+(SUMIF('YBN HO TB'!$R:$R,'YBN HO P&amp;L'!$A64,'YBN HO TB'!F:F)))</f>
        <v/>
      </c>
      <c r="S64" s="37">
        <f>(SUMIF('YBN Blank TB'!$R:$R,'YBN HO P&amp;L'!$A64,'YBN Blank TB'!G:G)+(SUMIF('YBN HO TB'!$R:$R,'YBN HO P&amp;L'!$A64,'YBN HO TB'!G:G)))</f>
        <v/>
      </c>
      <c r="T64" s="37">
        <f>(SUMIF('YBN Blank TB'!$R:$R,'YBN HO P&amp;L'!$A64,'YBN Blank TB'!H:H)+(SUMIF('YBN HO TB'!$R:$R,'YBN HO P&amp;L'!$A64,'YBN HO TB'!H:H)))</f>
        <v/>
      </c>
      <c r="U64" s="37">
        <f>(SUMIF('YBN Blank TB'!$R:$R,'YBN HO P&amp;L'!$A64,'YBN Blank TB'!I:I)+(SUMIF('YBN HO TB'!$R:$R,'YBN HO P&amp;L'!$A64,'YBN HO TB'!I:I)))</f>
        <v/>
      </c>
      <c r="V64" s="38" t="n"/>
      <c r="W64" s="38" t="n"/>
      <c r="X64" s="38" t="n"/>
      <c r="Y64" s="38" t="n"/>
      <c r="Z64" s="38" t="n"/>
      <c r="AA64" s="36">
        <f>SUM(O64:U64)</f>
        <v/>
      </c>
      <c r="AB64" s="36">
        <f>SUM(O64:Z64)</f>
        <v/>
      </c>
      <c r="AC64" s="38" t="n"/>
      <c r="AD64" s="38" t="n"/>
      <c r="AE64" s="38" t="n"/>
      <c r="AF64" s="38" t="n"/>
      <c r="AG64" s="38" t="n"/>
      <c r="AH64" s="38" t="n"/>
      <c r="AI64" s="118" t="n">
        <v>0</v>
      </c>
      <c r="AJ64" s="119" t="n">
        <v>0</v>
      </c>
      <c r="AK64" s="119" t="n">
        <v>0</v>
      </c>
      <c r="AL64" s="119" t="n">
        <v>0</v>
      </c>
      <c r="AM64" s="120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0</v>
      </c>
      <c r="C65" s="35" t="n">
        <v>30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0</v>
      </c>
      <c r="N65" s="36">
        <f>SUM(B65:M65)</f>
        <v/>
      </c>
      <c r="O65" s="37">
        <f>(SUMIF('YBN Blank TB'!$R:$R,'YBN HO P&amp;L'!$A65,'YBN Blank TB'!C:C)+(SUMIF('YBN HO TB'!$R:$R,'YBN HO P&amp;L'!$A65,'YBN HO TB'!C:C)))</f>
        <v/>
      </c>
      <c r="P65" s="37">
        <f>(SUMIF('YBN Blank TB'!$R:$R,'YBN HO P&amp;L'!$A65,'YBN Blank TB'!D:D)+(SUMIF('YBN HO TB'!$R:$R,'YBN HO P&amp;L'!$A65,'YBN HO TB'!D:D)))</f>
        <v/>
      </c>
      <c r="Q65" s="37">
        <f>(SUMIF('YBN Blank TB'!$R:$R,'YBN HO P&amp;L'!$A65,'YBN Blank TB'!E:E)+(SUMIF('YBN HO TB'!$R:$R,'YBN HO P&amp;L'!$A65,'YBN HO TB'!E:E)))</f>
        <v/>
      </c>
      <c r="R65" s="37">
        <f>(SUMIF('YBN Blank TB'!$R:$R,'YBN HO P&amp;L'!$A65,'YBN Blank TB'!F:F)+(SUMIF('YBN HO TB'!$R:$R,'YBN HO P&amp;L'!$A65,'YBN HO TB'!F:F)))</f>
        <v/>
      </c>
      <c r="S65" s="37">
        <f>(SUMIF('YBN Blank TB'!$R:$R,'YBN HO P&amp;L'!$A65,'YBN Blank TB'!G:G)+(SUMIF('YBN HO TB'!$R:$R,'YBN HO P&amp;L'!$A65,'YBN HO TB'!G:G)))</f>
        <v/>
      </c>
      <c r="T65" s="37">
        <f>(SUMIF('YBN Blank TB'!$R:$R,'YBN HO P&amp;L'!$A65,'YBN Blank TB'!H:H)+(SUMIF('YBN HO TB'!$R:$R,'YBN HO P&amp;L'!$A65,'YBN HO TB'!H:H)))</f>
        <v/>
      </c>
      <c r="U65" s="37">
        <f>(SUMIF('YBN Blank TB'!$R:$R,'YBN HO P&amp;L'!$A65,'YBN Blank TB'!I:I)+(SUMIF('YBN HO TB'!$R:$R,'YBN HO P&amp;L'!$A65,'YBN HO TB'!I:I)))</f>
        <v/>
      </c>
      <c r="V65" s="38" t="n"/>
      <c r="W65" s="38" t="n"/>
      <c r="X65" s="38" t="n"/>
      <c r="Y65" s="38" t="n"/>
      <c r="Z65" s="38" t="n"/>
      <c r="AA65" s="36">
        <f>SUM(O65:U65)</f>
        <v/>
      </c>
      <c r="AB65" s="36">
        <f>SUM(O65:Z65)</f>
        <v/>
      </c>
      <c r="AC65" s="38" t="n"/>
      <c r="AD65" s="38" t="n"/>
      <c r="AE65" s="38" t="n"/>
      <c r="AF65" s="38" t="n"/>
      <c r="AG65" s="38" t="n"/>
      <c r="AH65" s="38" t="n"/>
      <c r="AI65" s="118" t="n">
        <v>0</v>
      </c>
      <c r="AJ65" s="119" t="n">
        <v>0</v>
      </c>
      <c r="AK65" s="119" t="n">
        <v>0</v>
      </c>
      <c r="AL65" s="119" t="n">
        <v>0</v>
      </c>
      <c r="AM65" s="120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(SUMIF('YBN Blank TB'!$R:$R,'YBN HO P&amp;L'!$A66,'YBN Blank TB'!C:C)+(SUMIF('YBN HO TB'!$R:$R,'YBN HO P&amp;L'!$A66,'YBN HO TB'!C:C)))</f>
        <v/>
      </c>
      <c r="P66" s="37">
        <f>(SUMIF('YBN Blank TB'!$R:$R,'YBN HO P&amp;L'!$A66,'YBN Blank TB'!D:D)+(SUMIF('YBN HO TB'!$R:$R,'YBN HO P&amp;L'!$A66,'YBN HO TB'!D:D)))</f>
        <v/>
      </c>
      <c r="Q66" s="37">
        <f>(SUMIF('YBN Blank TB'!$R:$R,'YBN HO P&amp;L'!$A66,'YBN Blank TB'!E:E)+(SUMIF('YBN HO TB'!$R:$R,'YBN HO P&amp;L'!$A66,'YBN HO TB'!E:E)))</f>
        <v/>
      </c>
      <c r="R66" s="37">
        <f>(SUMIF('YBN Blank TB'!$R:$R,'YBN HO P&amp;L'!$A66,'YBN Blank TB'!F:F)+(SUMIF('YBN HO TB'!$R:$R,'YBN HO P&amp;L'!$A66,'YBN HO TB'!F:F)))</f>
        <v/>
      </c>
      <c r="S66" s="37">
        <f>(SUMIF('YBN Blank TB'!$R:$R,'YBN HO P&amp;L'!$A66,'YBN Blank TB'!G:G)+(SUMIF('YBN HO TB'!$R:$R,'YBN HO P&amp;L'!$A66,'YBN HO TB'!G:G)))</f>
        <v/>
      </c>
      <c r="T66" s="37">
        <f>(SUMIF('YBN Blank TB'!$R:$R,'YBN HO P&amp;L'!$A66,'YBN Blank TB'!H:H)+(SUMIF('YBN HO TB'!$R:$R,'YBN HO P&amp;L'!$A66,'YBN HO TB'!H:H)))</f>
        <v/>
      </c>
      <c r="U66" s="37">
        <f>(SUMIF('YBN Blank TB'!$R:$R,'YBN HO P&amp;L'!$A66,'YBN Blank TB'!I:I)+(SUMIF('YBN HO TB'!$R:$R,'YBN HO P&amp;L'!$A66,'YBN HO TB'!I:I)))</f>
        <v/>
      </c>
      <c r="V66" s="38" t="n"/>
      <c r="W66" s="38" t="n"/>
      <c r="X66" s="38" t="n"/>
      <c r="Y66" s="38" t="n"/>
      <c r="Z66" s="38" t="n"/>
      <c r="AA66" s="36">
        <f>SUM(O66:U66)</f>
        <v/>
      </c>
      <c r="AB66" s="36">
        <f>SUM(O66:Z66)</f>
        <v/>
      </c>
      <c r="AC66" s="38" t="n"/>
      <c r="AD66" s="38" t="n"/>
      <c r="AE66" s="38" t="n"/>
      <c r="AF66" s="38" t="n"/>
      <c r="AG66" s="38" t="n"/>
      <c r="AH66" s="38" t="n"/>
      <c r="AI66" s="118" t="n">
        <v>0</v>
      </c>
      <c r="AJ66" s="119" t="n">
        <v>0</v>
      </c>
      <c r="AK66" s="119" t="n">
        <v>0</v>
      </c>
      <c r="AL66" s="119" t="n">
        <v>0</v>
      </c>
      <c r="AM66" s="120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0</v>
      </c>
      <c r="C67" s="35" t="n">
        <v>0</v>
      </c>
      <c r="D67" s="35" t="n">
        <v>0</v>
      </c>
      <c r="E67" s="35" t="n">
        <v>915.6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5" t="n">
        <v>0</v>
      </c>
      <c r="L67" s="35" t="n">
        <v>0</v>
      </c>
      <c r="M67" s="35" t="n">
        <v>704.4</v>
      </c>
      <c r="N67" s="36">
        <f>SUM(B67:M67)</f>
        <v/>
      </c>
      <c r="O67" s="37">
        <f>(SUMIF('YBN Blank TB'!$R:$R,'YBN HO P&amp;L'!$A67,'YBN Blank TB'!C:C)+(SUMIF('YBN HO TB'!$R:$R,'YBN HO P&amp;L'!$A67,'YBN HO TB'!C:C)))</f>
        <v/>
      </c>
      <c r="P67" s="37">
        <f>(SUMIF('YBN Blank TB'!$R:$R,'YBN HO P&amp;L'!$A67,'YBN Blank TB'!D:D)+(SUMIF('YBN HO TB'!$R:$R,'YBN HO P&amp;L'!$A67,'YBN HO TB'!D:D)))</f>
        <v/>
      </c>
      <c r="Q67" s="37">
        <f>(SUMIF('YBN Blank TB'!$R:$R,'YBN HO P&amp;L'!$A67,'YBN Blank TB'!E:E)+(SUMIF('YBN HO TB'!$R:$R,'YBN HO P&amp;L'!$A67,'YBN HO TB'!E:E)))</f>
        <v/>
      </c>
      <c r="R67" s="37">
        <f>(SUMIF('YBN Blank TB'!$R:$R,'YBN HO P&amp;L'!$A67,'YBN Blank TB'!F:F)+(SUMIF('YBN HO TB'!$R:$R,'YBN HO P&amp;L'!$A67,'YBN HO TB'!F:F)))</f>
        <v/>
      </c>
      <c r="S67" s="37">
        <f>(SUMIF('YBN Blank TB'!$R:$R,'YBN HO P&amp;L'!$A67,'YBN Blank TB'!G:G)+(SUMIF('YBN HO TB'!$R:$R,'YBN HO P&amp;L'!$A67,'YBN HO TB'!G:G)))</f>
        <v/>
      </c>
      <c r="T67" s="37">
        <f>(SUMIF('YBN Blank TB'!$R:$R,'YBN HO P&amp;L'!$A67,'YBN Blank TB'!H:H)+(SUMIF('YBN HO TB'!$R:$R,'YBN HO P&amp;L'!$A67,'YBN HO TB'!H:H)))</f>
        <v/>
      </c>
      <c r="U67" s="37">
        <f>(SUMIF('YBN Blank TB'!$R:$R,'YBN HO P&amp;L'!$A67,'YBN Blank TB'!I:I)+(SUMIF('YBN HO TB'!$R:$R,'YBN HO P&amp;L'!$A67,'YBN HO TB'!I:I)))</f>
        <v/>
      </c>
      <c r="V67" s="38" t="n"/>
      <c r="W67" s="38" t="n"/>
      <c r="X67" s="38" t="n"/>
      <c r="Y67" s="38" t="n"/>
      <c r="Z67" s="38" t="n"/>
      <c r="AA67" s="36">
        <f>SUM(O67:U67)</f>
        <v/>
      </c>
      <c r="AB67" s="36">
        <f>SUM(O67:Z67)</f>
        <v/>
      </c>
      <c r="AC67" s="38" t="n"/>
      <c r="AD67" s="38" t="n"/>
      <c r="AE67" s="38" t="n"/>
      <c r="AF67" s="38" t="n"/>
      <c r="AG67" s="38" t="n"/>
      <c r="AH67" s="38" t="n"/>
      <c r="AI67" s="118" t="n">
        <v>0</v>
      </c>
      <c r="AJ67" s="119" t="n">
        <v>0</v>
      </c>
      <c r="AK67" s="119" t="n">
        <v>0</v>
      </c>
      <c r="AL67" s="119" t="n">
        <v>0</v>
      </c>
      <c r="AM67" s="120" t="n">
        <v>0</v>
      </c>
      <c r="AN67" s="118" t="n">
        <v>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5.95</v>
      </c>
      <c r="C68" s="35" t="n">
        <v>9.800000000000001</v>
      </c>
      <c r="D68" s="35" t="n">
        <v>7</v>
      </c>
      <c r="E68" s="35" t="n">
        <v>7.7</v>
      </c>
      <c r="F68" s="35" t="n">
        <v>7</v>
      </c>
      <c r="G68" s="35" t="n">
        <v>5.95</v>
      </c>
      <c r="H68" s="35" t="n">
        <v>6.65</v>
      </c>
      <c r="I68" s="35" t="n">
        <v>7.35</v>
      </c>
      <c r="J68" s="35" t="n">
        <v>3.5</v>
      </c>
      <c r="K68" s="35" t="n">
        <v>5.25</v>
      </c>
      <c r="L68" s="35" t="n">
        <v>3.5</v>
      </c>
      <c r="M68" s="35" t="n">
        <v>3.85</v>
      </c>
      <c r="N68" s="36">
        <f>SUM(B68:M68)</f>
        <v/>
      </c>
      <c r="O68" s="37">
        <f>(SUMIF('YBN Blank TB'!$R:$R,'YBN HO P&amp;L'!$A68,'YBN Blank TB'!C:C)+(SUMIF('YBN HO TB'!$R:$R,'YBN HO P&amp;L'!$A68,'YBN HO TB'!C:C)))</f>
        <v/>
      </c>
      <c r="P68" s="37">
        <f>(SUMIF('YBN Blank TB'!$R:$R,'YBN HO P&amp;L'!$A68,'YBN Blank TB'!D:D)+(SUMIF('YBN HO TB'!$R:$R,'YBN HO P&amp;L'!$A68,'YBN HO TB'!D:D)))</f>
        <v/>
      </c>
      <c r="Q68" s="37">
        <f>(SUMIF('YBN Blank TB'!$R:$R,'YBN HO P&amp;L'!$A68,'YBN Blank TB'!E:E)+(SUMIF('YBN HO TB'!$R:$R,'YBN HO P&amp;L'!$A68,'YBN HO TB'!E:E)))</f>
        <v/>
      </c>
      <c r="R68" s="37">
        <f>(SUMIF('YBN Blank TB'!$R:$R,'YBN HO P&amp;L'!$A68,'YBN Blank TB'!F:F)+(SUMIF('YBN HO TB'!$R:$R,'YBN HO P&amp;L'!$A68,'YBN HO TB'!F:F)))</f>
        <v/>
      </c>
      <c r="S68" s="37">
        <f>(SUMIF('YBN Blank TB'!$R:$R,'YBN HO P&amp;L'!$A68,'YBN Blank TB'!G:G)+(SUMIF('YBN HO TB'!$R:$R,'YBN HO P&amp;L'!$A68,'YBN HO TB'!G:G)))</f>
        <v/>
      </c>
      <c r="T68" s="37">
        <f>(SUMIF('YBN Blank TB'!$R:$R,'YBN HO P&amp;L'!$A68,'YBN Blank TB'!H:H)+(SUMIF('YBN HO TB'!$R:$R,'YBN HO P&amp;L'!$A68,'YBN HO TB'!H:H)))</f>
        <v/>
      </c>
      <c r="U68" s="37">
        <f>(SUMIF('YBN Blank TB'!$R:$R,'YBN HO P&amp;L'!$A68,'YBN Blank TB'!I:I)+(SUMIF('YBN HO TB'!$R:$R,'YBN HO P&amp;L'!$A68,'YBN HO TB'!I:I)))</f>
        <v/>
      </c>
      <c r="V68" s="38" t="n"/>
      <c r="W68" s="38" t="n"/>
      <c r="X68" s="38" t="n"/>
      <c r="Y68" s="38" t="n"/>
      <c r="Z68" s="38" t="n"/>
      <c r="AA68" s="36">
        <f>SUM(O68:U68)</f>
        <v/>
      </c>
      <c r="AB68" s="36">
        <f>SUM(O68:Z68)</f>
        <v/>
      </c>
      <c r="AC68" s="38" t="n"/>
      <c r="AD68" s="38" t="n"/>
      <c r="AE68" s="38" t="n"/>
      <c r="AF68" s="38" t="n"/>
      <c r="AG68" s="38" t="n"/>
      <c r="AH68" s="38" t="n"/>
      <c r="AI68" s="118" t="n">
        <v>0</v>
      </c>
      <c r="AJ68" s="119" t="n">
        <v>0</v>
      </c>
      <c r="AK68" s="119" t="n">
        <v>0</v>
      </c>
      <c r="AL68" s="119" t="n">
        <v>0</v>
      </c>
      <c r="AM68" s="120" t="n">
        <v>0</v>
      </c>
      <c r="AN68" s="118" t="n">
        <v>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5.95</v>
      </c>
      <c r="C69" s="42" t="n">
        <v>39.8</v>
      </c>
      <c r="D69" s="42" t="n">
        <v>7</v>
      </c>
      <c r="E69" s="42" t="n">
        <v>923.3000000000001</v>
      </c>
      <c r="F69" s="42" t="n">
        <v>7</v>
      </c>
      <c r="G69" s="42" t="n">
        <v>5.95</v>
      </c>
      <c r="H69" s="42" t="n">
        <v>4.680000000000001</v>
      </c>
      <c r="I69" s="42" t="n">
        <v>7.35</v>
      </c>
      <c r="J69" s="42" t="n">
        <v>3.5</v>
      </c>
      <c r="K69" s="42" t="n">
        <v>5.25</v>
      </c>
      <c r="L69" s="42" t="n">
        <v>3.5</v>
      </c>
      <c r="M69" s="42" t="n">
        <v>708.25</v>
      </c>
      <c r="N69" s="43">
        <f>SUM(B69:M69)</f>
        <v/>
      </c>
      <c r="O69" s="44">
        <f>SUM(O57:O68)</f>
        <v/>
      </c>
      <c r="P69" s="44">
        <f>SUM(P57:P68)</f>
        <v/>
      </c>
      <c r="Q69" s="44">
        <f>SUM(Q57:Q68)</f>
        <v/>
      </c>
      <c r="R69" s="44">
        <f>SUM(R57:R68)</f>
        <v/>
      </c>
      <c r="S69" s="44">
        <f>SUM(S57:S68)</f>
        <v/>
      </c>
      <c r="T69" s="44">
        <f>SUM(T57:T68)</f>
        <v/>
      </c>
      <c r="U69" s="44">
        <f>SUM(U57:U68)</f>
        <v/>
      </c>
      <c r="V69" s="45">
        <f>SUM(V57:V68)</f>
        <v/>
      </c>
      <c r="W69" s="45">
        <f>SUM(W57:W68)</f>
        <v/>
      </c>
      <c r="X69" s="45">
        <f>SUM(X57:X68)</f>
        <v/>
      </c>
      <c r="Y69" s="45">
        <f>SUM(Y57:Y68)</f>
        <v/>
      </c>
      <c r="Z69" s="45">
        <f>SUM(Z57:Z68)</f>
        <v/>
      </c>
      <c r="AA69" s="43">
        <f>SUM(AA53:AA68)</f>
        <v/>
      </c>
      <c r="AB69" s="43">
        <f>SUM(AB53:AB68)</f>
        <v/>
      </c>
      <c r="AC69" s="45" t="n"/>
      <c r="AD69" s="45" t="n"/>
      <c r="AE69" s="45" t="n"/>
      <c r="AF69" s="45" t="n"/>
      <c r="AG69" s="45" t="n"/>
      <c r="AH69" s="45" t="n"/>
      <c r="AI69" s="134" t="n">
        <v>0</v>
      </c>
      <c r="AJ69" s="152" t="n">
        <v>0</v>
      </c>
      <c r="AK69" s="152" t="n">
        <v>0</v>
      </c>
      <c r="AL69" s="152" t="n">
        <v>0</v>
      </c>
      <c r="AM69" s="152" t="n">
        <v>0</v>
      </c>
      <c r="AN69" s="134" t="n">
        <v>0</v>
      </c>
      <c r="AO69" s="125">
        <f>SUM(AC69:AH69)+SUM(AI69:AN69)</f>
        <v/>
      </c>
      <c r="AP69" s="126">
        <f>IF(AB69&lt;&gt;0,(AO69-AB69)/ABS(AB69),0)</f>
        <v/>
      </c>
    </row>
    <row r="70">
      <c r="A70" s="54" t="inlineStr">
        <is>
          <t>EBITDA</t>
        </is>
      </c>
      <c r="B70" s="55" t="n">
        <v>-5.95</v>
      </c>
      <c r="C70" s="55" t="n">
        <v>-39.8</v>
      </c>
      <c r="D70" s="55" t="n">
        <v>-7</v>
      </c>
      <c r="E70" s="55" t="n">
        <v>-923.3000000000001</v>
      </c>
      <c r="F70" s="55" t="n">
        <v>-78.98</v>
      </c>
      <c r="G70" s="55" t="n">
        <v>-5.95</v>
      </c>
      <c r="H70" s="55" t="n">
        <v>-4.680000000000001</v>
      </c>
      <c r="I70" s="55" t="n">
        <v>-7.35</v>
      </c>
      <c r="J70" s="55" t="n">
        <v>-3.5</v>
      </c>
      <c r="K70" s="55" t="n">
        <v>-5.25</v>
      </c>
      <c r="L70" s="55" t="n">
        <v>-48.5</v>
      </c>
      <c r="M70" s="55" t="n">
        <v>-708.25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0">
        <f>AI50-AI69</f>
        <v/>
      </c>
      <c r="AJ70" s="140">
        <f>AJ50-AJ69</f>
        <v/>
      </c>
      <c r="AK70" s="140">
        <f>AK50-AK69</f>
        <v/>
      </c>
      <c r="AL70" s="140">
        <f>AL50-AL69</f>
        <v/>
      </c>
      <c r="AM70" s="140">
        <f>AM50-AM69</f>
        <v/>
      </c>
      <c r="AN70" s="140">
        <f>AN50-AN69</f>
        <v/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60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60">
        <f>SUM(O71:T71)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8" t="n"/>
      <c r="AJ71" s="8" t="n"/>
      <c r="AK71" s="8" t="n"/>
      <c r="AL71" s="8" t="n"/>
      <c r="AM71" s="8" t="n"/>
      <c r="AN71" s="8" t="n"/>
      <c r="AO71" s="8" t="n"/>
      <c r="AP71" s="8" t="n"/>
    </row>
    <row r="72">
      <c r="A72" s="28" t="inlineStr">
        <is>
          <t>Exceptional Add Backs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39">
        <f>SUM(B72:M72)</f>
        <v/>
      </c>
      <c r="O72" s="8" t="n"/>
      <c r="P72" s="8" t="n"/>
      <c r="Q72" s="8" t="n"/>
      <c r="R72" s="8" t="n"/>
      <c r="S72" s="8" t="n"/>
      <c r="T72" s="8" t="n"/>
      <c r="U72" s="8" t="n"/>
      <c r="V72" s="20" t="n"/>
      <c r="W72" s="20" t="n"/>
      <c r="X72" s="20" t="n"/>
      <c r="Y72" s="20" t="n"/>
      <c r="Z72" s="20" t="n"/>
      <c r="AA72" s="39">
        <f>SUM(O72:T72)</f>
        <v/>
      </c>
      <c r="AB72" s="56" t="n"/>
      <c r="AC72" s="20" t="n"/>
      <c r="AD72" s="20" t="n"/>
      <c r="AE72" s="20" t="n"/>
      <c r="AF72" s="20" t="n"/>
      <c r="AG72" s="20" t="n"/>
      <c r="AH72" s="20" t="n"/>
      <c r="AI72" s="134" t="n">
        <v>0</v>
      </c>
      <c r="AJ72" s="134" t="n">
        <v>0</v>
      </c>
      <c r="AK72" s="134" t="n">
        <v>0</v>
      </c>
      <c r="AL72" s="134" t="n">
        <v>0</v>
      </c>
      <c r="AM72" s="134" t="n">
        <v>0</v>
      </c>
      <c r="AN72" s="134" t="n">
        <v>0</v>
      </c>
      <c r="AO72" s="144">
        <f>SUM(AC72:AH72)+SUM(AI72:AN72)</f>
        <v/>
      </c>
      <c r="AP72" s="142">
        <f>IF(AB72&lt;&gt;0,(AO72-AB72)/ABS(AB72),0)</f>
        <v/>
      </c>
    </row>
    <row r="73">
      <c r="A73" s="34" t="inlineStr">
        <is>
          <t>Bonus - Attendance</t>
        </is>
      </c>
      <c r="B73" s="35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9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9">
        <f>SUM(O73:T73)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118" t="n">
        <v>0</v>
      </c>
      <c r="AJ73" s="118" t="n">
        <v>0</v>
      </c>
      <c r="AK73" s="118" t="n">
        <v>0</v>
      </c>
      <c r="AL73" s="118" t="n">
        <v>0</v>
      </c>
      <c r="AM73" s="118" t="n">
        <v>0</v>
      </c>
      <c r="AN73" s="118" t="n">
        <v>0</v>
      </c>
      <c r="AO73" s="144">
        <f>SUM(AC73:AH73)+SUM(AI73:AN73)</f>
        <v/>
      </c>
      <c r="AP73" s="142">
        <f>IF(AB73&lt;&gt;0,(AO73-AB73)/ABS(AB73),0)</f>
        <v/>
      </c>
    </row>
    <row r="74">
      <c r="A74" s="34" t="inlineStr">
        <is>
          <t>Bonus - General</t>
        </is>
      </c>
      <c r="B74" s="35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9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9">
        <f>SUM(O74:T74)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118" t="n">
        <v>0</v>
      </c>
      <c r="AJ74" s="118" t="n">
        <v>0</v>
      </c>
      <c r="AK74" s="118" t="n">
        <v>0</v>
      </c>
      <c r="AL74" s="118" t="n">
        <v>0</v>
      </c>
      <c r="AM74" s="118" t="n">
        <v>0</v>
      </c>
      <c r="AN74" s="118" t="n">
        <v>0</v>
      </c>
      <c r="AO74" s="144">
        <f>SUM(AC74:AH74)+SUM(AI74:AN74)</f>
        <v/>
      </c>
      <c r="AP74" s="142">
        <f>IF(AB74&lt;&gt;0,(AO74-AB74)/ABS(AB74),0)</f>
        <v/>
      </c>
    </row>
    <row r="75">
      <c r="A75" s="34" t="inlineStr">
        <is>
          <t>Bonus - Directors</t>
        </is>
      </c>
      <c r="B75" s="35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9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9">
        <f>SUM(O75:T75)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118" t="n">
        <v>0</v>
      </c>
      <c r="AJ75" s="118" t="n">
        <v>0</v>
      </c>
      <c r="AK75" s="118" t="n">
        <v>0</v>
      </c>
      <c r="AL75" s="118" t="n">
        <v>0</v>
      </c>
      <c r="AM75" s="118" t="n">
        <v>0</v>
      </c>
      <c r="AN75" s="118" t="n">
        <v>0</v>
      </c>
      <c r="AO75" s="144">
        <f>SUM(AC75:AH75)+SUM(AI75:AN75)</f>
        <v/>
      </c>
      <c r="AP75" s="142">
        <f>IF(AB75&lt;&gt;0,(AO75-AB75)/ABS(AB75),0)</f>
        <v/>
      </c>
    </row>
    <row r="76">
      <c r="A76" s="34" t="inlineStr">
        <is>
          <t>Bonus - Performance</t>
        </is>
      </c>
      <c r="B76" s="35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9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9">
        <f>SUM(O76:T76)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118" t="n">
        <v>0</v>
      </c>
      <c r="AJ76" s="118" t="n">
        <v>0</v>
      </c>
      <c r="AK76" s="118" t="n">
        <v>0</v>
      </c>
      <c r="AL76" s="118" t="n">
        <v>0</v>
      </c>
      <c r="AM76" s="118" t="n">
        <v>0</v>
      </c>
      <c r="AN76" s="118" t="n">
        <v>0</v>
      </c>
      <c r="AO76" s="144">
        <f>SUM(AC76:AH76)+SUM(AI76:AN76)</f>
        <v/>
      </c>
      <c r="AP76" s="142">
        <f>IF(AB76&lt;&gt;0,(AO76-AB76)/ABS(AB76),0)</f>
        <v/>
      </c>
    </row>
    <row r="77">
      <c r="A77" s="34" t="inlineStr">
        <is>
          <t>PILON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9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9">
        <f>SUM(O77:T77)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118" t="n">
        <v>0</v>
      </c>
      <c r="AJ77" s="118" t="n">
        <v>0</v>
      </c>
      <c r="AK77" s="118" t="n">
        <v>0</v>
      </c>
      <c r="AL77" s="118" t="n">
        <v>0</v>
      </c>
      <c r="AM77" s="118" t="n">
        <v>0</v>
      </c>
      <c r="AN77" s="118" t="n">
        <v>0</v>
      </c>
      <c r="AO77" s="144">
        <f>SUM(AC77:AH77)+SUM(AI77:AN77)</f>
        <v/>
      </c>
      <c r="AP77" s="142">
        <f>IF(AB77&lt;&gt;0,(AO77-AB77)/ABS(AB77),0)</f>
        <v/>
      </c>
    </row>
    <row r="78" ht="15.75" customHeight="1">
      <c r="A78" s="73" t="n"/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4" t="n"/>
      <c r="N78" s="75">
        <f>SUM(B78:M78)</f>
        <v/>
      </c>
      <c r="O78" s="76" t="n"/>
      <c r="P78" s="76" t="n"/>
      <c r="Q78" s="76" t="n"/>
      <c r="R78" s="76" t="n"/>
      <c r="S78" s="76" t="n"/>
      <c r="T78" s="76" t="n"/>
      <c r="U78" s="76" t="n"/>
      <c r="V78" s="77" t="n"/>
      <c r="W78" s="77" t="n"/>
      <c r="X78" s="77" t="n"/>
      <c r="Y78" s="77" t="n"/>
      <c r="Z78" s="77" t="n"/>
      <c r="AA78" s="75">
        <f>SUM(O78:T78)</f>
        <v/>
      </c>
      <c r="AB78" s="8" t="n"/>
      <c r="AC78" s="77" t="n"/>
      <c r="AD78" s="77" t="n"/>
      <c r="AE78" s="77" t="n"/>
      <c r="AF78" s="77" t="n"/>
      <c r="AG78" s="77" t="n"/>
      <c r="AH78" s="77" t="n"/>
      <c r="AI78" s="8" t="n"/>
      <c r="AJ78" s="8" t="inlineStr">
        <is>
          <t>Inflation</t>
        </is>
      </c>
      <c r="AK78" s="8" t="n"/>
      <c r="AL78" s="61" t="n">
        <v>0.06</v>
      </c>
      <c r="AM78" s="62">
        <f>AL78+1</f>
        <v/>
      </c>
      <c r="AN78" s="40" t="n"/>
      <c r="AO78" s="40" t="n"/>
      <c r="AP78" s="40" t="n"/>
    </row>
    <row r="79">
      <c r="A79" s="54" t="n"/>
      <c r="B79" s="57" t="n">
        <v>-5.95</v>
      </c>
      <c r="C79" s="57" t="n">
        <v>-39.8</v>
      </c>
      <c r="D79" s="57" t="n">
        <v>-7</v>
      </c>
      <c r="E79" s="57" t="n">
        <v>-923.3000000000001</v>
      </c>
      <c r="F79" s="57" t="n">
        <v>-78.98</v>
      </c>
      <c r="G79" s="57" t="n">
        <v>-5.95</v>
      </c>
      <c r="H79" s="57" t="n">
        <v>-4.680000000000001</v>
      </c>
      <c r="I79" s="57" t="n">
        <v>-7.35</v>
      </c>
      <c r="J79" s="57" t="n">
        <v>-3.5</v>
      </c>
      <c r="K79" s="57" t="n">
        <v>-5.25</v>
      </c>
      <c r="L79" s="57" t="n">
        <v>-48.5</v>
      </c>
      <c r="M79" s="57" t="n">
        <v>-708.25</v>
      </c>
      <c r="N79" s="78">
        <f>SUM(B79:M79)</f>
        <v/>
      </c>
      <c r="O79" s="55">
        <f>O70+SUM(O73:O78)</f>
        <v/>
      </c>
      <c r="P79" s="55">
        <f>P70+SUM(P73:P78)</f>
        <v/>
      </c>
      <c r="Q79" s="55">
        <f>Q70+SUM(Q73:Q78)</f>
        <v/>
      </c>
      <c r="R79" s="55">
        <f>R70+SUM(R73:R78)</f>
        <v/>
      </c>
      <c r="S79" s="55">
        <f>S70+SUM(S73:S78)</f>
        <v/>
      </c>
      <c r="T79" s="55">
        <f>T70+SUM(T73:T78)</f>
        <v/>
      </c>
      <c r="U79" s="55">
        <f>U70+SUM(U73:U78)</f>
        <v/>
      </c>
      <c r="V79" s="58" t="n"/>
      <c r="W79" s="58" t="n"/>
      <c r="X79" s="58" t="n"/>
      <c r="Y79" s="58" t="n"/>
      <c r="Z79" s="58" t="n"/>
      <c r="AA79" s="78">
        <f>SUM(O79:T79)</f>
        <v/>
      </c>
      <c r="AB79" s="8" t="n"/>
      <c r="AC79" s="58" t="n"/>
      <c r="AD79" s="58" t="n"/>
      <c r="AE79" s="58" t="n"/>
      <c r="AF79" s="58" t="n"/>
      <c r="AG79" s="58" t="n"/>
      <c r="AH79" s="58" t="n"/>
      <c r="AI79" s="127" t="n">
        <v>0</v>
      </c>
      <c r="AJ79" s="127" t="n">
        <v>0</v>
      </c>
      <c r="AK79" s="127" t="n">
        <v>0</v>
      </c>
      <c r="AL79" s="127" t="n">
        <v>0</v>
      </c>
      <c r="AM79" s="127" t="n">
        <v>0</v>
      </c>
      <c r="AN79" s="127" t="n">
        <v>0</v>
      </c>
      <c r="AO79" s="144">
        <f>SUM(AC79:AH79)+SUM(AI79:AN79)</f>
        <v/>
      </c>
      <c r="AP79" s="142">
        <f>IF(AB79&lt;&gt;0,(AO79-AB79)/ABS(AB79),0)</f>
        <v/>
      </c>
    </row>
    <row r="80">
      <c r="A80" s="22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60">
        <f>SUM(B80:M80)</f>
        <v/>
      </c>
      <c r="O80" s="8" t="n"/>
      <c r="P80" s="8" t="n"/>
      <c r="Q80" s="8" t="n"/>
      <c r="R80" s="8" t="n"/>
      <c r="S80" s="8" t="n"/>
      <c r="T80" s="8" t="n"/>
      <c r="U80" s="8" t="n"/>
      <c r="V80" s="20" t="n"/>
      <c r="W80" s="20" t="n"/>
      <c r="X80" s="20" t="n"/>
      <c r="Y80" s="20" t="n"/>
      <c r="Z80" s="20" t="n"/>
      <c r="AA80" s="60">
        <f>SUM(O80:T80)</f>
        <v/>
      </c>
      <c r="AB80" s="8" t="n"/>
      <c r="AC80" s="20" t="n"/>
      <c r="AD80" s="20" t="n"/>
      <c r="AE80" s="20" t="n"/>
      <c r="AF80" s="20" t="n"/>
      <c r="AG80" s="20" t="n"/>
      <c r="AH80" s="20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>
      <c r="A81" s="22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60">
        <f>SUM(B81:M81)</f>
        <v/>
      </c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60">
        <f>SUM(O81:T81)</f>
        <v/>
      </c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</row>
    <row r="82">
      <c r="A82" s="34" t="inlineStr">
        <is>
          <t>Direct - Sales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0</v>
      </c>
      <c r="G82" s="18" t="n">
        <v>0</v>
      </c>
      <c r="H82" s="18" t="n">
        <v>0</v>
      </c>
      <c r="I82" s="18" t="n">
        <v>0</v>
      </c>
      <c r="J82" s="18" t="n">
        <v>0</v>
      </c>
      <c r="K82" s="18" t="n">
        <v>0</v>
      </c>
      <c r="L82" s="18" t="n">
        <v>0</v>
      </c>
      <c r="M82" s="18" t="n"/>
      <c r="N82" s="8" t="n"/>
      <c r="O82" s="60">
        <f>-SUMIF('YBN Blank TB'!$T:$T,'YBN HO P&amp;L'!$A82,'YBN Blank TB'!C:C)-SUMIF('YBN HO TB'!$T:$T,'YBN HO P&amp;L'!$A82,'YBN HO TB'!C:C)</f>
        <v/>
      </c>
      <c r="P82" s="60">
        <f>-SUMIF('YBN Blank TB'!$T:$T,'YBN HO P&amp;L'!$A82,'YBN Blank TB'!D:D)-SUMIF('YBN HO TB'!$T:$T,'YBN HO P&amp;L'!$A82,'YBN HO TB'!D:D)</f>
        <v/>
      </c>
      <c r="Q82" s="60">
        <f>-SUMIF('YBN Blank TB'!$T:$T,'YBN HO P&amp;L'!$A82,'YBN Blank TB'!E:E)-SUMIF('YBN HO TB'!$T:$T,'YBN HO P&amp;L'!$A82,'YBN HO TB'!E:E)</f>
        <v/>
      </c>
      <c r="R82" s="60">
        <f>-SUMIF('YBN Blank TB'!$T:$T,'YBN HO P&amp;L'!$A82,'YBN Blank TB'!F:F)-SUMIF('YBN HO TB'!$T:$T,'YBN HO P&amp;L'!$A82,'YBN HO TB'!F:F)</f>
        <v/>
      </c>
      <c r="S82" s="60">
        <f>-SUMIF('YBN Blank TB'!$T:$T,'YBN HO P&amp;L'!$A82,'YBN Blank TB'!G:G)-SUMIF('YBN HO TB'!$T:$T,'YBN HO P&amp;L'!$A82,'YBN HO TB'!G:G)</f>
        <v/>
      </c>
      <c r="T82" s="60">
        <f>-SUMIF('YBN Blank TB'!$T:$T,'YBN HO P&amp;L'!$A82,'YBN Blank TB'!H:H)-SUMIF('YBN HO TB'!$T:$T,'YBN HO P&amp;L'!$A82,'YBN HO TB'!H:H)</f>
        <v/>
      </c>
      <c r="U82" s="60">
        <f>-SUMIF('YBN Blank TB'!$T:$T,'YBN HO P&amp;L'!$A82,'YBN Blank TB'!I:I)-SUMIF('YBN HO TB'!$T:$T,'YBN HO P&amp;L'!$A82,'YBN HO TB'!I:I)</f>
        <v/>
      </c>
      <c r="V82" s="60">
        <f>-SUMIF('YBN Blank TB'!$T:$T,'YBN HO P&amp;L'!$A82,'YBN Blank TB'!J:J)-SUMIF('YBN HO TB'!$T:$T,'YBN HO P&amp;L'!$A82,'YBN HO TB'!J:J)</f>
        <v/>
      </c>
      <c r="W82" s="60">
        <f>-SUMIF('YBN Blank TB'!$T:$T,'YBN HO P&amp;L'!$A82,'YBN Blank TB'!K:K)-SUMIF('YBN HO TB'!$T:$T,'YBN HO P&amp;L'!$A82,'YBN HO TB'!K:K)</f>
        <v/>
      </c>
      <c r="X82" s="60">
        <f>-SUMIF('YBN Blank TB'!$T:$T,'YBN HO P&amp;L'!$A82,'YBN Blank TB'!L:L)-SUMIF('YBN HO TB'!$T:$T,'YBN HO P&amp;L'!$A82,'YBN HO TB'!L:L)</f>
        <v/>
      </c>
      <c r="Y82" s="60">
        <f>-SUMIF('YBN Blank TB'!$T:$T,'YBN HO P&amp;L'!$A82,'YBN Blank TB'!M:M)-SUMIF('YBN HO TB'!$T:$T,'YBN HO P&amp;L'!$A82,'YBN HO TB'!M:M)</f>
        <v/>
      </c>
      <c r="Z82" s="60">
        <f>-SUMIF('YBN Blank TB'!$T:$T,'YBN HO P&amp;L'!$A82,'YBN Blank TB'!N:N)-SUMIF('YBN HO TB'!$T:$T,'YBN HO P&amp;L'!$A82,'YBN HO TB'!N:N)</f>
        <v/>
      </c>
      <c r="AA82" s="8" t="n"/>
      <c r="AB82" s="8" t="n"/>
      <c r="AC82" s="8" t="n"/>
      <c r="AD82" s="8" t="n"/>
      <c r="AE82" s="8" t="n"/>
      <c r="AF82" s="8" t="n"/>
      <c r="AG82" s="8" t="n"/>
      <c r="AH82" s="8" t="n"/>
      <c r="AI82" s="134" t="n">
        <v>0</v>
      </c>
      <c r="AJ82" s="134" t="n">
        <v>0</v>
      </c>
      <c r="AK82" s="134" t="n">
        <v>0</v>
      </c>
      <c r="AL82" s="134" t="n">
        <v>0</v>
      </c>
      <c r="AM82" s="134" t="n">
        <v>0</v>
      </c>
      <c r="AN82" s="134" t="n">
        <v>0</v>
      </c>
      <c r="AO82" s="144">
        <f>SUM(AC82:AH82)+SUM(AI82:AN82)</f>
        <v/>
      </c>
      <c r="AP82" s="142">
        <f>IF(AB82&lt;&gt;0,(AO82-AB82)/ABS(AB82),0)</f>
        <v/>
      </c>
    </row>
    <row r="83">
      <c r="A83" s="60" t="inlineStr">
        <is>
          <t>Direct - Staff Cost</t>
        </is>
      </c>
      <c r="B83" s="60" t="n">
        <v>0</v>
      </c>
      <c r="C83" s="60" t="n">
        <v>0</v>
      </c>
      <c r="D83" s="60" t="n">
        <v>0</v>
      </c>
      <c r="E83" s="60" t="n">
        <v>0</v>
      </c>
      <c r="F83" s="60" t="n">
        <v>0</v>
      </c>
      <c r="G83" s="60" t="n">
        <v>0</v>
      </c>
      <c r="H83" s="60" t="n">
        <v>0</v>
      </c>
      <c r="I83" s="60" t="n">
        <v>0</v>
      </c>
      <c r="J83" s="60" t="n">
        <v>0</v>
      </c>
      <c r="K83" s="60" t="n">
        <v>0</v>
      </c>
      <c r="L83" s="60" t="n">
        <v>0</v>
      </c>
      <c r="M83" s="8" t="n"/>
      <c r="N83" s="8" t="n"/>
      <c r="O83" s="60">
        <f>-SUMIF('YBN Blank TB'!$T:$T,'YBN HO P&amp;L'!$A83,'YBN Blank TB'!C:C)-SUMIF('YBN HO TB'!$T:$T,'YBN HO P&amp;L'!$A83,'YBN HO TB'!C:C)</f>
        <v/>
      </c>
      <c r="P83" s="60">
        <f>-SUMIF('YBN Blank TB'!$T:$T,'YBN HO P&amp;L'!$A83,'YBN Blank TB'!D:D)-SUMIF('YBN HO TB'!$T:$T,'YBN HO P&amp;L'!$A83,'YBN HO TB'!D:D)</f>
        <v/>
      </c>
      <c r="Q83" s="60">
        <f>-SUMIF('YBN Blank TB'!$T:$T,'YBN HO P&amp;L'!$A83,'YBN Blank TB'!E:E)-SUMIF('YBN HO TB'!$T:$T,'YBN HO P&amp;L'!$A83,'YBN HO TB'!E:E)</f>
        <v/>
      </c>
      <c r="R83" s="60">
        <f>-SUMIF('YBN Blank TB'!$T:$T,'YBN HO P&amp;L'!$A83,'YBN Blank TB'!F:F)-SUMIF('YBN HO TB'!$T:$T,'YBN HO P&amp;L'!$A83,'YBN HO TB'!F:F)</f>
        <v/>
      </c>
      <c r="S83" s="60">
        <f>-SUMIF('YBN Blank TB'!$T:$T,'YBN HO P&amp;L'!$A83,'YBN Blank TB'!G:G)-SUMIF('YBN HO TB'!$T:$T,'YBN HO P&amp;L'!$A83,'YBN HO TB'!G:G)</f>
        <v/>
      </c>
      <c r="T83" s="60">
        <f>-SUMIF('YBN Blank TB'!$T:$T,'YBN HO P&amp;L'!$A83,'YBN Blank TB'!H:H)-SUMIF('YBN HO TB'!$T:$T,'YBN HO P&amp;L'!$A83,'YBN HO TB'!H:H)</f>
        <v/>
      </c>
      <c r="U83" s="60">
        <f>-SUMIF('YBN Blank TB'!$T:$T,'YBN HO P&amp;L'!$A83,'YBN Blank TB'!I:I)-SUMIF('YBN HO TB'!$T:$T,'YBN HO P&amp;L'!$A83,'YBN HO TB'!I:I)</f>
        <v/>
      </c>
      <c r="V83" s="60">
        <f>-SUMIF('YBN Blank TB'!$T:$T,'YBN HO P&amp;L'!$A83,'YBN Blank TB'!J:J)-SUMIF('YBN HO TB'!$T:$T,'YBN HO P&amp;L'!$A83,'YBN HO TB'!J:J)</f>
        <v/>
      </c>
      <c r="W83" s="60">
        <f>-SUMIF('YBN Blank TB'!$T:$T,'YBN HO P&amp;L'!$A83,'YBN Blank TB'!K:K)-SUMIF('YBN HO TB'!$T:$T,'YBN HO P&amp;L'!$A83,'YBN HO TB'!K:K)</f>
        <v/>
      </c>
      <c r="X83" s="60">
        <f>-SUMIF('YBN Blank TB'!$T:$T,'YBN HO P&amp;L'!$A83,'YBN Blank TB'!L:L)-SUMIF('YBN HO TB'!$T:$T,'YBN HO P&amp;L'!$A83,'YBN HO TB'!L:L)</f>
        <v/>
      </c>
      <c r="Y83" s="60">
        <f>-SUMIF('YBN Blank TB'!$T:$T,'YBN HO P&amp;L'!$A83,'YBN Blank TB'!M:M)-SUMIF('YBN HO TB'!$T:$T,'YBN HO P&amp;L'!$A83,'YBN HO TB'!M:M)</f>
        <v/>
      </c>
      <c r="Z83" s="60">
        <f>-SUMIF('YBN Blank TB'!$T:$T,'YBN HO P&amp;L'!$A83,'YBN Blank TB'!N:N)-SUMIF('YBN HO TB'!$T:$T,'YBN HO P&amp;L'!$A83,'YBN HO TB'!N:N)</f>
        <v/>
      </c>
      <c r="AA83" s="8" t="n"/>
      <c r="AB83" s="8" t="n"/>
      <c r="AC83" s="8" t="n"/>
      <c r="AD83" s="8" t="n"/>
      <c r="AE83" s="8" t="n"/>
      <c r="AF83" s="8" t="n"/>
      <c r="AG83" s="8" t="n"/>
      <c r="AH83" s="8" t="n"/>
      <c r="AI83" s="134" t="n">
        <v>0</v>
      </c>
      <c r="AJ83" s="134" t="n">
        <v>0</v>
      </c>
      <c r="AK83" s="134" t="n">
        <v>0</v>
      </c>
      <c r="AL83" s="134" t="n">
        <v>0</v>
      </c>
      <c r="AM83" s="134" t="n">
        <v>0</v>
      </c>
      <c r="AN83" s="134" t="n">
        <v>0</v>
      </c>
      <c r="AO83" s="145">
        <f>SUM(AC83:AH83)+SUM(AI83:AN83)</f>
        <v/>
      </c>
      <c r="AP83" s="142">
        <f>IF(AB83&lt;&gt;0,(AO83-AB83)/ABS(AB83),0)</f>
        <v/>
      </c>
    </row>
    <row r="84">
      <c r="A84" s="60" t="inlineStr">
        <is>
          <t>Direct - Childcare Cost</t>
        </is>
      </c>
      <c r="B84" s="60" t="n">
        <v>0</v>
      </c>
      <c r="C84" s="60" t="n">
        <v>0</v>
      </c>
      <c r="D84" s="60" t="n">
        <v>0</v>
      </c>
      <c r="E84" s="60" t="n">
        <v>0</v>
      </c>
      <c r="F84" s="60" t="n">
        <v>0</v>
      </c>
      <c r="G84" s="60" t="n">
        <v>0</v>
      </c>
      <c r="H84" s="60" t="n">
        <v>0</v>
      </c>
      <c r="I84" s="60" t="n">
        <v>0</v>
      </c>
      <c r="J84" s="60" t="n">
        <v>0</v>
      </c>
      <c r="K84" s="60" t="n">
        <v>0</v>
      </c>
      <c r="L84" s="60" t="n">
        <v>-45</v>
      </c>
      <c r="M84" s="8" t="n"/>
      <c r="N84" s="8" t="n"/>
      <c r="O84" s="60">
        <f>-SUMIF('YBN Blank TB'!$T:$T,'YBN HO P&amp;L'!$A84,'YBN Blank TB'!C:C)-SUMIF('YBN HO TB'!$T:$T,'YBN HO P&amp;L'!$A84,'YBN HO TB'!C:C)</f>
        <v/>
      </c>
      <c r="P84" s="60">
        <f>-SUMIF('YBN Blank TB'!$T:$T,'YBN HO P&amp;L'!$A84,'YBN Blank TB'!D:D)-SUMIF('YBN HO TB'!$T:$T,'YBN HO P&amp;L'!$A84,'YBN HO TB'!D:D)</f>
        <v/>
      </c>
      <c r="Q84" s="60">
        <f>-SUMIF('YBN Blank TB'!$T:$T,'YBN HO P&amp;L'!$A84,'YBN Blank TB'!E:E)-SUMIF('YBN HO TB'!$T:$T,'YBN HO P&amp;L'!$A84,'YBN HO TB'!E:E)</f>
        <v/>
      </c>
      <c r="R84" s="60">
        <f>-SUMIF('YBN Blank TB'!$T:$T,'YBN HO P&amp;L'!$A84,'YBN Blank TB'!F:F)-SUMIF('YBN HO TB'!$T:$T,'YBN HO P&amp;L'!$A84,'YBN HO TB'!F:F)</f>
        <v/>
      </c>
      <c r="S84" s="60">
        <f>-SUMIF('YBN Blank TB'!$T:$T,'YBN HO P&amp;L'!$A84,'YBN Blank TB'!G:G)-SUMIF('YBN HO TB'!$T:$T,'YBN HO P&amp;L'!$A84,'YBN HO TB'!G:G)</f>
        <v/>
      </c>
      <c r="T84" s="60">
        <f>-SUMIF('YBN Blank TB'!$T:$T,'YBN HO P&amp;L'!$A84,'YBN Blank TB'!H:H)-SUMIF('YBN HO TB'!$T:$T,'YBN HO P&amp;L'!$A84,'YBN HO TB'!H:H)</f>
        <v/>
      </c>
      <c r="U84" s="60">
        <f>-SUMIF('YBN Blank TB'!$T:$T,'YBN HO P&amp;L'!$A84,'YBN Blank TB'!I:I)-SUMIF('YBN HO TB'!$T:$T,'YBN HO P&amp;L'!$A84,'YBN HO TB'!I:I)</f>
        <v/>
      </c>
      <c r="V84" s="60">
        <f>-SUMIF('YBN Blank TB'!$T:$T,'YBN HO P&amp;L'!$A84,'YBN Blank TB'!J:J)-SUMIF('YBN HO TB'!$T:$T,'YBN HO P&amp;L'!$A84,'YBN HO TB'!J:J)</f>
        <v/>
      </c>
      <c r="W84" s="60">
        <f>-SUMIF('YBN Blank TB'!$T:$T,'YBN HO P&amp;L'!$A84,'YBN Blank TB'!K:K)-SUMIF('YBN HO TB'!$T:$T,'YBN HO P&amp;L'!$A84,'YBN HO TB'!K:K)</f>
        <v/>
      </c>
      <c r="X84" s="60">
        <f>-SUMIF('YBN Blank TB'!$T:$T,'YBN HO P&amp;L'!$A84,'YBN Blank TB'!L:L)-SUMIF('YBN HO TB'!$T:$T,'YBN HO P&amp;L'!$A84,'YBN HO TB'!L:L)</f>
        <v/>
      </c>
      <c r="Y84" s="60">
        <f>-SUMIF('YBN Blank TB'!$T:$T,'YBN HO P&amp;L'!$A84,'YBN Blank TB'!M:M)-SUMIF('YBN HO TB'!$T:$T,'YBN HO P&amp;L'!$A84,'YBN HO TB'!M:M)</f>
        <v/>
      </c>
      <c r="Z84" s="60">
        <f>-SUMIF('YBN Blank TB'!$T:$T,'YBN HO P&amp;L'!$A84,'YBN Blank TB'!N:N)-SUMIF('YBN HO TB'!$T:$T,'YBN HO P&amp;L'!$A84,'YBN HO TB'!N:N)</f>
        <v/>
      </c>
      <c r="AA84" s="8" t="n"/>
      <c r="AB84" s="8" t="n"/>
      <c r="AC84" s="8" t="n"/>
      <c r="AD84" s="8" t="n"/>
      <c r="AE84" s="8" t="n"/>
      <c r="AF84" s="8" t="n"/>
      <c r="AG84" s="8" t="n"/>
      <c r="AH84" s="8" t="n"/>
      <c r="AI84" s="134" t="n">
        <v>0</v>
      </c>
      <c r="AJ84" s="134" t="n">
        <v>0</v>
      </c>
      <c r="AK84" s="134" t="n">
        <v>0</v>
      </c>
      <c r="AL84" s="134" t="n">
        <v>0</v>
      </c>
      <c r="AM84" s="134" t="n">
        <v>0</v>
      </c>
      <c r="AN84" s="134" t="n">
        <v>0</v>
      </c>
      <c r="AO84" s="145">
        <f>SUM(AC84:AH84)+SUM(AI84:AN84)</f>
        <v/>
      </c>
      <c r="AP84" s="142">
        <f>IF(AB84&lt;&gt;0,(AO84-AB84)/ABS(AB84),0)</f>
        <v/>
      </c>
    </row>
    <row r="85">
      <c r="A85" s="60" t="inlineStr">
        <is>
          <t>Direct - Premises &amp; Admin</t>
        </is>
      </c>
      <c r="B85" s="18" t="n">
        <v>0</v>
      </c>
      <c r="C85" s="18" t="n">
        <v>0</v>
      </c>
      <c r="D85" s="18" t="n">
        <v>0</v>
      </c>
      <c r="E85" s="18" t="n">
        <v>0</v>
      </c>
      <c r="F85" s="18" t="n">
        <v>-71.98</v>
      </c>
      <c r="G85" s="18" t="n">
        <v>0</v>
      </c>
      <c r="H85" s="18" t="n">
        <v>0</v>
      </c>
      <c r="I85" s="18" t="n">
        <v>0</v>
      </c>
      <c r="J85" s="18" t="n">
        <v>0</v>
      </c>
      <c r="K85" s="18" t="n">
        <v>0</v>
      </c>
      <c r="L85" s="18" t="n">
        <v>0</v>
      </c>
      <c r="M85" s="18" t="n"/>
      <c r="N85" s="8" t="n"/>
      <c r="O85" s="60">
        <f>-SUMIF('YBN Blank TB'!$T:$T,'YBN HO P&amp;L'!$A85,'YBN Blank TB'!C:C)-SUMIF('YBN HO TB'!$T:$T,'YBN HO P&amp;L'!$A85,'YBN HO TB'!C:C)</f>
        <v/>
      </c>
      <c r="P85" s="60">
        <f>-SUMIF('YBN Blank TB'!$T:$T,'YBN HO P&amp;L'!$A85,'YBN Blank TB'!D:D)-SUMIF('YBN HO TB'!$T:$T,'YBN HO P&amp;L'!$A85,'YBN HO TB'!D:D)</f>
        <v/>
      </c>
      <c r="Q85" s="60">
        <f>-SUMIF('YBN Blank TB'!$T:$T,'YBN HO P&amp;L'!$A85,'YBN Blank TB'!E:E)-SUMIF('YBN HO TB'!$T:$T,'YBN HO P&amp;L'!$A85,'YBN HO TB'!E:E)</f>
        <v/>
      </c>
      <c r="R85" s="60">
        <f>-SUMIF('YBN Blank TB'!$T:$T,'YBN HO P&amp;L'!$A85,'YBN Blank TB'!F:F)-SUMIF('YBN HO TB'!$T:$T,'YBN HO P&amp;L'!$A85,'YBN HO TB'!F:F)</f>
        <v/>
      </c>
      <c r="S85" s="60">
        <f>-SUMIF('YBN Blank TB'!$T:$T,'YBN HO P&amp;L'!$A85,'YBN Blank TB'!G:G)-SUMIF('YBN HO TB'!$T:$T,'YBN HO P&amp;L'!$A85,'YBN HO TB'!G:G)</f>
        <v/>
      </c>
      <c r="T85" s="60">
        <f>-SUMIF('YBN Blank TB'!$T:$T,'YBN HO P&amp;L'!$A85,'YBN Blank TB'!H:H)-SUMIF('YBN HO TB'!$T:$T,'YBN HO P&amp;L'!$A85,'YBN HO TB'!H:H)</f>
        <v/>
      </c>
      <c r="U85" s="60">
        <f>-SUMIF('YBN Blank TB'!$T:$T,'YBN HO P&amp;L'!$A85,'YBN Blank TB'!I:I)-SUMIF('YBN HO TB'!$T:$T,'YBN HO P&amp;L'!$A85,'YBN HO TB'!I:I)</f>
        <v/>
      </c>
      <c r="V85" s="60">
        <f>-SUMIF('YBN Blank TB'!$T:$T,'YBN HO P&amp;L'!$A85,'YBN Blank TB'!J:J)-SUMIF('YBN HO TB'!$T:$T,'YBN HO P&amp;L'!$A85,'YBN HO TB'!J:J)</f>
        <v/>
      </c>
      <c r="W85" s="60">
        <f>-SUMIF('YBN Blank TB'!$T:$T,'YBN HO P&amp;L'!$A85,'YBN Blank TB'!K:K)-SUMIF('YBN HO TB'!$T:$T,'YBN HO P&amp;L'!$A85,'YBN HO TB'!K:K)</f>
        <v/>
      </c>
      <c r="X85" s="60">
        <f>-SUMIF('YBN Blank TB'!$T:$T,'YBN HO P&amp;L'!$A85,'YBN Blank TB'!L:L)-SUMIF('YBN HO TB'!$T:$T,'YBN HO P&amp;L'!$A85,'YBN HO TB'!L:L)</f>
        <v/>
      </c>
      <c r="Y85" s="60">
        <f>-SUMIF('YBN Blank TB'!$T:$T,'YBN HO P&amp;L'!$A85,'YBN Blank TB'!M:M)-SUMIF('YBN HO TB'!$T:$T,'YBN HO P&amp;L'!$A85,'YBN HO TB'!M:M)</f>
        <v/>
      </c>
      <c r="Z85" s="60">
        <f>-SUMIF('YBN Blank TB'!$T:$T,'YBN HO P&amp;L'!$A85,'YBN Blank TB'!N:N)-SUMIF('YBN HO TB'!$T:$T,'YBN HO P&amp;L'!$A85,'YBN HO TB'!N:N)</f>
        <v/>
      </c>
      <c r="AA85" s="8" t="n"/>
      <c r="AB85" s="8" t="n"/>
      <c r="AC85" s="8" t="n"/>
      <c r="AD85" s="8" t="n"/>
      <c r="AE85" s="8" t="n"/>
      <c r="AF85" s="8" t="n"/>
      <c r="AG85" s="8" t="n"/>
      <c r="AH85" s="8" t="n"/>
      <c r="AI85" s="134" t="n">
        <v>0</v>
      </c>
      <c r="AJ85" s="134" t="n">
        <v>0</v>
      </c>
      <c r="AK85" s="134" t="n">
        <v>0</v>
      </c>
      <c r="AL85" s="134" t="n">
        <v>0</v>
      </c>
      <c r="AM85" s="134" t="n">
        <v>0</v>
      </c>
      <c r="AN85" s="134" t="n">
        <v>0</v>
      </c>
      <c r="AO85" s="144">
        <f>SUM(AC85:AH85)+SUM(AI85:AN85)</f>
        <v/>
      </c>
      <c r="AP85" s="142">
        <f>IF(AB85&lt;&gt;0,(AO85-AB85)/ABS(AB85),0)</f>
        <v/>
      </c>
    </row>
    <row r="86">
      <c r="A86" s="60" t="inlineStr">
        <is>
          <t>In-Direct - Staff Cost</t>
        </is>
      </c>
      <c r="B86" s="60" t="n">
        <v>0</v>
      </c>
      <c r="C86" s="60" t="n">
        <v>0</v>
      </c>
      <c r="D86" s="60" t="n">
        <v>0</v>
      </c>
      <c r="E86" s="60" t="n">
        <v>0</v>
      </c>
      <c r="F86" s="60" t="n">
        <v>0</v>
      </c>
      <c r="G86" s="60" t="n">
        <v>0</v>
      </c>
      <c r="H86" s="60" t="n">
        <v>0</v>
      </c>
      <c r="I86" s="60" t="n">
        <v>0</v>
      </c>
      <c r="J86" s="60" t="n">
        <v>0</v>
      </c>
      <c r="K86" s="60" t="n">
        <v>0</v>
      </c>
      <c r="L86" s="60" t="n">
        <v>0</v>
      </c>
      <c r="M86" s="8" t="n"/>
      <c r="N86" s="8" t="n"/>
      <c r="O86" s="60">
        <f>-SUMIF('YBN Blank TB'!$T:$T,'YBN HO P&amp;L'!$A86,'YBN Blank TB'!C:C)-SUMIF('YBN HO TB'!$T:$T,'YBN HO P&amp;L'!$A86,'YBN HO TB'!C:C)</f>
        <v/>
      </c>
      <c r="P86" s="60">
        <f>-SUMIF('YBN Blank TB'!$T:$T,'YBN HO P&amp;L'!$A86,'YBN Blank TB'!D:D)-SUMIF('YBN HO TB'!$T:$T,'YBN HO P&amp;L'!$A86,'YBN HO TB'!D:D)</f>
        <v/>
      </c>
      <c r="Q86" s="60">
        <f>-SUMIF('YBN Blank TB'!$T:$T,'YBN HO P&amp;L'!$A86,'YBN Blank TB'!E:E)-SUMIF('YBN HO TB'!$T:$T,'YBN HO P&amp;L'!$A86,'YBN HO TB'!E:E)</f>
        <v/>
      </c>
      <c r="R86" s="60">
        <f>-SUMIF('YBN Blank TB'!$T:$T,'YBN HO P&amp;L'!$A86,'YBN Blank TB'!F:F)-SUMIF('YBN HO TB'!$T:$T,'YBN HO P&amp;L'!$A86,'YBN HO TB'!F:F)</f>
        <v/>
      </c>
      <c r="S86" s="60">
        <f>-SUMIF('YBN Blank TB'!$T:$T,'YBN HO P&amp;L'!$A86,'YBN Blank TB'!G:G)-SUMIF('YBN HO TB'!$T:$T,'YBN HO P&amp;L'!$A86,'YBN HO TB'!G:G)</f>
        <v/>
      </c>
      <c r="T86" s="60">
        <f>-SUMIF('YBN Blank TB'!$T:$T,'YBN HO P&amp;L'!$A86,'YBN Blank TB'!H:H)-SUMIF('YBN HO TB'!$T:$T,'YBN HO P&amp;L'!$A86,'YBN HO TB'!H:H)</f>
        <v/>
      </c>
      <c r="U86" s="60">
        <f>-SUMIF('YBN Blank TB'!$T:$T,'YBN HO P&amp;L'!$A86,'YBN Blank TB'!I:I)-SUMIF('YBN HO TB'!$T:$T,'YBN HO P&amp;L'!$A86,'YBN HO TB'!I:I)</f>
        <v/>
      </c>
      <c r="V86" s="60">
        <f>-SUMIF('YBN Blank TB'!$T:$T,'YBN HO P&amp;L'!$A86,'YBN Blank TB'!J:J)-SUMIF('YBN HO TB'!$T:$T,'YBN HO P&amp;L'!$A86,'YBN HO TB'!J:J)</f>
        <v/>
      </c>
      <c r="W86" s="60">
        <f>-SUMIF('YBN Blank TB'!$T:$T,'YBN HO P&amp;L'!$A86,'YBN Blank TB'!K:K)-SUMIF('YBN HO TB'!$T:$T,'YBN HO P&amp;L'!$A86,'YBN HO TB'!K:K)</f>
        <v/>
      </c>
      <c r="X86" s="60">
        <f>-SUMIF('YBN Blank TB'!$T:$T,'YBN HO P&amp;L'!$A86,'YBN Blank TB'!L:L)-SUMIF('YBN HO TB'!$T:$T,'YBN HO P&amp;L'!$A86,'YBN HO TB'!L:L)</f>
        <v/>
      </c>
      <c r="Y86" s="60">
        <f>-SUMIF('YBN Blank TB'!$T:$T,'YBN HO P&amp;L'!$A86,'YBN Blank TB'!M:M)-SUMIF('YBN HO TB'!$T:$T,'YBN HO P&amp;L'!$A86,'YBN HO TB'!M:M)</f>
        <v/>
      </c>
      <c r="Z86" s="60">
        <f>-SUMIF('YBN Blank TB'!$T:$T,'YBN HO P&amp;L'!$A86,'YBN Blank TB'!N:N)-SUMIF('YBN HO TB'!$T:$T,'YBN HO P&amp;L'!$A86,'YBN HO TB'!N:N)</f>
        <v/>
      </c>
      <c r="AA86" s="8" t="n"/>
      <c r="AB86" s="8" t="n"/>
      <c r="AC86" s="8" t="n"/>
      <c r="AD86" s="8" t="n"/>
      <c r="AE86" s="8" t="n"/>
      <c r="AF86" s="8" t="n"/>
      <c r="AG86" s="8" t="n"/>
      <c r="AH86" s="8" t="n"/>
      <c r="AI86" s="134" t="n">
        <v>0</v>
      </c>
      <c r="AJ86" s="134" t="n">
        <v>0</v>
      </c>
      <c r="AK86" s="134" t="n">
        <v>0</v>
      </c>
      <c r="AL86" s="134" t="n">
        <v>0</v>
      </c>
      <c r="AM86" s="134" t="n">
        <v>0</v>
      </c>
      <c r="AN86" s="134" t="n">
        <v>0</v>
      </c>
      <c r="AO86" s="145">
        <f>SUM(AC86:AH86)+SUM(AI86:AN86)</f>
        <v/>
      </c>
      <c r="AP86" s="142">
        <f>IF(AB86&lt;&gt;0,(AO86-AB86)/ABS(AB86),0)</f>
        <v/>
      </c>
    </row>
    <row r="87">
      <c r="A87" s="60" t="inlineStr">
        <is>
          <t>In-Direct - Overheads</t>
        </is>
      </c>
      <c r="B87" s="60" t="n">
        <v>-5.95</v>
      </c>
      <c r="C87" s="60" t="n">
        <v>-39.8</v>
      </c>
      <c r="D87" s="60" t="n">
        <v>-7</v>
      </c>
      <c r="E87" s="60" t="n">
        <v>-923.3000000000001</v>
      </c>
      <c r="F87" s="60" t="n">
        <v>-7</v>
      </c>
      <c r="G87" s="60" t="n">
        <v>-5.95</v>
      </c>
      <c r="H87" s="60" t="n">
        <v>-4.680000000000001</v>
      </c>
      <c r="I87" s="60" t="n">
        <v>-7.35</v>
      </c>
      <c r="J87" s="60" t="n">
        <v>-3.5</v>
      </c>
      <c r="K87" s="60" t="n">
        <v>-5.25</v>
      </c>
      <c r="L87" s="60" t="n">
        <v>-3.5</v>
      </c>
      <c r="M87" s="8" t="n"/>
      <c r="N87" s="8" t="n"/>
      <c r="O87" s="60">
        <f>-SUMIF('YBN Blank TB'!$T:$T,'YBN HO P&amp;L'!$A87,'YBN Blank TB'!C:C)-SUMIF('YBN HO TB'!$T:$T,'YBN HO P&amp;L'!$A87,'YBN HO TB'!C:C)</f>
        <v/>
      </c>
      <c r="P87" s="60">
        <f>-SUMIF('YBN Blank TB'!$T:$T,'YBN HO P&amp;L'!$A87,'YBN Blank TB'!D:D)-SUMIF('YBN HO TB'!$T:$T,'YBN HO P&amp;L'!$A87,'YBN HO TB'!D:D)</f>
        <v/>
      </c>
      <c r="Q87" s="60">
        <f>-SUMIF('YBN Blank TB'!$T:$T,'YBN HO P&amp;L'!$A87,'YBN Blank TB'!E:E)-SUMIF('YBN HO TB'!$T:$T,'YBN HO P&amp;L'!$A87,'YBN HO TB'!E:E)</f>
        <v/>
      </c>
      <c r="R87" s="60">
        <f>-SUMIF('YBN Blank TB'!$T:$T,'YBN HO P&amp;L'!$A87,'YBN Blank TB'!F:F)-SUMIF('YBN HO TB'!$T:$T,'YBN HO P&amp;L'!$A87,'YBN HO TB'!F:F)</f>
        <v/>
      </c>
      <c r="S87" s="60">
        <f>-SUMIF('YBN Blank TB'!$T:$T,'YBN HO P&amp;L'!$A87,'YBN Blank TB'!G:G)-SUMIF('YBN HO TB'!$T:$T,'YBN HO P&amp;L'!$A87,'YBN HO TB'!G:G)</f>
        <v/>
      </c>
      <c r="T87" s="60">
        <f>-SUMIF('YBN Blank TB'!$T:$T,'YBN HO P&amp;L'!$A87,'YBN Blank TB'!H:H)-SUMIF('YBN HO TB'!$T:$T,'YBN HO P&amp;L'!$A87,'YBN HO TB'!H:H)</f>
        <v/>
      </c>
      <c r="U87" s="60">
        <f>-SUMIF('YBN Blank TB'!$T:$T,'YBN HO P&amp;L'!$A87,'YBN Blank TB'!I:I)-SUMIF('YBN HO TB'!$T:$T,'YBN HO P&amp;L'!$A87,'YBN HO TB'!I:I)</f>
        <v/>
      </c>
      <c r="V87" s="60">
        <f>-SUMIF('YBN Blank TB'!$T:$T,'YBN HO P&amp;L'!$A87,'YBN Blank TB'!J:J)-SUMIF('YBN HO TB'!$T:$T,'YBN HO P&amp;L'!$A87,'YBN HO TB'!J:J)</f>
        <v/>
      </c>
      <c r="W87" s="60">
        <f>-SUMIF('YBN Blank TB'!$T:$T,'YBN HO P&amp;L'!$A87,'YBN Blank TB'!K:K)-SUMIF('YBN HO TB'!$T:$T,'YBN HO P&amp;L'!$A87,'YBN HO TB'!K:K)</f>
        <v/>
      </c>
      <c r="X87" s="60">
        <f>-SUMIF('YBN Blank TB'!$T:$T,'YBN HO P&amp;L'!$A87,'YBN Blank TB'!L:L)-SUMIF('YBN HO TB'!$T:$T,'YBN HO P&amp;L'!$A87,'YBN HO TB'!L:L)</f>
        <v/>
      </c>
      <c r="Y87" s="60">
        <f>-SUMIF('YBN Blank TB'!$T:$T,'YBN HO P&amp;L'!$A87,'YBN Blank TB'!M:M)-SUMIF('YBN HO TB'!$T:$T,'YBN HO P&amp;L'!$A87,'YBN HO TB'!M:M)</f>
        <v/>
      </c>
      <c r="Z87" s="60">
        <f>-SUMIF('YBN Blank TB'!$T:$T,'YBN HO P&amp;L'!$A87,'YBN Blank TB'!N:N)-SUMIF('YBN HO TB'!$T:$T,'YBN HO P&amp;L'!$A87,'YBN HO TB'!N:N)</f>
        <v/>
      </c>
      <c r="AA87" s="8" t="n"/>
      <c r="AB87" s="8" t="n"/>
      <c r="AC87" s="8" t="n"/>
      <c r="AD87" s="8" t="n"/>
      <c r="AE87" s="8" t="n"/>
      <c r="AF87" s="8" t="n"/>
      <c r="AG87" s="8" t="n"/>
      <c r="AH87" s="8" t="n"/>
      <c r="AI87" s="134" t="n">
        <v>0</v>
      </c>
      <c r="AJ87" s="134" t="n">
        <v>0</v>
      </c>
      <c r="AK87" s="134" t="n">
        <v>0</v>
      </c>
      <c r="AL87" s="134" t="n">
        <v>0</v>
      </c>
      <c r="AM87" s="134" t="n">
        <v>0</v>
      </c>
      <c r="AN87" s="134" t="n">
        <v>0</v>
      </c>
      <c r="AO87" s="145">
        <f>SUM(AC87:AH87)+SUM(AI87:AN87)</f>
        <v/>
      </c>
      <c r="AP87" s="142">
        <f>IF(AB87&lt;&gt;0,(AO87-AB87)/ABS(AB87),0)</f>
        <v/>
      </c>
    </row>
    <row r="88" ht="15.75" customHeight="1">
      <c r="A88" s="8" t="n"/>
      <c r="B88" s="67" t="n">
        <v>-5.95</v>
      </c>
      <c r="C88" s="67" t="n">
        <v>-39.8</v>
      </c>
      <c r="D88" s="67" t="n">
        <v>-7</v>
      </c>
      <c r="E88" s="67" t="n">
        <v>-923.3000000000001</v>
      </c>
      <c r="F88" s="67" t="n">
        <v>-78.98</v>
      </c>
      <c r="G88" s="67" t="n">
        <v>-5.95</v>
      </c>
      <c r="H88" s="67" t="n">
        <v>-4.680000000000001</v>
      </c>
      <c r="I88" s="67" t="n">
        <v>-7.35</v>
      </c>
      <c r="J88" s="67" t="n">
        <v>-3.5</v>
      </c>
      <c r="K88" s="67" t="n">
        <v>-5.25</v>
      </c>
      <c r="L88" s="67" t="n">
        <v>-48.5</v>
      </c>
      <c r="M88" s="18" t="n"/>
      <c r="N88" s="8" t="n"/>
      <c r="O88" s="64">
        <f>SUM(O82:O87)</f>
        <v/>
      </c>
      <c r="P88" s="64">
        <f>SUM(P82:P87)</f>
        <v/>
      </c>
      <c r="Q88" s="64">
        <f>SUM(Q82:Q87)</f>
        <v/>
      </c>
      <c r="R88" s="64">
        <f>SUM(R82:R87)</f>
        <v/>
      </c>
      <c r="S88" s="64">
        <f>SUM(S82:S87)</f>
        <v/>
      </c>
      <c r="T88" s="64">
        <f>SUM(T82:T87)</f>
        <v/>
      </c>
      <c r="U88" s="64">
        <f>SUM(U82:U87)</f>
        <v/>
      </c>
      <c r="V88" s="64">
        <f>SUM(V82:V87)</f>
        <v/>
      </c>
      <c r="W88" s="64">
        <f>SUM(W82:W87)</f>
        <v/>
      </c>
      <c r="X88" s="64">
        <f>SUM(X82:X87)</f>
        <v/>
      </c>
      <c r="Y88" s="64">
        <f>SUM(Y82:Y87)</f>
        <v/>
      </c>
      <c r="Z88" s="64">
        <f>SUM(Z82:Z87)</f>
        <v/>
      </c>
      <c r="AA88" s="8" t="n"/>
      <c r="AB88" s="8" t="n"/>
      <c r="AC88" s="64" t="n"/>
      <c r="AD88" s="64" t="n"/>
      <c r="AE88" s="64" t="n"/>
      <c r="AF88" s="64" t="n"/>
      <c r="AG88" s="64" t="n"/>
      <c r="AH88" s="64" t="n"/>
      <c r="AI88" s="134" t="n">
        <v>0</v>
      </c>
      <c r="AJ88" s="134" t="n">
        <v>0</v>
      </c>
      <c r="AK88" s="134" t="n">
        <v>0</v>
      </c>
      <c r="AL88" s="134" t="n">
        <v>0</v>
      </c>
      <c r="AM88" s="134" t="n">
        <v>0</v>
      </c>
      <c r="AN88" s="134" t="n">
        <v>0</v>
      </c>
      <c r="AO88" s="144">
        <f>SUM(AC88:AH88)+SUM(AI88:AN88)</f>
        <v/>
      </c>
      <c r="AP88" s="142">
        <f>IF(AB88&lt;&gt;0,(AO88-AB88)/ABS(AB88),0)</f>
        <v/>
      </c>
    </row>
    <row r="89" ht="15.75" customHeight="1">
      <c r="A89" s="8" t="n"/>
      <c r="B89" s="18" t="n">
        <v>0</v>
      </c>
      <c r="C89" s="18" t="n">
        <v>0</v>
      </c>
      <c r="D89" s="18" t="n">
        <v>0</v>
      </c>
      <c r="E89" s="18" t="n">
        <v>0</v>
      </c>
      <c r="F89" s="18" t="n">
        <v>0</v>
      </c>
      <c r="G89" s="18" t="n">
        <v>0</v>
      </c>
      <c r="H89" s="18" t="n">
        <v>0</v>
      </c>
      <c r="I89" s="18" t="n">
        <v>0</v>
      </c>
      <c r="J89" s="18" t="n">
        <v>0</v>
      </c>
      <c r="K89" s="18" t="n">
        <v>0</v>
      </c>
      <c r="L89" s="18" t="n">
        <v>0</v>
      </c>
      <c r="M89" s="18" t="n">
        <v>-708.25</v>
      </c>
      <c r="N89" s="8" t="n"/>
      <c r="O89" s="60">
        <f>+O70-O88</f>
        <v/>
      </c>
      <c r="P89" s="60">
        <f>+P70-P88</f>
        <v/>
      </c>
      <c r="Q89" s="60">
        <f>+Q70-Q88</f>
        <v/>
      </c>
      <c r="R89" s="60">
        <f>+R70-R88</f>
        <v/>
      </c>
      <c r="S89" s="60">
        <f>+S70-S88</f>
        <v/>
      </c>
      <c r="T89" s="60">
        <f>+T70-T88</f>
        <v/>
      </c>
      <c r="U89" s="60">
        <f>+U70-U88</f>
        <v/>
      </c>
      <c r="V89" s="60">
        <f>+V70-V88</f>
        <v/>
      </c>
      <c r="W89" s="60">
        <f>+W70-W88</f>
        <v/>
      </c>
      <c r="X89" s="60">
        <f>+X70-X88</f>
        <v/>
      </c>
      <c r="Y89" s="60">
        <f>+Y70-Y88</f>
        <v/>
      </c>
      <c r="Z89" s="60">
        <f>+Z70-Z88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34" t="n">
        <v>0</v>
      </c>
      <c r="AJ89" s="134" t="n">
        <v>0</v>
      </c>
      <c r="AK89" s="134" t="n">
        <v>0</v>
      </c>
      <c r="AL89" s="134" t="n">
        <v>0</v>
      </c>
      <c r="AM89" s="134" t="n">
        <v>0</v>
      </c>
      <c r="AN89" s="134" t="n">
        <v>0</v>
      </c>
      <c r="AO89" s="144">
        <f>SUM(AC89:AH89)+SUM(AI89:AN89)</f>
        <v/>
      </c>
      <c r="AP89" s="142">
        <f>IF(AB89&lt;&gt;0,(AO89-AB89)/ABS(AB89),0)</f>
        <v/>
      </c>
    </row>
    <row r="90">
      <c r="A90" s="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</row>
    <row r="91">
      <c r="A91" s="8" t="n"/>
      <c r="B91" s="18" t="n">
        <v>0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0</v>
      </c>
      <c r="M91" s="18" t="n">
        <v>708.25</v>
      </c>
      <c r="N91" s="8" t="n"/>
      <c r="O91" s="60">
        <f>O88+O92</f>
        <v/>
      </c>
      <c r="P91" s="60">
        <f>P88+P92</f>
        <v/>
      </c>
      <c r="Q91" s="60">
        <f>Q88+Q92</f>
        <v/>
      </c>
      <c r="R91" s="60">
        <f>R88+R92</f>
        <v/>
      </c>
      <c r="S91" s="60">
        <f>S88+S92</f>
        <v/>
      </c>
      <c r="T91" s="60">
        <f>T88+T92</f>
        <v/>
      </c>
      <c r="U91" s="60">
        <f>U88+U92</f>
        <v/>
      </c>
      <c r="V91" s="60">
        <f>V88+V92</f>
        <v/>
      </c>
      <c r="W91" s="60">
        <f>W88+W92</f>
        <v/>
      </c>
      <c r="X91" s="60">
        <f>X88+X92</f>
        <v/>
      </c>
      <c r="Y91" s="60">
        <f>Y88+Y92</f>
        <v/>
      </c>
      <c r="Z91" s="60">
        <f>Z88+Z92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134" t="n">
        <v>0</v>
      </c>
      <c r="AJ91" s="134" t="n">
        <v>0</v>
      </c>
      <c r="AK91" s="134" t="n">
        <v>0</v>
      </c>
      <c r="AL91" s="134" t="n">
        <v>0</v>
      </c>
      <c r="AM91" s="134" t="n">
        <v>0</v>
      </c>
      <c r="AN91" s="134" t="n">
        <v>0</v>
      </c>
      <c r="AO91" s="144">
        <f>SUM(AC91:AH91)+SUM(AI91:AN91)</f>
        <v/>
      </c>
      <c r="AP91" s="142">
        <f>IF(AB91&lt;&gt;0,(AO91-AB91)/ABS(AB91),0)</f>
        <v/>
      </c>
    </row>
    <row r="92">
      <c r="A92" s="8" t="n"/>
      <c r="B92" s="18" t="n">
        <v>5.95</v>
      </c>
      <c r="C92" s="18" t="n">
        <v>39.8</v>
      </c>
      <c r="D92" s="18" t="n">
        <v>7</v>
      </c>
      <c r="E92" s="18" t="n">
        <v>923.3000000000001</v>
      </c>
      <c r="F92" s="18" t="n">
        <v>78.98</v>
      </c>
      <c r="G92" s="18" t="n">
        <v>5.95</v>
      </c>
      <c r="H92" s="18" t="n">
        <v>4.680000000000001</v>
      </c>
      <c r="I92" s="18" t="n">
        <v>7.35</v>
      </c>
      <c r="J92" s="18" t="n">
        <v>3.5</v>
      </c>
      <c r="K92" s="18" t="n">
        <v>5.25</v>
      </c>
      <c r="L92" s="18" t="n">
        <v>48.5</v>
      </c>
      <c r="M92" s="18" t="n">
        <v>708.25</v>
      </c>
      <c r="N92" s="8" t="n"/>
      <c r="O92" s="60">
        <f>SUM('YBN Blank TB'!C2:C36)+SUM('YBN HO TB'!C2:C43)</f>
        <v/>
      </c>
      <c r="P92" s="60">
        <f>SUM('YBN Blank TB'!D2:D36)+SUM('YBN HO TB'!D2:D43)</f>
        <v/>
      </c>
      <c r="Q92" s="60">
        <f>SUM('YBN Blank TB'!E2:E36)+SUM('YBN HO TB'!E2:E43)</f>
        <v/>
      </c>
      <c r="R92" s="60">
        <f>SUM('YBN Blank TB'!F2:F36)+SUM('YBN HO TB'!F2:F43)</f>
        <v/>
      </c>
      <c r="S92" s="60">
        <f>SUM('YBN Blank TB'!G2:G36)+SUM('YBN HO TB'!G2:G43)</f>
        <v/>
      </c>
      <c r="T92" s="60">
        <f>SUM('YBN Blank TB'!H2:H36)+SUM('YBN HO TB'!H2:H43)</f>
        <v/>
      </c>
      <c r="U92" s="60">
        <f>SUM('YBN Blank TB'!I2:I36)+SUM('YBN HO TB'!I2:I43)</f>
        <v/>
      </c>
      <c r="V92" s="60">
        <f>SUM('YBN Blank TB'!J2:J36)+SUM('YBN HO TB'!J2:J43)</f>
        <v/>
      </c>
      <c r="W92" s="60">
        <f>SUM('YBN Blank TB'!K2:K36)+SUM('YBN HO TB'!K2:K43)</f>
        <v/>
      </c>
      <c r="X92" s="60">
        <f>SUM('YBN Blank TB'!L2:L36)+SUM('YBN HO TB'!L2:L43)</f>
        <v/>
      </c>
      <c r="Y92" s="60">
        <f>SUM('YBN Blank TB'!M2:M36)+SUM('YBN HO TB'!M2:M43)</f>
        <v/>
      </c>
      <c r="Z92" s="60">
        <f>SUM('YBN Blank TB'!N2:N36)+SUM('YBN HO TB'!N2:N43)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134" t="n">
        <v>0</v>
      </c>
      <c r="AJ92" s="134" t="n">
        <v>0</v>
      </c>
      <c r="AK92" s="134" t="n">
        <v>0</v>
      </c>
      <c r="AL92" s="134" t="n">
        <v>0</v>
      </c>
      <c r="AM92" s="134" t="n">
        <v>0</v>
      </c>
      <c r="AN92" s="134" t="n">
        <v>0</v>
      </c>
      <c r="AO92" s="144">
        <f>SUM(AC92:AH92)+SUM(AI92:AN92)</f>
        <v/>
      </c>
      <c r="AP92" s="142">
        <f>IF(AB92&lt;&gt;0,(AO92-AB92)/ABS(AB92),0)</f>
        <v/>
      </c>
    </row>
    <row r="93">
      <c r="A93" s="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</row>
    <row r="94">
      <c r="A94" s="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</row>
    <row r="95">
      <c r="A95" s="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</row>
    <row r="96">
      <c r="A96" s="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</row>
    <row r="99">
      <c r="A99" s="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</row>
  </sheetData>
  <mergeCells count="1">
    <mergeCell ref="AI1:AQ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3.5703125" customWidth="1" min="2" max="2"/>
    <col width="11" customWidth="1" min="3" max="3"/>
    <col width="12" customWidth="1" min="4" max="4"/>
    <col width="11.5703125" customWidth="1" min="5" max="5"/>
    <col width="11.140625" customWidth="1" min="6" max="6"/>
    <col width="12" customWidth="1" min="7" max="7"/>
    <col width="11" customWidth="1" min="9" max="9"/>
    <col width="11.7109375" customWidth="1" min="10" max="10"/>
    <col width="11" customWidth="1" min="11" max="11"/>
    <col width="12" customWidth="1" min="12" max="12"/>
    <col width="18.28515625" customWidth="1" min="14" max="14"/>
    <col width="13.7109375" customWidth="1" min="15" max="15"/>
    <col width="12.85546875" customWidth="1" min="22" max="22"/>
    <col width="11.7109375" customWidth="1" min="23" max="23"/>
    <col width="12.85546875" customWidth="1" min="26" max="26"/>
    <col width="14.28515625" customWidth="1" min="27" max="27"/>
    <col width="14.42578125" customWidth="1" min="28" max="28"/>
    <col width="12.85546875" customWidth="1" min="30" max="30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Group Totals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83" t="n"/>
      <c r="W1" s="83" t="n"/>
      <c r="X1" s="83" t="n"/>
      <c r="Y1" s="83" t="n"/>
      <c r="Z1" s="83" t="n"/>
      <c r="AA1" s="6" t="n"/>
      <c r="AB1" s="6" t="n"/>
      <c r="AC1" s="84" t="n">
        <v>2027</v>
      </c>
      <c r="AD1" s="83" t="inlineStr">
        <is>
          <t>NOT COMPLETED - STRETCHED FUNDING INCOMING- NEEDS REVIEW</t>
        </is>
      </c>
      <c r="AE1" s="83" t="n"/>
      <c r="AF1" s="83" t="n"/>
      <c r="AG1" s="83" t="n"/>
      <c r="AH1" s="83" t="n"/>
      <c r="AI1" s="110" t="inlineStr">
        <is>
          <t>2027 PLAN — Jul to Dec (editable)</t>
        </is>
      </c>
    </row>
    <row r="2" ht="30" customHeight="1">
      <c r="A2" s="8" t="n"/>
      <c r="B2" s="11" t="inlineStr">
        <is>
          <t>January</t>
        </is>
      </c>
      <c r="C2" s="11" t="inlineStr">
        <is>
          <t>February</t>
        </is>
      </c>
      <c r="D2" s="11" t="inlineStr">
        <is>
          <t>March</t>
        </is>
      </c>
      <c r="E2" s="11" t="inlineStr">
        <is>
          <t>April</t>
        </is>
      </c>
      <c r="F2" s="11" t="inlineStr">
        <is>
          <t>May</t>
        </is>
      </c>
      <c r="G2" s="11" t="inlineStr">
        <is>
          <t>June</t>
        </is>
      </c>
      <c r="H2" s="11" t="inlineStr">
        <is>
          <t>July</t>
        </is>
      </c>
      <c r="I2" s="11" t="inlineStr">
        <is>
          <t>August</t>
        </is>
      </c>
      <c r="J2" s="11" t="inlineStr">
        <is>
          <t>September</t>
        </is>
      </c>
      <c r="K2" s="11" t="inlineStr">
        <is>
          <t>October</t>
        </is>
      </c>
      <c r="L2" s="11" t="inlineStr">
        <is>
          <t>November</t>
        </is>
      </c>
      <c r="M2" s="11" t="inlineStr">
        <is>
          <t>December</t>
        </is>
      </c>
      <c r="N2" s="12" t="inlineStr">
        <is>
          <t>FY2025 Totals</t>
        </is>
      </c>
      <c r="O2" s="13" t="inlineStr">
        <is>
          <t>January</t>
        </is>
      </c>
      <c r="P2" s="13" t="inlineStr">
        <is>
          <t>February</t>
        </is>
      </c>
      <c r="Q2" s="13" t="inlineStr">
        <is>
          <t>March</t>
        </is>
      </c>
      <c r="R2" s="13" t="inlineStr">
        <is>
          <t>April</t>
        </is>
      </c>
      <c r="S2" s="13" t="inlineStr">
        <is>
          <t>May</t>
        </is>
      </c>
      <c r="T2" s="13" t="inlineStr">
        <is>
          <t>June</t>
        </is>
      </c>
      <c r="U2" s="13" t="inlineStr">
        <is>
          <t>July</t>
        </is>
      </c>
      <c r="V2" s="14" t="inlineStr">
        <is>
          <t>August</t>
        </is>
      </c>
      <c r="W2" s="14" t="inlineStr">
        <is>
          <t>September</t>
        </is>
      </c>
      <c r="X2" s="14" t="inlineStr">
        <is>
          <t>October</t>
        </is>
      </c>
      <c r="Y2" s="14" t="inlineStr">
        <is>
          <t>November</t>
        </is>
      </c>
      <c r="Z2" s="14" t="inlineStr">
        <is>
          <t>December</t>
        </is>
      </c>
      <c r="AA2" s="12" t="inlineStr">
        <is>
          <t>YTD Total</t>
        </is>
      </c>
      <c r="AB2" s="15" t="inlineStr">
        <is>
          <t xml:space="preserve">FY2026 Outlook Total </t>
        </is>
      </c>
      <c r="AC2" s="14" t="inlineStr">
        <is>
          <t>January</t>
        </is>
      </c>
      <c r="AD2" s="14" t="inlineStr">
        <is>
          <t>February</t>
        </is>
      </c>
      <c r="AE2" s="14" t="inlineStr">
        <is>
          <t>March</t>
        </is>
      </c>
      <c r="AF2" s="14" t="inlineStr">
        <is>
          <t>April</t>
        </is>
      </c>
      <c r="AG2" s="14" t="inlineStr">
        <is>
          <t>May</t>
        </is>
      </c>
      <c r="AH2" s="14" t="inlineStr">
        <is>
          <t>June</t>
        </is>
      </c>
      <c r="AI2" s="111" t="inlineStr">
        <is>
          <t>Jul</t>
        </is>
      </c>
      <c r="AJ2" s="112" t="inlineStr">
        <is>
          <t>Aug</t>
        </is>
      </c>
      <c r="AK2" s="112" t="inlineStr">
        <is>
          <t>Sep</t>
        </is>
      </c>
      <c r="AL2" s="112" t="inlineStr">
        <is>
          <t>Oct</t>
        </is>
      </c>
      <c r="AM2" s="112" t="inlineStr">
        <is>
          <t>Nov</t>
        </is>
      </c>
      <c r="AN2" s="114" t="inlineStr">
        <is>
          <t>Dec</t>
        </is>
      </c>
      <c r="AO2" s="115" t="inlineStr">
        <is>
          <t>FY2027
Plan</t>
        </is>
      </c>
      <c r="AP2" s="116" t="inlineStr">
        <is>
          <t>vs 2026
Outlook</t>
        </is>
      </c>
      <c r="AQ2" s="117" t="inlineStr">
        <is>
          <t>vs £1.3m
Target</t>
        </is>
      </c>
    </row>
    <row r="3">
      <c r="A3" s="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9" t="n"/>
      <c r="O3" s="8" t="n"/>
      <c r="P3" s="8" t="n"/>
      <c r="Q3" s="8" t="n"/>
      <c r="R3" s="8" t="n"/>
      <c r="S3" s="8" t="n"/>
      <c r="T3" s="8" t="n"/>
      <c r="U3" s="8" t="n"/>
      <c r="V3" s="20" t="n"/>
      <c r="W3" s="20" t="n"/>
      <c r="X3" s="20" t="n"/>
      <c r="Y3" s="20" t="n"/>
      <c r="Z3" s="20" t="n"/>
      <c r="AA3" s="19" t="n"/>
      <c r="AB3" s="19" t="n"/>
      <c r="AC3" s="20" t="n"/>
      <c r="AD3" s="20" t="n"/>
      <c r="AE3" s="20" t="n"/>
      <c r="AF3" s="20" t="n"/>
      <c r="AG3" s="20" t="n"/>
      <c r="AH3" s="20" t="n"/>
      <c r="AI3" s="8" t="n"/>
      <c r="AJ3" s="19" t="n"/>
      <c r="AK3" s="19" t="n"/>
      <c r="AL3" s="19" t="n"/>
      <c r="AM3" s="19" t="n"/>
      <c r="AN3" s="8" t="n"/>
      <c r="AO3" s="89" t="n"/>
      <c r="AP3" s="89" t="n"/>
    </row>
    <row r="4">
      <c r="A4" s="22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  <c r="O4" s="25" t="n"/>
      <c r="P4" s="25" t="n"/>
      <c r="Q4" s="25" t="n"/>
      <c r="R4" s="25" t="n"/>
      <c r="S4" s="25" t="n"/>
      <c r="T4" s="25" t="n"/>
      <c r="U4" s="25" t="n"/>
      <c r="V4" s="26" t="n"/>
      <c r="W4" s="26" t="n"/>
      <c r="X4" s="26" t="n"/>
      <c r="Y4" s="26" t="n"/>
      <c r="Z4" s="26" t="n"/>
      <c r="AA4" s="24" t="n"/>
      <c r="AB4" s="24" t="n"/>
      <c r="AC4" s="26" t="n"/>
      <c r="AD4" s="26" t="n"/>
      <c r="AE4" s="26" t="n"/>
      <c r="AF4" s="26" t="n"/>
      <c r="AG4" s="26" t="n"/>
      <c r="AH4" s="26" t="n"/>
      <c r="AI4" s="8" t="n"/>
      <c r="AJ4" s="24" t="n"/>
      <c r="AK4" s="24" t="n"/>
      <c r="AL4" s="24" t="n"/>
      <c r="AM4" s="24" t="n"/>
      <c r="AN4" s="25" t="n"/>
      <c r="AO4" s="90" t="n"/>
      <c r="AP4" s="90" t="n"/>
    </row>
    <row r="5" ht="15" customHeight="1">
      <c r="A5" s="22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  <c r="O5" s="25" t="n"/>
      <c r="P5" s="25" t="n"/>
      <c r="Q5" s="25" t="n"/>
      <c r="R5" s="25" t="n"/>
      <c r="S5" s="25" t="n"/>
      <c r="T5" s="25" t="n"/>
      <c r="U5" s="25" t="n"/>
      <c r="V5" s="26" t="n"/>
      <c r="W5" s="26" t="n"/>
      <c r="X5" s="26" t="n"/>
      <c r="Y5" s="26" t="n"/>
      <c r="Z5" s="26" t="n"/>
      <c r="AA5" s="24" t="n"/>
      <c r="AB5" s="24" t="n"/>
      <c r="AC5" s="26" t="n"/>
      <c r="AD5" s="26" t="n"/>
      <c r="AE5" s="26" t="n"/>
      <c r="AF5" s="26" t="n"/>
      <c r="AG5" s="26" t="n"/>
      <c r="AH5" s="26" t="n"/>
      <c r="AI5" s="8" t="n"/>
      <c r="AJ5" s="24" t="n"/>
      <c r="AK5" s="24" t="n"/>
      <c r="AL5" s="24" t="n"/>
      <c r="AM5" s="24" t="n"/>
      <c r="AN5" s="25" t="n"/>
      <c r="AO5" s="90" t="n"/>
      <c r="AP5" s="90" t="n"/>
    </row>
    <row r="6">
      <c r="A6" s="28" t="inlineStr">
        <is>
          <t>INCOME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30" t="n"/>
      <c r="O6" s="31" t="n"/>
      <c r="P6" s="31" t="n"/>
      <c r="Q6" s="31" t="n"/>
      <c r="R6" s="31" t="n"/>
      <c r="S6" s="31" t="n"/>
      <c r="T6" s="31" t="n"/>
      <c r="U6" s="31" t="n"/>
      <c r="V6" s="32" t="n"/>
      <c r="W6" s="32" t="n"/>
      <c r="X6" s="32" t="n"/>
      <c r="Y6" s="32" t="n"/>
      <c r="Z6" s="32" t="n"/>
      <c r="AA6" s="30" t="n"/>
      <c r="AB6" s="30" t="n"/>
      <c r="AC6" s="32" t="n"/>
      <c r="AD6" s="32" t="n"/>
      <c r="AE6" s="32" t="n"/>
      <c r="AF6" s="32" t="n"/>
      <c r="AG6" s="32" t="n"/>
      <c r="AH6" s="32" t="n"/>
      <c r="AI6" s="8" t="n"/>
      <c r="AJ6" s="30" t="n"/>
      <c r="AK6" s="30" t="n"/>
      <c r="AL6" s="30" t="n"/>
      <c r="AM6" s="30" t="n"/>
      <c r="AN6" s="31" t="n"/>
      <c r="AO6" s="91" t="n"/>
      <c r="AP6" s="91" t="n"/>
    </row>
    <row r="7">
      <c r="A7" s="8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  <c r="O7" s="25" t="n"/>
      <c r="P7" s="25" t="n"/>
      <c r="Q7" s="25" t="n"/>
      <c r="R7" s="25" t="n"/>
      <c r="S7" s="25" t="n"/>
      <c r="T7" s="25" t="n"/>
      <c r="U7" s="25" t="n"/>
      <c r="V7" s="26" t="n"/>
      <c r="W7" s="26" t="n"/>
      <c r="X7" s="26" t="n"/>
      <c r="Y7" s="26" t="n"/>
      <c r="Z7" s="26" t="n"/>
      <c r="AA7" s="24" t="n"/>
      <c r="AB7" s="24" t="n"/>
      <c r="AC7" s="26" t="n"/>
      <c r="AD7" s="26" t="n"/>
      <c r="AE7" s="26" t="n"/>
      <c r="AF7" s="26" t="n"/>
      <c r="AG7" s="26" t="n"/>
      <c r="AH7" s="26" t="n"/>
      <c r="AI7" s="8" t="n"/>
      <c r="AJ7" s="24" t="n"/>
      <c r="AK7" s="24" t="n"/>
      <c r="AL7" s="24" t="n"/>
      <c r="AM7" s="24" t="n"/>
      <c r="AN7" s="25" t="n"/>
      <c r="AO7" s="90" t="n"/>
      <c r="AP7" s="90" t="n"/>
    </row>
    <row r="8">
      <c r="A8" s="34" t="inlineStr">
        <is>
          <t>Fee Income Regular</t>
        </is>
      </c>
      <c r="B8" s="35" t="n">
        <v>647715.77</v>
      </c>
      <c r="C8" s="35" t="n">
        <v>594448.1800000001</v>
      </c>
      <c r="D8" s="35" t="n">
        <v>695801.55</v>
      </c>
      <c r="E8" s="35" t="n">
        <v>784658.2799999998</v>
      </c>
      <c r="F8" s="35" t="n">
        <v>675656.28</v>
      </c>
      <c r="G8" s="35" t="n">
        <v>654597.29</v>
      </c>
      <c r="H8" s="35" t="n">
        <v>849228.45</v>
      </c>
      <c r="I8" s="35" t="n">
        <v>716505.1899999999</v>
      </c>
      <c r="J8" s="35" t="n">
        <v>551179.66</v>
      </c>
      <c r="K8" s="35" t="n">
        <v>547817.34</v>
      </c>
      <c r="L8" s="35" t="n">
        <v>484059.63</v>
      </c>
      <c r="M8" s="35" t="n">
        <v>655079.4399999999</v>
      </c>
      <c r="N8" s="36">
        <f>SUM(B8:M8)</f>
        <v/>
      </c>
      <c r="O8" s="37">
        <f>-SUMIF('Group TB '!$R:$R,'GROUP TOTALS MONTHLY P&amp;L'!$A8,'Group TB '!C:C)</f>
        <v/>
      </c>
      <c r="P8" s="37">
        <f>-SUMIF('Group TB '!$R:$R,'GROUP TOTALS MONTHLY P&amp;L'!$A8,'Group TB '!D:D)</f>
        <v/>
      </c>
      <c r="Q8" s="37">
        <f>-SUMIF('Group TB '!$R:$R,'GROUP TOTALS MONTHLY P&amp;L'!$A8,'Group TB '!E:E)</f>
        <v/>
      </c>
      <c r="R8" s="37">
        <f>-SUMIF('Group TB '!$R:$R,'GROUP TOTALS MONTHLY P&amp;L'!$A8,'Group TB '!F:F)</f>
        <v/>
      </c>
      <c r="S8" s="37">
        <f>-SUMIF('Group TB '!$R:$R,'GROUP TOTALS MONTHLY P&amp;L'!$A8,'Group TB '!G:G)</f>
        <v/>
      </c>
      <c r="T8" s="37">
        <f>-SUMIF('Group TB '!$R:$R,'GROUP TOTALS MONTHLY P&amp;L'!$A8,'Group TB '!H:H)</f>
        <v/>
      </c>
      <c r="U8" s="37">
        <f>-SUMIF('Group TB '!$R:$R,'GROUP TOTALS MONTHLY P&amp;L'!$A8,'Group TB '!I:I)</f>
        <v/>
      </c>
      <c r="V8" s="38">
        <f>'KNL GROUP P&amp;L'!V8+'CCL GROUP P&amp;L'!V8+'YBHN GROUP P&amp;L'!V8+'YBN Group P&amp;L'!V8+'HAB P&amp;L'!V8+'Moe2 P&amp;L'!V8</f>
        <v/>
      </c>
      <c r="W8" s="38">
        <f>'KNL GROUP P&amp;L'!W8+'CCL GROUP P&amp;L'!W8+'YBHN GROUP P&amp;L'!W8+'YBN Group P&amp;L'!W8+'HAB P&amp;L'!W8+'Moe2 P&amp;L'!W8</f>
        <v/>
      </c>
      <c r="X8" s="38">
        <f>'KNL GROUP P&amp;L'!X8+'CCL GROUP P&amp;L'!X8+'YBHN GROUP P&amp;L'!X8+'YBN Group P&amp;L'!X8+'HAB P&amp;L'!X8+'Moe2 P&amp;L'!X8</f>
        <v/>
      </c>
      <c r="Y8" s="38">
        <f>'KNL GROUP P&amp;L'!Y8+'CCL GROUP P&amp;L'!Y8+'YBHN GROUP P&amp;L'!Y8+'YBN Group P&amp;L'!Y8+'HAB P&amp;L'!Y8+'Moe2 P&amp;L'!Y8</f>
        <v/>
      </c>
      <c r="Z8" s="38">
        <f>'KNL GROUP P&amp;L'!Z8+'CCL GROUP P&amp;L'!Z8+'YBHN GROUP P&amp;L'!Z8+'YBN Group P&amp;L'!Z8+'HAB P&amp;L'!Z8+'Moe2 P&amp;L'!Z8</f>
        <v/>
      </c>
      <c r="AA8" s="36">
        <f>SUM(O8:U8)</f>
        <v/>
      </c>
      <c r="AB8" s="36">
        <f>SUM(O8:Z8)</f>
        <v/>
      </c>
      <c r="AC8" s="38">
        <f>'KNL GROUP P&amp;L'!AC8+'CCL GROUP P&amp;L'!AC8+'YBHN GROUP P&amp;L'!AC8+'YBN Group P&amp;L'!AC8+'HAB P&amp;L'!AC8+'Moe2 P&amp;L'!AC8</f>
        <v/>
      </c>
      <c r="AD8" s="38">
        <f>'KNL GROUP P&amp;L'!AD8+'CCL GROUP P&amp;L'!AD8+'YBHN GROUP P&amp;L'!AD8+'YBN Group P&amp;L'!AD8+'HAB P&amp;L'!AD8+'Moe2 P&amp;L'!AD8</f>
        <v/>
      </c>
      <c r="AE8" s="38">
        <f>'KNL GROUP P&amp;L'!AE8+'CCL GROUP P&amp;L'!AE8+'YBHN GROUP P&amp;L'!AE8+'YBN Group P&amp;L'!AE8+'HAB P&amp;L'!AE8+'Moe2 P&amp;L'!AE8</f>
        <v/>
      </c>
      <c r="AF8" s="38">
        <f>'KNL GROUP P&amp;L'!AF8+'CCL GROUP P&amp;L'!AF8+'YBHN GROUP P&amp;L'!AF8+'YBN Group P&amp;L'!AF8+'HAB P&amp;L'!AF8+'Moe2 P&amp;L'!AF8</f>
        <v/>
      </c>
      <c r="AG8" s="38">
        <f>'KNL GROUP P&amp;L'!AG8+'CCL GROUP P&amp;L'!AG8+'YBHN GROUP P&amp;L'!AG8+'YBN Group P&amp;L'!AG8+'HAB P&amp;L'!AG8+'Moe2 P&amp;L'!AG8</f>
        <v/>
      </c>
      <c r="AH8" s="38">
        <f>'KNL GROUP P&amp;L'!AH8+'CCL GROUP P&amp;L'!AH8+'YBHN GROUP P&amp;L'!AH8+'YBN Group P&amp;L'!AH8+'HAB P&amp;L'!AH8+'Moe2 P&amp;L'!AH8</f>
        <v/>
      </c>
      <c r="AI8" s="118" t="n">
        <v>0</v>
      </c>
      <c r="AJ8" s="119" t="n">
        <v>0</v>
      </c>
      <c r="AK8" s="119" t="n">
        <v>0</v>
      </c>
      <c r="AL8" s="119" t="n">
        <v>0</v>
      </c>
      <c r="AM8" s="119" t="n">
        <v>0</v>
      </c>
      <c r="AN8" s="118" t="n">
        <v>0</v>
      </c>
      <c r="AO8" s="121">
        <f>SUM(AC8:AH8)+SUM(AI8:AN8)</f>
        <v/>
      </c>
      <c r="AP8" s="122">
        <f>IF(AB8&lt;&gt;0,(AO8-AB8)/ABS(AB8),0)</f>
        <v/>
      </c>
    </row>
    <row r="9">
      <c r="A9" s="34" t="inlineStr">
        <is>
          <t>EEEF Embeded</t>
        </is>
      </c>
      <c r="B9" s="35" t="n">
        <v>212506</v>
      </c>
      <c r="C9" s="35" t="n">
        <v>307925.86</v>
      </c>
      <c r="D9" s="35" t="n">
        <v>375959.43</v>
      </c>
      <c r="E9" s="35" t="n">
        <v>178590.14</v>
      </c>
      <c r="F9" s="35" t="n">
        <v>178590.06</v>
      </c>
      <c r="G9" s="35" t="n">
        <v>323527.77</v>
      </c>
      <c r="H9" s="35" t="n">
        <v>437878.41</v>
      </c>
      <c r="I9" s="35" t="n">
        <v>0</v>
      </c>
      <c r="J9" s="35" t="n">
        <v>209701.09</v>
      </c>
      <c r="K9" s="35" t="n">
        <v>247373.69</v>
      </c>
      <c r="L9" s="35" t="n">
        <v>461711.13</v>
      </c>
      <c r="M9" s="35" t="n">
        <v>507534.39</v>
      </c>
      <c r="N9" s="36">
        <f>SUM(B9:M9)</f>
        <v/>
      </c>
      <c r="O9" s="37">
        <f>-SUMIF('Group TB '!$R:$R,'GROUP TOTALS MONTHLY P&amp;L'!$A9,'Group TB '!C:C)</f>
        <v/>
      </c>
      <c r="P9" s="37">
        <f>-SUMIF('Group TB '!$R:$R,'GROUP TOTALS MONTHLY P&amp;L'!$A9,'Group TB '!D:D)</f>
        <v/>
      </c>
      <c r="Q9" s="37">
        <f>-SUMIF('Group TB '!$R:$R,'GROUP TOTALS MONTHLY P&amp;L'!$A9,'Group TB '!E:E)</f>
        <v/>
      </c>
      <c r="R9" s="37">
        <f>-SUMIF('Group TB '!$R:$R,'GROUP TOTALS MONTHLY P&amp;L'!$A9,'Group TB '!F:F)</f>
        <v/>
      </c>
      <c r="S9" s="37">
        <f>-SUMIF('Group TB '!$R:$R,'GROUP TOTALS MONTHLY P&amp;L'!$A9,'Group TB '!G:G)</f>
        <v/>
      </c>
      <c r="T9" s="37">
        <f>-SUMIF('Group TB '!$R:$R,'GROUP TOTALS MONTHLY P&amp;L'!$A9,'Group TB '!H:H)</f>
        <v/>
      </c>
      <c r="U9" s="37">
        <f>-SUMIF('Group TB '!$R:$R,'GROUP TOTALS MONTHLY P&amp;L'!$A9,'Group TB '!I:I)</f>
        <v/>
      </c>
      <c r="V9" s="38">
        <f>'KNL GROUP P&amp;L'!V9+'CCL GROUP P&amp;L'!V9+'YBHN GROUP P&amp;L'!V9+'YBN Group P&amp;L'!V9+'HAB P&amp;L'!V9+'Moe2 P&amp;L'!V9</f>
        <v/>
      </c>
      <c r="W9" s="38">
        <f>'KNL GROUP P&amp;L'!W9+'CCL GROUP P&amp;L'!W9+'YBHN GROUP P&amp;L'!W9+'YBN Group P&amp;L'!W9+'HAB P&amp;L'!W9+'Moe2 P&amp;L'!W9</f>
        <v/>
      </c>
      <c r="X9" s="38">
        <f>'KNL GROUP P&amp;L'!X9+'CCL GROUP P&amp;L'!X9+'YBHN GROUP P&amp;L'!X9+'YBN Group P&amp;L'!X9+'HAB P&amp;L'!X9+'Moe2 P&amp;L'!X9</f>
        <v/>
      </c>
      <c r="Y9" s="38">
        <f>'KNL GROUP P&amp;L'!Y9+'CCL GROUP P&amp;L'!Y9+'YBHN GROUP P&amp;L'!Y9+'YBN Group P&amp;L'!Y9+'HAB P&amp;L'!Y9+'Moe2 P&amp;L'!Y9</f>
        <v/>
      </c>
      <c r="Z9" s="38">
        <f>'KNL GROUP P&amp;L'!Z9+'CCL GROUP P&amp;L'!Z9+'YBHN GROUP P&amp;L'!Z9+'YBN Group P&amp;L'!Z9+'HAB P&amp;L'!Z9+'Moe2 P&amp;L'!Z9</f>
        <v/>
      </c>
      <c r="AA9" s="36">
        <f>SUM(O9:U9)</f>
        <v/>
      </c>
      <c r="AB9" s="36">
        <f>SUM(O9:Z9)</f>
        <v/>
      </c>
      <c r="AC9" s="38">
        <f>'KNL GROUP P&amp;L'!AC9+'CCL GROUP P&amp;L'!AC9+'YBHN GROUP P&amp;L'!AC9+'YBN Group P&amp;L'!AC9+'HAB P&amp;L'!AC9+'Moe2 P&amp;L'!AC9</f>
        <v/>
      </c>
      <c r="AD9" s="38">
        <f>'KNL GROUP P&amp;L'!AD9+'CCL GROUP P&amp;L'!AD9+'YBHN GROUP P&amp;L'!AD9+'YBN Group P&amp;L'!AD9+'HAB P&amp;L'!AD9+'Moe2 P&amp;L'!AD9</f>
        <v/>
      </c>
      <c r="AE9" s="38">
        <f>'KNL GROUP P&amp;L'!AE9+'CCL GROUP P&amp;L'!AE9+'YBHN GROUP P&amp;L'!AE9+'YBN Group P&amp;L'!AE9+'HAB P&amp;L'!AE9+'Moe2 P&amp;L'!AE9</f>
        <v/>
      </c>
      <c r="AF9" s="38">
        <f>'KNL GROUP P&amp;L'!AF9+'CCL GROUP P&amp;L'!AF9+'YBHN GROUP P&amp;L'!AF9+'YBN Group P&amp;L'!AF9+'HAB P&amp;L'!AF9+'Moe2 P&amp;L'!AF9</f>
        <v/>
      </c>
      <c r="AG9" s="38">
        <f>'KNL GROUP P&amp;L'!AG9+'CCL GROUP P&amp;L'!AG9+'YBHN GROUP P&amp;L'!AG9+'YBN Group P&amp;L'!AG9+'HAB P&amp;L'!AG9+'Moe2 P&amp;L'!AG9</f>
        <v/>
      </c>
      <c r="AH9" s="38">
        <f>'KNL GROUP P&amp;L'!AH9+'CCL GROUP P&amp;L'!AH9+'YBHN GROUP P&amp;L'!AH9+'YBN Group P&amp;L'!AH9+'HAB P&amp;L'!AH9+'Moe2 P&amp;L'!AH9</f>
        <v/>
      </c>
      <c r="AI9" s="118" t="n">
        <v>0</v>
      </c>
      <c r="AJ9" s="119" t="n">
        <v>0</v>
      </c>
      <c r="AK9" s="119" t="n">
        <v>0</v>
      </c>
      <c r="AL9" s="119" t="n">
        <v>0</v>
      </c>
      <c r="AM9" s="119" t="n">
        <v>0</v>
      </c>
      <c r="AN9" s="118" t="n">
        <v>0</v>
      </c>
      <c r="AO9" s="121">
        <f>SUM(AC9:AH9)+SUM(AI9:AN9)</f>
        <v/>
      </c>
      <c r="AP9" s="122">
        <f>IF(AB9&lt;&gt;0,(AO9-AB9)/ABS(AB9),0)</f>
        <v/>
      </c>
    </row>
    <row r="10" ht="15.75" customHeight="1">
      <c r="A10" s="34" t="inlineStr">
        <is>
          <t>Other Income</t>
        </is>
      </c>
      <c r="B10" s="35" t="n">
        <v>2306.25</v>
      </c>
      <c r="C10" s="35" t="n">
        <v>950</v>
      </c>
      <c r="D10" s="35" t="n">
        <v>1785</v>
      </c>
      <c r="E10" s="35" t="n">
        <v>2573.34</v>
      </c>
      <c r="F10" s="35" t="n">
        <v>1650</v>
      </c>
      <c r="G10" s="35" t="n">
        <v>3786.01</v>
      </c>
      <c r="H10" s="35" t="n">
        <v>2072.69</v>
      </c>
      <c r="I10" s="35" t="n">
        <v>48269.93</v>
      </c>
      <c r="J10" s="35" t="n">
        <v>2050.57</v>
      </c>
      <c r="K10" s="35" t="n">
        <v>1175</v>
      </c>
      <c r="L10" s="35" t="n">
        <v>1780.24</v>
      </c>
      <c r="M10" s="35" t="n">
        <v>5624.13</v>
      </c>
      <c r="N10" s="36">
        <f>SUM(B10:M10)</f>
        <v/>
      </c>
      <c r="O10" s="37">
        <f>-SUMIF('Group TB '!$R:$R,'GROUP TOTALS MONTHLY P&amp;L'!$A10,'Group TB '!C:C)</f>
        <v/>
      </c>
      <c r="P10" s="37">
        <f>-SUMIF('Group TB '!$R:$R,'GROUP TOTALS MONTHLY P&amp;L'!$A10,'Group TB '!D:D)</f>
        <v/>
      </c>
      <c r="Q10" s="37">
        <f>-SUMIF('Group TB '!$R:$R,'GROUP TOTALS MONTHLY P&amp;L'!$A10,'Group TB '!E:E)</f>
        <v/>
      </c>
      <c r="R10" s="37">
        <f>-SUMIF('Group TB '!$R:$R,'GROUP TOTALS MONTHLY P&amp;L'!$A10,'Group TB '!F:F)</f>
        <v/>
      </c>
      <c r="S10" s="37">
        <f>-SUMIF('Group TB '!$R:$R,'GROUP TOTALS MONTHLY P&amp;L'!$A10,'Group TB '!G:G)</f>
        <v/>
      </c>
      <c r="T10" s="37">
        <f>-SUMIF('Group TB '!$R:$R,'GROUP TOTALS MONTHLY P&amp;L'!$A10,'Group TB '!H:H)</f>
        <v/>
      </c>
      <c r="U10" s="37">
        <f>-SUMIF('Group TB '!$R:$R,'GROUP TOTALS MONTHLY P&amp;L'!$A10,'Group TB '!I:I)</f>
        <v/>
      </c>
      <c r="V10" s="38">
        <f>'KNL GROUP P&amp;L'!V10+'CCL GROUP P&amp;L'!V10+'YBHN GROUP P&amp;L'!V10+'YBN Group P&amp;L'!V10+'HAB P&amp;L'!V10+'Moe2 P&amp;L'!V10</f>
        <v/>
      </c>
      <c r="W10" s="38">
        <f>'KNL GROUP P&amp;L'!W10+'CCL GROUP P&amp;L'!W10+'YBHN GROUP P&amp;L'!W10+'YBN Group P&amp;L'!W10+'HAB P&amp;L'!W10+'Moe2 P&amp;L'!W10</f>
        <v/>
      </c>
      <c r="X10" s="38">
        <f>'KNL GROUP P&amp;L'!X10+'CCL GROUP P&amp;L'!X10+'YBHN GROUP P&amp;L'!X10+'YBN Group P&amp;L'!X10+'HAB P&amp;L'!X10+'Moe2 P&amp;L'!X10</f>
        <v/>
      </c>
      <c r="Y10" s="38">
        <f>'KNL GROUP P&amp;L'!Y10+'CCL GROUP P&amp;L'!Y10+'YBHN GROUP P&amp;L'!Y10+'YBN Group P&amp;L'!Y10+'HAB P&amp;L'!Y10+'Moe2 P&amp;L'!Y10</f>
        <v/>
      </c>
      <c r="Z10" s="38">
        <f>'KNL GROUP P&amp;L'!Z10+'CCL GROUP P&amp;L'!Z10+'YBHN GROUP P&amp;L'!Z10+'YBN Group P&amp;L'!Z10+'HAB P&amp;L'!Z10+'Moe2 P&amp;L'!Z10</f>
        <v/>
      </c>
      <c r="AA10" s="36">
        <f>SUM(O10:U10)</f>
        <v/>
      </c>
      <c r="AB10" s="36">
        <f>SUM(O10:Z10)</f>
        <v/>
      </c>
      <c r="AC10" s="38">
        <f>'KNL GROUP P&amp;L'!AC10+'CCL GROUP P&amp;L'!AC10+'YBHN GROUP P&amp;L'!AC10+'YBN Group P&amp;L'!AC10+'HAB P&amp;L'!AC10+'Moe2 P&amp;L'!AC10</f>
        <v/>
      </c>
      <c r="AD10" s="38">
        <f>'KNL GROUP P&amp;L'!AD10+'CCL GROUP P&amp;L'!AD10+'YBHN GROUP P&amp;L'!AD10+'YBN Group P&amp;L'!AD10+'HAB P&amp;L'!AD10+'Moe2 P&amp;L'!AD10</f>
        <v/>
      </c>
      <c r="AE10" s="38">
        <f>'KNL GROUP P&amp;L'!AE10+'CCL GROUP P&amp;L'!AE10+'YBHN GROUP P&amp;L'!AE10+'YBN Group P&amp;L'!AE10+'HAB P&amp;L'!AE10+'Moe2 P&amp;L'!AE10</f>
        <v/>
      </c>
      <c r="AF10" s="38">
        <f>'KNL GROUP P&amp;L'!AF10+'CCL GROUP P&amp;L'!AF10+'YBHN GROUP P&amp;L'!AF10+'YBN Group P&amp;L'!AF10+'HAB P&amp;L'!AF10+'Moe2 P&amp;L'!AF10</f>
        <v/>
      </c>
      <c r="AG10" s="38">
        <f>'KNL GROUP P&amp;L'!AG10+'CCL GROUP P&amp;L'!AG10+'YBHN GROUP P&amp;L'!AG10+'YBN Group P&amp;L'!AG10+'HAB P&amp;L'!AG10+'Moe2 P&amp;L'!AG10</f>
        <v/>
      </c>
      <c r="AH10" s="38">
        <f>'KNL GROUP P&amp;L'!AH10+'CCL GROUP P&amp;L'!AH10+'YBHN GROUP P&amp;L'!AH10+'YBN Group P&amp;L'!AH10+'HAB P&amp;L'!AH10+'Moe2 P&amp;L'!AH10</f>
        <v/>
      </c>
      <c r="AI10" s="118" t="n">
        <v>0</v>
      </c>
      <c r="AJ10" s="119" t="n">
        <v>0</v>
      </c>
      <c r="AK10" s="119" t="n">
        <v>0</v>
      </c>
      <c r="AL10" s="119" t="n">
        <v>0</v>
      </c>
      <c r="AM10" s="119" t="n">
        <v>0</v>
      </c>
      <c r="AN10" s="118" t="n">
        <v>0</v>
      </c>
      <c r="AO10" s="121">
        <f>SUM(AC10:AH10)+SUM(AI10:AN10)</f>
        <v/>
      </c>
      <c r="AP10" s="122">
        <f>IF(AB10&lt;&gt;0,(AO10-AB10)/ABS(AB10),0)</f>
        <v/>
      </c>
    </row>
    <row r="11" ht="15.75" customHeight="1">
      <c r="A11" s="41" t="inlineStr">
        <is>
          <t>Total Income</t>
        </is>
      </c>
      <c r="B11" s="42" t="n">
        <v>862528.02</v>
      </c>
      <c r="C11" s="42" t="n">
        <v>903324.04</v>
      </c>
      <c r="D11" s="42" t="n">
        <v>1073545.98</v>
      </c>
      <c r="E11" s="42" t="n">
        <v>965821.7599999998</v>
      </c>
      <c r="F11" s="42" t="n">
        <v>855896.3400000001</v>
      </c>
      <c r="G11" s="42" t="n">
        <v>981911.0700000001</v>
      </c>
      <c r="H11" s="42" t="n">
        <v>1289179.55</v>
      </c>
      <c r="I11" s="42" t="n">
        <v>764775.12</v>
      </c>
      <c r="J11" s="42" t="n">
        <v>762931.3199999999</v>
      </c>
      <c r="K11" s="42" t="n">
        <v>796366.03</v>
      </c>
      <c r="L11" s="42" t="n">
        <v>947551</v>
      </c>
      <c r="M11" s="42" t="n">
        <v>1168237.96</v>
      </c>
      <c r="N11" s="43">
        <f>SUM(B11:M11)</f>
        <v/>
      </c>
      <c r="O11" s="44">
        <f>SUM(O8:O10)</f>
        <v/>
      </c>
      <c r="P11" s="44">
        <f>SUM(P8:P10)</f>
        <v/>
      </c>
      <c r="Q11" s="44">
        <f>SUM(Q8:Q10)</f>
        <v/>
      </c>
      <c r="R11" s="44">
        <f>SUM(R8:R10)</f>
        <v/>
      </c>
      <c r="S11" s="44">
        <f>SUM(S8:S10)</f>
        <v/>
      </c>
      <c r="T11" s="44">
        <f>SUM(T8:T10)</f>
        <v/>
      </c>
      <c r="U11" s="44">
        <f>SUM(U8:U10)</f>
        <v/>
      </c>
      <c r="V11" s="45">
        <f>SUM(V8:V10)</f>
        <v/>
      </c>
      <c r="W11" s="45">
        <f>SUM(W8:W10)</f>
        <v/>
      </c>
      <c r="X11" s="45">
        <f>SUM(X8:X10)</f>
        <v/>
      </c>
      <c r="Y11" s="45">
        <f>SUM(Y8:Y10)</f>
        <v/>
      </c>
      <c r="Z11" s="45">
        <f>SUM(Z8:Z10)</f>
        <v/>
      </c>
      <c r="AA11" s="43">
        <f>SUM(O11:U11)</f>
        <v/>
      </c>
      <c r="AB11" s="43">
        <f>SUM(AB8:AB10)</f>
        <v/>
      </c>
      <c r="AC11" s="45">
        <f>SUM(AC8:AC10)</f>
        <v/>
      </c>
      <c r="AD11" s="45">
        <f>SUM(AD8:AD10)</f>
        <v/>
      </c>
      <c r="AE11" s="45">
        <f>SUM(AE8:AE10)</f>
        <v/>
      </c>
      <c r="AF11" s="45">
        <f>SUM(AF8:AF10)</f>
        <v/>
      </c>
      <c r="AG11" s="45">
        <f>SUM(AG8:AG10)</f>
        <v/>
      </c>
      <c r="AH11" s="45">
        <f>SUM(AH8:AH10)</f>
        <v/>
      </c>
      <c r="AI11" s="123">
        <f>SUM(AI8:AI10)</f>
        <v/>
      </c>
      <c r="AJ11" s="124">
        <f>SUM(AJ8:AJ10)</f>
        <v/>
      </c>
      <c r="AK11" s="124">
        <f>SUM(AK8:AK10)</f>
        <v/>
      </c>
      <c r="AL11" s="124">
        <f>SUM(AL8:AL10)</f>
        <v/>
      </c>
      <c r="AM11" s="124">
        <f>SUM(AM8:AM10)</f>
        <v/>
      </c>
      <c r="AN11" s="123">
        <f>SUM(AN8:AN10)</f>
        <v/>
      </c>
      <c r="AO11" s="125">
        <f>SUM(AC11:AH11)+SUM(AI11:AN11)</f>
        <v/>
      </c>
      <c r="AP11" s="126">
        <f>IF(AB11&lt;&gt;0,(AO11-AB11)/ABS(AB11),0)</f>
        <v/>
      </c>
    </row>
    <row r="12">
      <c r="A12" s="28" t="inlineStr">
        <is>
          <t>DIRECTCOSTS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36" t="n"/>
      <c r="O12" s="31" t="n"/>
      <c r="P12" s="31" t="n"/>
      <c r="Q12" s="31" t="n"/>
      <c r="R12" s="31" t="n"/>
      <c r="S12" s="31" t="n"/>
      <c r="T12" s="31" t="n"/>
      <c r="U12" s="31" t="n"/>
      <c r="V12" s="32" t="n"/>
      <c r="W12" s="32" t="n"/>
      <c r="X12" s="32" t="n"/>
      <c r="Y12" s="32" t="n"/>
      <c r="Z12" s="32" t="n"/>
      <c r="AA12" s="36">
        <f>SUM(O12:U12)</f>
        <v/>
      </c>
      <c r="AB12" s="36" t="n"/>
      <c r="AC12" s="32">
        <f>'KNL GROUP P&amp;L'!AC12+'CCL GROUP P&amp;L'!AC12+'YBHN GROUP P&amp;L'!AC12+'YBN Group P&amp;L'!AC12+'HAB P&amp;L'!AC12+'Moe2 P&amp;L'!AC12</f>
        <v/>
      </c>
      <c r="AD12" s="32">
        <f>'KNL GROUP P&amp;L'!AD12+'CCL GROUP P&amp;L'!AD12+'YBHN GROUP P&amp;L'!AD12+'YBN Group P&amp;L'!AD12+'HAB P&amp;L'!AD12+'Moe2 P&amp;L'!AD12</f>
        <v/>
      </c>
      <c r="AE12" s="32">
        <f>'KNL GROUP P&amp;L'!AE12+'CCL GROUP P&amp;L'!AE12+'YBHN GROUP P&amp;L'!AE12+'YBN Group P&amp;L'!AE12+'HAB P&amp;L'!AE12+'Moe2 P&amp;L'!AE12</f>
        <v/>
      </c>
      <c r="AF12" s="32">
        <f>'KNL GROUP P&amp;L'!AF12+'CCL GROUP P&amp;L'!AF12+'YBHN GROUP P&amp;L'!AF12+'YBN Group P&amp;L'!AF12+'HAB P&amp;L'!AF12+'Moe2 P&amp;L'!AF12</f>
        <v/>
      </c>
      <c r="AG12" s="32">
        <f>'KNL GROUP P&amp;L'!AG12+'CCL GROUP P&amp;L'!AG12+'YBHN GROUP P&amp;L'!AG12+'YBN Group P&amp;L'!AG12+'HAB P&amp;L'!AG12+'Moe2 P&amp;L'!AG12</f>
        <v/>
      </c>
      <c r="AH12" s="32">
        <f>'KNL GROUP P&amp;L'!AH12+'CCL GROUP P&amp;L'!AH12+'YBHN GROUP P&amp;L'!AH12+'YBN Group P&amp;L'!AH12+'HAB P&amp;L'!AH12+'Moe2 P&amp;L'!AH12</f>
        <v/>
      </c>
      <c r="AI12" s="138">
        <f>'KNL GROUP P&amp;L'!AI12+'CCL GROUP P&amp;L'!AI12+'YBHN GROUP P&amp;L'!AI12+'YBN Group P&amp;L'!AI12+'HAB P&amp;L'!AI12+'Moe2 P&amp;L'!AI12</f>
        <v/>
      </c>
      <c r="AJ12" s="139">
        <f>'KNL GROUP P&amp;L'!AJ12+'CCL GROUP P&amp;L'!AJ12+'YBHN GROUP P&amp;L'!AJ12+'YBN Group P&amp;L'!AJ12+'HAB P&amp;L'!AJ12+'Moe2 P&amp;L'!AJ12</f>
        <v/>
      </c>
      <c r="AK12" s="139">
        <f>'KNL GROUP P&amp;L'!AK12+'CCL GROUP P&amp;L'!AK12+'YBHN GROUP P&amp;L'!AK12+'YBN Group P&amp;L'!AK12+'HAB P&amp;L'!AK12+'Moe2 P&amp;L'!AK12</f>
        <v/>
      </c>
      <c r="AL12" s="139">
        <f>'KNL GROUP P&amp;L'!AL12+'CCL GROUP P&amp;L'!AL12+'YBHN GROUP P&amp;L'!AL12+'YBN Group P&amp;L'!AL12+'HAB P&amp;L'!AL12+'Moe2 P&amp;L'!AL12</f>
        <v/>
      </c>
      <c r="AM12" s="139">
        <f>'KNL GROUP P&amp;L'!AM12+'CCL GROUP P&amp;L'!AM12+'YBHN GROUP P&amp;L'!AM12+'YBN Group P&amp;L'!AM12+'HAB P&amp;L'!AM12+'Moe2 P&amp;L'!AM12</f>
        <v/>
      </c>
      <c r="AN12" s="138">
        <f>'KNL GROUP P&amp;L'!AN12+'CCL GROUP P&amp;L'!AN12+'YBHN GROUP P&amp;L'!AN12+'YBN Group P&amp;L'!AN12+'HAB P&amp;L'!AN12+'Moe2 P&amp;L'!AN12</f>
        <v/>
      </c>
      <c r="AO12" s="121">
        <f>SUM(AC12:AH12)+SUM(AI12:AN12)</f>
        <v/>
      </c>
      <c r="AP12" s="122">
        <f>IF(AB12&lt;&gt;0,(AO12-AB12)/ABS(AB12),0)</f>
        <v/>
      </c>
    </row>
    <row r="13">
      <c r="A13" s="46" t="inlineStr">
        <is>
          <t>Sal:Rev</t>
        </is>
      </c>
      <c r="B13" s="47">
        <f>SUM(B16:B18)/B11</f>
        <v/>
      </c>
      <c r="C13" s="47">
        <f>SUM(C16:C18)/C11</f>
        <v/>
      </c>
      <c r="D13" s="47">
        <f>SUM(D16:D18)/D11</f>
        <v/>
      </c>
      <c r="E13" s="47">
        <f>SUM(E16:E18)/E11</f>
        <v/>
      </c>
      <c r="F13" s="47">
        <f>SUM(F16:F18)/F11</f>
        <v/>
      </c>
      <c r="G13" s="47">
        <f>SUM(G16:G18)/G11</f>
        <v/>
      </c>
      <c r="H13" s="47">
        <f>SUM(H16:H18)/H11</f>
        <v/>
      </c>
      <c r="I13" s="47">
        <f>SUM(I16:I18)/I11</f>
        <v/>
      </c>
      <c r="J13" s="47">
        <f>SUM(J16:J18)/J11</f>
        <v/>
      </c>
      <c r="K13" s="47">
        <f>SUM(K16:K18)/K11</f>
        <v/>
      </c>
      <c r="L13" s="47">
        <f>SUM(L16:L18)/L11</f>
        <v/>
      </c>
      <c r="M13" s="47">
        <f>SUM(M16:M18)/M11</f>
        <v/>
      </c>
      <c r="N13" s="47">
        <f>SUM(N16:N18)/N11</f>
        <v/>
      </c>
      <c r="O13" s="47">
        <f>SUM(O16:O18)/O11</f>
        <v/>
      </c>
      <c r="P13" s="47">
        <f>SUM(P16:P18)/P11</f>
        <v/>
      </c>
      <c r="Q13" s="47">
        <f>SUM(Q16:Q18)/Q11</f>
        <v/>
      </c>
      <c r="R13" s="47">
        <f>SUM(R16:R18)/R11</f>
        <v/>
      </c>
      <c r="S13" s="47">
        <f>SUM(S16:S18)/S11</f>
        <v/>
      </c>
      <c r="T13" s="47">
        <f>SUM(T16:T18)/T11</f>
        <v/>
      </c>
      <c r="U13" s="47">
        <f>SUM(U16:U18)/U11</f>
        <v/>
      </c>
      <c r="V13" s="47">
        <f>SUM(V16:V18)/V11</f>
        <v/>
      </c>
      <c r="W13" s="47">
        <f>SUM(W16:W18)/W11</f>
        <v/>
      </c>
      <c r="X13" s="47">
        <f>SUM(X16:X18)/X11</f>
        <v/>
      </c>
      <c r="Y13" s="47">
        <f>SUM(Y16:Y18)/Y11</f>
        <v/>
      </c>
      <c r="Z13" s="47">
        <f>SUM(Z16:Z18)/Z11</f>
        <v/>
      </c>
      <c r="AA13" s="47">
        <f>SUM(AA16:AA18)/AA11</f>
        <v/>
      </c>
      <c r="AB13" s="47">
        <f>SUM(AB16:AB18)/AB11</f>
        <v/>
      </c>
      <c r="AC13" s="47">
        <f>SUM(AC16:AC18)/AC11</f>
        <v/>
      </c>
      <c r="AD13" s="47">
        <f>SUM(AD16:AD18)/AD11</f>
        <v/>
      </c>
      <c r="AE13" s="47">
        <f>SUM(AE16:AE18)/AE11</f>
        <v/>
      </c>
      <c r="AF13" s="47">
        <f>SUM(AF16:AF18)/AF11</f>
        <v/>
      </c>
      <c r="AG13" s="47">
        <f>SUM(AG16:AG18)/AG11</f>
        <v/>
      </c>
      <c r="AH13" s="47">
        <f>SUM(AH16:AH18)/AH11</f>
        <v/>
      </c>
      <c r="AI13" s="130" t="n">
        <v>0</v>
      </c>
      <c r="AJ13" s="130" t="n">
        <v>0</v>
      </c>
      <c r="AK13" s="130" t="n">
        <v>0</v>
      </c>
      <c r="AL13" s="130" t="n">
        <v>0</v>
      </c>
      <c r="AM13" s="130" t="n">
        <v>0</v>
      </c>
      <c r="AN13" s="130" t="n">
        <v>0</v>
      </c>
      <c r="AO13" s="154">
        <f>SUM(AC13:AH13)+SUM(AI13:AN13)</f>
        <v/>
      </c>
      <c r="AP13" s="142">
        <f>IF(AB13&lt;&gt;0,(AO13-AB13)/ABS(AB13),0)</f>
        <v/>
      </c>
    </row>
    <row r="14">
      <c r="A14" s="28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36" t="n"/>
      <c r="O14" s="31" t="n"/>
      <c r="P14" s="31" t="n"/>
      <c r="Q14" s="31" t="n"/>
      <c r="R14" s="31" t="n"/>
      <c r="S14" s="31" t="n"/>
      <c r="T14" s="31" t="n"/>
      <c r="U14" s="31" t="n"/>
      <c r="V14" s="32" t="n"/>
      <c r="W14" s="32" t="n"/>
      <c r="X14" s="32" t="n"/>
      <c r="Y14" s="32" t="n"/>
      <c r="Z14" s="32" t="n"/>
      <c r="AA14" s="36">
        <f>SUM(O14:U14)</f>
        <v/>
      </c>
      <c r="AB14" s="36" t="n"/>
      <c r="AC14" s="32" t="n"/>
      <c r="AD14" s="32" t="n"/>
      <c r="AE14" s="32" t="n"/>
      <c r="AF14" s="32" t="n"/>
      <c r="AG14" s="32" t="n"/>
      <c r="AH14" s="32" t="n"/>
      <c r="AI14" s="8" t="n"/>
      <c r="AJ14" s="36" t="n"/>
      <c r="AK14" s="36" t="n"/>
      <c r="AL14" s="36" t="n"/>
      <c r="AM14" s="36" t="n"/>
      <c r="AN14" s="40" t="n"/>
      <c r="AO14" s="92" t="n"/>
      <c r="AP14" s="92" t="n"/>
    </row>
    <row r="15">
      <c r="A15" s="28" t="inlineStr">
        <is>
          <t>Personnel</t>
        </is>
      </c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36" t="n"/>
      <c r="O15" s="25" t="n"/>
      <c r="P15" s="31" t="n"/>
      <c r="Q15" s="95" t="n"/>
      <c r="R15" s="95" t="n"/>
      <c r="S15" s="95" t="n"/>
      <c r="T15" s="95" t="n"/>
      <c r="U15" s="95" t="n"/>
      <c r="V15" s="26" t="n"/>
      <c r="W15" s="26" t="n"/>
      <c r="X15" s="26" t="n"/>
      <c r="Y15" s="26" t="n"/>
      <c r="Z15" s="26" t="n"/>
      <c r="AA15" s="36">
        <f>SUM(O15:U15)</f>
        <v/>
      </c>
      <c r="AB15" s="36" t="n"/>
      <c r="AC15" s="26">
        <f>'KNL GROUP P&amp;L'!AC15+'CCL GROUP P&amp;L'!AC15+'YBHN GROUP P&amp;L'!AC15+'YBN Group P&amp;L'!AC15+'HAB P&amp;L'!AC15+'Moe2 P&amp;L'!AC15</f>
        <v/>
      </c>
      <c r="AD15" s="26">
        <f>'KNL GROUP P&amp;L'!AD15+'CCL GROUP P&amp;L'!AD15+'YBHN GROUP P&amp;L'!AD15+'YBN Group P&amp;L'!AD15+'HAB P&amp;L'!AD15+'Moe2 P&amp;L'!AD15</f>
        <v/>
      </c>
      <c r="AE15" s="26">
        <f>'KNL GROUP P&amp;L'!AE15+'CCL GROUP P&amp;L'!AE15+'YBHN GROUP P&amp;L'!AE15+'YBN Group P&amp;L'!AE15+'HAB P&amp;L'!AE15+'Moe2 P&amp;L'!AE15</f>
        <v/>
      </c>
      <c r="AF15" s="26">
        <f>'KNL GROUP P&amp;L'!AF15+'CCL GROUP P&amp;L'!AF15+'YBHN GROUP P&amp;L'!AF15+'YBN Group P&amp;L'!AF15+'HAB P&amp;L'!AF15+'Moe2 P&amp;L'!AF15</f>
        <v/>
      </c>
      <c r="AG15" s="26">
        <f>'KNL GROUP P&amp;L'!AG15+'CCL GROUP P&amp;L'!AG15+'YBHN GROUP P&amp;L'!AG15+'YBN Group P&amp;L'!AG15+'HAB P&amp;L'!AG15+'Moe2 P&amp;L'!AG15</f>
        <v/>
      </c>
      <c r="AH15" s="26">
        <f>'KNL GROUP P&amp;L'!AH15+'CCL GROUP P&amp;L'!AH15+'YBHN GROUP P&amp;L'!AH15+'YBN Group P&amp;L'!AH15+'HAB P&amp;L'!AH15+'Moe2 P&amp;L'!AH15</f>
        <v/>
      </c>
      <c r="AI15" s="134" t="n">
        <v>0</v>
      </c>
      <c r="AJ15" s="135" t="n">
        <v>0</v>
      </c>
      <c r="AK15" s="135" t="n">
        <v>0</v>
      </c>
      <c r="AL15" s="135" t="n">
        <v>0</v>
      </c>
      <c r="AM15" s="135" t="n">
        <v>0</v>
      </c>
      <c r="AN15" s="134" t="n">
        <v>0</v>
      </c>
      <c r="AO15" s="121">
        <f>SUM(AC15:AH15)+SUM(AI15:AN15)</f>
        <v/>
      </c>
      <c r="AP15" s="122">
        <f>IF(AB15&lt;&gt;0,(AO15-AB15)/ABS(AB15),0)</f>
        <v/>
      </c>
    </row>
    <row r="16">
      <c r="A16" s="34" t="inlineStr">
        <is>
          <t>Nursery Salaries</t>
        </is>
      </c>
      <c r="B16" s="35" t="n">
        <v>397485.6</v>
      </c>
      <c r="C16" s="35" t="n">
        <v>396799.71</v>
      </c>
      <c r="D16" s="35" t="n">
        <v>402127.02</v>
      </c>
      <c r="E16" s="35" t="n">
        <v>444579.13</v>
      </c>
      <c r="F16" s="35" t="n">
        <v>448030.21</v>
      </c>
      <c r="G16" s="35" t="n">
        <v>429293.8300000001</v>
      </c>
      <c r="H16" s="35" t="n">
        <v>463754.97</v>
      </c>
      <c r="I16" s="35" t="n">
        <v>431073.65</v>
      </c>
      <c r="J16" s="35" t="n">
        <v>448953</v>
      </c>
      <c r="K16" s="35" t="n">
        <v>448201.55</v>
      </c>
      <c r="L16" s="35" t="n">
        <v>430984.09</v>
      </c>
      <c r="M16" s="35" t="n">
        <v>443960.13</v>
      </c>
      <c r="N16" s="36">
        <f>SUM(B16:M16)</f>
        <v/>
      </c>
      <c r="O16" s="37">
        <f>SUMIF('Group TB '!$R:$R,'GROUP TOTALS MONTHLY P&amp;L'!$A16,'Group TB '!C:C)</f>
        <v/>
      </c>
      <c r="P16" s="37">
        <f>SUMIF('Group TB '!$R:$R,'GROUP TOTALS MONTHLY P&amp;L'!$A16,'Group TB '!D:D)</f>
        <v/>
      </c>
      <c r="Q16" s="37">
        <f>SUMIF('Group TB '!$R:$R,'GROUP TOTALS MONTHLY P&amp;L'!$A16,'Group TB '!E:E)</f>
        <v/>
      </c>
      <c r="R16" s="37">
        <f>SUMIF('Group TB '!$R:$R,'GROUP TOTALS MONTHLY P&amp;L'!$A16,'Group TB '!F:F)</f>
        <v/>
      </c>
      <c r="S16" s="37">
        <f>SUMIF('Group TB '!$R:$R,'GROUP TOTALS MONTHLY P&amp;L'!$A16,'Group TB '!G:G)</f>
        <v/>
      </c>
      <c r="T16" s="37">
        <f>SUMIF('Group TB '!$R:$R,'GROUP TOTALS MONTHLY P&amp;L'!$A16,'Group TB '!H:H)</f>
        <v/>
      </c>
      <c r="U16" s="37">
        <f>SUMIF('Group TB '!$R:$R,'GROUP TOTALS MONTHLY P&amp;L'!$A16,'Group TB '!I:I)</f>
        <v/>
      </c>
      <c r="V16" s="38">
        <f>'KNL GROUP P&amp;L'!V16+'CCL GROUP P&amp;L'!V16+'YBHN GROUP P&amp;L'!V16+'YBN Group P&amp;L'!V16+'HAB P&amp;L'!V16+'Moe2 P&amp;L'!V16</f>
        <v/>
      </c>
      <c r="W16" s="38">
        <f>'KNL GROUP P&amp;L'!W16+'CCL GROUP P&amp;L'!W16+'YBHN GROUP P&amp;L'!W16+'YBN Group P&amp;L'!W16+'HAB P&amp;L'!W16+'Moe2 P&amp;L'!W16</f>
        <v/>
      </c>
      <c r="X16" s="38">
        <f>'KNL GROUP P&amp;L'!X16+'CCL GROUP P&amp;L'!X16+'YBHN GROUP P&amp;L'!X16+'YBN Group P&amp;L'!X16+'HAB P&amp;L'!X16+'Moe2 P&amp;L'!X16</f>
        <v/>
      </c>
      <c r="Y16" s="38">
        <f>'KNL GROUP P&amp;L'!Y16+'CCL GROUP P&amp;L'!Y16+'YBHN GROUP P&amp;L'!Y16+'YBN Group P&amp;L'!Y16+'HAB P&amp;L'!Y16+'Moe2 P&amp;L'!Y16</f>
        <v/>
      </c>
      <c r="Z16" s="38">
        <f>'KNL GROUP P&amp;L'!Z16+'CCL GROUP P&amp;L'!Z16+'YBHN GROUP P&amp;L'!Z16+'YBN Group P&amp;L'!Z16+'HAB P&amp;L'!Z16+'Moe2 P&amp;L'!Z16</f>
        <v/>
      </c>
      <c r="AA16" s="36">
        <f>SUM(O16:U16)</f>
        <v/>
      </c>
      <c r="AB16" s="36">
        <f>SUM(O16:Z16)</f>
        <v/>
      </c>
      <c r="AC16" s="38">
        <f>'KNL GROUP P&amp;L'!AC16+'CCL GROUP P&amp;L'!AC16+'YBHN GROUP P&amp;L'!AC16+'YBN Group P&amp;L'!AC16+'HAB P&amp;L'!AC16+'Moe2 P&amp;L'!AC16</f>
        <v/>
      </c>
      <c r="AD16" s="38">
        <f>'KNL GROUP P&amp;L'!AD16+'CCL GROUP P&amp;L'!AD16+'YBHN GROUP P&amp;L'!AD16+'YBN Group P&amp;L'!AD16+'HAB P&amp;L'!AD16+'Moe2 P&amp;L'!AD16</f>
        <v/>
      </c>
      <c r="AE16" s="38">
        <f>'KNL GROUP P&amp;L'!AE16+'CCL GROUP P&amp;L'!AE16+'YBHN GROUP P&amp;L'!AE16+'YBN Group P&amp;L'!AE16+'HAB P&amp;L'!AE16+'Moe2 P&amp;L'!AE16</f>
        <v/>
      </c>
      <c r="AF16" s="38">
        <f>'KNL GROUP P&amp;L'!AF16+'CCL GROUP P&amp;L'!AF16+'YBHN GROUP P&amp;L'!AF16+'YBN Group P&amp;L'!AF16+'HAB P&amp;L'!AF16+'Moe2 P&amp;L'!AF16</f>
        <v/>
      </c>
      <c r="AG16" s="38">
        <f>'KNL GROUP P&amp;L'!AG16+'CCL GROUP P&amp;L'!AG16+'YBHN GROUP P&amp;L'!AG16+'YBN Group P&amp;L'!AG16+'HAB P&amp;L'!AG16+'Moe2 P&amp;L'!AG16</f>
        <v/>
      </c>
      <c r="AH16" s="38">
        <f>'KNL GROUP P&amp;L'!AH16+'CCL GROUP P&amp;L'!AH16+'YBHN GROUP P&amp;L'!AH16+'YBN Group P&amp;L'!AH16+'HAB P&amp;L'!AH16+'Moe2 P&amp;L'!AH16</f>
        <v/>
      </c>
      <c r="AI16" s="118" t="n">
        <v>0</v>
      </c>
      <c r="AJ16" s="119" t="n">
        <v>0</v>
      </c>
      <c r="AK16" s="119" t="n">
        <v>0</v>
      </c>
      <c r="AL16" s="119" t="n">
        <v>0</v>
      </c>
      <c r="AM16" s="119" t="n">
        <v>0</v>
      </c>
      <c r="AN16" s="118" t="n">
        <v>0</v>
      </c>
      <c r="AO16" s="121">
        <f>SUM(AC16:AH16)+SUM(AI16:AN16)</f>
        <v/>
      </c>
      <c r="AP16" s="122">
        <f>IF(AB16&lt;&gt;0,(AO16-AB16)/ABS(AB16),0)</f>
        <v/>
      </c>
    </row>
    <row r="17">
      <c r="A17" s="34" t="inlineStr">
        <is>
          <t>Nursery NI</t>
        </is>
      </c>
      <c r="B17" s="35" t="n">
        <v>31175.25</v>
      </c>
      <c r="C17" s="35" t="n">
        <v>30662.3</v>
      </c>
      <c r="D17" s="35" t="n">
        <v>30757.11</v>
      </c>
      <c r="E17" s="35" t="n">
        <v>47949.14</v>
      </c>
      <c r="F17" s="35" t="n">
        <v>47749.62</v>
      </c>
      <c r="G17" s="35" t="n">
        <v>45520.73</v>
      </c>
      <c r="H17" s="35" t="n">
        <v>49939.52</v>
      </c>
      <c r="I17" s="35" t="n">
        <v>44922.87</v>
      </c>
      <c r="J17" s="35" t="n">
        <v>48493.37</v>
      </c>
      <c r="K17" s="35" t="n">
        <v>47243.5</v>
      </c>
      <c r="L17" s="35" t="n">
        <v>45078.01</v>
      </c>
      <c r="M17" s="35" t="n">
        <v>46803.96000000001</v>
      </c>
      <c r="N17" s="36">
        <f>SUM(B17:M17)</f>
        <v/>
      </c>
      <c r="O17" s="37">
        <f>SUMIF('Group TB '!$R:$R,'GROUP TOTALS MONTHLY P&amp;L'!$A17,'Group TB '!C:C)</f>
        <v/>
      </c>
      <c r="P17" s="37">
        <f>SUMIF('Group TB '!$R:$R,'GROUP TOTALS MONTHLY P&amp;L'!$A17,'Group TB '!D:D)</f>
        <v/>
      </c>
      <c r="Q17" s="37">
        <f>SUMIF('Group TB '!$R:$R,'GROUP TOTALS MONTHLY P&amp;L'!$A17,'Group TB '!E:E)</f>
        <v/>
      </c>
      <c r="R17" s="37">
        <f>SUMIF('Group TB '!$R:$R,'GROUP TOTALS MONTHLY P&amp;L'!$A17,'Group TB '!F:F)</f>
        <v/>
      </c>
      <c r="S17" s="37">
        <f>SUMIF('Group TB '!$R:$R,'GROUP TOTALS MONTHLY P&amp;L'!$A17,'Group TB '!G:G)</f>
        <v/>
      </c>
      <c r="T17" s="37">
        <f>SUMIF('Group TB '!$R:$R,'GROUP TOTALS MONTHLY P&amp;L'!$A17,'Group TB '!H:H)</f>
        <v/>
      </c>
      <c r="U17" s="37">
        <f>SUMIF('Group TB '!$R:$R,'GROUP TOTALS MONTHLY P&amp;L'!$A17,'Group TB '!I:I)</f>
        <v/>
      </c>
      <c r="V17" s="38">
        <f>'KNL GROUP P&amp;L'!V17+'CCL GROUP P&amp;L'!V17+'YBHN GROUP P&amp;L'!V17+'YBN Group P&amp;L'!V17+'HAB P&amp;L'!V17+'Moe2 P&amp;L'!V17</f>
        <v/>
      </c>
      <c r="W17" s="38">
        <f>'KNL GROUP P&amp;L'!W17+'CCL GROUP P&amp;L'!W17+'YBHN GROUP P&amp;L'!W17+'YBN Group P&amp;L'!W17+'HAB P&amp;L'!W17+'Moe2 P&amp;L'!W17</f>
        <v/>
      </c>
      <c r="X17" s="38">
        <f>'KNL GROUP P&amp;L'!X17+'CCL GROUP P&amp;L'!X17+'YBHN GROUP P&amp;L'!X17+'YBN Group P&amp;L'!X17+'HAB P&amp;L'!X17+'Moe2 P&amp;L'!X17</f>
        <v/>
      </c>
      <c r="Y17" s="38">
        <f>'KNL GROUP P&amp;L'!Y17+'CCL GROUP P&amp;L'!Y17+'YBHN GROUP P&amp;L'!Y17+'YBN Group P&amp;L'!Y17+'HAB P&amp;L'!Y17+'Moe2 P&amp;L'!Y17</f>
        <v/>
      </c>
      <c r="Z17" s="38">
        <f>'KNL GROUP P&amp;L'!Z17+'CCL GROUP P&amp;L'!Z17+'YBHN GROUP P&amp;L'!Z17+'YBN Group P&amp;L'!Z17+'HAB P&amp;L'!Z17+'Moe2 P&amp;L'!Z17</f>
        <v/>
      </c>
      <c r="AA17" s="36">
        <f>SUM(O17:U17)</f>
        <v/>
      </c>
      <c r="AB17" s="36">
        <f>SUM(O17:Z17)</f>
        <v/>
      </c>
      <c r="AC17" s="38">
        <f>'KNL GROUP P&amp;L'!AC17+'CCL GROUP P&amp;L'!AC17+'YBHN GROUP P&amp;L'!AC17+'YBN Group P&amp;L'!AC17+'HAB P&amp;L'!AC17+'Moe2 P&amp;L'!AC17</f>
        <v/>
      </c>
      <c r="AD17" s="38">
        <f>'KNL GROUP P&amp;L'!AD17+'CCL GROUP P&amp;L'!AD17+'YBHN GROUP P&amp;L'!AD17+'YBN Group P&amp;L'!AD17+'HAB P&amp;L'!AD17+'Moe2 P&amp;L'!AD17</f>
        <v/>
      </c>
      <c r="AE17" s="38">
        <f>'KNL GROUP P&amp;L'!AE17+'CCL GROUP P&amp;L'!AE17+'YBHN GROUP P&amp;L'!AE17+'YBN Group P&amp;L'!AE17+'HAB P&amp;L'!AE17+'Moe2 P&amp;L'!AE17</f>
        <v/>
      </c>
      <c r="AF17" s="38">
        <f>'KNL GROUP P&amp;L'!AF17+'CCL GROUP P&amp;L'!AF17+'YBHN GROUP P&amp;L'!AF17+'YBN Group P&amp;L'!AF17+'HAB P&amp;L'!AF17+'Moe2 P&amp;L'!AF17</f>
        <v/>
      </c>
      <c r="AG17" s="38">
        <f>'KNL GROUP P&amp;L'!AG17+'CCL GROUP P&amp;L'!AG17+'YBHN GROUP P&amp;L'!AG17+'YBN Group P&amp;L'!AG17+'HAB P&amp;L'!AG17+'Moe2 P&amp;L'!AG17</f>
        <v/>
      </c>
      <c r="AH17" s="38">
        <f>'KNL GROUP P&amp;L'!AH17+'CCL GROUP P&amp;L'!AH17+'YBHN GROUP P&amp;L'!AH17+'YBN Group P&amp;L'!AH17+'HAB P&amp;L'!AH17+'Moe2 P&amp;L'!AH17</f>
        <v/>
      </c>
      <c r="AI17" s="118" t="n">
        <v>0</v>
      </c>
      <c r="AJ17" s="119" t="n">
        <v>0</v>
      </c>
      <c r="AK17" s="119" t="n">
        <v>0</v>
      </c>
      <c r="AL17" s="119" t="n">
        <v>0</v>
      </c>
      <c r="AM17" s="119" t="n">
        <v>0</v>
      </c>
      <c r="AN17" s="118" t="n">
        <v>0</v>
      </c>
      <c r="AO17" s="121">
        <f>SUM(AC17:AH17)+SUM(AI17:AN17)</f>
        <v/>
      </c>
      <c r="AP17" s="122">
        <f>IF(AB17&lt;&gt;0,(AO17-AB17)/ABS(AB17),0)</f>
        <v/>
      </c>
    </row>
    <row r="18">
      <c r="A18" s="34" t="inlineStr">
        <is>
          <t>Nursery Pension</t>
        </is>
      </c>
      <c r="B18" s="35" t="n">
        <v>7547.059999999999</v>
      </c>
      <c r="C18" s="35" t="n">
        <v>7488.82</v>
      </c>
      <c r="D18" s="35" t="n">
        <v>7180.6</v>
      </c>
      <c r="E18" s="35" t="n">
        <v>7639.29</v>
      </c>
      <c r="F18" s="35" t="n">
        <v>7916.78</v>
      </c>
      <c r="G18" s="35" t="n">
        <v>7680.17</v>
      </c>
      <c r="H18" s="35" t="n">
        <v>8540.619999999999</v>
      </c>
      <c r="I18" s="35" t="n">
        <v>7778.799999999999</v>
      </c>
      <c r="J18" s="35" t="n">
        <v>7619.34</v>
      </c>
      <c r="K18" s="35" t="n">
        <v>7536.639999999999</v>
      </c>
      <c r="L18" s="35" t="n">
        <v>7737.1</v>
      </c>
      <c r="M18" s="35" t="n">
        <v>8147.859999999999</v>
      </c>
      <c r="N18" s="36">
        <f>SUM(B18:M18)</f>
        <v/>
      </c>
      <c r="O18" s="37">
        <f>SUMIF('Group TB '!$R:$R,'GROUP TOTALS MONTHLY P&amp;L'!$A18,'Group TB '!C:C)</f>
        <v/>
      </c>
      <c r="P18" s="37">
        <f>SUMIF('Group TB '!$R:$R,'GROUP TOTALS MONTHLY P&amp;L'!$A18,'Group TB '!D:D)</f>
        <v/>
      </c>
      <c r="Q18" s="37">
        <f>SUMIF('Group TB '!$R:$R,'GROUP TOTALS MONTHLY P&amp;L'!$A18,'Group TB '!E:E)</f>
        <v/>
      </c>
      <c r="R18" s="37">
        <f>SUMIF('Group TB '!$R:$R,'GROUP TOTALS MONTHLY P&amp;L'!$A18,'Group TB '!F:F)</f>
        <v/>
      </c>
      <c r="S18" s="37">
        <f>SUMIF('Group TB '!$R:$R,'GROUP TOTALS MONTHLY P&amp;L'!$A18,'Group TB '!G:G)</f>
        <v/>
      </c>
      <c r="T18" s="37">
        <f>SUMIF('Group TB '!$R:$R,'GROUP TOTALS MONTHLY P&amp;L'!$A18,'Group TB '!H:H)</f>
        <v/>
      </c>
      <c r="U18" s="37">
        <f>SUMIF('Group TB '!$R:$R,'GROUP TOTALS MONTHLY P&amp;L'!$A18,'Group TB '!I:I)</f>
        <v/>
      </c>
      <c r="V18" s="38">
        <f>'KNL GROUP P&amp;L'!V18+'CCL GROUP P&amp;L'!V18+'YBHN GROUP P&amp;L'!V18+'YBN Group P&amp;L'!V18+'HAB P&amp;L'!V18+'Moe2 P&amp;L'!V18</f>
        <v/>
      </c>
      <c r="W18" s="38">
        <f>'KNL GROUP P&amp;L'!W18+'CCL GROUP P&amp;L'!W18+'YBHN GROUP P&amp;L'!W18+'YBN Group P&amp;L'!W18+'HAB P&amp;L'!W18+'Moe2 P&amp;L'!W18</f>
        <v/>
      </c>
      <c r="X18" s="38">
        <f>'KNL GROUP P&amp;L'!X18+'CCL GROUP P&amp;L'!X18+'YBHN GROUP P&amp;L'!X18+'YBN Group P&amp;L'!X18+'HAB P&amp;L'!X18+'Moe2 P&amp;L'!X18</f>
        <v/>
      </c>
      <c r="Y18" s="38">
        <f>'KNL GROUP P&amp;L'!Y18+'CCL GROUP P&amp;L'!Y18+'YBHN GROUP P&amp;L'!Y18+'YBN Group P&amp;L'!Y18+'HAB P&amp;L'!Y18+'Moe2 P&amp;L'!Y18</f>
        <v/>
      </c>
      <c r="Z18" s="38">
        <f>'KNL GROUP P&amp;L'!Z18+'CCL GROUP P&amp;L'!Z18+'YBHN GROUP P&amp;L'!Z18+'YBN Group P&amp;L'!Z18+'HAB P&amp;L'!Z18+'Moe2 P&amp;L'!Z18</f>
        <v/>
      </c>
      <c r="AA18" s="36">
        <f>SUM(O18:U18)</f>
        <v/>
      </c>
      <c r="AB18" s="36">
        <f>SUM(O18:Z18)</f>
        <v/>
      </c>
      <c r="AC18" s="38">
        <f>'KNL GROUP P&amp;L'!AC18+'CCL GROUP P&amp;L'!AC18+'YBHN GROUP P&amp;L'!AC18+'YBN Group P&amp;L'!AC18+'HAB P&amp;L'!AC18+'Moe2 P&amp;L'!AC18</f>
        <v/>
      </c>
      <c r="AD18" s="38">
        <f>'KNL GROUP P&amp;L'!AD18+'CCL GROUP P&amp;L'!AD18+'YBHN GROUP P&amp;L'!AD18+'YBN Group P&amp;L'!AD18+'HAB P&amp;L'!AD18+'Moe2 P&amp;L'!AD18</f>
        <v/>
      </c>
      <c r="AE18" s="38">
        <f>'KNL GROUP P&amp;L'!AE18+'CCL GROUP P&amp;L'!AE18+'YBHN GROUP P&amp;L'!AE18+'YBN Group P&amp;L'!AE18+'HAB P&amp;L'!AE18+'Moe2 P&amp;L'!AE18</f>
        <v/>
      </c>
      <c r="AF18" s="38">
        <f>'KNL GROUP P&amp;L'!AF18+'CCL GROUP P&amp;L'!AF18+'YBHN GROUP P&amp;L'!AF18+'YBN Group P&amp;L'!AF18+'HAB P&amp;L'!AF18+'Moe2 P&amp;L'!AF18</f>
        <v/>
      </c>
      <c r="AG18" s="38">
        <f>'KNL GROUP P&amp;L'!AG18+'CCL GROUP P&amp;L'!AG18+'YBHN GROUP P&amp;L'!AG18+'YBN Group P&amp;L'!AG18+'HAB P&amp;L'!AG18+'Moe2 P&amp;L'!AG18</f>
        <v/>
      </c>
      <c r="AH18" s="38">
        <f>'KNL GROUP P&amp;L'!AH18+'CCL GROUP P&amp;L'!AH18+'YBHN GROUP P&amp;L'!AH18+'YBN Group P&amp;L'!AH18+'HAB P&amp;L'!AH18+'Moe2 P&amp;L'!AH18</f>
        <v/>
      </c>
      <c r="AI18" s="118" t="n">
        <v>0</v>
      </c>
      <c r="AJ18" s="119" t="n">
        <v>0</v>
      </c>
      <c r="AK18" s="119" t="n">
        <v>0</v>
      </c>
      <c r="AL18" s="119" t="n">
        <v>0</v>
      </c>
      <c r="AM18" s="119" t="n">
        <v>0</v>
      </c>
      <c r="AN18" s="118" t="n">
        <v>0</v>
      </c>
      <c r="AO18" s="121">
        <f>SUM(AC18:AH18)+SUM(AI18:AN18)</f>
        <v/>
      </c>
      <c r="AP18" s="122">
        <f>IF(AB18&lt;&gt;0,(AO18-AB18)/ABS(AB18),0)</f>
        <v/>
      </c>
    </row>
    <row r="19">
      <c r="A19" s="34" t="inlineStr">
        <is>
          <t>Uniform</t>
        </is>
      </c>
      <c r="B19" s="35" t="n">
        <v>1235.82</v>
      </c>
      <c r="C19" s="35" t="n">
        <v>1880.76</v>
      </c>
      <c r="D19" s="35" t="n">
        <v>1138.94</v>
      </c>
      <c r="E19" s="35" t="n">
        <v>629.02</v>
      </c>
      <c r="F19" s="35" t="n">
        <v>1180.97</v>
      </c>
      <c r="G19" s="35" t="n">
        <v>1001.98</v>
      </c>
      <c r="H19" s="35" t="n">
        <v>856.51</v>
      </c>
      <c r="I19" s="35" t="n">
        <v>191.28</v>
      </c>
      <c r="J19" s="35" t="n">
        <v>1666.47</v>
      </c>
      <c r="K19" s="35" t="n">
        <v>1590.12</v>
      </c>
      <c r="L19" s="35" t="n">
        <v>591.1999999999999</v>
      </c>
      <c r="M19" s="35" t="n">
        <v>1807.86</v>
      </c>
      <c r="N19" s="36">
        <f>SUM(B19:M19)</f>
        <v/>
      </c>
      <c r="O19" s="37">
        <f>SUMIF('Group TB '!$R:$R,'GROUP TOTALS MONTHLY P&amp;L'!$A19,'Group TB '!C:C)</f>
        <v/>
      </c>
      <c r="P19" s="37">
        <f>SUMIF('Group TB '!$R:$R,'GROUP TOTALS MONTHLY P&amp;L'!$A19,'Group TB '!D:D)</f>
        <v/>
      </c>
      <c r="Q19" s="37">
        <f>SUMIF('Group TB '!$R:$R,'GROUP TOTALS MONTHLY P&amp;L'!$A19,'Group TB '!E:E)</f>
        <v/>
      </c>
      <c r="R19" s="37">
        <f>SUMIF('Group TB '!$R:$R,'GROUP TOTALS MONTHLY P&amp;L'!$A19,'Group TB '!F:F)</f>
        <v/>
      </c>
      <c r="S19" s="37">
        <f>SUMIF('Group TB '!$R:$R,'GROUP TOTALS MONTHLY P&amp;L'!$A19,'Group TB '!G:G)</f>
        <v/>
      </c>
      <c r="T19" s="37">
        <f>SUMIF('Group TB '!$R:$R,'GROUP TOTALS MONTHLY P&amp;L'!$A19,'Group TB '!H:H)</f>
        <v/>
      </c>
      <c r="U19" s="37">
        <f>SUMIF('Group TB '!$R:$R,'GROUP TOTALS MONTHLY P&amp;L'!$A19,'Group TB '!I:I)</f>
        <v/>
      </c>
      <c r="V19" s="38">
        <f>'KNL GROUP P&amp;L'!V19+'CCL GROUP P&amp;L'!V19+'YBHN GROUP P&amp;L'!V19+'YBN Group P&amp;L'!V19+'HAB P&amp;L'!V19+'Moe2 P&amp;L'!V19</f>
        <v/>
      </c>
      <c r="W19" s="38">
        <f>'KNL GROUP P&amp;L'!W19+'CCL GROUP P&amp;L'!W19+'YBHN GROUP P&amp;L'!W19+'YBN Group P&amp;L'!W19+'HAB P&amp;L'!W19+'Moe2 P&amp;L'!W19</f>
        <v/>
      </c>
      <c r="X19" s="38">
        <f>'KNL GROUP P&amp;L'!X19+'CCL GROUP P&amp;L'!X19+'YBHN GROUP P&amp;L'!X19+'YBN Group P&amp;L'!X19+'HAB P&amp;L'!X19+'Moe2 P&amp;L'!X19</f>
        <v/>
      </c>
      <c r="Y19" s="38">
        <f>'KNL GROUP P&amp;L'!Y19+'CCL GROUP P&amp;L'!Y19+'YBHN GROUP P&amp;L'!Y19+'YBN Group P&amp;L'!Y19+'HAB P&amp;L'!Y19+'Moe2 P&amp;L'!Y19</f>
        <v/>
      </c>
      <c r="Z19" s="38">
        <f>'KNL GROUP P&amp;L'!Z19+'CCL GROUP P&amp;L'!Z19+'YBHN GROUP P&amp;L'!Z19+'YBN Group P&amp;L'!Z19+'HAB P&amp;L'!Z19+'Moe2 P&amp;L'!Z19</f>
        <v/>
      </c>
      <c r="AA19" s="36">
        <f>SUM(O19:U19)</f>
        <v/>
      </c>
      <c r="AB19" s="36">
        <f>SUM(O19:Z19)</f>
        <v/>
      </c>
      <c r="AC19" s="38">
        <f>'KNL GROUP P&amp;L'!AC19+'CCL GROUP P&amp;L'!AC19+'YBHN GROUP P&amp;L'!AC19+'YBN Group P&amp;L'!AC19+'HAB P&amp;L'!AC19+'Moe2 P&amp;L'!AC19</f>
        <v/>
      </c>
      <c r="AD19" s="38">
        <f>'KNL GROUP P&amp;L'!AD19+'CCL GROUP P&amp;L'!AD19+'YBHN GROUP P&amp;L'!AD19+'YBN Group P&amp;L'!AD19+'HAB P&amp;L'!AD19+'Moe2 P&amp;L'!AD19</f>
        <v/>
      </c>
      <c r="AE19" s="38">
        <f>'KNL GROUP P&amp;L'!AE19+'CCL GROUP P&amp;L'!AE19+'YBHN GROUP P&amp;L'!AE19+'YBN Group P&amp;L'!AE19+'HAB P&amp;L'!AE19+'Moe2 P&amp;L'!AE19</f>
        <v/>
      </c>
      <c r="AF19" s="38">
        <f>'KNL GROUP P&amp;L'!AF19+'CCL GROUP P&amp;L'!AF19+'YBHN GROUP P&amp;L'!AF19+'YBN Group P&amp;L'!AF19+'HAB P&amp;L'!AF19+'Moe2 P&amp;L'!AF19</f>
        <v/>
      </c>
      <c r="AG19" s="38">
        <f>'KNL GROUP P&amp;L'!AG19+'CCL GROUP P&amp;L'!AG19+'YBHN GROUP P&amp;L'!AG19+'YBN Group P&amp;L'!AG19+'HAB P&amp;L'!AG19+'Moe2 P&amp;L'!AG19</f>
        <v/>
      </c>
      <c r="AH19" s="38">
        <f>'KNL GROUP P&amp;L'!AH19+'CCL GROUP P&amp;L'!AH19+'YBHN GROUP P&amp;L'!AH19+'YBN Group P&amp;L'!AH19+'HAB P&amp;L'!AH19+'Moe2 P&amp;L'!AH19</f>
        <v/>
      </c>
      <c r="AI19" s="118" t="n">
        <v>0</v>
      </c>
      <c r="AJ19" s="119" t="n">
        <v>0</v>
      </c>
      <c r="AK19" s="119" t="n">
        <v>0</v>
      </c>
      <c r="AL19" s="119" t="n">
        <v>0</v>
      </c>
      <c r="AM19" s="119" t="n">
        <v>0</v>
      </c>
      <c r="AN19" s="118" t="n">
        <v>0</v>
      </c>
      <c r="AO19" s="121">
        <f>SUM(AC19:AH19)+SUM(AI19:AN19)</f>
        <v/>
      </c>
      <c r="AP19" s="122">
        <f>IF(AB19&lt;&gt;0,(AO19-AB19)/ABS(AB19),0)</f>
        <v/>
      </c>
    </row>
    <row r="20">
      <c r="A20" s="34" t="inlineStr">
        <is>
          <t>Training</t>
        </is>
      </c>
      <c r="B20" s="35" t="n">
        <v>3002.69</v>
      </c>
      <c r="C20" s="35" t="n">
        <v>7435.83</v>
      </c>
      <c r="D20" s="35" t="n">
        <v>3502.93</v>
      </c>
      <c r="E20" s="35" t="n">
        <v>2684.03</v>
      </c>
      <c r="F20" s="35" t="n">
        <v>2743.9</v>
      </c>
      <c r="G20" s="35" t="n">
        <v>2823.33</v>
      </c>
      <c r="H20" s="35" t="n">
        <v>2879.48</v>
      </c>
      <c r="I20" s="35" t="n">
        <v>3400.09</v>
      </c>
      <c r="J20" s="35" t="n">
        <v>2908.1</v>
      </c>
      <c r="K20" s="35" t="n">
        <v>8817.889999999999</v>
      </c>
      <c r="L20" s="35" t="n">
        <v>3711.92</v>
      </c>
      <c r="M20" s="35" t="n">
        <v>1862.27</v>
      </c>
      <c r="N20" s="36">
        <f>SUM(B20:M20)</f>
        <v/>
      </c>
      <c r="O20" s="37">
        <f>SUMIF('Group TB '!$R:$R,'GROUP TOTALS MONTHLY P&amp;L'!$A20,'Group TB '!C:C)</f>
        <v/>
      </c>
      <c r="P20" s="37">
        <f>SUMIF('Group TB '!$R:$R,'GROUP TOTALS MONTHLY P&amp;L'!$A20,'Group TB '!D:D)</f>
        <v/>
      </c>
      <c r="Q20" s="37">
        <f>SUMIF('Group TB '!$R:$R,'GROUP TOTALS MONTHLY P&amp;L'!$A20,'Group TB '!E:E)</f>
        <v/>
      </c>
      <c r="R20" s="37">
        <f>SUMIF('Group TB '!$R:$R,'GROUP TOTALS MONTHLY P&amp;L'!$A20,'Group TB '!F:F)</f>
        <v/>
      </c>
      <c r="S20" s="37">
        <f>SUMIF('Group TB '!$R:$R,'GROUP TOTALS MONTHLY P&amp;L'!$A20,'Group TB '!G:G)</f>
        <v/>
      </c>
      <c r="T20" s="37">
        <f>SUMIF('Group TB '!$R:$R,'GROUP TOTALS MONTHLY P&amp;L'!$A20,'Group TB '!H:H)</f>
        <v/>
      </c>
      <c r="U20" s="37">
        <f>SUMIF('Group TB '!$R:$R,'GROUP TOTALS MONTHLY P&amp;L'!$A20,'Group TB '!I:I)</f>
        <v/>
      </c>
      <c r="V20" s="38">
        <f>'KNL GROUP P&amp;L'!V20+'CCL GROUP P&amp;L'!V20+'YBHN GROUP P&amp;L'!V20+'YBN Group P&amp;L'!V20+'HAB P&amp;L'!V20+'Moe2 P&amp;L'!V20</f>
        <v/>
      </c>
      <c r="W20" s="38">
        <f>'KNL GROUP P&amp;L'!W20+'CCL GROUP P&amp;L'!W20+'YBHN GROUP P&amp;L'!W20+'YBN Group P&amp;L'!W20+'HAB P&amp;L'!W20+'Moe2 P&amp;L'!W20</f>
        <v/>
      </c>
      <c r="X20" s="38">
        <f>'KNL GROUP P&amp;L'!X20+'CCL GROUP P&amp;L'!X20+'YBHN GROUP P&amp;L'!X20+'YBN Group P&amp;L'!X20+'HAB P&amp;L'!X20+'Moe2 P&amp;L'!X20</f>
        <v/>
      </c>
      <c r="Y20" s="38">
        <f>'KNL GROUP P&amp;L'!Y20+'CCL GROUP P&amp;L'!Y20+'YBHN GROUP P&amp;L'!Y20+'YBN Group P&amp;L'!Y20+'HAB P&amp;L'!Y20+'Moe2 P&amp;L'!Y20</f>
        <v/>
      </c>
      <c r="Z20" s="38">
        <f>'KNL GROUP P&amp;L'!Z20+'CCL GROUP P&amp;L'!Z20+'YBHN GROUP P&amp;L'!Z20+'YBN Group P&amp;L'!Z20+'HAB P&amp;L'!Z20+'Moe2 P&amp;L'!Z20</f>
        <v/>
      </c>
      <c r="AA20" s="36">
        <f>SUM(O20:U20)</f>
        <v/>
      </c>
      <c r="AB20" s="36">
        <f>SUM(O20:Z20)</f>
        <v/>
      </c>
      <c r="AC20" s="38">
        <f>'KNL GROUP P&amp;L'!AC20+'CCL GROUP P&amp;L'!AC20+'YBHN GROUP P&amp;L'!AC20+'YBN Group P&amp;L'!AC20+'HAB P&amp;L'!AC20+'Moe2 P&amp;L'!AC20</f>
        <v/>
      </c>
      <c r="AD20" s="38">
        <f>'KNL GROUP P&amp;L'!AD20+'CCL GROUP P&amp;L'!AD20+'YBHN GROUP P&amp;L'!AD20+'YBN Group P&amp;L'!AD20+'HAB P&amp;L'!AD20+'Moe2 P&amp;L'!AD20</f>
        <v/>
      </c>
      <c r="AE20" s="38">
        <f>'KNL GROUP P&amp;L'!AE20+'CCL GROUP P&amp;L'!AE20+'YBHN GROUP P&amp;L'!AE20+'YBN Group P&amp;L'!AE20+'HAB P&amp;L'!AE20+'Moe2 P&amp;L'!AE20</f>
        <v/>
      </c>
      <c r="AF20" s="38">
        <f>'KNL GROUP P&amp;L'!AF20+'CCL GROUP P&amp;L'!AF20+'YBHN GROUP P&amp;L'!AF20+'YBN Group P&amp;L'!AF20+'HAB P&amp;L'!AF20+'Moe2 P&amp;L'!AF20</f>
        <v/>
      </c>
      <c r="AG20" s="38">
        <f>'KNL GROUP P&amp;L'!AG20+'CCL GROUP P&amp;L'!AG20+'YBHN GROUP P&amp;L'!AG20+'YBN Group P&amp;L'!AG20+'HAB P&amp;L'!AG20+'Moe2 P&amp;L'!AG20</f>
        <v/>
      </c>
      <c r="AH20" s="38">
        <f>'KNL GROUP P&amp;L'!AH20+'CCL GROUP P&amp;L'!AH20+'YBHN GROUP P&amp;L'!AH20+'YBN Group P&amp;L'!AH20+'HAB P&amp;L'!AH20+'Moe2 P&amp;L'!AH20</f>
        <v/>
      </c>
      <c r="AI20" s="118" t="n">
        <v>0</v>
      </c>
      <c r="AJ20" s="119" t="n">
        <v>0</v>
      </c>
      <c r="AK20" s="119" t="n">
        <v>0</v>
      </c>
      <c r="AL20" s="119" t="n">
        <v>0</v>
      </c>
      <c r="AM20" s="119" t="n">
        <v>0</v>
      </c>
      <c r="AN20" s="118" t="n">
        <v>0</v>
      </c>
      <c r="AO20" s="121">
        <f>SUM(AC20:AH20)+SUM(AI20:AN20)</f>
        <v/>
      </c>
      <c r="AP20" s="122">
        <f>IF(AB20&lt;&gt;0,(AO20-AB20)/ABS(AB20),0)</f>
        <v/>
      </c>
    </row>
    <row r="21">
      <c r="A21" s="34" t="inlineStr">
        <is>
          <t>Staff Welfare</t>
        </is>
      </c>
      <c r="B21" s="35" t="n">
        <v>5783.319999999999</v>
      </c>
      <c r="C21" s="35" t="n">
        <v>5492.109999999999</v>
      </c>
      <c r="D21" s="35" t="n">
        <v>3680.379999999999</v>
      </c>
      <c r="E21" s="35" t="n">
        <v>5121.319999999999</v>
      </c>
      <c r="F21" s="35" t="n">
        <v>5200.69</v>
      </c>
      <c r="G21" s="35" t="n">
        <v>3145.79</v>
      </c>
      <c r="H21" s="35" t="n">
        <v>4058.26</v>
      </c>
      <c r="I21" s="35" t="n">
        <v>2831.19</v>
      </c>
      <c r="J21" s="35" t="n">
        <v>2687.77</v>
      </c>
      <c r="K21" s="35" t="n">
        <v>3812.989999999999</v>
      </c>
      <c r="L21" s="35" t="n">
        <v>3586.34</v>
      </c>
      <c r="M21" s="35" t="n">
        <v>3285.859999999999</v>
      </c>
      <c r="N21" s="36">
        <f>SUM(B21:M21)</f>
        <v/>
      </c>
      <c r="O21" s="37">
        <f>SUMIF('Group TB '!$R:$R,'GROUP TOTALS MONTHLY P&amp;L'!$A21,'Group TB '!C:C)</f>
        <v/>
      </c>
      <c r="P21" s="37">
        <f>SUMIF('Group TB '!$R:$R,'GROUP TOTALS MONTHLY P&amp;L'!$A21,'Group TB '!D:D)</f>
        <v/>
      </c>
      <c r="Q21" s="37">
        <f>SUMIF('Group TB '!$R:$R,'GROUP TOTALS MONTHLY P&amp;L'!$A21,'Group TB '!E:E)</f>
        <v/>
      </c>
      <c r="R21" s="37">
        <f>SUMIF('Group TB '!$R:$R,'GROUP TOTALS MONTHLY P&amp;L'!$A21,'Group TB '!F:F)</f>
        <v/>
      </c>
      <c r="S21" s="37">
        <f>SUMIF('Group TB '!$R:$R,'GROUP TOTALS MONTHLY P&amp;L'!$A21,'Group TB '!G:G)</f>
        <v/>
      </c>
      <c r="T21" s="37">
        <f>SUMIF('Group TB '!$R:$R,'GROUP TOTALS MONTHLY P&amp;L'!$A21,'Group TB '!H:H)</f>
        <v/>
      </c>
      <c r="U21" s="37">
        <f>SUMIF('Group TB '!$R:$R,'GROUP TOTALS MONTHLY P&amp;L'!$A21,'Group TB '!I:I)</f>
        <v/>
      </c>
      <c r="V21" s="38">
        <f>'KNL GROUP P&amp;L'!V21+'CCL GROUP P&amp;L'!V21+'YBHN GROUP P&amp;L'!V21+'YBN Group P&amp;L'!V21+'HAB P&amp;L'!V21+'Moe2 P&amp;L'!V21</f>
        <v/>
      </c>
      <c r="W21" s="38">
        <f>'KNL GROUP P&amp;L'!W21+'CCL GROUP P&amp;L'!W21+'YBHN GROUP P&amp;L'!W21+'YBN Group P&amp;L'!W21+'HAB P&amp;L'!W21+'Moe2 P&amp;L'!W21</f>
        <v/>
      </c>
      <c r="X21" s="38">
        <f>'KNL GROUP P&amp;L'!X21+'CCL GROUP P&amp;L'!X21+'YBHN GROUP P&amp;L'!X21+'YBN Group P&amp;L'!X21+'HAB P&amp;L'!X21+'Moe2 P&amp;L'!X21</f>
        <v/>
      </c>
      <c r="Y21" s="38">
        <f>'KNL GROUP P&amp;L'!Y21+'CCL GROUP P&amp;L'!Y21+'YBHN GROUP P&amp;L'!Y21+'YBN Group P&amp;L'!Y21+'HAB P&amp;L'!Y21+'Moe2 P&amp;L'!Y21</f>
        <v/>
      </c>
      <c r="Z21" s="38">
        <f>'KNL GROUP P&amp;L'!Z21+'CCL GROUP P&amp;L'!Z21+'YBHN GROUP P&amp;L'!Z21+'YBN Group P&amp;L'!Z21+'HAB P&amp;L'!Z21+'Moe2 P&amp;L'!Z21</f>
        <v/>
      </c>
      <c r="AA21" s="36">
        <f>SUM(O21:U21)</f>
        <v/>
      </c>
      <c r="AB21" s="36">
        <f>SUM(O21:Z21)</f>
        <v/>
      </c>
      <c r="AC21" s="38">
        <f>'KNL GROUP P&amp;L'!AC21+'CCL GROUP P&amp;L'!AC21+'YBHN GROUP P&amp;L'!AC21+'YBN Group P&amp;L'!AC21+'HAB P&amp;L'!AC21+'Moe2 P&amp;L'!AC21</f>
        <v/>
      </c>
      <c r="AD21" s="38">
        <f>'KNL GROUP P&amp;L'!AD21+'CCL GROUP P&amp;L'!AD21+'YBHN GROUP P&amp;L'!AD21+'YBN Group P&amp;L'!AD21+'HAB P&amp;L'!AD21+'Moe2 P&amp;L'!AD21</f>
        <v/>
      </c>
      <c r="AE21" s="38">
        <f>'KNL GROUP P&amp;L'!AE21+'CCL GROUP P&amp;L'!AE21+'YBHN GROUP P&amp;L'!AE21+'YBN Group P&amp;L'!AE21+'HAB P&amp;L'!AE21+'Moe2 P&amp;L'!AE21</f>
        <v/>
      </c>
      <c r="AF21" s="38">
        <f>'KNL GROUP P&amp;L'!AF21+'CCL GROUP P&amp;L'!AF21+'YBHN GROUP P&amp;L'!AF21+'YBN Group P&amp;L'!AF21+'HAB P&amp;L'!AF21+'Moe2 P&amp;L'!AF21</f>
        <v/>
      </c>
      <c r="AG21" s="38">
        <f>'KNL GROUP P&amp;L'!AG21+'CCL GROUP P&amp;L'!AG21+'YBHN GROUP P&amp;L'!AG21+'YBN Group P&amp;L'!AG21+'HAB P&amp;L'!AG21+'Moe2 P&amp;L'!AG21</f>
        <v/>
      </c>
      <c r="AH21" s="38">
        <f>'KNL GROUP P&amp;L'!AH21+'CCL GROUP P&amp;L'!AH21+'YBHN GROUP P&amp;L'!AH21+'YBN Group P&amp;L'!AH21+'HAB P&amp;L'!AH21+'Moe2 P&amp;L'!AH21</f>
        <v/>
      </c>
      <c r="AI21" s="118" t="n">
        <v>0</v>
      </c>
      <c r="AJ21" s="119" t="n">
        <v>0</v>
      </c>
      <c r="AK21" s="119" t="n">
        <v>0</v>
      </c>
      <c r="AL21" s="119" t="n">
        <v>0</v>
      </c>
      <c r="AM21" s="119" t="n">
        <v>0</v>
      </c>
      <c r="AN21" s="118" t="n">
        <v>0</v>
      </c>
      <c r="AO21" s="121">
        <f>SUM(AC21:AH21)+SUM(AI21:AN21)</f>
        <v/>
      </c>
      <c r="AP21" s="122">
        <f>IF(AB21&lt;&gt;0,(AO21-AB21)/ABS(AB21),0)</f>
        <v/>
      </c>
    </row>
    <row r="22">
      <c r="A22" s="34" t="inlineStr">
        <is>
          <t>Recruitment</t>
        </is>
      </c>
      <c r="B22" s="35" t="n">
        <v>7085.94</v>
      </c>
      <c r="C22" s="35" t="n">
        <v>7154.8</v>
      </c>
      <c r="D22" s="35" t="n">
        <v>1659.66</v>
      </c>
      <c r="E22" s="35" t="n">
        <v>4837.82</v>
      </c>
      <c r="F22" s="35" t="n">
        <v>7267.63</v>
      </c>
      <c r="G22" s="35" t="n">
        <v>8967.110000000001</v>
      </c>
      <c r="H22" s="35" t="n">
        <v>7748.5</v>
      </c>
      <c r="I22" s="35" t="n">
        <v>3434</v>
      </c>
      <c r="J22" s="35" t="n">
        <v>7084</v>
      </c>
      <c r="K22" s="35" t="n">
        <v>4044.5</v>
      </c>
      <c r="L22" s="35" t="n">
        <v>2527.46</v>
      </c>
      <c r="M22" s="35" t="n">
        <v>7930.110000000001</v>
      </c>
      <c r="N22" s="36">
        <f>SUM(B22:M22)</f>
        <v/>
      </c>
      <c r="O22" s="37">
        <f>SUMIF('Group TB '!$R:$R,'GROUP TOTALS MONTHLY P&amp;L'!$A22,'Group TB '!C:C)</f>
        <v/>
      </c>
      <c r="P22" s="37">
        <f>SUMIF('Group TB '!$R:$R,'GROUP TOTALS MONTHLY P&amp;L'!$A22,'Group TB '!D:D)</f>
        <v/>
      </c>
      <c r="Q22" s="37">
        <f>SUMIF('Group TB '!$R:$R,'GROUP TOTALS MONTHLY P&amp;L'!$A22,'Group TB '!E:E)</f>
        <v/>
      </c>
      <c r="R22" s="37">
        <f>SUMIF('Group TB '!$R:$R,'GROUP TOTALS MONTHLY P&amp;L'!$A22,'Group TB '!F:F)</f>
        <v/>
      </c>
      <c r="S22" s="37">
        <f>SUMIF('Group TB '!$R:$R,'GROUP TOTALS MONTHLY P&amp;L'!$A22,'Group TB '!G:G)</f>
        <v/>
      </c>
      <c r="T22" s="37">
        <f>SUMIF('Group TB '!$R:$R,'GROUP TOTALS MONTHLY P&amp;L'!$A22,'Group TB '!H:H)</f>
        <v/>
      </c>
      <c r="U22" s="37">
        <f>SUMIF('Group TB '!$R:$R,'GROUP TOTALS MONTHLY P&amp;L'!$A22,'Group TB '!I:I)</f>
        <v/>
      </c>
      <c r="V22" s="38">
        <f>'KNL GROUP P&amp;L'!V22+'CCL GROUP P&amp;L'!V22+'YBHN GROUP P&amp;L'!V22+'YBN Group P&amp;L'!V22+'HAB P&amp;L'!V22+'Moe2 P&amp;L'!V22</f>
        <v/>
      </c>
      <c r="W22" s="38">
        <f>'KNL GROUP P&amp;L'!W22+'CCL GROUP P&amp;L'!W22+'YBHN GROUP P&amp;L'!W22+'YBN Group P&amp;L'!W22+'HAB P&amp;L'!W22+'Moe2 P&amp;L'!W22</f>
        <v/>
      </c>
      <c r="X22" s="38">
        <f>'KNL GROUP P&amp;L'!X22+'CCL GROUP P&amp;L'!X22+'YBHN GROUP P&amp;L'!X22+'YBN Group P&amp;L'!X22+'HAB P&amp;L'!X22+'Moe2 P&amp;L'!X22</f>
        <v/>
      </c>
      <c r="Y22" s="38">
        <f>'KNL GROUP P&amp;L'!Y22+'CCL GROUP P&amp;L'!Y22+'YBHN GROUP P&amp;L'!Y22+'YBN Group P&amp;L'!Y22+'HAB P&amp;L'!Y22+'Moe2 P&amp;L'!Y22</f>
        <v/>
      </c>
      <c r="Z22" s="38">
        <f>'KNL GROUP P&amp;L'!Z22+'CCL GROUP P&amp;L'!Z22+'YBHN GROUP P&amp;L'!Z22+'YBN Group P&amp;L'!Z22+'HAB P&amp;L'!Z22+'Moe2 P&amp;L'!Z22</f>
        <v/>
      </c>
      <c r="AA22" s="36">
        <f>SUM(O22:U22)</f>
        <v/>
      </c>
      <c r="AB22" s="36">
        <f>SUM(O22:Z22)</f>
        <v/>
      </c>
      <c r="AC22" s="38">
        <f>'KNL GROUP P&amp;L'!AC22+'CCL GROUP P&amp;L'!AC22+'YBHN GROUP P&amp;L'!AC22+'YBN Group P&amp;L'!AC22+'HAB P&amp;L'!AC22+'Moe2 P&amp;L'!AC22</f>
        <v/>
      </c>
      <c r="AD22" s="38">
        <f>'KNL GROUP P&amp;L'!AD22+'CCL GROUP P&amp;L'!AD22+'YBHN GROUP P&amp;L'!AD22+'YBN Group P&amp;L'!AD22+'HAB P&amp;L'!AD22+'Moe2 P&amp;L'!AD22</f>
        <v/>
      </c>
      <c r="AE22" s="38">
        <f>'KNL GROUP P&amp;L'!AE22+'CCL GROUP P&amp;L'!AE22+'YBHN GROUP P&amp;L'!AE22+'YBN Group P&amp;L'!AE22+'HAB P&amp;L'!AE22+'Moe2 P&amp;L'!AE22</f>
        <v/>
      </c>
      <c r="AF22" s="38">
        <f>'KNL GROUP P&amp;L'!AF22+'CCL GROUP P&amp;L'!AF22+'YBHN GROUP P&amp;L'!AF22+'YBN Group P&amp;L'!AF22+'HAB P&amp;L'!AF22+'Moe2 P&amp;L'!AF22</f>
        <v/>
      </c>
      <c r="AG22" s="38">
        <f>'KNL GROUP P&amp;L'!AG22+'CCL GROUP P&amp;L'!AG22+'YBHN GROUP P&amp;L'!AG22+'YBN Group P&amp;L'!AG22+'HAB P&amp;L'!AG22+'Moe2 P&amp;L'!AG22</f>
        <v/>
      </c>
      <c r="AH22" s="38">
        <f>'KNL GROUP P&amp;L'!AH22+'CCL GROUP P&amp;L'!AH22+'YBHN GROUP P&amp;L'!AH22+'YBN Group P&amp;L'!AH22+'HAB P&amp;L'!AH22+'Moe2 P&amp;L'!AH22</f>
        <v/>
      </c>
      <c r="AI22" s="118" t="n">
        <v>0</v>
      </c>
      <c r="AJ22" s="119" t="n">
        <v>0</v>
      </c>
      <c r="AK22" s="119" t="n">
        <v>0</v>
      </c>
      <c r="AL22" s="119" t="n">
        <v>0</v>
      </c>
      <c r="AM22" s="119" t="n">
        <v>0</v>
      </c>
      <c r="AN22" s="118" t="n">
        <v>0</v>
      </c>
      <c r="AO22" s="121">
        <f>SUM(AC22:AH22)+SUM(AI22:AN22)</f>
        <v/>
      </c>
      <c r="AP22" s="122">
        <f>IF(AB22&lt;&gt;0,(AO22-AB22)/ABS(AB22),0)</f>
        <v/>
      </c>
    </row>
    <row r="23">
      <c r="A23" s="34" t="inlineStr">
        <is>
          <t>Rewards &amp; Recognition</t>
        </is>
      </c>
      <c r="B23" s="35" t="n">
        <v>0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1630</v>
      </c>
      <c r="H23" s="35" t="n">
        <v>2423.57</v>
      </c>
      <c r="I23" s="35" t="n">
        <v>1238.7</v>
      </c>
      <c r="J23" s="35" t="n">
        <v>2444.67</v>
      </c>
      <c r="K23" s="35" t="n">
        <v>1251.27</v>
      </c>
      <c r="L23" s="35" t="n">
        <v>5222.39</v>
      </c>
      <c r="M23" s="35" t="n">
        <v>2416.64</v>
      </c>
      <c r="N23" s="36">
        <f>SUM(B23:M23)</f>
        <v/>
      </c>
      <c r="O23" s="37">
        <f>SUMIF('Group TB '!$R:$R,'GROUP TOTALS MONTHLY P&amp;L'!$A23,'Group TB '!C:C)</f>
        <v/>
      </c>
      <c r="P23" s="37">
        <f>SUMIF('Group TB '!$R:$R,'GROUP TOTALS MONTHLY P&amp;L'!$A23,'Group TB '!D:D)</f>
        <v/>
      </c>
      <c r="Q23" s="37">
        <f>SUMIF('Group TB '!$R:$R,'GROUP TOTALS MONTHLY P&amp;L'!$A23,'Group TB '!E:E)</f>
        <v/>
      </c>
      <c r="R23" s="37">
        <f>SUMIF('Group TB '!$R:$R,'GROUP TOTALS MONTHLY P&amp;L'!$A23,'Group TB '!F:F)</f>
        <v/>
      </c>
      <c r="S23" s="37">
        <f>SUMIF('Group TB '!$R:$R,'GROUP TOTALS MONTHLY P&amp;L'!$A23,'Group TB '!G:G)</f>
        <v/>
      </c>
      <c r="T23" s="37">
        <f>SUMIF('Group TB '!$R:$R,'GROUP TOTALS MONTHLY P&amp;L'!$A23,'Group TB '!H:H)</f>
        <v/>
      </c>
      <c r="U23" s="37">
        <f>SUMIF('Group TB '!$R:$R,'GROUP TOTALS MONTHLY P&amp;L'!$A23,'Group TB '!I:I)</f>
        <v/>
      </c>
      <c r="V23" s="38">
        <f>'KNL GROUP P&amp;L'!V23+'CCL GROUP P&amp;L'!V23+'YBHN GROUP P&amp;L'!V23+'YBN Group P&amp;L'!V23+'HAB P&amp;L'!V23+'Moe2 P&amp;L'!V23</f>
        <v/>
      </c>
      <c r="W23" s="38">
        <f>'KNL GROUP P&amp;L'!W23+'CCL GROUP P&amp;L'!W23+'YBHN GROUP P&amp;L'!W23+'YBN Group P&amp;L'!W23+'HAB P&amp;L'!W23+'Moe2 P&amp;L'!W23</f>
        <v/>
      </c>
      <c r="X23" s="38">
        <f>'KNL GROUP P&amp;L'!X23+'CCL GROUP P&amp;L'!X23+'YBHN GROUP P&amp;L'!X23+'YBN Group P&amp;L'!X23+'HAB P&amp;L'!X23+'Moe2 P&amp;L'!X23</f>
        <v/>
      </c>
      <c r="Y23" s="38">
        <f>'KNL GROUP P&amp;L'!Y23+'CCL GROUP P&amp;L'!Y23+'YBHN GROUP P&amp;L'!Y23+'YBN Group P&amp;L'!Y23+'HAB P&amp;L'!Y23+'Moe2 P&amp;L'!Y23</f>
        <v/>
      </c>
      <c r="Z23" s="38">
        <f>'KNL GROUP P&amp;L'!Z23+'CCL GROUP P&amp;L'!Z23+'YBHN GROUP P&amp;L'!Z23+'YBN Group P&amp;L'!Z23+'HAB P&amp;L'!Z23+'Moe2 P&amp;L'!Z23</f>
        <v/>
      </c>
      <c r="AA23" s="36">
        <f>SUM(O23:U23)</f>
        <v/>
      </c>
      <c r="AB23" s="36">
        <f>SUM(O23:Z23)</f>
        <v/>
      </c>
      <c r="AC23" s="38">
        <f>'KNL GROUP P&amp;L'!AC23+'CCL GROUP P&amp;L'!AC23+'YBHN GROUP P&amp;L'!AC23+'YBN Group P&amp;L'!AC23+'HAB P&amp;L'!AC23+'Moe2 P&amp;L'!AC23</f>
        <v/>
      </c>
      <c r="AD23" s="38">
        <f>'KNL GROUP P&amp;L'!AD23+'CCL GROUP P&amp;L'!AD23+'YBHN GROUP P&amp;L'!AD23+'YBN Group P&amp;L'!AD23+'HAB P&amp;L'!AD23+'Moe2 P&amp;L'!AD23</f>
        <v/>
      </c>
      <c r="AE23" s="38">
        <f>'KNL GROUP P&amp;L'!AE23+'CCL GROUP P&amp;L'!AE23+'YBHN GROUP P&amp;L'!AE23+'YBN Group P&amp;L'!AE23+'HAB P&amp;L'!AE23+'Moe2 P&amp;L'!AE23</f>
        <v/>
      </c>
      <c r="AF23" s="38">
        <f>'KNL GROUP P&amp;L'!AF23+'CCL GROUP P&amp;L'!AF23+'YBHN GROUP P&amp;L'!AF23+'YBN Group P&amp;L'!AF23+'HAB P&amp;L'!AF23+'Moe2 P&amp;L'!AF23</f>
        <v/>
      </c>
      <c r="AG23" s="38">
        <f>'KNL GROUP P&amp;L'!AG23+'CCL GROUP P&amp;L'!AG23+'YBHN GROUP P&amp;L'!AG23+'YBN Group P&amp;L'!AG23+'HAB P&amp;L'!AG23+'Moe2 P&amp;L'!AG23</f>
        <v/>
      </c>
      <c r="AH23" s="38">
        <f>'KNL GROUP P&amp;L'!AH23+'CCL GROUP P&amp;L'!AH23+'YBHN GROUP P&amp;L'!AH23+'YBN Group P&amp;L'!AH23+'HAB P&amp;L'!AH23+'Moe2 P&amp;L'!AH23</f>
        <v/>
      </c>
      <c r="AI23" s="118" t="n">
        <v>0</v>
      </c>
      <c r="AJ23" s="119" t="n">
        <v>0</v>
      </c>
      <c r="AK23" s="119" t="n">
        <v>0</v>
      </c>
      <c r="AL23" s="119" t="n">
        <v>0</v>
      </c>
      <c r="AM23" s="119" t="n">
        <v>0</v>
      </c>
      <c r="AN23" s="118" t="n">
        <v>0</v>
      </c>
      <c r="AO23" s="121">
        <f>SUM(AC23:AH23)+SUM(AI23:AN23)</f>
        <v/>
      </c>
      <c r="AP23" s="122">
        <f>IF(AB23&lt;&gt;0,(AO23-AB23)/ABS(AB23),0)</f>
        <v/>
      </c>
    </row>
    <row r="24" ht="15.75" customHeight="1">
      <c r="A24" s="34" t="inlineStr">
        <is>
          <t>Temps</t>
        </is>
      </c>
      <c r="B24" s="35" t="n">
        <v>0</v>
      </c>
      <c r="C24" s="35" t="n">
        <v>217.33</v>
      </c>
      <c r="D24" s="35" t="n">
        <v>0</v>
      </c>
      <c r="E24" s="35" t="n">
        <v>0</v>
      </c>
      <c r="F24" s="35" t="n">
        <v>226.03</v>
      </c>
      <c r="G24" s="35" t="n">
        <v>0</v>
      </c>
      <c r="H24" s="35" t="n">
        <v>249.41</v>
      </c>
      <c r="I24" s="35" t="n">
        <v>0</v>
      </c>
      <c r="J24" s="35" t="n">
        <v>1410.72</v>
      </c>
      <c r="K24" s="35" t="n">
        <v>6211.84</v>
      </c>
      <c r="L24" s="35" t="n">
        <v>3008.5</v>
      </c>
      <c r="M24" s="35" t="n">
        <v>0</v>
      </c>
      <c r="N24" s="36">
        <f>SUM(B24:M24)</f>
        <v/>
      </c>
      <c r="O24" s="37">
        <f>SUMIF('Group TB '!$R:$R,'GROUP TOTALS MONTHLY P&amp;L'!$A24,'Group TB '!C:C)</f>
        <v/>
      </c>
      <c r="P24" s="37">
        <f>SUMIF('Group TB '!$R:$R,'GROUP TOTALS MONTHLY P&amp;L'!$A24,'Group TB '!D:D)</f>
        <v/>
      </c>
      <c r="Q24" s="37">
        <f>SUMIF('Group TB '!$R:$R,'GROUP TOTALS MONTHLY P&amp;L'!$A24,'Group TB '!E:E)</f>
        <v/>
      </c>
      <c r="R24" s="37">
        <f>SUMIF('Group TB '!$R:$R,'GROUP TOTALS MONTHLY P&amp;L'!$A24,'Group TB '!F:F)</f>
        <v/>
      </c>
      <c r="S24" s="37">
        <f>SUMIF('Group TB '!$R:$R,'GROUP TOTALS MONTHLY P&amp;L'!$A24,'Group TB '!G:G)</f>
        <v/>
      </c>
      <c r="T24" s="37">
        <f>SUMIF('Group TB '!$R:$R,'GROUP TOTALS MONTHLY P&amp;L'!$A24,'Group TB '!H:H)</f>
        <v/>
      </c>
      <c r="U24" s="37">
        <f>SUMIF('Group TB '!$R:$R,'GROUP TOTALS MONTHLY P&amp;L'!$A24,'Group TB '!I:I)</f>
        <v/>
      </c>
      <c r="V24" s="38">
        <f>'KNL GROUP P&amp;L'!V24+'CCL GROUP P&amp;L'!V24+'YBHN GROUP P&amp;L'!V24+'YBN Group P&amp;L'!V24+'HAB P&amp;L'!V24+'Moe2 P&amp;L'!V24</f>
        <v/>
      </c>
      <c r="W24" s="38">
        <f>'KNL GROUP P&amp;L'!W24+'CCL GROUP P&amp;L'!W24+'YBHN GROUP P&amp;L'!W24+'YBN Group P&amp;L'!W24+'HAB P&amp;L'!W24+'Moe2 P&amp;L'!W24</f>
        <v/>
      </c>
      <c r="X24" s="38">
        <f>'KNL GROUP P&amp;L'!X24+'CCL GROUP P&amp;L'!X24+'YBHN GROUP P&amp;L'!X24+'YBN Group P&amp;L'!X24+'HAB P&amp;L'!X24+'Moe2 P&amp;L'!X24</f>
        <v/>
      </c>
      <c r="Y24" s="38">
        <f>'KNL GROUP P&amp;L'!Y24+'CCL GROUP P&amp;L'!Y24+'YBHN GROUP P&amp;L'!Y24+'YBN Group P&amp;L'!Y24+'HAB P&amp;L'!Y24+'Moe2 P&amp;L'!Y24</f>
        <v/>
      </c>
      <c r="Z24" s="38">
        <f>'KNL GROUP P&amp;L'!Z24+'CCL GROUP P&amp;L'!Z24+'YBHN GROUP P&amp;L'!Z24+'YBN Group P&amp;L'!Z24+'HAB P&amp;L'!Z24+'Moe2 P&amp;L'!Z24</f>
        <v/>
      </c>
      <c r="AA24" s="36">
        <f>SUM(O24:U24)</f>
        <v/>
      </c>
      <c r="AB24" s="36">
        <f>SUM(O24:Z24)</f>
        <v/>
      </c>
      <c r="AC24" s="38">
        <f>'KNL GROUP P&amp;L'!AC24+'CCL GROUP P&amp;L'!AC24+'YBHN GROUP P&amp;L'!AC24+'YBN Group P&amp;L'!AC24+'HAB P&amp;L'!AC24+'Moe2 P&amp;L'!AC24</f>
        <v/>
      </c>
      <c r="AD24" s="38">
        <f>'KNL GROUP P&amp;L'!AD24+'CCL GROUP P&amp;L'!AD24+'YBHN GROUP P&amp;L'!AD24+'YBN Group P&amp;L'!AD24+'HAB P&amp;L'!AD24+'Moe2 P&amp;L'!AD24</f>
        <v/>
      </c>
      <c r="AE24" s="38">
        <f>'KNL GROUP P&amp;L'!AE24+'CCL GROUP P&amp;L'!AE24+'YBHN GROUP P&amp;L'!AE24+'YBN Group P&amp;L'!AE24+'HAB P&amp;L'!AE24+'Moe2 P&amp;L'!AE24</f>
        <v/>
      </c>
      <c r="AF24" s="38">
        <f>'KNL GROUP P&amp;L'!AF24+'CCL GROUP P&amp;L'!AF24+'YBHN GROUP P&amp;L'!AF24+'YBN Group P&amp;L'!AF24+'HAB P&amp;L'!AF24+'Moe2 P&amp;L'!AF24</f>
        <v/>
      </c>
      <c r="AG24" s="38">
        <f>'KNL GROUP P&amp;L'!AG24+'CCL GROUP P&amp;L'!AG24+'YBHN GROUP P&amp;L'!AG24+'YBN Group P&amp;L'!AG24+'HAB P&amp;L'!AG24+'Moe2 P&amp;L'!AG24</f>
        <v/>
      </c>
      <c r="AH24" s="38">
        <f>'KNL GROUP P&amp;L'!AH24+'CCL GROUP P&amp;L'!AH24+'YBHN GROUP P&amp;L'!AH24+'YBN Group P&amp;L'!AH24+'HAB P&amp;L'!AH24+'Moe2 P&amp;L'!AH24</f>
        <v/>
      </c>
      <c r="AI24" s="118" t="n">
        <v>0</v>
      </c>
      <c r="AJ24" s="119" t="n">
        <v>0</v>
      </c>
      <c r="AK24" s="119" t="n">
        <v>0</v>
      </c>
      <c r="AL24" s="119" t="n">
        <v>0</v>
      </c>
      <c r="AM24" s="119" t="n">
        <v>0</v>
      </c>
      <c r="AN24" s="118" t="n">
        <v>0</v>
      </c>
      <c r="AO24" s="121">
        <f>SUM(AC24:AH24)+SUM(AI24:AN24)</f>
        <v/>
      </c>
      <c r="AP24" s="122">
        <f>IF(AB24&lt;&gt;0,(AO24-AB24)/ABS(AB24),0)</f>
        <v/>
      </c>
    </row>
    <row r="25" ht="15.75" customHeight="1">
      <c r="A25" s="41" t="inlineStr">
        <is>
          <t>Total Personnel</t>
        </is>
      </c>
      <c r="B25" s="42" t="n">
        <v>453315.68</v>
      </c>
      <c r="C25" s="42" t="n">
        <v>457131.66</v>
      </c>
      <c r="D25" s="42" t="n">
        <v>450046.64</v>
      </c>
      <c r="E25" s="42" t="n">
        <v>513439.7500000001</v>
      </c>
      <c r="F25" s="42" t="n">
        <v>520315.8300000001</v>
      </c>
      <c r="G25" s="42" t="n">
        <v>500062.94</v>
      </c>
      <c r="H25" s="42" t="n">
        <v>540450.8400000001</v>
      </c>
      <c r="I25" s="42" t="n">
        <v>494870.5800000001</v>
      </c>
      <c r="J25" s="42" t="n">
        <v>523267.4399999999</v>
      </c>
      <c r="K25" s="42" t="n">
        <v>528710.3</v>
      </c>
      <c r="L25" s="42" t="n">
        <v>502447.01</v>
      </c>
      <c r="M25" s="42" t="n">
        <v>516214.69</v>
      </c>
      <c r="N25" s="43">
        <f>SUM(B25:M25)</f>
        <v/>
      </c>
      <c r="O25" s="44">
        <f>SUM(O16:O24)</f>
        <v/>
      </c>
      <c r="P25" s="44">
        <f>SUM(P16:P24)</f>
        <v/>
      </c>
      <c r="Q25" s="44">
        <f>SUM(Q16:Q24)</f>
        <v/>
      </c>
      <c r="R25" s="44">
        <f>SUM(R16:R24)</f>
        <v/>
      </c>
      <c r="S25" s="44">
        <f>SUM(S16:S24)</f>
        <v/>
      </c>
      <c r="T25" s="44">
        <f>SUM(T16:T24)</f>
        <v/>
      </c>
      <c r="U25" s="44">
        <f>SUM(U16:U24)</f>
        <v/>
      </c>
      <c r="V25" s="45">
        <f>SUM(V16:V24)</f>
        <v/>
      </c>
      <c r="W25" s="45">
        <f>SUM(W16:W24)</f>
        <v/>
      </c>
      <c r="X25" s="45">
        <f>SUM(X16:X24)</f>
        <v/>
      </c>
      <c r="Y25" s="45">
        <f>SUM(Y16:Y24)</f>
        <v/>
      </c>
      <c r="Z25" s="45">
        <f>SUM(Z16:Z24)</f>
        <v/>
      </c>
      <c r="AA25" s="43">
        <f>SUM(O25:U25)</f>
        <v/>
      </c>
      <c r="AB25" s="43">
        <f>SUM(AB16:AB24)</f>
        <v/>
      </c>
      <c r="AC25" s="45">
        <f>SUM(AC16:AC24)</f>
        <v/>
      </c>
      <c r="AD25" s="45">
        <f>SUM(AD16:AD24)</f>
        <v/>
      </c>
      <c r="AE25" s="45">
        <f>SUM(AE16:AE24)</f>
        <v/>
      </c>
      <c r="AF25" s="45">
        <f>SUM(AF16:AF24)</f>
        <v/>
      </c>
      <c r="AG25" s="45">
        <f>SUM(AG16:AG24)</f>
        <v/>
      </c>
      <c r="AH25" s="45">
        <f>SUM(AH16:AH24)</f>
        <v/>
      </c>
      <c r="AI25" s="123">
        <f>SUM(AI16:AI24)</f>
        <v/>
      </c>
      <c r="AJ25" s="124">
        <f>SUM(AJ16:AJ24)</f>
        <v/>
      </c>
      <c r="AK25" s="124">
        <f>SUM(AK16:AK24)</f>
        <v/>
      </c>
      <c r="AL25" s="124">
        <f>SUM(AL16:AL24)</f>
        <v/>
      </c>
      <c r="AM25" s="124">
        <f>SUM(AM16:AM24)</f>
        <v/>
      </c>
      <c r="AN25" s="123">
        <f>SUM(AN16:AN24)</f>
        <v/>
      </c>
      <c r="AO25" s="125">
        <f>SUM(AC25:AH25)+SUM(AI25:AN25)</f>
        <v/>
      </c>
      <c r="AP25" s="126">
        <f>IF(AB25&lt;&gt;0,(AO25-AB25)/ABS(AB25),0)</f>
        <v/>
      </c>
    </row>
    <row r="26">
      <c r="A26" s="28" t="inlineStr">
        <is>
          <t>Childcare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6" t="n"/>
      <c r="O26" s="31" t="n"/>
      <c r="P26" s="31" t="n"/>
      <c r="Q26" s="31" t="n"/>
      <c r="R26" s="31" t="n"/>
      <c r="S26" s="31" t="n"/>
      <c r="T26" s="31" t="n"/>
      <c r="U26" s="31" t="n"/>
      <c r="V26" s="32" t="n"/>
      <c r="W26" s="32" t="n"/>
      <c r="X26" s="32" t="n"/>
      <c r="Y26" s="32" t="n"/>
      <c r="Z26" s="32" t="n"/>
      <c r="AA26" s="36">
        <f>SUM(O26:U26)</f>
        <v/>
      </c>
      <c r="AB26" s="36" t="n"/>
      <c r="AC26" s="32">
        <f>'KNL GROUP P&amp;L'!AC26+'CCL GROUP P&amp;L'!AC26+'YBHN GROUP P&amp;L'!AC26+'YBN Group P&amp;L'!AC26+'HAB P&amp;L'!AC26+'Moe2 P&amp;L'!AC26</f>
        <v/>
      </c>
      <c r="AD26" s="32">
        <f>'KNL GROUP P&amp;L'!AD26+'CCL GROUP P&amp;L'!AD26+'YBHN GROUP P&amp;L'!AD26+'YBN Group P&amp;L'!AD26+'HAB P&amp;L'!AD26+'Moe2 P&amp;L'!AD26</f>
        <v/>
      </c>
      <c r="AE26" s="32">
        <f>'KNL GROUP P&amp;L'!AE26+'CCL GROUP P&amp;L'!AE26+'YBHN GROUP P&amp;L'!AE26+'YBN Group P&amp;L'!AE26+'HAB P&amp;L'!AE26+'Moe2 P&amp;L'!AE26</f>
        <v/>
      </c>
      <c r="AF26" s="32">
        <f>'KNL GROUP P&amp;L'!AF26+'CCL GROUP P&amp;L'!AF26+'YBHN GROUP P&amp;L'!AF26+'YBN Group P&amp;L'!AF26+'HAB P&amp;L'!AF26+'Moe2 P&amp;L'!AF26</f>
        <v/>
      </c>
      <c r="AG26" s="32">
        <f>'KNL GROUP P&amp;L'!AG26+'CCL GROUP P&amp;L'!AG26+'YBHN GROUP P&amp;L'!AG26+'YBN Group P&amp;L'!AG26+'HAB P&amp;L'!AG26+'Moe2 P&amp;L'!AG26</f>
        <v/>
      </c>
      <c r="AH26" s="32">
        <f>'KNL GROUP P&amp;L'!AH26+'CCL GROUP P&amp;L'!AH26+'YBHN GROUP P&amp;L'!AH26+'YBN Group P&amp;L'!AH26+'HAB P&amp;L'!AH26+'Moe2 P&amp;L'!AH26</f>
        <v/>
      </c>
      <c r="AI26" s="127" t="n">
        <v>0</v>
      </c>
      <c r="AJ26" s="128" t="n">
        <v>0</v>
      </c>
      <c r="AK26" s="128" t="n">
        <v>0</v>
      </c>
      <c r="AL26" s="128" t="n">
        <v>0</v>
      </c>
      <c r="AM26" s="128" t="n">
        <v>0</v>
      </c>
      <c r="AN26" s="127" t="n">
        <v>0</v>
      </c>
      <c r="AO26" s="121">
        <f>SUM(AC26:AH26)+SUM(AI26:AN26)</f>
        <v/>
      </c>
      <c r="AP26" s="122">
        <f>IF(AB26&lt;&gt;0,(AO26-AB26)/ABS(AB26),0)</f>
        <v/>
      </c>
    </row>
    <row r="27">
      <c r="A27" s="34" t="inlineStr">
        <is>
          <t>Catering Costs</t>
        </is>
      </c>
      <c r="B27" s="35" t="n">
        <v>24984.97</v>
      </c>
      <c r="C27" s="35" t="n">
        <v>27639.25</v>
      </c>
      <c r="D27" s="35" t="n">
        <v>26273.28</v>
      </c>
      <c r="E27" s="35" t="n">
        <v>22057.36</v>
      </c>
      <c r="F27" s="35" t="n">
        <v>26275.7</v>
      </c>
      <c r="G27" s="35" t="n">
        <v>25972.10000000001</v>
      </c>
      <c r="H27" s="35" t="n">
        <v>25583.16</v>
      </c>
      <c r="I27" s="35" t="n">
        <v>25393.59</v>
      </c>
      <c r="J27" s="35" t="n">
        <v>23517.88000000001</v>
      </c>
      <c r="K27" s="35" t="n">
        <v>27113.72</v>
      </c>
      <c r="L27" s="35" t="n">
        <v>25194.74</v>
      </c>
      <c r="M27" s="35" t="n">
        <v>20081.97</v>
      </c>
      <c r="N27" s="36">
        <f>SUM(B27:M27)</f>
        <v/>
      </c>
      <c r="O27" s="37">
        <f>SUMIF('Group TB '!$R:$R,'GROUP TOTALS MONTHLY P&amp;L'!$A27,'Group TB '!C:C)</f>
        <v/>
      </c>
      <c r="P27" s="37">
        <f>SUMIF('Group TB '!$R:$R,'GROUP TOTALS MONTHLY P&amp;L'!$A27,'Group TB '!D:D)</f>
        <v/>
      </c>
      <c r="Q27" s="37">
        <f>SUMIF('Group TB '!$R:$R,'GROUP TOTALS MONTHLY P&amp;L'!$A27,'Group TB '!E:E)</f>
        <v/>
      </c>
      <c r="R27" s="37">
        <f>SUMIF('Group TB '!$R:$R,'GROUP TOTALS MONTHLY P&amp;L'!$A27,'Group TB '!F:F)</f>
        <v/>
      </c>
      <c r="S27" s="37">
        <f>SUMIF('Group TB '!$R:$R,'GROUP TOTALS MONTHLY P&amp;L'!$A27,'Group TB '!G:G)</f>
        <v/>
      </c>
      <c r="T27" s="37">
        <f>SUMIF('Group TB '!$R:$R,'GROUP TOTALS MONTHLY P&amp;L'!$A27,'Group TB '!H:H)</f>
        <v/>
      </c>
      <c r="U27" s="37">
        <f>SUMIF('Group TB '!$R:$R,'GROUP TOTALS MONTHLY P&amp;L'!$A27,'Group TB '!I:I)</f>
        <v/>
      </c>
      <c r="V27" s="38">
        <f>'KNL GROUP P&amp;L'!V27+'CCL GROUP P&amp;L'!V27+'YBHN GROUP P&amp;L'!V27+'YBN Group P&amp;L'!V27+'HAB P&amp;L'!V27+'Moe2 P&amp;L'!V27</f>
        <v/>
      </c>
      <c r="W27" s="38">
        <f>'KNL GROUP P&amp;L'!W27+'CCL GROUP P&amp;L'!W27+'YBHN GROUP P&amp;L'!W27+'YBN Group P&amp;L'!W27+'HAB P&amp;L'!W27+'Moe2 P&amp;L'!W27</f>
        <v/>
      </c>
      <c r="X27" s="38">
        <f>'KNL GROUP P&amp;L'!X27+'CCL GROUP P&amp;L'!X27+'YBHN GROUP P&amp;L'!X27+'YBN Group P&amp;L'!X27+'HAB P&amp;L'!X27+'Moe2 P&amp;L'!X27</f>
        <v/>
      </c>
      <c r="Y27" s="38">
        <f>'KNL GROUP P&amp;L'!Y27+'CCL GROUP P&amp;L'!Y27+'YBHN GROUP P&amp;L'!Y27+'YBN Group P&amp;L'!Y27+'HAB P&amp;L'!Y27+'Moe2 P&amp;L'!Y27</f>
        <v/>
      </c>
      <c r="Z27" s="38">
        <f>'KNL GROUP P&amp;L'!Z27+'CCL GROUP P&amp;L'!Z27+'YBHN GROUP P&amp;L'!Z27+'YBN Group P&amp;L'!Z27+'HAB P&amp;L'!Z27+'Moe2 P&amp;L'!Z27</f>
        <v/>
      </c>
      <c r="AA27" s="36">
        <f>SUM(O27:U27)</f>
        <v/>
      </c>
      <c r="AB27" s="36">
        <f>SUM(O27:Z27)</f>
        <v/>
      </c>
      <c r="AC27" s="38">
        <f>Z$8*$AI27</f>
        <v/>
      </c>
      <c r="AD27" s="38">
        <f>Z$8*$AI27</f>
        <v/>
      </c>
      <c r="AE27" s="38">
        <f>Z$8*$AI27</f>
        <v/>
      </c>
      <c r="AF27" s="38">
        <f>Z$8*$AI27</f>
        <v/>
      </c>
      <c r="AG27" s="38">
        <f>Z$8*$AI27</f>
        <v/>
      </c>
      <c r="AH27" s="38">
        <f>Z$8*$AI27</f>
        <v/>
      </c>
      <c r="AI27" s="118" t="n">
        <v>0</v>
      </c>
      <c r="AJ27" s="119" t="n">
        <v>0</v>
      </c>
      <c r="AK27" s="119" t="n">
        <v>0</v>
      </c>
      <c r="AL27" s="119" t="n">
        <v>0</v>
      </c>
      <c r="AM27" s="119" t="n">
        <v>0</v>
      </c>
      <c r="AN27" s="118" t="n">
        <v>0</v>
      </c>
      <c r="AO27" s="121">
        <f>SUM(AC27:AH27)+SUM(AI27:AN27)</f>
        <v/>
      </c>
      <c r="AP27" s="122">
        <f>IF(AB27&lt;&gt;0,(AO27-AB27)/ABS(AB27),0)</f>
        <v/>
      </c>
    </row>
    <row r="28">
      <c r="A28" s="34" t="inlineStr">
        <is>
          <t>Toys and Games</t>
        </is>
      </c>
      <c r="B28" s="35" t="n">
        <v>2910.13</v>
      </c>
      <c r="C28" s="35" t="n">
        <v>6069.44</v>
      </c>
      <c r="D28" s="35" t="n">
        <v>2457.96</v>
      </c>
      <c r="E28" s="35" t="n">
        <v>3203.4</v>
      </c>
      <c r="F28" s="35" t="n">
        <v>6842.979999999998</v>
      </c>
      <c r="G28" s="35" t="n">
        <v>5934.230000000001</v>
      </c>
      <c r="H28" s="35" t="n">
        <v>5852.02</v>
      </c>
      <c r="I28" s="35" t="n">
        <v>6516.69</v>
      </c>
      <c r="J28" s="35" t="n">
        <v>6590.410000000001</v>
      </c>
      <c r="K28" s="35" t="n">
        <v>2549.79</v>
      </c>
      <c r="L28" s="35" t="n">
        <v>2219.75</v>
      </c>
      <c r="M28" s="35" t="n">
        <v>1504.69</v>
      </c>
      <c r="N28" s="36">
        <f>SUM(B28:M28)</f>
        <v/>
      </c>
      <c r="O28" s="37">
        <f>SUMIF('Group TB '!$R:$R,'GROUP TOTALS MONTHLY P&amp;L'!$A28,'Group TB '!C:C)</f>
        <v/>
      </c>
      <c r="P28" s="37">
        <f>SUMIF('Group TB '!$R:$R,'GROUP TOTALS MONTHLY P&amp;L'!$A28,'Group TB '!D:D)</f>
        <v/>
      </c>
      <c r="Q28" s="37">
        <f>SUMIF('Group TB '!$R:$R,'GROUP TOTALS MONTHLY P&amp;L'!$A28,'Group TB '!E:E)</f>
        <v/>
      </c>
      <c r="R28" s="37">
        <f>SUMIF('Group TB '!$R:$R,'GROUP TOTALS MONTHLY P&amp;L'!$A28,'Group TB '!F:F)</f>
        <v/>
      </c>
      <c r="S28" s="37">
        <f>SUMIF('Group TB '!$R:$R,'GROUP TOTALS MONTHLY P&amp;L'!$A28,'Group TB '!G:G)</f>
        <v/>
      </c>
      <c r="T28" s="37">
        <f>SUMIF('Group TB '!$R:$R,'GROUP TOTALS MONTHLY P&amp;L'!$A28,'Group TB '!H:H)</f>
        <v/>
      </c>
      <c r="U28" s="37">
        <f>SUMIF('Group TB '!$R:$R,'GROUP TOTALS MONTHLY P&amp;L'!$A28,'Group TB '!I:I)</f>
        <v/>
      </c>
      <c r="V28" s="38">
        <f>'KNL GROUP P&amp;L'!V28+'CCL GROUP P&amp;L'!V28+'YBHN GROUP P&amp;L'!V28+'YBN Group P&amp;L'!V28+'HAB P&amp;L'!V28+'Moe2 P&amp;L'!V28</f>
        <v/>
      </c>
      <c r="W28" s="38">
        <f>'KNL GROUP P&amp;L'!W28+'CCL GROUP P&amp;L'!W28+'YBHN GROUP P&amp;L'!W28+'YBN Group P&amp;L'!W28+'HAB P&amp;L'!W28+'Moe2 P&amp;L'!W28</f>
        <v/>
      </c>
      <c r="X28" s="38">
        <f>'KNL GROUP P&amp;L'!X28+'CCL GROUP P&amp;L'!X28+'YBHN GROUP P&amp;L'!X28+'YBN Group P&amp;L'!X28+'HAB P&amp;L'!X28+'Moe2 P&amp;L'!X28</f>
        <v/>
      </c>
      <c r="Y28" s="38">
        <f>'KNL GROUP P&amp;L'!Y28+'CCL GROUP P&amp;L'!Y28+'YBHN GROUP P&amp;L'!Y28+'YBN Group P&amp;L'!Y28+'HAB P&amp;L'!Y28+'Moe2 P&amp;L'!Y28</f>
        <v/>
      </c>
      <c r="Z28" s="38">
        <f>'KNL GROUP P&amp;L'!Z28+'CCL GROUP P&amp;L'!Z28+'YBHN GROUP P&amp;L'!Z28+'YBN Group P&amp;L'!Z28+'HAB P&amp;L'!Z28+'Moe2 P&amp;L'!Z28</f>
        <v/>
      </c>
      <c r="AA28" s="36">
        <f>SUM(O28:U28)</f>
        <v/>
      </c>
      <c r="AB28" s="36">
        <f>SUM(O28:Z28)</f>
        <v/>
      </c>
      <c r="AC28" s="38">
        <f>'KNL GROUP P&amp;L'!AC28+'CCL GROUP P&amp;L'!AC28+'YBHN GROUP P&amp;L'!AC28+'YBN Group P&amp;L'!AC28+'HAB P&amp;L'!AC28+'Moe2 P&amp;L'!AC28</f>
        <v/>
      </c>
      <c r="AD28" s="38">
        <f>'KNL GROUP P&amp;L'!AD28+'CCL GROUP P&amp;L'!AD28+'YBHN GROUP P&amp;L'!AD28+'YBN Group P&amp;L'!AD28+'HAB P&amp;L'!AD28+'Moe2 P&amp;L'!AD28</f>
        <v/>
      </c>
      <c r="AE28" s="38">
        <f>'KNL GROUP P&amp;L'!AE28+'CCL GROUP P&amp;L'!AE28+'YBHN GROUP P&amp;L'!AE28+'YBN Group P&amp;L'!AE28+'HAB P&amp;L'!AE28+'Moe2 P&amp;L'!AE28</f>
        <v/>
      </c>
      <c r="AF28" s="38">
        <f>'KNL GROUP P&amp;L'!AF28+'CCL GROUP P&amp;L'!AF28+'YBHN GROUP P&amp;L'!AF28+'YBN Group P&amp;L'!AF28+'HAB P&amp;L'!AF28+'Moe2 P&amp;L'!AF28</f>
        <v/>
      </c>
      <c r="AG28" s="38">
        <f>'KNL GROUP P&amp;L'!AG28+'CCL GROUP P&amp;L'!AG28+'YBHN GROUP P&amp;L'!AG28+'YBN Group P&amp;L'!AG28+'HAB P&amp;L'!AG28+'Moe2 P&amp;L'!AG28</f>
        <v/>
      </c>
      <c r="AH28" s="38">
        <f>'KNL GROUP P&amp;L'!AH28+'CCL GROUP P&amp;L'!AH28+'YBHN GROUP P&amp;L'!AH28+'YBN Group P&amp;L'!AH28+'HAB P&amp;L'!AH28+'Moe2 P&amp;L'!AH28</f>
        <v/>
      </c>
      <c r="AI28" s="118" t="n">
        <v>0</v>
      </c>
      <c r="AJ28" s="119" t="n">
        <v>0</v>
      </c>
      <c r="AK28" s="119" t="n">
        <v>0</v>
      </c>
      <c r="AL28" s="119" t="n">
        <v>0</v>
      </c>
      <c r="AM28" s="119" t="n">
        <v>0</v>
      </c>
      <c r="AN28" s="118" t="n">
        <v>0</v>
      </c>
      <c r="AO28" s="121">
        <f>SUM(AC28:AH28)+SUM(AI28:AN28)</f>
        <v/>
      </c>
      <c r="AP28" s="122">
        <f>IF(AB28&lt;&gt;0,(AO28-AB28)/ABS(AB28),0)</f>
        <v/>
      </c>
    </row>
    <row r="29">
      <c r="A29" s="34" t="inlineStr">
        <is>
          <t>Art Materials</t>
        </is>
      </c>
      <c r="B29" s="35" t="n">
        <v>2078.88</v>
      </c>
      <c r="C29" s="35" t="n">
        <v>2785.349999999999</v>
      </c>
      <c r="D29" s="35" t="n">
        <v>2438.17</v>
      </c>
      <c r="E29" s="35" t="n">
        <v>1709.05</v>
      </c>
      <c r="F29" s="35" t="n">
        <v>984.5300000000001</v>
      </c>
      <c r="G29" s="35" t="n">
        <v>1918.57</v>
      </c>
      <c r="H29" s="35" t="n">
        <v>908.9400000000001</v>
      </c>
      <c r="I29" s="35" t="n">
        <v>1193.92</v>
      </c>
      <c r="J29" s="35" t="n">
        <v>1427.96</v>
      </c>
      <c r="K29" s="35" t="n">
        <v>2445.34</v>
      </c>
      <c r="L29" s="35" t="n">
        <v>3087.5</v>
      </c>
      <c r="M29" s="35" t="n">
        <v>1610.05</v>
      </c>
      <c r="N29" s="36">
        <f>SUM(B29:M29)</f>
        <v/>
      </c>
      <c r="O29" s="37">
        <f>SUMIF('Group TB '!$R:$R,'GROUP TOTALS MONTHLY P&amp;L'!$A29,'Group TB '!C:C)</f>
        <v/>
      </c>
      <c r="P29" s="37">
        <f>SUMIF('Group TB '!$R:$R,'GROUP TOTALS MONTHLY P&amp;L'!$A29,'Group TB '!D:D)</f>
        <v/>
      </c>
      <c r="Q29" s="37">
        <f>SUMIF('Group TB '!$R:$R,'GROUP TOTALS MONTHLY P&amp;L'!$A29,'Group TB '!E:E)</f>
        <v/>
      </c>
      <c r="R29" s="37">
        <f>SUMIF('Group TB '!$R:$R,'GROUP TOTALS MONTHLY P&amp;L'!$A29,'Group TB '!F:F)</f>
        <v/>
      </c>
      <c r="S29" s="37">
        <f>SUMIF('Group TB '!$R:$R,'GROUP TOTALS MONTHLY P&amp;L'!$A29,'Group TB '!G:G)</f>
        <v/>
      </c>
      <c r="T29" s="37">
        <f>SUMIF('Group TB '!$R:$R,'GROUP TOTALS MONTHLY P&amp;L'!$A29,'Group TB '!H:H)</f>
        <v/>
      </c>
      <c r="U29" s="37">
        <f>SUMIF('Group TB '!$R:$R,'GROUP TOTALS MONTHLY P&amp;L'!$A29,'Group TB '!I:I)</f>
        <v/>
      </c>
      <c r="V29" s="38">
        <f>'KNL GROUP P&amp;L'!V29+'CCL GROUP P&amp;L'!V29+'YBHN GROUP P&amp;L'!V29+'YBN Group P&amp;L'!V29+'HAB P&amp;L'!V29+'Moe2 P&amp;L'!V29</f>
        <v/>
      </c>
      <c r="W29" s="38">
        <f>'KNL GROUP P&amp;L'!W29+'CCL GROUP P&amp;L'!W29+'YBHN GROUP P&amp;L'!W29+'YBN Group P&amp;L'!W29+'HAB P&amp;L'!W29+'Moe2 P&amp;L'!W29</f>
        <v/>
      </c>
      <c r="X29" s="38">
        <f>'KNL GROUP P&amp;L'!X29+'CCL GROUP P&amp;L'!X29+'YBHN GROUP P&amp;L'!X29+'YBN Group P&amp;L'!X29+'HAB P&amp;L'!X29+'Moe2 P&amp;L'!X29</f>
        <v/>
      </c>
      <c r="Y29" s="38">
        <f>'KNL GROUP P&amp;L'!Y29+'CCL GROUP P&amp;L'!Y29+'YBHN GROUP P&amp;L'!Y29+'YBN Group P&amp;L'!Y29+'HAB P&amp;L'!Y29+'Moe2 P&amp;L'!Y29</f>
        <v/>
      </c>
      <c r="Z29" s="38">
        <f>'KNL GROUP P&amp;L'!Z29+'CCL GROUP P&amp;L'!Z29+'YBHN GROUP P&amp;L'!Z29+'YBN Group P&amp;L'!Z29+'HAB P&amp;L'!Z29+'Moe2 P&amp;L'!Z29</f>
        <v/>
      </c>
      <c r="AA29" s="36">
        <f>SUM(O29:U29)</f>
        <v/>
      </c>
      <c r="AB29" s="36">
        <f>SUM(O29:Z29)</f>
        <v/>
      </c>
      <c r="AC29" s="38">
        <f>Z$8*$AI29</f>
        <v/>
      </c>
      <c r="AD29" s="38">
        <f>Z$8*$AI29</f>
        <v/>
      </c>
      <c r="AE29" s="38">
        <f>Z$8*$AI29</f>
        <v/>
      </c>
      <c r="AF29" s="38">
        <f>Z$8*$AI29</f>
        <v/>
      </c>
      <c r="AG29" s="38">
        <f>Z$8*$AI29</f>
        <v/>
      </c>
      <c r="AH29" s="38">
        <f>Z$8*$AI29</f>
        <v/>
      </c>
      <c r="AI29" s="118" t="n">
        <v>0</v>
      </c>
      <c r="AJ29" s="119" t="n">
        <v>0</v>
      </c>
      <c r="AK29" s="119" t="n">
        <v>0</v>
      </c>
      <c r="AL29" s="119" t="n">
        <v>0</v>
      </c>
      <c r="AM29" s="119" t="n">
        <v>0</v>
      </c>
      <c r="AN29" s="118" t="n">
        <v>0</v>
      </c>
      <c r="AO29" s="121">
        <f>SUM(AC29:AH29)+SUM(AI29:AN29)</f>
        <v/>
      </c>
      <c r="AP29" s="122">
        <f>IF(AB29&lt;&gt;0,(AO29-AB29)/ABS(AB29),0)</f>
        <v/>
      </c>
    </row>
    <row r="30">
      <c r="A30" s="34" t="inlineStr">
        <is>
          <t>Nursery Stationery</t>
        </is>
      </c>
      <c r="B30" s="35" t="n">
        <v>905.8899999999999</v>
      </c>
      <c r="C30" s="35" t="n">
        <v>604.79</v>
      </c>
      <c r="D30" s="35" t="n">
        <v>401.75</v>
      </c>
      <c r="E30" s="35" t="n">
        <v>311.2400000000001</v>
      </c>
      <c r="F30" s="35" t="n">
        <v>436.3</v>
      </c>
      <c r="G30" s="35" t="n">
        <v>472.72</v>
      </c>
      <c r="H30" s="35" t="n">
        <v>1053.14</v>
      </c>
      <c r="I30" s="35" t="n">
        <v>628.5100000000001</v>
      </c>
      <c r="J30" s="35" t="n">
        <v>630.03</v>
      </c>
      <c r="K30" s="35" t="n">
        <v>554.97</v>
      </c>
      <c r="L30" s="35" t="n">
        <v>806.9100000000001</v>
      </c>
      <c r="M30" s="35" t="n">
        <v>463.1799999999999</v>
      </c>
      <c r="N30" s="36">
        <f>SUM(B30:M30)</f>
        <v/>
      </c>
      <c r="O30" s="37">
        <f>SUMIF('Group TB '!$R:$R,'GROUP TOTALS MONTHLY P&amp;L'!$A30,'Group TB '!C:C)</f>
        <v/>
      </c>
      <c r="P30" s="37">
        <f>SUMIF('Group TB '!$R:$R,'GROUP TOTALS MONTHLY P&amp;L'!$A30,'Group TB '!D:D)</f>
        <v/>
      </c>
      <c r="Q30" s="37">
        <f>SUMIF('Group TB '!$R:$R,'GROUP TOTALS MONTHLY P&amp;L'!$A30,'Group TB '!E:E)</f>
        <v/>
      </c>
      <c r="R30" s="37">
        <f>SUMIF('Group TB '!$R:$R,'GROUP TOTALS MONTHLY P&amp;L'!$A30,'Group TB '!F:F)</f>
        <v/>
      </c>
      <c r="S30" s="37">
        <f>SUMIF('Group TB '!$R:$R,'GROUP TOTALS MONTHLY P&amp;L'!$A30,'Group TB '!G:G)</f>
        <v/>
      </c>
      <c r="T30" s="37">
        <f>SUMIF('Group TB '!$R:$R,'GROUP TOTALS MONTHLY P&amp;L'!$A30,'Group TB '!H:H)</f>
        <v/>
      </c>
      <c r="U30" s="37">
        <f>SUMIF('Group TB '!$R:$R,'GROUP TOTALS MONTHLY P&amp;L'!$A30,'Group TB '!I:I)</f>
        <v/>
      </c>
      <c r="V30" s="38">
        <f>'KNL GROUP P&amp;L'!V30+'CCL GROUP P&amp;L'!V30+'YBHN GROUP P&amp;L'!V30+'YBN Group P&amp;L'!V30+'HAB P&amp;L'!V30+'Moe2 P&amp;L'!V30</f>
        <v/>
      </c>
      <c r="W30" s="38">
        <f>'KNL GROUP P&amp;L'!W30+'CCL GROUP P&amp;L'!W30+'YBHN GROUP P&amp;L'!W30+'YBN Group P&amp;L'!W30+'HAB P&amp;L'!W30+'Moe2 P&amp;L'!W30</f>
        <v/>
      </c>
      <c r="X30" s="38">
        <f>'KNL GROUP P&amp;L'!X30+'CCL GROUP P&amp;L'!X30+'YBHN GROUP P&amp;L'!X30+'YBN Group P&amp;L'!X30+'HAB P&amp;L'!X30+'Moe2 P&amp;L'!X30</f>
        <v/>
      </c>
      <c r="Y30" s="38">
        <f>'KNL GROUP P&amp;L'!Y30+'CCL GROUP P&amp;L'!Y30+'YBHN GROUP P&amp;L'!Y30+'YBN Group P&amp;L'!Y30+'HAB P&amp;L'!Y30+'Moe2 P&amp;L'!Y30</f>
        <v/>
      </c>
      <c r="Z30" s="38">
        <f>'KNL GROUP P&amp;L'!Z30+'CCL GROUP P&amp;L'!Z30+'YBHN GROUP P&amp;L'!Z30+'YBN Group P&amp;L'!Z30+'HAB P&amp;L'!Z30+'Moe2 P&amp;L'!Z30</f>
        <v/>
      </c>
      <c r="AA30" s="36">
        <f>SUM(O30:U30)</f>
        <v/>
      </c>
      <c r="AB30" s="36">
        <f>SUM(O30:Z30)</f>
        <v/>
      </c>
      <c r="AC30" s="38">
        <f>'KNL GROUP P&amp;L'!AC30+'CCL GROUP P&amp;L'!AC30+'YBHN GROUP P&amp;L'!AC30+'YBN Group P&amp;L'!AC30+'HAB P&amp;L'!AC30+'Moe2 P&amp;L'!AC30</f>
        <v/>
      </c>
      <c r="AD30" s="38">
        <f>'KNL GROUP P&amp;L'!AD30+'CCL GROUP P&amp;L'!AD30+'YBHN GROUP P&amp;L'!AD30+'YBN Group P&amp;L'!AD30+'HAB P&amp;L'!AD30+'Moe2 P&amp;L'!AD30</f>
        <v/>
      </c>
      <c r="AE30" s="38">
        <f>'KNL GROUP P&amp;L'!AE30+'CCL GROUP P&amp;L'!AE30+'YBHN GROUP P&amp;L'!AE30+'YBN Group P&amp;L'!AE30+'HAB P&amp;L'!AE30+'Moe2 P&amp;L'!AE30</f>
        <v/>
      </c>
      <c r="AF30" s="38">
        <f>'KNL GROUP P&amp;L'!AF30+'CCL GROUP P&amp;L'!AF30+'YBHN GROUP P&amp;L'!AF30+'YBN Group P&amp;L'!AF30+'HAB P&amp;L'!AF30+'Moe2 P&amp;L'!AF30</f>
        <v/>
      </c>
      <c r="AG30" s="38">
        <f>'KNL GROUP P&amp;L'!AG30+'CCL GROUP P&amp;L'!AG30+'YBHN GROUP P&amp;L'!AG30+'YBN Group P&amp;L'!AG30+'HAB P&amp;L'!AG30+'Moe2 P&amp;L'!AG30</f>
        <v/>
      </c>
      <c r="AH30" s="38">
        <f>'KNL GROUP P&amp;L'!AH30+'CCL GROUP P&amp;L'!AH30+'YBHN GROUP P&amp;L'!AH30+'YBN Group P&amp;L'!AH30+'HAB P&amp;L'!AH30+'Moe2 P&amp;L'!AH30</f>
        <v/>
      </c>
      <c r="AI30" s="118" t="n">
        <v>0</v>
      </c>
      <c r="AJ30" s="119" t="n">
        <v>0</v>
      </c>
      <c r="AK30" s="119" t="n">
        <v>0</v>
      </c>
      <c r="AL30" s="119" t="n">
        <v>0</v>
      </c>
      <c r="AM30" s="119" t="n">
        <v>0</v>
      </c>
      <c r="AN30" s="118" t="n">
        <v>0</v>
      </c>
      <c r="AO30" s="121">
        <f>SUM(AC30:AH30)+SUM(AI30:AN30)</f>
        <v/>
      </c>
      <c r="AP30" s="122">
        <f>IF(AB30&lt;&gt;0,(AO30-AB30)/ABS(AB30),0)</f>
        <v/>
      </c>
    </row>
    <row r="31">
      <c r="A31" s="34" t="inlineStr">
        <is>
          <t>Nursery Equipment</t>
        </is>
      </c>
      <c r="B31" s="35" t="n">
        <v>1805.54</v>
      </c>
      <c r="C31" s="35" t="n">
        <v>2396.420000000001</v>
      </c>
      <c r="D31" s="35" t="n">
        <v>1848.84</v>
      </c>
      <c r="E31" s="35" t="n">
        <v>937.2900000000001</v>
      </c>
      <c r="F31" s="35" t="n">
        <v>2885.59</v>
      </c>
      <c r="G31" s="35" t="n">
        <v>2723.09</v>
      </c>
      <c r="H31" s="35" t="n">
        <v>1841.28</v>
      </c>
      <c r="I31" s="35" t="n">
        <v>1245.73</v>
      </c>
      <c r="J31" s="35" t="n">
        <v>2141.08</v>
      </c>
      <c r="K31" s="35" t="n">
        <v>3949.709999999999</v>
      </c>
      <c r="L31" s="35" t="n">
        <v>2043.07</v>
      </c>
      <c r="M31" s="35" t="n">
        <v>1155.26</v>
      </c>
      <c r="N31" s="36">
        <f>SUM(B31:M31)</f>
        <v/>
      </c>
      <c r="O31" s="37">
        <f>SUMIF('Group TB '!$R:$R,'GROUP TOTALS MONTHLY P&amp;L'!$A31,'Group TB '!C:C)</f>
        <v/>
      </c>
      <c r="P31" s="37">
        <f>SUMIF('Group TB '!$R:$R,'GROUP TOTALS MONTHLY P&amp;L'!$A31,'Group TB '!D:D)</f>
        <v/>
      </c>
      <c r="Q31" s="37">
        <f>SUMIF('Group TB '!$R:$R,'GROUP TOTALS MONTHLY P&amp;L'!$A31,'Group TB '!E:E)</f>
        <v/>
      </c>
      <c r="R31" s="37">
        <f>SUMIF('Group TB '!$R:$R,'GROUP TOTALS MONTHLY P&amp;L'!$A31,'Group TB '!F:F)</f>
        <v/>
      </c>
      <c r="S31" s="37">
        <f>SUMIF('Group TB '!$R:$R,'GROUP TOTALS MONTHLY P&amp;L'!$A31,'Group TB '!G:G)</f>
        <v/>
      </c>
      <c r="T31" s="37">
        <f>SUMIF('Group TB '!$R:$R,'GROUP TOTALS MONTHLY P&amp;L'!$A31,'Group TB '!H:H)</f>
        <v/>
      </c>
      <c r="U31" s="37">
        <f>SUMIF('Group TB '!$R:$R,'GROUP TOTALS MONTHLY P&amp;L'!$A31,'Group TB '!I:I)</f>
        <v/>
      </c>
      <c r="V31" s="38">
        <f>'KNL GROUP P&amp;L'!V31+'CCL GROUP P&amp;L'!V31+'YBHN GROUP P&amp;L'!V31+'YBN Group P&amp;L'!V31+'HAB P&amp;L'!V31+'Moe2 P&amp;L'!V31</f>
        <v/>
      </c>
      <c r="W31" s="38">
        <f>'KNL GROUP P&amp;L'!W31+'CCL GROUP P&amp;L'!W31+'YBHN GROUP P&amp;L'!W31+'YBN Group P&amp;L'!W31+'HAB P&amp;L'!W31+'Moe2 P&amp;L'!W31</f>
        <v/>
      </c>
      <c r="X31" s="38">
        <f>'KNL GROUP P&amp;L'!X31+'CCL GROUP P&amp;L'!X31+'YBHN GROUP P&amp;L'!X31+'YBN Group P&amp;L'!X31+'HAB P&amp;L'!X31+'Moe2 P&amp;L'!X31</f>
        <v/>
      </c>
      <c r="Y31" s="38">
        <f>'KNL GROUP P&amp;L'!Y31+'CCL GROUP P&amp;L'!Y31+'YBHN GROUP P&amp;L'!Y31+'YBN Group P&amp;L'!Y31+'HAB P&amp;L'!Y31+'Moe2 P&amp;L'!Y31</f>
        <v/>
      </c>
      <c r="Z31" s="38">
        <f>'KNL GROUP P&amp;L'!Z31+'CCL GROUP P&amp;L'!Z31+'YBHN GROUP P&amp;L'!Z31+'YBN Group P&amp;L'!Z31+'HAB P&amp;L'!Z31+'Moe2 P&amp;L'!Z31</f>
        <v/>
      </c>
      <c r="AA31" s="36">
        <f>SUM(O31:U31)</f>
        <v/>
      </c>
      <c r="AB31" s="36">
        <f>SUM(O31:Z31)</f>
        <v/>
      </c>
      <c r="AC31" s="38">
        <f>'KNL GROUP P&amp;L'!AC31+'CCL GROUP P&amp;L'!AC31+'YBHN GROUP P&amp;L'!AC31+'YBN Group P&amp;L'!AC31+'HAB P&amp;L'!AC31+'Moe2 P&amp;L'!AC31</f>
        <v/>
      </c>
      <c r="AD31" s="38">
        <f>'KNL GROUP P&amp;L'!AD31+'CCL GROUP P&amp;L'!AD31+'YBHN GROUP P&amp;L'!AD31+'YBN Group P&amp;L'!AD31+'HAB P&amp;L'!AD31+'Moe2 P&amp;L'!AD31</f>
        <v/>
      </c>
      <c r="AE31" s="38">
        <f>'KNL GROUP P&amp;L'!AE31+'CCL GROUP P&amp;L'!AE31+'YBHN GROUP P&amp;L'!AE31+'YBN Group P&amp;L'!AE31+'HAB P&amp;L'!AE31+'Moe2 P&amp;L'!AE31</f>
        <v/>
      </c>
      <c r="AF31" s="38">
        <f>'KNL GROUP P&amp;L'!AF31+'CCL GROUP P&amp;L'!AF31+'YBHN GROUP P&amp;L'!AF31+'YBN Group P&amp;L'!AF31+'HAB P&amp;L'!AF31+'Moe2 P&amp;L'!AF31</f>
        <v/>
      </c>
      <c r="AG31" s="38">
        <f>'KNL GROUP P&amp;L'!AG31+'CCL GROUP P&amp;L'!AG31+'YBHN GROUP P&amp;L'!AG31+'YBN Group P&amp;L'!AG31+'HAB P&amp;L'!AG31+'Moe2 P&amp;L'!AG31</f>
        <v/>
      </c>
      <c r="AH31" s="38">
        <f>'KNL GROUP P&amp;L'!AH31+'CCL GROUP P&amp;L'!AH31+'YBHN GROUP P&amp;L'!AH31+'YBN Group P&amp;L'!AH31+'HAB P&amp;L'!AH31+'Moe2 P&amp;L'!AH31</f>
        <v/>
      </c>
      <c r="AI31" s="118" t="n">
        <v>0</v>
      </c>
      <c r="AJ31" s="119" t="n">
        <v>0</v>
      </c>
      <c r="AK31" s="119" t="n">
        <v>0</v>
      </c>
      <c r="AL31" s="119" t="n">
        <v>0</v>
      </c>
      <c r="AM31" s="119" t="n">
        <v>0</v>
      </c>
      <c r="AN31" s="118" t="n">
        <v>0</v>
      </c>
      <c r="AO31" s="121">
        <f>SUM(AC31:AH31)+SUM(AI31:AN31)</f>
        <v/>
      </c>
      <c r="AP31" s="122">
        <f>IF(AB31&lt;&gt;0,(AO31-AB31)/ABS(AB31),0)</f>
        <v/>
      </c>
    </row>
    <row r="32">
      <c r="A32" s="34" t="inlineStr">
        <is>
          <t>Nursery Consumables</t>
        </is>
      </c>
      <c r="B32" s="35" t="n">
        <v>2520.27</v>
      </c>
      <c r="C32" s="35" t="n">
        <v>2090.12</v>
      </c>
      <c r="D32" s="35" t="n">
        <v>2268.76</v>
      </c>
      <c r="E32" s="35" t="n">
        <v>2641.3</v>
      </c>
      <c r="F32" s="35" t="n">
        <v>3217.589999999999</v>
      </c>
      <c r="G32" s="35" t="n">
        <v>3269.62</v>
      </c>
      <c r="H32" s="35" t="n">
        <v>3287.580000000001</v>
      </c>
      <c r="I32" s="35" t="n">
        <v>2952.940000000001</v>
      </c>
      <c r="J32" s="35" t="n">
        <v>2387.23</v>
      </c>
      <c r="K32" s="35" t="n">
        <v>2719.25</v>
      </c>
      <c r="L32" s="35" t="n">
        <v>3359.61</v>
      </c>
      <c r="M32" s="35" t="n">
        <v>4011.29</v>
      </c>
      <c r="N32" s="36">
        <f>SUM(B32:M32)</f>
        <v/>
      </c>
      <c r="O32" s="37">
        <f>SUMIF('Group TB '!$R:$R,'GROUP TOTALS MONTHLY P&amp;L'!$A32,'Group TB '!C:C)</f>
        <v/>
      </c>
      <c r="P32" s="37">
        <f>SUMIF('Group TB '!$R:$R,'GROUP TOTALS MONTHLY P&amp;L'!$A32,'Group TB '!D:D)</f>
        <v/>
      </c>
      <c r="Q32" s="37">
        <f>SUMIF('Group TB '!$R:$R,'GROUP TOTALS MONTHLY P&amp;L'!$A32,'Group TB '!E:E)</f>
        <v/>
      </c>
      <c r="R32" s="37">
        <f>SUMIF('Group TB '!$R:$R,'GROUP TOTALS MONTHLY P&amp;L'!$A32,'Group TB '!F:F)</f>
        <v/>
      </c>
      <c r="S32" s="37">
        <f>SUMIF('Group TB '!$R:$R,'GROUP TOTALS MONTHLY P&amp;L'!$A32,'Group TB '!G:G)</f>
        <v/>
      </c>
      <c r="T32" s="37">
        <f>SUMIF('Group TB '!$R:$R,'GROUP TOTALS MONTHLY P&amp;L'!$A32,'Group TB '!H:H)</f>
        <v/>
      </c>
      <c r="U32" s="37">
        <f>SUMIF('Group TB '!$R:$R,'GROUP TOTALS MONTHLY P&amp;L'!$A32,'Group TB '!I:I)</f>
        <v/>
      </c>
      <c r="V32" s="38">
        <f>'KNL GROUP P&amp;L'!V32+'CCL GROUP P&amp;L'!V32+'YBHN GROUP P&amp;L'!V32+'YBN Group P&amp;L'!V32+'HAB P&amp;L'!V32+'Moe2 P&amp;L'!V32</f>
        <v/>
      </c>
      <c r="W32" s="38">
        <f>'KNL GROUP P&amp;L'!W32+'CCL GROUP P&amp;L'!W32+'YBHN GROUP P&amp;L'!W32+'YBN Group P&amp;L'!W32+'HAB P&amp;L'!W32+'Moe2 P&amp;L'!W32</f>
        <v/>
      </c>
      <c r="X32" s="38">
        <f>'KNL GROUP P&amp;L'!X32+'CCL GROUP P&amp;L'!X32+'YBHN GROUP P&amp;L'!X32+'YBN Group P&amp;L'!X32+'HAB P&amp;L'!X32+'Moe2 P&amp;L'!X32</f>
        <v/>
      </c>
      <c r="Y32" s="38">
        <f>'KNL GROUP P&amp;L'!Y32+'CCL GROUP P&amp;L'!Y32+'YBHN GROUP P&amp;L'!Y32+'YBN Group P&amp;L'!Y32+'HAB P&amp;L'!Y32+'Moe2 P&amp;L'!Y32</f>
        <v/>
      </c>
      <c r="Z32" s="38">
        <f>'KNL GROUP P&amp;L'!Z32+'CCL GROUP P&amp;L'!Z32+'YBHN GROUP P&amp;L'!Z32+'YBN Group P&amp;L'!Z32+'HAB P&amp;L'!Z32+'Moe2 P&amp;L'!Z32</f>
        <v/>
      </c>
      <c r="AA32" s="36">
        <f>SUM(O32:U32)</f>
        <v/>
      </c>
      <c r="AB32" s="36">
        <f>SUM(O32:Z32)</f>
        <v/>
      </c>
      <c r="AC32" s="38">
        <f>Z$8*$AI32</f>
        <v/>
      </c>
      <c r="AD32" s="38">
        <f>Z$8*$AI32</f>
        <v/>
      </c>
      <c r="AE32" s="38">
        <f>Z$8*$AI32</f>
        <v/>
      </c>
      <c r="AF32" s="38">
        <f>Z$8*$AI32</f>
        <v/>
      </c>
      <c r="AG32" s="38">
        <f>Z$8*$AI32</f>
        <v/>
      </c>
      <c r="AH32" s="38">
        <f>Z$8*$AI32</f>
        <v/>
      </c>
      <c r="AI32" s="118" t="n">
        <v>0</v>
      </c>
      <c r="AJ32" s="119" t="n">
        <v>0</v>
      </c>
      <c r="AK32" s="119" t="n">
        <v>0</v>
      </c>
      <c r="AL32" s="119" t="n">
        <v>0</v>
      </c>
      <c r="AM32" s="119" t="n">
        <v>0</v>
      </c>
      <c r="AN32" s="118" t="n">
        <v>0</v>
      </c>
      <c r="AO32" s="121">
        <f>SUM(AC32:AH32)+SUM(AI32:AN32)</f>
        <v/>
      </c>
      <c r="AP32" s="122">
        <f>IF(AB32&lt;&gt;0,(AO32-AB32)/ABS(AB32),0)</f>
        <v/>
      </c>
    </row>
    <row r="33" ht="15.75" customHeight="1">
      <c r="A33" s="34" t="inlineStr">
        <is>
          <t>Miscellaneous Child Care</t>
        </is>
      </c>
      <c r="B33" s="35" t="n">
        <v>0</v>
      </c>
      <c r="C33" s="35" t="n">
        <v>0</v>
      </c>
      <c r="D33" s="35" t="n">
        <v>0</v>
      </c>
      <c r="E33" s="35" t="n">
        <v>0</v>
      </c>
      <c r="F33" s="35" t="n">
        <v>0</v>
      </c>
      <c r="G33" s="35" t="n">
        <v>0</v>
      </c>
      <c r="H33" s="35" t="n">
        <v>0</v>
      </c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  <c r="N33" s="36">
        <f>SUM(B33:M33)</f>
        <v/>
      </c>
      <c r="O33" s="37">
        <f>SUMIF('Group TB '!$R:$R,'GROUP TOTALS MONTHLY P&amp;L'!$A33,'Group TB '!C:C)</f>
        <v/>
      </c>
      <c r="P33" s="37">
        <f>SUMIF('Group TB '!$R:$R,'GROUP TOTALS MONTHLY P&amp;L'!$A33,'Group TB '!D:D)</f>
        <v/>
      </c>
      <c r="Q33" s="37">
        <f>SUMIF('Group TB '!$R:$R,'GROUP TOTALS MONTHLY P&amp;L'!$A33,'Group TB '!E:E)</f>
        <v/>
      </c>
      <c r="R33" s="37">
        <f>SUMIF('Group TB '!$R:$R,'GROUP TOTALS MONTHLY P&amp;L'!$A33,'Group TB '!F:F)</f>
        <v/>
      </c>
      <c r="S33" s="37">
        <f>SUMIF('Group TB '!$R:$R,'GROUP TOTALS MONTHLY P&amp;L'!$A33,'Group TB '!G:G)</f>
        <v/>
      </c>
      <c r="T33" s="37">
        <f>SUMIF('Group TB '!$R:$R,'GROUP TOTALS MONTHLY P&amp;L'!$A33,'Group TB '!H:H)</f>
        <v/>
      </c>
      <c r="U33" s="37">
        <f>SUMIF('Group TB '!$R:$R,'GROUP TOTALS MONTHLY P&amp;L'!$A33,'Group TB '!I:I)</f>
        <v/>
      </c>
      <c r="V33" s="38">
        <f>'KNL GROUP P&amp;L'!V33+'CCL GROUP P&amp;L'!V33+'YBHN GROUP P&amp;L'!V33+'YBN Group P&amp;L'!V33+'HAB P&amp;L'!V33+'Moe2 P&amp;L'!V33</f>
        <v/>
      </c>
      <c r="W33" s="38">
        <f>'KNL GROUP P&amp;L'!W33+'CCL GROUP P&amp;L'!W33+'YBHN GROUP P&amp;L'!W33+'YBN Group P&amp;L'!W33+'HAB P&amp;L'!W33+'Moe2 P&amp;L'!W33</f>
        <v/>
      </c>
      <c r="X33" s="38">
        <f>'KNL GROUP P&amp;L'!X33+'CCL GROUP P&amp;L'!X33+'YBHN GROUP P&amp;L'!X33+'YBN Group P&amp;L'!X33+'HAB P&amp;L'!X33+'Moe2 P&amp;L'!X33</f>
        <v/>
      </c>
      <c r="Y33" s="38">
        <f>'KNL GROUP P&amp;L'!Y33+'CCL GROUP P&amp;L'!Y33+'YBHN GROUP P&amp;L'!Y33+'YBN Group P&amp;L'!Y33+'HAB P&amp;L'!Y33+'Moe2 P&amp;L'!Y33</f>
        <v/>
      </c>
      <c r="Z33" s="38">
        <f>'KNL GROUP P&amp;L'!Z33+'CCL GROUP P&amp;L'!Z33+'YBHN GROUP P&amp;L'!Z33+'YBN Group P&amp;L'!Z33+'HAB P&amp;L'!Z33+'Moe2 P&amp;L'!Z33</f>
        <v/>
      </c>
      <c r="AA33" s="36">
        <f>SUM(O33:U33)</f>
        <v/>
      </c>
      <c r="AB33" s="36">
        <f>SUM(O33:Z33)</f>
        <v/>
      </c>
      <c r="AC33" s="38">
        <f>'KNL GROUP P&amp;L'!AC33+'CCL GROUP P&amp;L'!AC33+'YBHN GROUP P&amp;L'!AC33+'YBN Group P&amp;L'!AC33+'HAB P&amp;L'!AC33+'Moe2 P&amp;L'!AC33</f>
        <v/>
      </c>
      <c r="AD33" s="38">
        <f>'KNL GROUP P&amp;L'!AD33+'CCL GROUP P&amp;L'!AD33+'YBHN GROUP P&amp;L'!AD33+'YBN Group P&amp;L'!AD33+'HAB P&amp;L'!AD33+'Moe2 P&amp;L'!AD33</f>
        <v/>
      </c>
      <c r="AE33" s="38">
        <f>'KNL GROUP P&amp;L'!AE33+'CCL GROUP P&amp;L'!AE33+'YBHN GROUP P&amp;L'!AE33+'YBN Group P&amp;L'!AE33+'HAB P&amp;L'!AE33+'Moe2 P&amp;L'!AE33</f>
        <v/>
      </c>
      <c r="AF33" s="38">
        <f>'KNL GROUP P&amp;L'!AF33+'CCL GROUP P&amp;L'!AF33+'YBHN GROUP P&amp;L'!AF33+'YBN Group P&amp;L'!AF33+'HAB P&amp;L'!AF33+'Moe2 P&amp;L'!AF33</f>
        <v/>
      </c>
      <c r="AG33" s="38">
        <f>'KNL GROUP P&amp;L'!AG33+'CCL GROUP P&amp;L'!AG33+'YBHN GROUP P&amp;L'!AG33+'YBN Group P&amp;L'!AG33+'HAB P&amp;L'!AG33+'Moe2 P&amp;L'!AG33</f>
        <v/>
      </c>
      <c r="AH33" s="38">
        <f>'KNL GROUP P&amp;L'!AH33+'CCL GROUP P&amp;L'!AH33+'YBHN GROUP P&amp;L'!AH33+'YBN Group P&amp;L'!AH33+'HAB P&amp;L'!AH33+'Moe2 P&amp;L'!AH33</f>
        <v/>
      </c>
      <c r="AI33" s="118" t="n">
        <v>0</v>
      </c>
      <c r="AJ33" s="119" t="n">
        <v>0</v>
      </c>
      <c r="AK33" s="119" t="n">
        <v>0</v>
      </c>
      <c r="AL33" s="119" t="n">
        <v>0</v>
      </c>
      <c r="AM33" s="119" t="n">
        <v>0</v>
      </c>
      <c r="AN33" s="118" t="n">
        <v>0</v>
      </c>
      <c r="AO33" s="121">
        <f>SUM(AC33:AH33)+SUM(AI33:AN33)</f>
        <v/>
      </c>
      <c r="AP33" s="122">
        <f>IF(AB33&lt;&gt;0,(AO33-AB33)/ABS(AB33),0)</f>
        <v/>
      </c>
    </row>
    <row r="34" ht="15.75" customHeight="1">
      <c r="A34" s="41" t="inlineStr">
        <is>
          <t>Total Childcare Costs</t>
        </is>
      </c>
      <c r="B34" s="42" t="n">
        <v>35205.68</v>
      </c>
      <c r="C34" s="42" t="n">
        <v>41585.37</v>
      </c>
      <c r="D34" s="42" t="n">
        <v>35688.76</v>
      </c>
      <c r="E34" s="42" t="n">
        <v>30859.64</v>
      </c>
      <c r="F34" s="42" t="n">
        <v>40642.69</v>
      </c>
      <c r="G34" s="42" t="n">
        <v>40290.33000000001</v>
      </c>
      <c r="H34" s="42" t="n">
        <v>38526.12</v>
      </c>
      <c r="I34" s="42" t="n">
        <v>37931.38</v>
      </c>
      <c r="J34" s="42" t="n">
        <v>36694.59000000001</v>
      </c>
      <c r="K34" s="42" t="n">
        <v>39332.78</v>
      </c>
      <c r="L34" s="42" t="n">
        <v>36711.58</v>
      </c>
      <c r="M34" s="42" t="n">
        <v>28826.44</v>
      </c>
      <c r="N34" s="43">
        <f>SUM(B34:M34)</f>
        <v/>
      </c>
      <c r="O34" s="44">
        <f>SUM(O27:O33)</f>
        <v/>
      </c>
      <c r="P34" s="44">
        <f>SUM(P27:P33)</f>
        <v/>
      </c>
      <c r="Q34" s="44">
        <f>SUM(Q27:Q33)</f>
        <v/>
      </c>
      <c r="R34" s="44">
        <f>SUM(R27:R33)</f>
        <v/>
      </c>
      <c r="S34" s="44">
        <f>SUM(S27:S33)</f>
        <v/>
      </c>
      <c r="T34" s="44">
        <f>SUM(T27:T33)</f>
        <v/>
      </c>
      <c r="U34" s="44">
        <f>SUM(U27:U33)</f>
        <v/>
      </c>
      <c r="V34" s="45">
        <f>SUM(V27:V33)</f>
        <v/>
      </c>
      <c r="W34" s="45">
        <f>SUM(W27:W33)</f>
        <v/>
      </c>
      <c r="X34" s="45">
        <f>SUM(X27:X33)</f>
        <v/>
      </c>
      <c r="Y34" s="45">
        <f>SUM(Y27:Y33)</f>
        <v/>
      </c>
      <c r="Z34" s="45">
        <f>SUM(Z27:Z33)</f>
        <v/>
      </c>
      <c r="AA34" s="43">
        <f>SUM(O34:U34)</f>
        <v/>
      </c>
      <c r="AB34" s="43">
        <f>SUM(AB27:AB33)</f>
        <v/>
      </c>
      <c r="AC34" s="45">
        <f>SUM(AC27:AC33)</f>
        <v/>
      </c>
      <c r="AD34" s="45">
        <f>SUM(AD27:AD33)</f>
        <v/>
      </c>
      <c r="AE34" s="45">
        <f>SUM(AE27:AE33)</f>
        <v/>
      </c>
      <c r="AF34" s="45">
        <f>SUM(AF27:AF33)</f>
        <v/>
      </c>
      <c r="AG34" s="45">
        <f>SUM(AG27:AG33)</f>
        <v/>
      </c>
      <c r="AH34" s="45">
        <f>SUM(AH27:AH33)</f>
        <v/>
      </c>
      <c r="AI34" s="123">
        <f>SUM(AI27:AI33)</f>
        <v/>
      </c>
      <c r="AJ34" s="124">
        <f>SUM(AJ27:AJ33)</f>
        <v/>
      </c>
      <c r="AK34" s="124">
        <f>SUM(AK27:AK33)</f>
        <v/>
      </c>
      <c r="AL34" s="124">
        <f>SUM(AL27:AL33)</f>
        <v/>
      </c>
      <c r="AM34" s="124">
        <f>SUM(AM27:AM33)</f>
        <v/>
      </c>
      <c r="AN34" s="123">
        <f>SUM(AN27:AN33)</f>
        <v/>
      </c>
      <c r="AO34" s="125">
        <f>SUM(AC34:AH34)+SUM(AI34:AN34)</f>
        <v/>
      </c>
      <c r="AP34" s="126">
        <f>IF(AB34&lt;&gt;0,(AO34-AB34)/ABS(AB34),0)</f>
        <v/>
      </c>
    </row>
    <row r="35">
      <c r="A35" s="28" t="inlineStr">
        <is>
          <t>Premises &amp; Admin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36" t="n"/>
      <c r="O35" s="31" t="n"/>
      <c r="P35" s="31" t="n"/>
      <c r="Q35" s="31" t="n"/>
      <c r="R35" s="31" t="n"/>
      <c r="S35" s="31" t="n"/>
      <c r="T35" s="31" t="n"/>
      <c r="U35" s="31" t="n"/>
      <c r="V35" s="32" t="n"/>
      <c r="W35" s="32" t="n"/>
      <c r="X35" s="32" t="n"/>
      <c r="Y35" s="32" t="n"/>
      <c r="Z35" s="32" t="n"/>
      <c r="AA35" s="36">
        <f>SUM(O35:U35)</f>
        <v/>
      </c>
      <c r="AB35" s="36" t="n"/>
      <c r="AC35" s="32">
        <f>'KNL GROUP P&amp;L'!AC35+'CCL GROUP P&amp;L'!AC35+'YBHN GROUP P&amp;L'!AC35+'YBN Group P&amp;L'!AC35+'HAB P&amp;L'!AC35+'Moe2 P&amp;L'!AC35</f>
        <v/>
      </c>
      <c r="AD35" s="32">
        <f>'KNL GROUP P&amp;L'!AD35+'CCL GROUP P&amp;L'!AD35+'YBHN GROUP P&amp;L'!AD35+'YBN Group P&amp;L'!AD35+'HAB P&amp;L'!AD35+'Moe2 P&amp;L'!AD35</f>
        <v/>
      </c>
      <c r="AE35" s="32">
        <f>'KNL GROUP P&amp;L'!AE35+'CCL GROUP P&amp;L'!AE35+'YBHN GROUP P&amp;L'!AE35+'YBN Group P&amp;L'!AE35+'HAB P&amp;L'!AE35+'Moe2 P&amp;L'!AE35</f>
        <v/>
      </c>
      <c r="AF35" s="32">
        <f>'KNL GROUP P&amp;L'!AF35+'CCL GROUP P&amp;L'!AF35+'YBHN GROUP P&amp;L'!AF35+'YBN Group P&amp;L'!AF35+'HAB P&amp;L'!AF35+'Moe2 P&amp;L'!AF35</f>
        <v/>
      </c>
      <c r="AG35" s="32">
        <f>'KNL GROUP P&amp;L'!AG35+'CCL GROUP P&amp;L'!AG35+'YBHN GROUP P&amp;L'!AG35+'YBN Group P&amp;L'!AG35+'HAB P&amp;L'!AG35+'Moe2 P&amp;L'!AG35</f>
        <v/>
      </c>
      <c r="AH35" s="32">
        <f>'KNL GROUP P&amp;L'!AH35+'CCL GROUP P&amp;L'!AH35+'YBHN GROUP P&amp;L'!AH35+'YBN Group P&amp;L'!AH35+'HAB P&amp;L'!AH35+'Moe2 P&amp;L'!AH35</f>
        <v/>
      </c>
      <c r="AI35" s="127" t="n">
        <v>0</v>
      </c>
      <c r="AJ35" s="128" t="n">
        <v>0</v>
      </c>
      <c r="AK35" s="128" t="n">
        <v>0</v>
      </c>
      <c r="AL35" s="128" t="n">
        <v>0</v>
      </c>
      <c r="AM35" s="128" t="n">
        <v>0</v>
      </c>
      <c r="AN35" s="127" t="n">
        <v>0</v>
      </c>
      <c r="AO35" s="121">
        <f>SUM(AC35:AH35)+SUM(AI35:AN35)</f>
        <v/>
      </c>
      <c r="AP35" s="122">
        <f>IF(AB35&lt;&gt;0,(AO35-AB35)/ABS(AB35),0)</f>
        <v/>
      </c>
    </row>
    <row r="36">
      <c r="A36" s="34" t="inlineStr">
        <is>
          <t>Rent</t>
        </is>
      </c>
      <c r="B36" s="35" t="n">
        <v>10898</v>
      </c>
      <c r="C36" s="35" t="n">
        <v>10898</v>
      </c>
      <c r="D36" s="35" t="n">
        <v>10898</v>
      </c>
      <c r="E36" s="35" t="n">
        <v>10898</v>
      </c>
      <c r="F36" s="35" t="n">
        <v>10897.99</v>
      </c>
      <c r="G36" s="35" t="n">
        <v>10898</v>
      </c>
      <c r="H36" s="35" t="n">
        <v>10898.02</v>
      </c>
      <c r="I36" s="35" t="n">
        <v>10898</v>
      </c>
      <c r="J36" s="35" t="n">
        <v>10897.99</v>
      </c>
      <c r="K36" s="35" t="n">
        <v>10898</v>
      </c>
      <c r="L36" s="35" t="n">
        <v>10898</v>
      </c>
      <c r="M36" s="35" t="n">
        <v>10898</v>
      </c>
      <c r="N36" s="36">
        <f>SUM(B36:M36)</f>
        <v/>
      </c>
      <c r="O36" s="37">
        <f>SUMIF('Group TB '!$R:$R,'GROUP TOTALS MONTHLY P&amp;L'!$A36,'Group TB '!C:C)</f>
        <v/>
      </c>
      <c r="P36" s="37">
        <f>SUMIF('Group TB '!$R:$R,'GROUP TOTALS MONTHLY P&amp;L'!$A36,'Group TB '!D:D)</f>
        <v/>
      </c>
      <c r="Q36" s="37">
        <f>SUMIF('Group TB '!$R:$R,'GROUP TOTALS MONTHLY P&amp;L'!$A36,'Group TB '!E:E)</f>
        <v/>
      </c>
      <c r="R36" s="37">
        <f>SUMIF('Group TB '!$R:$R,'GROUP TOTALS MONTHLY P&amp;L'!$A36,'Group TB '!F:F)</f>
        <v/>
      </c>
      <c r="S36" s="37">
        <f>SUMIF('Group TB '!$R:$R,'GROUP TOTALS MONTHLY P&amp;L'!$A36,'Group TB '!G:G)</f>
        <v/>
      </c>
      <c r="T36" s="37">
        <f>SUMIF('Group TB '!$R:$R,'GROUP TOTALS MONTHLY P&amp;L'!$A36,'Group TB '!H:H)</f>
        <v/>
      </c>
      <c r="U36" s="37">
        <f>SUMIF('Group TB '!$R:$R,'GROUP TOTALS MONTHLY P&amp;L'!$A36,'Group TB '!I:I)</f>
        <v/>
      </c>
      <c r="V36" s="38">
        <f>'KNL GROUP P&amp;L'!V36+'CCL GROUP P&amp;L'!V36+'YBHN GROUP P&amp;L'!V36+'YBN Group P&amp;L'!V36+'HAB P&amp;L'!V36+'Moe2 P&amp;L'!V36</f>
        <v/>
      </c>
      <c r="W36" s="38">
        <f>'KNL GROUP P&amp;L'!W36+'CCL GROUP P&amp;L'!W36+'YBHN GROUP P&amp;L'!W36+'YBN Group P&amp;L'!W36+'HAB P&amp;L'!W36+'Moe2 P&amp;L'!W36</f>
        <v/>
      </c>
      <c r="X36" s="38">
        <f>'KNL GROUP P&amp;L'!X36+'CCL GROUP P&amp;L'!X36+'YBHN GROUP P&amp;L'!X36+'YBN Group P&amp;L'!X36+'HAB P&amp;L'!X36+'Moe2 P&amp;L'!X36</f>
        <v/>
      </c>
      <c r="Y36" s="38">
        <f>'KNL GROUP P&amp;L'!Y36+'CCL GROUP P&amp;L'!Y36+'YBHN GROUP P&amp;L'!Y36+'YBN Group P&amp;L'!Y36+'HAB P&amp;L'!Y36+'Moe2 P&amp;L'!Y36</f>
        <v/>
      </c>
      <c r="Z36" s="38">
        <f>'KNL GROUP P&amp;L'!Z36+'CCL GROUP P&amp;L'!Z36+'YBHN GROUP P&amp;L'!Z36+'YBN Group P&amp;L'!Z36+'HAB P&amp;L'!Z36+'Moe2 P&amp;L'!Z36</f>
        <v/>
      </c>
      <c r="AA36" s="36">
        <f>SUM(O36:U36)</f>
        <v/>
      </c>
      <c r="AB36" s="36">
        <f>SUM(O36:Z36)</f>
        <v/>
      </c>
      <c r="AC36" s="38">
        <f>'KNL GROUP P&amp;L'!AC36+'CCL GROUP P&amp;L'!AC36+'YBHN GROUP P&amp;L'!AC36+'YBN Group P&amp;L'!AC36+'HAB P&amp;L'!AC36+'Moe2 P&amp;L'!AC36</f>
        <v/>
      </c>
      <c r="AD36" s="38">
        <f>'KNL GROUP P&amp;L'!AD36+'CCL GROUP P&amp;L'!AD36+'YBHN GROUP P&amp;L'!AD36+'YBN Group P&amp;L'!AD36+'HAB P&amp;L'!AD36+'Moe2 P&amp;L'!AD36</f>
        <v/>
      </c>
      <c r="AE36" s="38">
        <f>'KNL GROUP P&amp;L'!AE36+'CCL GROUP P&amp;L'!AE36+'YBHN GROUP P&amp;L'!AE36+'YBN Group P&amp;L'!AE36+'HAB P&amp;L'!AE36+'Moe2 P&amp;L'!AE36</f>
        <v/>
      </c>
      <c r="AF36" s="38">
        <f>'KNL GROUP P&amp;L'!AF36+'CCL GROUP P&amp;L'!AF36+'YBHN GROUP P&amp;L'!AF36+'YBN Group P&amp;L'!AF36+'HAB P&amp;L'!AF36+'Moe2 P&amp;L'!AF36</f>
        <v/>
      </c>
      <c r="AG36" s="38">
        <f>'KNL GROUP P&amp;L'!AG36+'CCL GROUP P&amp;L'!AG36+'YBHN GROUP P&amp;L'!AG36+'YBN Group P&amp;L'!AG36+'HAB P&amp;L'!AG36+'Moe2 P&amp;L'!AG36</f>
        <v/>
      </c>
      <c r="AH36" s="38">
        <f>'KNL GROUP P&amp;L'!AH36+'CCL GROUP P&amp;L'!AH36+'YBHN GROUP P&amp;L'!AH36+'YBN Group P&amp;L'!AH36+'HAB P&amp;L'!AH36+'Moe2 P&amp;L'!AH36</f>
        <v/>
      </c>
      <c r="AI36" s="118" t="n">
        <v>0</v>
      </c>
      <c r="AJ36" s="119" t="n">
        <v>0</v>
      </c>
      <c r="AK36" s="119" t="n">
        <v>0</v>
      </c>
      <c r="AL36" s="119" t="n">
        <v>0</v>
      </c>
      <c r="AM36" s="119" t="n">
        <v>0</v>
      </c>
      <c r="AN36" s="118" t="n">
        <v>0</v>
      </c>
      <c r="AO36" s="121">
        <f>SUM(AC36:AH36)+SUM(AI36:AN36)</f>
        <v/>
      </c>
      <c r="AP36" s="122">
        <f>IF(AB36&lt;&gt;0,(AO36-AB36)/ABS(AB36),0)</f>
        <v/>
      </c>
    </row>
    <row r="37">
      <c r="A37" s="34" t="inlineStr">
        <is>
          <t>Business Rates</t>
        </is>
      </c>
      <c r="B37" s="35" t="n">
        <v>22097.3</v>
      </c>
      <c r="C37" s="35" t="n">
        <v>24976.87</v>
      </c>
      <c r="D37" s="35" t="n">
        <v>25013.75</v>
      </c>
      <c r="E37" s="35" t="n">
        <v>28671.32</v>
      </c>
      <c r="F37" s="35" t="n">
        <v>25222.92</v>
      </c>
      <c r="G37" s="35" t="n">
        <v>25222.94</v>
      </c>
      <c r="H37" s="35" t="n">
        <v>25222.94</v>
      </c>
      <c r="I37" s="35" t="n">
        <v>25222.94</v>
      </c>
      <c r="J37" s="35" t="n">
        <v>25222.94</v>
      </c>
      <c r="K37" s="35" t="n">
        <v>25222.94</v>
      </c>
      <c r="L37" s="35" t="n">
        <v>25222.94</v>
      </c>
      <c r="M37" s="35" t="n">
        <v>25222.94</v>
      </c>
      <c r="N37" s="36">
        <f>SUM(B37:M37)</f>
        <v/>
      </c>
      <c r="O37" s="37">
        <f>SUMIF('Group TB '!$R:$R,'GROUP TOTALS MONTHLY P&amp;L'!$A37,'Group TB '!C:C)</f>
        <v/>
      </c>
      <c r="P37" s="37">
        <f>SUMIF('Group TB '!$R:$R,'GROUP TOTALS MONTHLY P&amp;L'!$A37,'Group TB '!D:D)</f>
        <v/>
      </c>
      <c r="Q37" s="37">
        <f>SUMIF('Group TB '!$R:$R,'GROUP TOTALS MONTHLY P&amp;L'!$A37,'Group TB '!E:E)</f>
        <v/>
      </c>
      <c r="R37" s="37">
        <f>SUMIF('Group TB '!$R:$R,'GROUP TOTALS MONTHLY P&amp;L'!$A37,'Group TB '!F:F)</f>
        <v/>
      </c>
      <c r="S37" s="37">
        <f>SUMIF('Group TB '!$R:$R,'GROUP TOTALS MONTHLY P&amp;L'!$A37,'Group TB '!G:G)</f>
        <v/>
      </c>
      <c r="T37" s="37">
        <f>SUMIF('Group TB '!$R:$R,'GROUP TOTALS MONTHLY P&amp;L'!$A37,'Group TB '!H:H)</f>
        <v/>
      </c>
      <c r="U37" s="37">
        <f>SUMIF('Group TB '!$R:$R,'GROUP TOTALS MONTHLY P&amp;L'!$A37,'Group TB '!I:I)</f>
        <v/>
      </c>
      <c r="V37" s="38">
        <f>'KNL GROUP P&amp;L'!V37+'CCL GROUP P&amp;L'!V37+'YBHN GROUP P&amp;L'!V37+'YBN Group P&amp;L'!V37+'HAB P&amp;L'!V37+'Moe2 P&amp;L'!V37</f>
        <v/>
      </c>
      <c r="W37" s="38">
        <f>'KNL GROUP P&amp;L'!W37+'CCL GROUP P&amp;L'!W37+'YBHN GROUP P&amp;L'!W37+'YBN Group P&amp;L'!W37+'HAB P&amp;L'!W37+'Moe2 P&amp;L'!W37</f>
        <v/>
      </c>
      <c r="X37" s="38">
        <f>'KNL GROUP P&amp;L'!X37+'CCL GROUP P&amp;L'!X37+'YBHN GROUP P&amp;L'!X37+'YBN Group P&amp;L'!X37+'HAB P&amp;L'!X37+'Moe2 P&amp;L'!X37</f>
        <v/>
      </c>
      <c r="Y37" s="38">
        <f>'KNL GROUP P&amp;L'!Y37+'CCL GROUP P&amp;L'!Y37+'YBHN GROUP P&amp;L'!Y37+'YBN Group P&amp;L'!Y37+'HAB P&amp;L'!Y37+'Moe2 P&amp;L'!Y37</f>
        <v/>
      </c>
      <c r="Z37" s="38">
        <f>'KNL GROUP P&amp;L'!Z37+'CCL GROUP P&amp;L'!Z37+'YBHN GROUP P&amp;L'!Z37+'YBN Group P&amp;L'!Z37+'HAB P&amp;L'!Z37+'Moe2 P&amp;L'!Z37</f>
        <v/>
      </c>
      <c r="AA37" s="36">
        <f>SUM(O37:U37)</f>
        <v/>
      </c>
      <c r="AB37" s="36">
        <f>SUM(O37:Z37)</f>
        <v/>
      </c>
      <c r="AC37" s="38">
        <f>'KNL GROUP P&amp;L'!AC37+'CCL GROUP P&amp;L'!AC37+'YBHN GROUP P&amp;L'!AC37+'YBN Group P&amp;L'!AC37+'HAB P&amp;L'!AC37+'Moe2 P&amp;L'!AC37</f>
        <v/>
      </c>
      <c r="AD37" s="38">
        <f>'KNL GROUP P&amp;L'!AD37+'CCL GROUP P&amp;L'!AD37+'YBHN GROUP P&amp;L'!AD37+'YBN Group P&amp;L'!AD37+'HAB P&amp;L'!AD37+'Moe2 P&amp;L'!AD37</f>
        <v/>
      </c>
      <c r="AE37" s="38">
        <f>'KNL GROUP P&amp;L'!AE37+'CCL GROUP P&amp;L'!AE37+'YBHN GROUP P&amp;L'!AE37+'YBN Group P&amp;L'!AE37+'HAB P&amp;L'!AE37+'Moe2 P&amp;L'!AE37</f>
        <v/>
      </c>
      <c r="AF37" s="38">
        <f>'KNL GROUP P&amp;L'!AF37+'CCL GROUP P&amp;L'!AF37+'YBHN GROUP P&amp;L'!AF37+'YBN Group P&amp;L'!AF37+'HAB P&amp;L'!AF37+'Moe2 P&amp;L'!AF37</f>
        <v/>
      </c>
      <c r="AG37" s="38">
        <f>'KNL GROUP P&amp;L'!AG37+'CCL GROUP P&amp;L'!AG37+'YBHN GROUP P&amp;L'!AG37+'YBN Group P&amp;L'!AG37+'HAB P&amp;L'!AG37+'Moe2 P&amp;L'!AG37</f>
        <v/>
      </c>
      <c r="AH37" s="38">
        <f>'KNL GROUP P&amp;L'!AH37+'CCL GROUP P&amp;L'!AH37+'YBHN GROUP P&amp;L'!AH37+'YBN Group P&amp;L'!AH37+'HAB P&amp;L'!AH37+'Moe2 P&amp;L'!AH37</f>
        <v/>
      </c>
      <c r="AI37" s="118" t="n">
        <v>0</v>
      </c>
      <c r="AJ37" s="119" t="n">
        <v>0</v>
      </c>
      <c r="AK37" s="119" t="n">
        <v>0</v>
      </c>
      <c r="AL37" s="119" t="n">
        <v>0</v>
      </c>
      <c r="AM37" s="119" t="n">
        <v>0</v>
      </c>
      <c r="AN37" s="118" t="n">
        <v>0</v>
      </c>
      <c r="AO37" s="121">
        <f>SUM(AC37:AH37)+SUM(AI37:AN37)</f>
        <v/>
      </c>
      <c r="AP37" s="122">
        <f>IF(AB37&lt;&gt;0,(AO37-AB37)/ABS(AB37),0)</f>
        <v/>
      </c>
    </row>
    <row r="38">
      <c r="A38" s="34" t="inlineStr">
        <is>
          <t>Utilities</t>
        </is>
      </c>
      <c r="B38" s="35" t="n">
        <v>23901.58</v>
      </c>
      <c r="C38" s="35" t="n">
        <v>17614.66000000001</v>
      </c>
      <c r="D38" s="35" t="n">
        <v>28808.85</v>
      </c>
      <c r="E38" s="35" t="n">
        <v>30196.26</v>
      </c>
      <c r="F38" s="35" t="n">
        <v>23564.18</v>
      </c>
      <c r="G38" s="35" t="n">
        <v>14467.65</v>
      </c>
      <c r="H38" s="35" t="n">
        <v>10835.39</v>
      </c>
      <c r="I38" s="35" t="n">
        <v>12394.58</v>
      </c>
      <c r="J38" s="35" t="n">
        <v>6370.99</v>
      </c>
      <c r="K38" s="35" t="n">
        <v>20867.28</v>
      </c>
      <c r="L38" s="35" t="n">
        <v>18692.77</v>
      </c>
      <c r="M38" s="35" t="n">
        <v>19125.53</v>
      </c>
      <c r="N38" s="36">
        <f>SUM(B38:M38)</f>
        <v/>
      </c>
      <c r="O38" s="37">
        <f>SUMIF('Group TB '!$R:$R,'GROUP TOTALS MONTHLY P&amp;L'!$A38,'Group TB '!C:C)</f>
        <v/>
      </c>
      <c r="P38" s="37">
        <f>SUMIF('Group TB '!$R:$R,'GROUP TOTALS MONTHLY P&amp;L'!$A38,'Group TB '!D:D)</f>
        <v/>
      </c>
      <c r="Q38" s="37">
        <f>SUMIF('Group TB '!$R:$R,'GROUP TOTALS MONTHLY P&amp;L'!$A38,'Group TB '!E:E)</f>
        <v/>
      </c>
      <c r="R38" s="37">
        <f>SUMIF('Group TB '!$R:$R,'GROUP TOTALS MONTHLY P&amp;L'!$A38,'Group TB '!F:F)</f>
        <v/>
      </c>
      <c r="S38" s="37">
        <f>SUMIF('Group TB '!$R:$R,'GROUP TOTALS MONTHLY P&amp;L'!$A38,'Group TB '!G:G)</f>
        <v/>
      </c>
      <c r="T38" s="37">
        <f>SUMIF('Group TB '!$R:$R,'GROUP TOTALS MONTHLY P&amp;L'!$A38,'Group TB '!H:H)</f>
        <v/>
      </c>
      <c r="U38" s="37">
        <f>SUMIF('Group TB '!$R:$R,'GROUP TOTALS MONTHLY P&amp;L'!$A38,'Group TB '!I:I)</f>
        <v/>
      </c>
      <c r="V38" s="38">
        <f>'KNL GROUP P&amp;L'!V38+'CCL GROUP P&amp;L'!V38+'YBHN GROUP P&amp;L'!V38+'YBN Group P&amp;L'!V38+'HAB P&amp;L'!V38+'Moe2 P&amp;L'!V38</f>
        <v/>
      </c>
      <c r="W38" s="38">
        <f>'KNL GROUP P&amp;L'!W38+'CCL GROUP P&amp;L'!W38+'YBHN GROUP P&amp;L'!W38+'YBN Group P&amp;L'!W38+'HAB P&amp;L'!W38+'Moe2 P&amp;L'!W38</f>
        <v/>
      </c>
      <c r="X38" s="38">
        <f>'KNL GROUP P&amp;L'!X38+'CCL GROUP P&amp;L'!X38+'YBHN GROUP P&amp;L'!X38+'YBN Group P&amp;L'!X38+'HAB P&amp;L'!X38+'Moe2 P&amp;L'!X38</f>
        <v/>
      </c>
      <c r="Y38" s="38">
        <f>'KNL GROUP P&amp;L'!Y38+'CCL GROUP P&amp;L'!Y38+'YBHN GROUP P&amp;L'!Y38+'YBN Group P&amp;L'!Y38+'HAB P&amp;L'!Y38+'Moe2 P&amp;L'!Y38</f>
        <v/>
      </c>
      <c r="Z38" s="38">
        <f>'KNL GROUP P&amp;L'!Z38+'CCL GROUP P&amp;L'!Z38+'YBHN GROUP P&amp;L'!Z38+'YBN Group P&amp;L'!Z38+'HAB P&amp;L'!Z38+'Moe2 P&amp;L'!Z38</f>
        <v/>
      </c>
      <c r="AA38" s="36">
        <f>SUM(O38:U38)</f>
        <v/>
      </c>
      <c r="AB38" s="36">
        <f>SUM(O38:Z38)</f>
        <v/>
      </c>
      <c r="AC38" s="38">
        <f>'KNL GROUP P&amp;L'!AC38+'CCL GROUP P&amp;L'!AC38+'YBHN GROUP P&amp;L'!AC38+'YBN Group P&amp;L'!AC38+'HAB P&amp;L'!AC38+'Moe2 P&amp;L'!AC38</f>
        <v/>
      </c>
      <c r="AD38" s="38">
        <f>'KNL GROUP P&amp;L'!AD38+'CCL GROUP P&amp;L'!AD38+'YBHN GROUP P&amp;L'!AD38+'YBN Group P&amp;L'!AD38+'HAB P&amp;L'!AD38+'Moe2 P&amp;L'!AD38</f>
        <v/>
      </c>
      <c r="AE38" s="38">
        <f>'KNL GROUP P&amp;L'!AE38+'CCL GROUP P&amp;L'!AE38+'YBHN GROUP P&amp;L'!AE38+'YBN Group P&amp;L'!AE38+'HAB P&amp;L'!AE38+'Moe2 P&amp;L'!AE38</f>
        <v/>
      </c>
      <c r="AF38" s="38">
        <f>'KNL GROUP P&amp;L'!AF38+'CCL GROUP P&amp;L'!AF38+'YBHN GROUP P&amp;L'!AF38+'YBN Group P&amp;L'!AF38+'HAB P&amp;L'!AF38+'Moe2 P&amp;L'!AF38</f>
        <v/>
      </c>
      <c r="AG38" s="38">
        <f>'KNL GROUP P&amp;L'!AG38+'CCL GROUP P&amp;L'!AG38+'YBHN GROUP P&amp;L'!AG38+'YBN Group P&amp;L'!AG38+'HAB P&amp;L'!AG38+'Moe2 P&amp;L'!AG38</f>
        <v/>
      </c>
      <c r="AH38" s="38">
        <f>'KNL GROUP P&amp;L'!AH38+'CCL GROUP P&amp;L'!AH38+'YBHN GROUP P&amp;L'!AH38+'YBN Group P&amp;L'!AH38+'HAB P&amp;L'!AH38+'Moe2 P&amp;L'!AH38</f>
        <v/>
      </c>
      <c r="AI38" s="118" t="n">
        <v>0</v>
      </c>
      <c r="AJ38" s="119" t="n">
        <v>0</v>
      </c>
      <c r="AK38" s="119" t="n">
        <v>0</v>
      </c>
      <c r="AL38" s="119" t="n">
        <v>0</v>
      </c>
      <c r="AM38" s="119" t="n">
        <v>0</v>
      </c>
      <c r="AN38" s="118" t="n">
        <v>0</v>
      </c>
      <c r="AO38" s="121">
        <f>SUM(AC38:AH38)+SUM(AI38:AN38)</f>
        <v/>
      </c>
      <c r="AP38" s="122">
        <f>IF(AB38&lt;&gt;0,(AO38-AB38)/ABS(AB38),0)</f>
        <v/>
      </c>
    </row>
    <row r="39">
      <c r="A39" s="34" t="inlineStr">
        <is>
          <t>Repairs &amp; Maintenance</t>
        </is>
      </c>
      <c r="B39" s="35" t="n">
        <v>11114.23</v>
      </c>
      <c r="C39" s="35" t="n">
        <v>18471.26000000001</v>
      </c>
      <c r="D39" s="35" t="n">
        <v>14037.75</v>
      </c>
      <c r="E39" s="35" t="n">
        <v>8588.49</v>
      </c>
      <c r="F39" s="35" t="n">
        <v>7696.630000000002</v>
      </c>
      <c r="G39" s="35" t="n">
        <v>13958.22999999999</v>
      </c>
      <c r="H39" s="35" t="n">
        <v>9486.02</v>
      </c>
      <c r="I39" s="35" t="n">
        <v>6643.38</v>
      </c>
      <c r="J39" s="35" t="n">
        <v>5464.089999999999</v>
      </c>
      <c r="K39" s="35" t="n">
        <v>6059.099999999999</v>
      </c>
      <c r="L39" s="35" t="n">
        <v>2967.100000000001</v>
      </c>
      <c r="M39" s="35" t="n">
        <v>4343.8</v>
      </c>
      <c r="N39" s="36">
        <f>SUM(B39:M39)</f>
        <v/>
      </c>
      <c r="O39" s="37">
        <f>SUMIF('Group TB '!$R:$R,'GROUP TOTALS MONTHLY P&amp;L'!$A39,'Group TB '!C:C)</f>
        <v/>
      </c>
      <c r="P39" s="37">
        <f>SUMIF('Group TB '!$R:$R,'GROUP TOTALS MONTHLY P&amp;L'!$A39,'Group TB '!D:D)</f>
        <v/>
      </c>
      <c r="Q39" s="37">
        <f>SUMIF('Group TB '!$R:$R,'GROUP TOTALS MONTHLY P&amp;L'!$A39,'Group TB '!E:E)</f>
        <v/>
      </c>
      <c r="R39" s="37">
        <f>SUMIF('Group TB '!$R:$R,'GROUP TOTALS MONTHLY P&amp;L'!$A39,'Group TB '!F:F)</f>
        <v/>
      </c>
      <c r="S39" s="37">
        <f>SUMIF('Group TB '!$R:$R,'GROUP TOTALS MONTHLY P&amp;L'!$A39,'Group TB '!G:G)</f>
        <v/>
      </c>
      <c r="T39" s="37">
        <f>SUMIF('Group TB '!$R:$R,'GROUP TOTALS MONTHLY P&amp;L'!$A39,'Group TB '!H:H)</f>
        <v/>
      </c>
      <c r="U39" s="37">
        <f>SUMIF('Group TB '!$R:$R,'GROUP TOTALS MONTHLY P&amp;L'!$A39,'Group TB '!I:I)</f>
        <v/>
      </c>
      <c r="V39" s="38">
        <f>'KNL GROUP P&amp;L'!V39+'CCL GROUP P&amp;L'!V39+'YBHN GROUP P&amp;L'!V39+'YBN Group P&amp;L'!V39+'HAB P&amp;L'!V39+'Moe2 P&amp;L'!V39</f>
        <v/>
      </c>
      <c r="W39" s="38">
        <f>'KNL GROUP P&amp;L'!W39+'CCL GROUP P&amp;L'!W39+'YBHN GROUP P&amp;L'!W39+'YBN Group P&amp;L'!W39+'HAB P&amp;L'!W39+'Moe2 P&amp;L'!W39</f>
        <v/>
      </c>
      <c r="X39" s="38">
        <f>'KNL GROUP P&amp;L'!X39+'CCL GROUP P&amp;L'!X39+'YBHN GROUP P&amp;L'!X39+'YBN Group P&amp;L'!X39+'HAB P&amp;L'!X39+'Moe2 P&amp;L'!X39</f>
        <v/>
      </c>
      <c r="Y39" s="38">
        <f>'KNL GROUP P&amp;L'!Y39+'CCL GROUP P&amp;L'!Y39+'YBHN GROUP P&amp;L'!Y39+'YBN Group P&amp;L'!Y39+'HAB P&amp;L'!Y39+'Moe2 P&amp;L'!Y39</f>
        <v/>
      </c>
      <c r="Z39" s="38">
        <f>'KNL GROUP P&amp;L'!Z39+'CCL GROUP P&amp;L'!Z39+'YBHN GROUP P&amp;L'!Z39+'YBN Group P&amp;L'!Z39+'HAB P&amp;L'!Z39+'Moe2 P&amp;L'!Z39</f>
        <v/>
      </c>
      <c r="AA39" s="36">
        <f>SUM(O39:U39)</f>
        <v/>
      </c>
      <c r="AB39" s="36">
        <f>SUM(O39:Z39)</f>
        <v/>
      </c>
      <c r="AC39" s="38">
        <f>'KNL GROUP P&amp;L'!AC39+'CCL GROUP P&amp;L'!AC39+'YBHN GROUP P&amp;L'!AC39+'YBN Group P&amp;L'!AC39+'HAB P&amp;L'!AC39+'Moe2 P&amp;L'!AC39</f>
        <v/>
      </c>
      <c r="AD39" s="38">
        <f>'KNL GROUP P&amp;L'!AD39+'CCL GROUP P&amp;L'!AD39+'YBHN GROUP P&amp;L'!AD39+'YBN Group P&amp;L'!AD39+'HAB P&amp;L'!AD39+'Moe2 P&amp;L'!AD39</f>
        <v/>
      </c>
      <c r="AE39" s="38">
        <f>'KNL GROUP P&amp;L'!AE39+'CCL GROUP P&amp;L'!AE39+'YBHN GROUP P&amp;L'!AE39+'YBN Group P&amp;L'!AE39+'HAB P&amp;L'!AE39+'Moe2 P&amp;L'!AE39</f>
        <v/>
      </c>
      <c r="AF39" s="38">
        <f>'KNL GROUP P&amp;L'!AF39+'CCL GROUP P&amp;L'!AF39+'YBHN GROUP P&amp;L'!AF39+'YBN Group P&amp;L'!AF39+'HAB P&amp;L'!AF39+'Moe2 P&amp;L'!AF39</f>
        <v/>
      </c>
      <c r="AG39" s="38">
        <f>'KNL GROUP P&amp;L'!AG39+'CCL GROUP P&amp;L'!AG39+'YBHN GROUP P&amp;L'!AG39+'YBN Group P&amp;L'!AG39+'HAB P&amp;L'!AG39+'Moe2 P&amp;L'!AG39</f>
        <v/>
      </c>
      <c r="AH39" s="38">
        <f>'KNL GROUP P&amp;L'!AH39+'CCL GROUP P&amp;L'!AH39+'YBHN GROUP P&amp;L'!AH39+'YBN Group P&amp;L'!AH39+'HAB P&amp;L'!AH39+'Moe2 P&amp;L'!AH39</f>
        <v/>
      </c>
      <c r="AI39" s="118" t="n">
        <v>0</v>
      </c>
      <c r="AJ39" s="119" t="n">
        <v>0</v>
      </c>
      <c r="AK39" s="119" t="n">
        <v>0</v>
      </c>
      <c r="AL39" s="119" t="n">
        <v>0</v>
      </c>
      <c r="AM39" s="119" t="n">
        <v>0</v>
      </c>
      <c r="AN39" s="118" t="n">
        <v>0</v>
      </c>
      <c r="AO39" s="121">
        <f>SUM(AC39:AH39)+SUM(AI39:AN39)</f>
        <v/>
      </c>
      <c r="AP39" s="122">
        <f>IF(AB39&lt;&gt;0,(AO39-AB39)/ABS(AB39),0)</f>
        <v/>
      </c>
    </row>
    <row r="40">
      <c r="A40" s="34" t="inlineStr">
        <is>
          <t>Cleaning</t>
        </is>
      </c>
      <c r="B40" s="35" t="n">
        <v>11641.05</v>
      </c>
      <c r="C40" s="35" t="n">
        <v>9634.059999999999</v>
      </c>
      <c r="D40" s="35" t="n">
        <v>11426.53</v>
      </c>
      <c r="E40" s="35" t="n">
        <v>12071.57</v>
      </c>
      <c r="F40" s="35" t="n">
        <v>11361.53</v>
      </c>
      <c r="G40" s="35" t="n">
        <v>11411.72</v>
      </c>
      <c r="H40" s="35" t="n">
        <v>12333.27</v>
      </c>
      <c r="I40" s="35" t="n">
        <v>14180.48</v>
      </c>
      <c r="J40" s="35" t="n">
        <v>12105.65</v>
      </c>
      <c r="K40" s="35" t="n">
        <v>8093.239999999999</v>
      </c>
      <c r="L40" s="35" t="n">
        <v>9954.890000000001</v>
      </c>
      <c r="M40" s="35" t="n">
        <v>9045.290000000001</v>
      </c>
      <c r="N40" s="36">
        <f>SUM(B40:M40)</f>
        <v/>
      </c>
      <c r="O40" s="37">
        <f>SUMIF('Group TB '!$R:$R,'GROUP TOTALS MONTHLY P&amp;L'!$A40,'Group TB '!C:C)</f>
        <v/>
      </c>
      <c r="P40" s="37">
        <f>SUMIF('Group TB '!$R:$R,'GROUP TOTALS MONTHLY P&amp;L'!$A40,'Group TB '!D:D)</f>
        <v/>
      </c>
      <c r="Q40" s="37">
        <f>SUMIF('Group TB '!$R:$R,'GROUP TOTALS MONTHLY P&amp;L'!$A40,'Group TB '!E:E)</f>
        <v/>
      </c>
      <c r="R40" s="37">
        <f>SUMIF('Group TB '!$R:$R,'GROUP TOTALS MONTHLY P&amp;L'!$A40,'Group TB '!F:F)</f>
        <v/>
      </c>
      <c r="S40" s="37">
        <f>SUMIF('Group TB '!$R:$R,'GROUP TOTALS MONTHLY P&amp;L'!$A40,'Group TB '!G:G)</f>
        <v/>
      </c>
      <c r="T40" s="37">
        <f>SUMIF('Group TB '!$R:$R,'GROUP TOTALS MONTHLY P&amp;L'!$A40,'Group TB '!H:H)</f>
        <v/>
      </c>
      <c r="U40" s="37">
        <f>SUMIF('Group TB '!$R:$R,'GROUP TOTALS MONTHLY P&amp;L'!$A40,'Group TB '!I:I)</f>
        <v/>
      </c>
      <c r="V40" s="38">
        <f>'KNL GROUP P&amp;L'!V40+'CCL GROUP P&amp;L'!V40+'YBHN GROUP P&amp;L'!V40+'YBN Group P&amp;L'!V40+'HAB P&amp;L'!V40+'Moe2 P&amp;L'!V40</f>
        <v/>
      </c>
      <c r="W40" s="38">
        <f>'KNL GROUP P&amp;L'!W40+'CCL GROUP P&amp;L'!W40+'YBHN GROUP P&amp;L'!W40+'YBN Group P&amp;L'!W40+'HAB P&amp;L'!W40+'Moe2 P&amp;L'!W40</f>
        <v/>
      </c>
      <c r="X40" s="38">
        <f>'KNL GROUP P&amp;L'!X40+'CCL GROUP P&amp;L'!X40+'YBHN GROUP P&amp;L'!X40+'YBN Group P&amp;L'!X40+'HAB P&amp;L'!X40+'Moe2 P&amp;L'!X40</f>
        <v/>
      </c>
      <c r="Y40" s="38">
        <f>'KNL GROUP P&amp;L'!Y40+'CCL GROUP P&amp;L'!Y40+'YBHN GROUP P&amp;L'!Y40+'YBN Group P&amp;L'!Y40+'HAB P&amp;L'!Y40+'Moe2 P&amp;L'!Y40</f>
        <v/>
      </c>
      <c r="Z40" s="38">
        <f>'KNL GROUP P&amp;L'!Z40+'CCL GROUP P&amp;L'!Z40+'YBHN GROUP P&amp;L'!Z40+'YBN Group P&amp;L'!Z40+'HAB P&amp;L'!Z40+'Moe2 P&amp;L'!Z40</f>
        <v/>
      </c>
      <c r="AA40" s="36">
        <f>SUM(O40:U40)</f>
        <v/>
      </c>
      <c r="AB40" s="36">
        <f>SUM(O40:Z40)</f>
        <v/>
      </c>
      <c r="AC40" s="38">
        <f>'KNL GROUP P&amp;L'!AC40+'CCL GROUP P&amp;L'!AC40+'YBHN GROUP P&amp;L'!AC40+'YBN Group P&amp;L'!AC40+'HAB P&amp;L'!AC40+'Moe2 P&amp;L'!AC40</f>
        <v/>
      </c>
      <c r="AD40" s="38">
        <f>'KNL GROUP P&amp;L'!AD40+'CCL GROUP P&amp;L'!AD40+'YBHN GROUP P&amp;L'!AD40+'YBN Group P&amp;L'!AD40+'HAB P&amp;L'!AD40+'Moe2 P&amp;L'!AD40</f>
        <v/>
      </c>
      <c r="AE40" s="38">
        <f>'KNL GROUP P&amp;L'!AE40+'CCL GROUP P&amp;L'!AE40+'YBHN GROUP P&amp;L'!AE40+'YBN Group P&amp;L'!AE40+'HAB P&amp;L'!AE40+'Moe2 P&amp;L'!AE40</f>
        <v/>
      </c>
      <c r="AF40" s="38">
        <f>'KNL GROUP P&amp;L'!AF40+'CCL GROUP P&amp;L'!AF40+'YBHN GROUP P&amp;L'!AF40+'YBN Group P&amp;L'!AF40+'HAB P&amp;L'!AF40+'Moe2 P&amp;L'!AF40</f>
        <v/>
      </c>
      <c r="AG40" s="38">
        <f>'KNL GROUP P&amp;L'!AG40+'CCL GROUP P&amp;L'!AG40+'YBHN GROUP P&amp;L'!AG40+'YBN Group P&amp;L'!AG40+'HAB P&amp;L'!AG40+'Moe2 P&amp;L'!AG40</f>
        <v/>
      </c>
      <c r="AH40" s="38">
        <f>'KNL GROUP P&amp;L'!AH40+'CCL GROUP P&amp;L'!AH40+'YBHN GROUP P&amp;L'!AH40+'YBN Group P&amp;L'!AH40+'HAB P&amp;L'!AH40+'Moe2 P&amp;L'!AH40</f>
        <v/>
      </c>
      <c r="AI40" s="118" t="n">
        <v>0</v>
      </c>
      <c r="AJ40" s="119" t="n">
        <v>0</v>
      </c>
      <c r="AK40" s="119" t="n">
        <v>0</v>
      </c>
      <c r="AL40" s="119" t="n">
        <v>0</v>
      </c>
      <c r="AM40" s="119" t="n">
        <v>0</v>
      </c>
      <c r="AN40" s="118" t="n">
        <v>0</v>
      </c>
      <c r="AO40" s="121">
        <f>SUM(AC40:AH40)+SUM(AI40:AN40)</f>
        <v/>
      </c>
      <c r="AP40" s="122">
        <f>IF(AB40&lt;&gt;0,(AO40-AB40)/ABS(AB40),0)</f>
        <v/>
      </c>
    </row>
    <row r="41">
      <c r="A41" s="34" t="inlineStr">
        <is>
          <t>Waste Disposal</t>
        </is>
      </c>
      <c r="B41" s="35" t="n">
        <v>5544.93</v>
      </c>
      <c r="C41" s="35" t="n">
        <v>7251.28</v>
      </c>
      <c r="D41" s="35" t="n">
        <v>7231.240000000001</v>
      </c>
      <c r="E41" s="35" t="n">
        <v>5993.5</v>
      </c>
      <c r="F41" s="35" t="n">
        <v>6657.23</v>
      </c>
      <c r="G41" s="35" t="n">
        <v>6820.349999999999</v>
      </c>
      <c r="H41" s="35" t="n">
        <v>6262.35</v>
      </c>
      <c r="I41" s="35" t="n">
        <v>6673.51</v>
      </c>
      <c r="J41" s="35" t="n">
        <v>9575.159999999998</v>
      </c>
      <c r="K41" s="35" t="n">
        <v>6475.05</v>
      </c>
      <c r="L41" s="35" t="n">
        <v>6558.4</v>
      </c>
      <c r="M41" s="35" t="n">
        <v>7620.139999999999</v>
      </c>
      <c r="N41" s="36">
        <f>SUM(B41:M41)</f>
        <v/>
      </c>
      <c r="O41" s="37">
        <f>SUMIF('Group TB '!$R:$R,'GROUP TOTALS MONTHLY P&amp;L'!$A41,'Group TB '!C:C)</f>
        <v/>
      </c>
      <c r="P41" s="37">
        <f>SUMIF('Group TB '!$R:$R,'GROUP TOTALS MONTHLY P&amp;L'!$A41,'Group TB '!D:D)</f>
        <v/>
      </c>
      <c r="Q41" s="37">
        <f>SUMIF('Group TB '!$R:$R,'GROUP TOTALS MONTHLY P&amp;L'!$A41,'Group TB '!E:E)</f>
        <v/>
      </c>
      <c r="R41" s="37">
        <f>SUMIF('Group TB '!$R:$R,'GROUP TOTALS MONTHLY P&amp;L'!$A41,'Group TB '!F:F)</f>
        <v/>
      </c>
      <c r="S41" s="37">
        <f>SUMIF('Group TB '!$R:$R,'GROUP TOTALS MONTHLY P&amp;L'!$A41,'Group TB '!G:G)</f>
        <v/>
      </c>
      <c r="T41" s="37">
        <f>SUMIF('Group TB '!$R:$R,'GROUP TOTALS MONTHLY P&amp;L'!$A41,'Group TB '!H:H)</f>
        <v/>
      </c>
      <c r="U41" s="37">
        <f>SUMIF('Group TB '!$R:$R,'GROUP TOTALS MONTHLY P&amp;L'!$A41,'Group TB '!I:I)</f>
        <v/>
      </c>
      <c r="V41" s="38">
        <f>'KNL GROUP P&amp;L'!V41+'CCL GROUP P&amp;L'!V41+'YBHN GROUP P&amp;L'!V41+'YBN Group P&amp;L'!V41+'HAB P&amp;L'!V41+'Moe2 P&amp;L'!V41</f>
        <v/>
      </c>
      <c r="W41" s="38">
        <f>'KNL GROUP P&amp;L'!W41+'CCL GROUP P&amp;L'!W41+'YBHN GROUP P&amp;L'!W41+'YBN Group P&amp;L'!W41+'HAB P&amp;L'!W41+'Moe2 P&amp;L'!W41</f>
        <v/>
      </c>
      <c r="X41" s="38">
        <f>'KNL GROUP P&amp;L'!X41+'CCL GROUP P&amp;L'!X41+'YBHN GROUP P&amp;L'!X41+'YBN Group P&amp;L'!X41+'HAB P&amp;L'!X41+'Moe2 P&amp;L'!X41</f>
        <v/>
      </c>
      <c r="Y41" s="38">
        <f>'KNL GROUP P&amp;L'!Y41+'CCL GROUP P&amp;L'!Y41+'YBHN GROUP P&amp;L'!Y41+'YBN Group P&amp;L'!Y41+'HAB P&amp;L'!Y41+'Moe2 P&amp;L'!Y41</f>
        <v/>
      </c>
      <c r="Z41" s="38">
        <f>'KNL GROUP P&amp;L'!Z41+'CCL GROUP P&amp;L'!Z41+'YBHN GROUP P&amp;L'!Z41+'YBN Group P&amp;L'!Z41+'HAB P&amp;L'!Z41+'Moe2 P&amp;L'!Z41</f>
        <v/>
      </c>
      <c r="AA41" s="36">
        <f>SUM(O41:U41)</f>
        <v/>
      </c>
      <c r="AB41" s="36">
        <f>SUM(O41:Z41)</f>
        <v/>
      </c>
      <c r="AC41" s="38">
        <f>'KNL GROUP P&amp;L'!AC41+'CCL GROUP P&amp;L'!AC41+'YBHN GROUP P&amp;L'!AC41+'YBN Group P&amp;L'!AC41+'HAB P&amp;L'!AC41+'Moe2 P&amp;L'!AC41</f>
        <v/>
      </c>
      <c r="AD41" s="38">
        <f>'KNL GROUP P&amp;L'!AD41+'CCL GROUP P&amp;L'!AD41+'YBHN GROUP P&amp;L'!AD41+'YBN Group P&amp;L'!AD41+'HAB P&amp;L'!AD41+'Moe2 P&amp;L'!AD41</f>
        <v/>
      </c>
      <c r="AE41" s="38">
        <f>'KNL GROUP P&amp;L'!AE41+'CCL GROUP P&amp;L'!AE41+'YBHN GROUP P&amp;L'!AE41+'YBN Group P&amp;L'!AE41+'HAB P&amp;L'!AE41+'Moe2 P&amp;L'!AE41</f>
        <v/>
      </c>
      <c r="AF41" s="38">
        <f>'KNL GROUP P&amp;L'!AF41+'CCL GROUP P&amp;L'!AF41+'YBHN GROUP P&amp;L'!AF41+'YBN Group P&amp;L'!AF41+'HAB P&amp;L'!AF41+'Moe2 P&amp;L'!AF41</f>
        <v/>
      </c>
      <c r="AG41" s="38">
        <f>'KNL GROUP P&amp;L'!AG41+'CCL GROUP P&amp;L'!AG41+'YBHN GROUP P&amp;L'!AG41+'YBN Group P&amp;L'!AG41+'HAB P&amp;L'!AG41+'Moe2 P&amp;L'!AG41</f>
        <v/>
      </c>
      <c r="AH41" s="38">
        <f>'KNL GROUP P&amp;L'!AH41+'CCL GROUP P&amp;L'!AH41+'YBHN GROUP P&amp;L'!AH41+'YBN Group P&amp;L'!AH41+'HAB P&amp;L'!AH41+'Moe2 P&amp;L'!AH41</f>
        <v/>
      </c>
      <c r="AI41" s="118" t="n">
        <v>0</v>
      </c>
      <c r="AJ41" s="119" t="n">
        <v>0</v>
      </c>
      <c r="AK41" s="119" t="n">
        <v>0</v>
      </c>
      <c r="AL41" s="119" t="n">
        <v>0</v>
      </c>
      <c r="AM41" s="119" t="n">
        <v>0</v>
      </c>
      <c r="AN41" s="118" t="n">
        <v>0</v>
      </c>
      <c r="AO41" s="121">
        <f>SUM(AC41:AH41)+SUM(AI41:AN41)</f>
        <v/>
      </c>
      <c r="AP41" s="122">
        <f>IF(AB41&lt;&gt;0,(AO41-AB41)/ABS(AB41),0)</f>
        <v/>
      </c>
    </row>
    <row r="42">
      <c r="A42" s="34" t="inlineStr">
        <is>
          <t>Postage/Printing/Stationery</t>
        </is>
      </c>
      <c r="B42" s="35" t="n">
        <v>3404.34</v>
      </c>
      <c r="C42" s="35" t="n">
        <v>2584.690000000001</v>
      </c>
      <c r="D42" s="35" t="n">
        <v>1579.46</v>
      </c>
      <c r="E42" s="35" t="n">
        <v>1477.69</v>
      </c>
      <c r="F42" s="35" t="n">
        <v>2310.15</v>
      </c>
      <c r="G42" s="35" t="n">
        <v>1508.1</v>
      </c>
      <c r="H42" s="35" t="n">
        <v>2281.789999999999</v>
      </c>
      <c r="I42" s="35" t="n">
        <v>2502.82</v>
      </c>
      <c r="J42" s="35" t="n">
        <v>2002</v>
      </c>
      <c r="K42" s="35" t="n">
        <v>3691.76</v>
      </c>
      <c r="L42" s="35" t="n">
        <v>1395.57</v>
      </c>
      <c r="M42" s="35" t="n">
        <v>2571.93</v>
      </c>
      <c r="N42" s="36">
        <f>SUM(B42:M42)</f>
        <v/>
      </c>
      <c r="O42" s="37">
        <f>SUMIF('Group TB '!$R:$R,'GROUP TOTALS MONTHLY P&amp;L'!$A42,'Group TB '!C:C)</f>
        <v/>
      </c>
      <c r="P42" s="37">
        <f>SUMIF('Group TB '!$R:$R,'GROUP TOTALS MONTHLY P&amp;L'!$A42,'Group TB '!D:D)</f>
        <v/>
      </c>
      <c r="Q42" s="37">
        <f>SUMIF('Group TB '!$R:$R,'GROUP TOTALS MONTHLY P&amp;L'!$A42,'Group TB '!E:E)</f>
        <v/>
      </c>
      <c r="R42" s="37">
        <f>SUMIF('Group TB '!$R:$R,'GROUP TOTALS MONTHLY P&amp;L'!$A42,'Group TB '!F:F)</f>
        <v/>
      </c>
      <c r="S42" s="37">
        <f>SUMIF('Group TB '!$R:$R,'GROUP TOTALS MONTHLY P&amp;L'!$A42,'Group TB '!G:G)</f>
        <v/>
      </c>
      <c r="T42" s="37">
        <f>SUMIF('Group TB '!$R:$R,'GROUP TOTALS MONTHLY P&amp;L'!$A42,'Group TB '!H:H)</f>
        <v/>
      </c>
      <c r="U42" s="37">
        <f>SUMIF('Group TB '!$R:$R,'GROUP TOTALS MONTHLY P&amp;L'!$A42,'Group TB '!I:I)</f>
        <v/>
      </c>
      <c r="V42" s="38">
        <f>'KNL GROUP P&amp;L'!V42+'CCL GROUP P&amp;L'!V42+'YBHN GROUP P&amp;L'!V42+'YBN Group P&amp;L'!V42+'HAB P&amp;L'!V42+'Moe2 P&amp;L'!V42</f>
        <v/>
      </c>
      <c r="W42" s="38">
        <f>'KNL GROUP P&amp;L'!W42+'CCL GROUP P&amp;L'!W42+'YBHN GROUP P&amp;L'!W42+'YBN Group P&amp;L'!W42+'HAB P&amp;L'!W42+'Moe2 P&amp;L'!W42</f>
        <v/>
      </c>
      <c r="X42" s="38">
        <f>'KNL GROUP P&amp;L'!X42+'CCL GROUP P&amp;L'!X42+'YBHN GROUP P&amp;L'!X42+'YBN Group P&amp;L'!X42+'HAB P&amp;L'!X42+'Moe2 P&amp;L'!X42</f>
        <v/>
      </c>
      <c r="Y42" s="38">
        <f>'KNL GROUP P&amp;L'!Y42+'CCL GROUP P&amp;L'!Y42+'YBHN GROUP P&amp;L'!Y42+'YBN Group P&amp;L'!Y42+'HAB P&amp;L'!Y42+'Moe2 P&amp;L'!Y42</f>
        <v/>
      </c>
      <c r="Z42" s="38">
        <f>'KNL GROUP P&amp;L'!Z42+'CCL GROUP P&amp;L'!Z42+'YBHN GROUP P&amp;L'!Z42+'YBN Group P&amp;L'!Z42+'HAB P&amp;L'!Z42+'Moe2 P&amp;L'!Z42</f>
        <v/>
      </c>
      <c r="AA42" s="36">
        <f>SUM(O42:U42)</f>
        <v/>
      </c>
      <c r="AB42" s="36">
        <f>SUM(O42:Z42)</f>
        <v/>
      </c>
      <c r="AC42" s="38">
        <f>'KNL GROUP P&amp;L'!AC42+'CCL GROUP P&amp;L'!AC42+'YBHN GROUP P&amp;L'!AC42+'YBN Group P&amp;L'!AC42+'HAB P&amp;L'!AC42+'Moe2 P&amp;L'!AC42</f>
        <v/>
      </c>
      <c r="AD42" s="38">
        <f>'KNL GROUP P&amp;L'!AD42+'CCL GROUP P&amp;L'!AD42+'YBHN GROUP P&amp;L'!AD42+'YBN Group P&amp;L'!AD42+'HAB P&amp;L'!AD42+'Moe2 P&amp;L'!AD42</f>
        <v/>
      </c>
      <c r="AE42" s="38">
        <f>'KNL GROUP P&amp;L'!AE42+'CCL GROUP P&amp;L'!AE42+'YBHN GROUP P&amp;L'!AE42+'YBN Group P&amp;L'!AE42+'HAB P&amp;L'!AE42+'Moe2 P&amp;L'!AE42</f>
        <v/>
      </c>
      <c r="AF42" s="38">
        <f>'KNL GROUP P&amp;L'!AF42+'CCL GROUP P&amp;L'!AF42+'YBHN GROUP P&amp;L'!AF42+'YBN Group P&amp;L'!AF42+'HAB P&amp;L'!AF42+'Moe2 P&amp;L'!AF42</f>
        <v/>
      </c>
      <c r="AG42" s="38">
        <f>'KNL GROUP P&amp;L'!AG42+'CCL GROUP P&amp;L'!AG42+'YBHN GROUP P&amp;L'!AG42+'YBN Group P&amp;L'!AG42+'HAB P&amp;L'!AG42+'Moe2 P&amp;L'!AG42</f>
        <v/>
      </c>
      <c r="AH42" s="38">
        <f>'KNL GROUP P&amp;L'!AH42+'CCL GROUP P&amp;L'!AH42+'YBHN GROUP P&amp;L'!AH42+'YBN Group P&amp;L'!AH42+'HAB P&amp;L'!AH42+'Moe2 P&amp;L'!AH42</f>
        <v/>
      </c>
      <c r="AI42" s="118" t="n">
        <v>0</v>
      </c>
      <c r="AJ42" s="119" t="n">
        <v>0</v>
      </c>
      <c r="AK42" s="119" t="n">
        <v>0</v>
      </c>
      <c r="AL42" s="119" t="n">
        <v>0</v>
      </c>
      <c r="AM42" s="119" t="n">
        <v>0</v>
      </c>
      <c r="AN42" s="118" t="n">
        <v>0</v>
      </c>
      <c r="AO42" s="121">
        <f>SUM(AC42:AH42)+SUM(AI42:AN42)</f>
        <v/>
      </c>
      <c r="AP42" s="122">
        <f>IF(AB42&lt;&gt;0,(AO42-AB42)/ABS(AB42),0)</f>
        <v/>
      </c>
    </row>
    <row r="43">
      <c r="A43" s="34" t="inlineStr">
        <is>
          <t>Telephone</t>
        </is>
      </c>
      <c r="B43" s="35" t="n">
        <v>8953.669999999998</v>
      </c>
      <c r="C43" s="35" t="n">
        <v>3823.45</v>
      </c>
      <c r="D43" s="35" t="n">
        <v>4439.29</v>
      </c>
      <c r="E43" s="35" t="n">
        <v>8925.610000000001</v>
      </c>
      <c r="F43" s="35" t="n">
        <v>4190.24</v>
      </c>
      <c r="G43" s="35" t="n">
        <v>4168.8</v>
      </c>
      <c r="H43" s="35" t="n">
        <v>8798.970000000001</v>
      </c>
      <c r="I43" s="35" t="n">
        <v>4603.38</v>
      </c>
      <c r="J43" s="35" t="n">
        <v>5064.8</v>
      </c>
      <c r="K43" s="35" t="n">
        <v>5561.46</v>
      </c>
      <c r="L43" s="35" t="n">
        <v>5573.67</v>
      </c>
      <c r="M43" s="35" t="n">
        <v>5770.099999999999</v>
      </c>
      <c r="N43" s="36">
        <f>SUM(B43:M43)</f>
        <v/>
      </c>
      <c r="O43" s="37">
        <f>SUMIF('Group TB '!$R:$R,'GROUP TOTALS MONTHLY P&amp;L'!$A43,'Group TB '!C:C)</f>
        <v/>
      </c>
      <c r="P43" s="37">
        <f>SUMIF('Group TB '!$R:$R,'GROUP TOTALS MONTHLY P&amp;L'!$A43,'Group TB '!D:D)</f>
        <v/>
      </c>
      <c r="Q43" s="37">
        <f>SUMIF('Group TB '!$R:$R,'GROUP TOTALS MONTHLY P&amp;L'!$A43,'Group TB '!E:E)</f>
        <v/>
      </c>
      <c r="R43" s="37">
        <f>SUMIF('Group TB '!$R:$R,'GROUP TOTALS MONTHLY P&amp;L'!$A43,'Group TB '!F:F)</f>
        <v/>
      </c>
      <c r="S43" s="37">
        <f>SUMIF('Group TB '!$R:$R,'GROUP TOTALS MONTHLY P&amp;L'!$A43,'Group TB '!G:G)</f>
        <v/>
      </c>
      <c r="T43" s="37">
        <f>SUMIF('Group TB '!$R:$R,'GROUP TOTALS MONTHLY P&amp;L'!$A43,'Group TB '!H:H)</f>
        <v/>
      </c>
      <c r="U43" s="37">
        <f>SUMIF('Group TB '!$R:$R,'GROUP TOTALS MONTHLY P&amp;L'!$A43,'Group TB '!I:I)</f>
        <v/>
      </c>
      <c r="V43" s="38">
        <f>'KNL GROUP P&amp;L'!V43+'CCL GROUP P&amp;L'!V43+'YBHN GROUP P&amp;L'!V43+'YBN Group P&amp;L'!V43+'HAB P&amp;L'!V43+'Moe2 P&amp;L'!V43</f>
        <v/>
      </c>
      <c r="W43" s="38">
        <f>'KNL GROUP P&amp;L'!W43+'CCL GROUP P&amp;L'!W43+'YBHN GROUP P&amp;L'!W43+'YBN Group P&amp;L'!W43+'HAB P&amp;L'!W43+'Moe2 P&amp;L'!W43</f>
        <v/>
      </c>
      <c r="X43" s="38">
        <f>'KNL GROUP P&amp;L'!X43+'CCL GROUP P&amp;L'!X43+'YBHN GROUP P&amp;L'!X43+'YBN Group P&amp;L'!X43+'HAB P&amp;L'!X43+'Moe2 P&amp;L'!X43</f>
        <v/>
      </c>
      <c r="Y43" s="38">
        <f>'KNL GROUP P&amp;L'!Y43+'CCL GROUP P&amp;L'!Y43+'YBHN GROUP P&amp;L'!Y43+'YBN Group P&amp;L'!Y43+'HAB P&amp;L'!Y43+'Moe2 P&amp;L'!Y43</f>
        <v/>
      </c>
      <c r="Z43" s="38">
        <f>'KNL GROUP P&amp;L'!Z43+'CCL GROUP P&amp;L'!Z43+'YBHN GROUP P&amp;L'!Z43+'YBN Group P&amp;L'!Z43+'HAB P&amp;L'!Z43+'Moe2 P&amp;L'!Z43</f>
        <v/>
      </c>
      <c r="AA43" s="36">
        <f>SUM(O43:U43)</f>
        <v/>
      </c>
      <c r="AB43" s="36">
        <f>SUM(O43:Z43)</f>
        <v/>
      </c>
      <c r="AC43" s="38">
        <f>'KNL GROUP P&amp;L'!AC43+'CCL GROUP P&amp;L'!AC43+'YBHN GROUP P&amp;L'!AC43+'YBN Group P&amp;L'!AC43+'HAB P&amp;L'!AC43+'Moe2 P&amp;L'!AC43</f>
        <v/>
      </c>
      <c r="AD43" s="38">
        <f>'KNL GROUP P&amp;L'!AD43+'CCL GROUP P&amp;L'!AD43+'YBHN GROUP P&amp;L'!AD43+'YBN Group P&amp;L'!AD43+'HAB P&amp;L'!AD43+'Moe2 P&amp;L'!AD43</f>
        <v/>
      </c>
      <c r="AE43" s="38">
        <f>'KNL GROUP P&amp;L'!AE43+'CCL GROUP P&amp;L'!AE43+'YBHN GROUP P&amp;L'!AE43+'YBN Group P&amp;L'!AE43+'HAB P&amp;L'!AE43+'Moe2 P&amp;L'!AE43</f>
        <v/>
      </c>
      <c r="AF43" s="38">
        <f>'KNL GROUP P&amp;L'!AF43+'CCL GROUP P&amp;L'!AF43+'YBHN GROUP P&amp;L'!AF43+'YBN Group P&amp;L'!AF43+'HAB P&amp;L'!AF43+'Moe2 P&amp;L'!AF43</f>
        <v/>
      </c>
      <c r="AG43" s="38">
        <f>'KNL GROUP P&amp;L'!AG43+'CCL GROUP P&amp;L'!AG43+'YBHN GROUP P&amp;L'!AG43+'YBN Group P&amp;L'!AG43+'HAB P&amp;L'!AG43+'Moe2 P&amp;L'!AG43</f>
        <v/>
      </c>
      <c r="AH43" s="38">
        <f>'KNL GROUP P&amp;L'!AH43+'CCL GROUP P&amp;L'!AH43+'YBHN GROUP P&amp;L'!AH43+'YBN Group P&amp;L'!AH43+'HAB P&amp;L'!AH43+'Moe2 P&amp;L'!AH43</f>
        <v/>
      </c>
      <c r="AI43" s="118" t="n">
        <v>0</v>
      </c>
      <c r="AJ43" s="119" t="n">
        <v>0</v>
      </c>
      <c r="AK43" s="119" t="n">
        <v>0</v>
      </c>
      <c r="AL43" s="119" t="n">
        <v>0</v>
      </c>
      <c r="AM43" s="119" t="n">
        <v>0</v>
      </c>
      <c r="AN43" s="118" t="n">
        <v>0</v>
      </c>
      <c r="AO43" s="121">
        <f>SUM(AC43:AH43)+SUM(AI43:AN43)</f>
        <v/>
      </c>
      <c r="AP43" s="122">
        <f>IF(AB43&lt;&gt;0,(AO43-AB43)/ABS(AB43),0)</f>
        <v/>
      </c>
    </row>
    <row r="44">
      <c r="A44" s="34" t="inlineStr">
        <is>
          <t>Internet</t>
        </is>
      </c>
      <c r="B44" s="35" t="n">
        <v>0</v>
      </c>
      <c r="C44" s="35" t="n">
        <v>0</v>
      </c>
      <c r="D44" s="35" t="n">
        <v>0</v>
      </c>
      <c r="E44" s="35" t="n">
        <v>0</v>
      </c>
      <c r="F44" s="35" t="n">
        <v>0</v>
      </c>
      <c r="G44" s="35" t="n">
        <v>0</v>
      </c>
      <c r="H44" s="35" t="n">
        <v>0</v>
      </c>
      <c r="I44" s="35" t="n">
        <v>0</v>
      </c>
      <c r="J44" s="35" t="n">
        <v>0</v>
      </c>
      <c r="K44" s="35" t="n">
        <v>0</v>
      </c>
      <c r="L44" s="35" t="n">
        <v>0</v>
      </c>
      <c r="M44" s="35" t="n">
        <v>0</v>
      </c>
      <c r="N44" s="36">
        <f>SUM(B44:M44)</f>
        <v/>
      </c>
      <c r="O44" s="37">
        <f>SUMIF('Group TB '!$R:$R,'GROUP TOTALS MONTHLY P&amp;L'!$A44,'Group TB '!C:C)</f>
        <v/>
      </c>
      <c r="P44" s="37">
        <f>SUMIF('Group TB '!$R:$R,'GROUP TOTALS MONTHLY P&amp;L'!$A44,'Group TB '!D:D)</f>
        <v/>
      </c>
      <c r="Q44" s="37">
        <f>SUMIF('Group TB '!$R:$R,'GROUP TOTALS MONTHLY P&amp;L'!$A44,'Group TB '!E:E)</f>
        <v/>
      </c>
      <c r="R44" s="37">
        <f>SUMIF('Group TB '!$R:$R,'GROUP TOTALS MONTHLY P&amp;L'!$A44,'Group TB '!F:F)</f>
        <v/>
      </c>
      <c r="S44" s="37">
        <f>SUMIF('Group TB '!$R:$R,'GROUP TOTALS MONTHLY P&amp;L'!$A44,'Group TB '!G:G)</f>
        <v/>
      </c>
      <c r="T44" s="37">
        <f>SUMIF('Group TB '!$R:$R,'GROUP TOTALS MONTHLY P&amp;L'!$A44,'Group TB '!H:H)</f>
        <v/>
      </c>
      <c r="U44" s="37">
        <f>SUMIF('Group TB '!$R:$R,'GROUP TOTALS MONTHLY P&amp;L'!$A44,'Group TB '!I:I)</f>
        <v/>
      </c>
      <c r="V44" s="38">
        <f>'KNL GROUP P&amp;L'!V44+'CCL GROUP P&amp;L'!V44+'YBHN GROUP P&amp;L'!V44+'YBN Group P&amp;L'!V44+'HAB P&amp;L'!V44+'Moe2 P&amp;L'!V44</f>
        <v/>
      </c>
      <c r="W44" s="38">
        <f>'KNL GROUP P&amp;L'!W44+'CCL GROUP P&amp;L'!W44+'YBHN GROUP P&amp;L'!W44+'YBN Group P&amp;L'!W44+'HAB P&amp;L'!W44+'Moe2 P&amp;L'!W44</f>
        <v/>
      </c>
      <c r="X44" s="38">
        <f>'KNL GROUP P&amp;L'!X44+'CCL GROUP P&amp;L'!X44+'YBHN GROUP P&amp;L'!X44+'YBN Group P&amp;L'!X44+'HAB P&amp;L'!X44+'Moe2 P&amp;L'!X44</f>
        <v/>
      </c>
      <c r="Y44" s="38">
        <f>'KNL GROUP P&amp;L'!Y44+'CCL GROUP P&amp;L'!Y44+'YBHN GROUP P&amp;L'!Y44+'YBN Group P&amp;L'!Y44+'HAB P&amp;L'!Y44+'Moe2 P&amp;L'!Y44</f>
        <v/>
      </c>
      <c r="Z44" s="38">
        <f>'KNL GROUP P&amp;L'!Z44+'CCL GROUP P&amp;L'!Z44+'YBHN GROUP P&amp;L'!Z44+'YBN Group P&amp;L'!Z44+'HAB P&amp;L'!Z44+'Moe2 P&amp;L'!Z44</f>
        <v/>
      </c>
      <c r="AA44" s="36">
        <f>SUM(O44:U44)</f>
        <v/>
      </c>
      <c r="AB44" s="36">
        <f>SUM(O44:Z44)</f>
        <v/>
      </c>
      <c r="AC44" s="38">
        <f>'KNL GROUP P&amp;L'!AC44+'CCL GROUP P&amp;L'!AC44+'YBHN GROUP P&amp;L'!AC44+'YBN Group P&amp;L'!AC44+'HAB P&amp;L'!AC44+'Moe2 P&amp;L'!AC44</f>
        <v/>
      </c>
      <c r="AD44" s="38">
        <f>'KNL GROUP P&amp;L'!AD44+'CCL GROUP P&amp;L'!AD44+'YBHN GROUP P&amp;L'!AD44+'YBN Group P&amp;L'!AD44+'HAB P&amp;L'!AD44+'Moe2 P&amp;L'!AD44</f>
        <v/>
      </c>
      <c r="AE44" s="38">
        <f>'KNL GROUP P&amp;L'!AE44+'CCL GROUP P&amp;L'!AE44+'YBHN GROUP P&amp;L'!AE44+'YBN Group P&amp;L'!AE44+'HAB P&amp;L'!AE44+'Moe2 P&amp;L'!AE44</f>
        <v/>
      </c>
      <c r="AF44" s="38">
        <f>'KNL GROUP P&amp;L'!AF44+'CCL GROUP P&amp;L'!AF44+'YBHN GROUP P&amp;L'!AF44+'YBN Group P&amp;L'!AF44+'HAB P&amp;L'!AF44+'Moe2 P&amp;L'!AF44</f>
        <v/>
      </c>
      <c r="AG44" s="38">
        <f>'KNL GROUP P&amp;L'!AG44+'CCL GROUP P&amp;L'!AG44+'YBHN GROUP P&amp;L'!AG44+'YBN Group P&amp;L'!AG44+'HAB P&amp;L'!AG44+'Moe2 P&amp;L'!AG44</f>
        <v/>
      </c>
      <c r="AH44" s="38">
        <f>'KNL GROUP P&amp;L'!AH44+'CCL GROUP P&amp;L'!AH44+'YBHN GROUP P&amp;L'!AH44+'YBN Group P&amp;L'!AH44+'HAB P&amp;L'!AH44+'Moe2 P&amp;L'!AH44</f>
        <v/>
      </c>
      <c r="AI44" s="118" t="n">
        <v>0</v>
      </c>
      <c r="AJ44" s="119" t="n">
        <v>0</v>
      </c>
      <c r="AK44" s="119" t="n">
        <v>0</v>
      </c>
      <c r="AL44" s="119" t="n">
        <v>0</v>
      </c>
      <c r="AM44" s="119" t="n">
        <v>0</v>
      </c>
      <c r="AN44" s="118" t="n">
        <v>0</v>
      </c>
      <c r="AO44" s="121">
        <f>SUM(AC44:AH44)+SUM(AI44:AN44)</f>
        <v/>
      </c>
      <c r="AP44" s="122">
        <f>IF(AB44&lt;&gt;0,(AO44-AB44)/ABS(AB44),0)</f>
        <v/>
      </c>
    </row>
    <row r="45">
      <c r="A45" s="34" t="inlineStr">
        <is>
          <t>Marketing</t>
        </is>
      </c>
      <c r="B45" s="35" t="n">
        <v>7231.62</v>
      </c>
      <c r="C45" s="35" t="n">
        <v>7485.74</v>
      </c>
      <c r="D45" s="35" t="n">
        <v>6009.32</v>
      </c>
      <c r="E45" s="35" t="n">
        <v>6562</v>
      </c>
      <c r="F45" s="35" t="n">
        <v>5022.37</v>
      </c>
      <c r="G45" s="35" t="n">
        <v>12641.18</v>
      </c>
      <c r="H45" s="35" t="n">
        <v>5292.8</v>
      </c>
      <c r="I45" s="35" t="n">
        <v>6869.37</v>
      </c>
      <c r="J45" s="35" t="n">
        <v>7028.809999999999</v>
      </c>
      <c r="K45" s="35" t="n">
        <v>3789.18</v>
      </c>
      <c r="L45" s="35" t="n">
        <v>2858.36</v>
      </c>
      <c r="M45" s="35" t="n">
        <v>1836.53</v>
      </c>
      <c r="N45" s="36">
        <f>SUM(B45:M45)</f>
        <v/>
      </c>
      <c r="O45" s="37">
        <f>SUMIF('Group TB '!$R:$R,'GROUP TOTALS MONTHLY P&amp;L'!$A45,'Group TB '!C:C)</f>
        <v/>
      </c>
      <c r="P45" s="37">
        <f>SUMIF('Group TB '!$R:$R,'GROUP TOTALS MONTHLY P&amp;L'!$A45,'Group TB '!D:D)</f>
        <v/>
      </c>
      <c r="Q45" s="37">
        <f>SUMIF('Group TB '!$R:$R,'GROUP TOTALS MONTHLY P&amp;L'!$A45,'Group TB '!E:E)</f>
        <v/>
      </c>
      <c r="R45" s="37">
        <f>SUMIF('Group TB '!$R:$R,'GROUP TOTALS MONTHLY P&amp;L'!$A45,'Group TB '!F:F)</f>
        <v/>
      </c>
      <c r="S45" s="37">
        <f>SUMIF('Group TB '!$R:$R,'GROUP TOTALS MONTHLY P&amp;L'!$A45,'Group TB '!G:G)</f>
        <v/>
      </c>
      <c r="T45" s="37">
        <f>SUMIF('Group TB '!$R:$R,'GROUP TOTALS MONTHLY P&amp;L'!$A45,'Group TB '!H:H)</f>
        <v/>
      </c>
      <c r="U45" s="37">
        <f>SUMIF('Group TB '!$R:$R,'GROUP TOTALS MONTHLY P&amp;L'!$A45,'Group TB '!I:I)</f>
        <v/>
      </c>
      <c r="V45" s="38">
        <f>'KNL GROUP P&amp;L'!V45+'CCL GROUP P&amp;L'!V45+'YBHN GROUP P&amp;L'!V45+'YBN Group P&amp;L'!V45+'HAB P&amp;L'!V45+'Moe2 P&amp;L'!V45</f>
        <v/>
      </c>
      <c r="W45" s="38">
        <f>'KNL GROUP P&amp;L'!W45+'CCL GROUP P&amp;L'!W45+'YBHN GROUP P&amp;L'!W45+'YBN Group P&amp;L'!W45+'HAB P&amp;L'!W45+'Moe2 P&amp;L'!W45</f>
        <v/>
      </c>
      <c r="X45" s="38">
        <f>'KNL GROUP P&amp;L'!X45+'CCL GROUP P&amp;L'!X45+'YBHN GROUP P&amp;L'!X45+'YBN Group P&amp;L'!X45+'HAB P&amp;L'!X45+'Moe2 P&amp;L'!X45</f>
        <v/>
      </c>
      <c r="Y45" s="38">
        <f>'KNL GROUP P&amp;L'!Y45+'CCL GROUP P&amp;L'!Y45+'YBHN GROUP P&amp;L'!Y45+'YBN Group P&amp;L'!Y45+'HAB P&amp;L'!Y45+'Moe2 P&amp;L'!Y45</f>
        <v/>
      </c>
      <c r="Z45" s="38">
        <f>'KNL GROUP P&amp;L'!Z45+'CCL GROUP P&amp;L'!Z45+'YBHN GROUP P&amp;L'!Z45+'YBN Group P&amp;L'!Z45+'HAB P&amp;L'!Z45+'Moe2 P&amp;L'!Z45</f>
        <v/>
      </c>
      <c r="AA45" s="36">
        <f>SUM(O45:U45)</f>
        <v/>
      </c>
      <c r="AB45" s="36">
        <f>SUM(O45:Z45)</f>
        <v/>
      </c>
      <c r="AC45" s="38">
        <f>'KNL GROUP P&amp;L'!AC45+'CCL GROUP P&amp;L'!AC45+'YBHN GROUP P&amp;L'!AC45+'YBN Group P&amp;L'!AC45+'HAB P&amp;L'!AC45+'Moe2 P&amp;L'!AC45</f>
        <v/>
      </c>
      <c r="AD45" s="38">
        <f>'KNL GROUP P&amp;L'!AD45+'CCL GROUP P&amp;L'!AD45+'YBHN GROUP P&amp;L'!AD45+'YBN Group P&amp;L'!AD45+'HAB P&amp;L'!AD45+'Moe2 P&amp;L'!AD45</f>
        <v/>
      </c>
      <c r="AE45" s="38">
        <f>'KNL GROUP P&amp;L'!AE45+'CCL GROUP P&amp;L'!AE45+'YBHN GROUP P&amp;L'!AE45+'YBN Group P&amp;L'!AE45+'HAB P&amp;L'!AE45+'Moe2 P&amp;L'!AE45</f>
        <v/>
      </c>
      <c r="AF45" s="38">
        <f>'KNL GROUP P&amp;L'!AF45+'CCL GROUP P&amp;L'!AF45+'YBHN GROUP P&amp;L'!AF45+'YBN Group P&amp;L'!AF45+'HAB P&amp;L'!AF45+'Moe2 P&amp;L'!AF45</f>
        <v/>
      </c>
      <c r="AG45" s="38">
        <f>'KNL GROUP P&amp;L'!AG45+'CCL GROUP P&amp;L'!AG45+'YBHN GROUP P&amp;L'!AG45+'YBN Group P&amp;L'!AG45+'HAB P&amp;L'!AG45+'Moe2 P&amp;L'!AG45</f>
        <v/>
      </c>
      <c r="AH45" s="38">
        <f>'KNL GROUP P&amp;L'!AH45+'CCL GROUP P&amp;L'!AH45+'YBHN GROUP P&amp;L'!AH45+'YBN Group P&amp;L'!AH45+'HAB P&amp;L'!AH45+'Moe2 P&amp;L'!AH45</f>
        <v/>
      </c>
      <c r="AI45" s="118" t="n">
        <v>0</v>
      </c>
      <c r="AJ45" s="119" t="n">
        <v>0</v>
      </c>
      <c r="AK45" s="119" t="n">
        <v>0</v>
      </c>
      <c r="AL45" s="119" t="n">
        <v>0</v>
      </c>
      <c r="AM45" s="119" t="n">
        <v>0</v>
      </c>
      <c r="AN45" s="118" t="n">
        <v>0</v>
      </c>
      <c r="AO45" s="121">
        <f>SUM(AC45:AH45)+SUM(AI45:AN45)</f>
        <v/>
      </c>
      <c r="AP45" s="122">
        <f>IF(AB45&lt;&gt;0,(AO45-AB45)/ABS(AB45),0)</f>
        <v/>
      </c>
    </row>
    <row r="46" ht="15.75" customHeight="1">
      <c r="A46" s="34" t="inlineStr">
        <is>
          <t>Office Equipment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460.32</v>
      </c>
      <c r="I46" s="35" t="n">
        <v>475.15</v>
      </c>
      <c r="J46" s="35" t="n">
        <v>212.63</v>
      </c>
      <c r="K46" s="35" t="n">
        <v>102.57</v>
      </c>
      <c r="L46" s="35" t="n">
        <v>0</v>
      </c>
      <c r="M46" s="35" t="n">
        <v>55.85</v>
      </c>
      <c r="N46" s="36">
        <f>SUM(B46:M46)</f>
        <v/>
      </c>
      <c r="O46" s="37">
        <f>SUMIF('Group TB '!$R:$R,'GROUP TOTALS MONTHLY P&amp;L'!$A46,'Group TB '!C:C)</f>
        <v/>
      </c>
      <c r="P46" s="37">
        <f>SUMIF('Group TB '!$R:$R,'GROUP TOTALS MONTHLY P&amp;L'!$A46,'Group TB '!D:D)</f>
        <v/>
      </c>
      <c r="Q46" s="37">
        <f>SUMIF('Group TB '!$R:$R,'GROUP TOTALS MONTHLY P&amp;L'!$A46,'Group TB '!E:E)</f>
        <v/>
      </c>
      <c r="R46" s="37">
        <f>SUMIF('Group TB '!$R:$R,'GROUP TOTALS MONTHLY P&amp;L'!$A46,'Group TB '!F:F)</f>
        <v/>
      </c>
      <c r="S46" s="37">
        <f>SUMIF('Group TB '!$R:$R,'GROUP TOTALS MONTHLY P&amp;L'!$A46,'Group TB '!G:G)</f>
        <v/>
      </c>
      <c r="T46" s="37">
        <f>SUMIF('Group TB '!$R:$R,'GROUP TOTALS MONTHLY P&amp;L'!$A46,'Group TB '!H:H)</f>
        <v/>
      </c>
      <c r="U46" s="37">
        <f>SUMIF('Group TB '!$R:$R,'GROUP TOTALS MONTHLY P&amp;L'!$A46,'Group TB '!I:I)</f>
        <v/>
      </c>
      <c r="V46" s="38">
        <f>'KNL GROUP P&amp;L'!V46+'CCL GROUP P&amp;L'!V46+'YBHN GROUP P&amp;L'!V46+'YBN Group P&amp;L'!V46+'HAB P&amp;L'!V46+'Moe2 P&amp;L'!V46</f>
        <v/>
      </c>
      <c r="W46" s="38">
        <f>'KNL GROUP P&amp;L'!W46+'CCL GROUP P&amp;L'!W46+'YBHN GROUP P&amp;L'!W46+'YBN Group P&amp;L'!W46+'HAB P&amp;L'!W46+'Moe2 P&amp;L'!W46</f>
        <v/>
      </c>
      <c r="X46" s="38">
        <f>'KNL GROUP P&amp;L'!X46+'CCL GROUP P&amp;L'!X46+'YBHN GROUP P&amp;L'!X46+'YBN Group P&amp;L'!X46+'HAB P&amp;L'!X46+'Moe2 P&amp;L'!X46</f>
        <v/>
      </c>
      <c r="Y46" s="38">
        <f>'KNL GROUP P&amp;L'!Y46+'CCL GROUP P&amp;L'!Y46+'YBHN GROUP P&amp;L'!Y46+'YBN Group P&amp;L'!Y46+'HAB P&amp;L'!Y46+'Moe2 P&amp;L'!Y46</f>
        <v/>
      </c>
      <c r="Z46" s="38">
        <f>'KNL GROUP P&amp;L'!Z46+'CCL GROUP P&amp;L'!Z46+'YBHN GROUP P&amp;L'!Z46+'YBN Group P&amp;L'!Z46+'HAB P&amp;L'!Z46+'Moe2 P&amp;L'!Z46</f>
        <v/>
      </c>
      <c r="AA46" s="36">
        <f>SUM(O46:U46)</f>
        <v/>
      </c>
      <c r="AB46" s="36">
        <f>SUM(O46:Z46)</f>
        <v/>
      </c>
      <c r="AC46" s="38">
        <f>'KNL GROUP P&amp;L'!AC46+'CCL GROUP P&amp;L'!AC46+'YBHN GROUP P&amp;L'!AC46+'YBN Group P&amp;L'!AC46+'HAB P&amp;L'!AC46+'Moe2 P&amp;L'!AC46</f>
        <v/>
      </c>
      <c r="AD46" s="38">
        <f>'KNL GROUP P&amp;L'!AD46+'CCL GROUP P&amp;L'!AD46+'YBHN GROUP P&amp;L'!AD46+'YBN Group P&amp;L'!AD46+'HAB P&amp;L'!AD46+'Moe2 P&amp;L'!AD46</f>
        <v/>
      </c>
      <c r="AE46" s="38">
        <f>'KNL GROUP P&amp;L'!AE46+'CCL GROUP P&amp;L'!AE46+'YBHN GROUP P&amp;L'!AE46+'YBN Group P&amp;L'!AE46+'HAB P&amp;L'!AE46+'Moe2 P&amp;L'!AE46</f>
        <v/>
      </c>
      <c r="AF46" s="38">
        <f>'KNL GROUP P&amp;L'!AF46+'CCL GROUP P&amp;L'!AF46+'YBHN GROUP P&amp;L'!AF46+'YBN Group P&amp;L'!AF46+'HAB P&amp;L'!AF46+'Moe2 P&amp;L'!AF46</f>
        <v/>
      </c>
      <c r="AG46" s="38">
        <f>'KNL GROUP P&amp;L'!AG46+'CCL GROUP P&amp;L'!AG46+'YBHN GROUP P&amp;L'!AG46+'YBN Group P&amp;L'!AG46+'HAB P&amp;L'!AG46+'Moe2 P&amp;L'!AG46</f>
        <v/>
      </c>
      <c r="AH46" s="38">
        <f>'KNL GROUP P&amp;L'!AH46+'CCL GROUP P&amp;L'!AH46+'YBHN GROUP P&amp;L'!AH46+'YBN Group P&amp;L'!AH46+'HAB P&amp;L'!AH46+'Moe2 P&amp;L'!AH46</f>
        <v/>
      </c>
      <c r="AI46" s="118" t="n">
        <v>0</v>
      </c>
      <c r="AJ46" s="119" t="n">
        <v>0</v>
      </c>
      <c r="AK46" s="119" t="n">
        <v>0</v>
      </c>
      <c r="AL46" s="119" t="n">
        <v>0</v>
      </c>
      <c r="AM46" s="119" t="n">
        <v>0</v>
      </c>
      <c r="AN46" s="118" t="n">
        <v>0</v>
      </c>
      <c r="AO46" s="121">
        <f>SUM(AC46:AH46)+SUM(AI46:AN46)</f>
        <v/>
      </c>
      <c r="AP46" s="122">
        <f>IF(AB46&lt;&gt;0,(AO46-AB46)/ABS(AB46),0)</f>
        <v/>
      </c>
    </row>
    <row r="47" ht="15.75" customHeight="1">
      <c r="A47" s="41" t="inlineStr">
        <is>
          <t>Total Premises &amp; Admin</t>
        </is>
      </c>
      <c r="B47" s="42" t="n">
        <v>104786.72</v>
      </c>
      <c r="C47" s="42" t="n">
        <v>102740.01</v>
      </c>
      <c r="D47" s="42" t="n">
        <v>109444.19</v>
      </c>
      <c r="E47" s="42" t="n">
        <v>113384.44</v>
      </c>
      <c r="F47" s="42" t="n">
        <v>96923.23999999999</v>
      </c>
      <c r="G47" s="42" t="n">
        <v>101096.97</v>
      </c>
      <c r="H47" s="42" t="n">
        <v>91871.87000000002</v>
      </c>
      <c r="I47" s="42" t="n">
        <v>90463.60999999999</v>
      </c>
      <c r="J47" s="42" t="n">
        <v>83945.06</v>
      </c>
      <c r="K47" s="42" t="n">
        <v>90760.58</v>
      </c>
      <c r="L47" s="42" t="n">
        <v>84121.7</v>
      </c>
      <c r="M47" s="42" t="n">
        <v>86490.11</v>
      </c>
      <c r="N47" s="43">
        <f>SUM(B47:M47)</f>
        <v/>
      </c>
      <c r="O47" s="44">
        <f>SUM(O36:O46)</f>
        <v/>
      </c>
      <c r="P47" s="44">
        <f>SUM(P36:P46)</f>
        <v/>
      </c>
      <c r="Q47" s="44">
        <f>SUM(Q36:Q46)</f>
        <v/>
      </c>
      <c r="R47" s="44">
        <f>SUM(R36:R46)</f>
        <v/>
      </c>
      <c r="S47" s="44">
        <f>SUM(S36:S46)</f>
        <v/>
      </c>
      <c r="T47" s="44">
        <f>SUM(T36:T46)</f>
        <v/>
      </c>
      <c r="U47" s="44">
        <f>SUM(U36:U46)</f>
        <v/>
      </c>
      <c r="V47" s="45">
        <f>'KNL GROUP P&amp;L'!V47+'CCL GROUP P&amp;L'!V47+'YBHN GROUP P&amp;L'!V47+'YBN Group P&amp;L'!V47+'HAB P&amp;L'!V47+'Moe2 P&amp;L'!V47</f>
        <v/>
      </c>
      <c r="W47" s="45">
        <f>'KNL GROUP P&amp;L'!W47+'CCL GROUP P&amp;L'!W47+'YBHN GROUP P&amp;L'!W47+'YBN Group P&amp;L'!W47+'HAB P&amp;L'!W47+'Moe2 P&amp;L'!W47</f>
        <v/>
      </c>
      <c r="X47" s="45">
        <f>'KNL GROUP P&amp;L'!X47+'CCL GROUP P&amp;L'!X47+'YBHN GROUP P&amp;L'!X47+'YBN Group P&amp;L'!X47+'HAB P&amp;L'!X47+'Moe2 P&amp;L'!X47</f>
        <v/>
      </c>
      <c r="Y47" s="45">
        <f>'KNL GROUP P&amp;L'!Y47+'CCL GROUP P&amp;L'!Y47+'YBHN GROUP P&amp;L'!Y47+'YBN Group P&amp;L'!Y47+'HAB P&amp;L'!Y47+'Moe2 P&amp;L'!Y47</f>
        <v/>
      </c>
      <c r="Z47" s="45">
        <f>'KNL GROUP P&amp;L'!Z47+'CCL GROUP P&amp;L'!Z47+'YBHN GROUP P&amp;L'!Z47+'YBN Group P&amp;L'!Z47+'HAB P&amp;L'!Z47+'Moe2 P&amp;L'!Z47</f>
        <v/>
      </c>
      <c r="AA47" s="43">
        <f>SUM(O47:U47)</f>
        <v/>
      </c>
      <c r="AB47" s="43">
        <f>SUM(O47:Z47)</f>
        <v/>
      </c>
      <c r="AC47" s="45">
        <f>SUM(AC36:AC46)</f>
        <v/>
      </c>
      <c r="AD47" s="45">
        <f>SUM(AD36:AD46)</f>
        <v/>
      </c>
      <c r="AE47" s="45">
        <f>SUM(AE36:AE46)</f>
        <v/>
      </c>
      <c r="AF47" s="45">
        <f>SUM(AF36:AF46)</f>
        <v/>
      </c>
      <c r="AG47" s="45">
        <f>SUM(AG36:AG46)</f>
        <v/>
      </c>
      <c r="AH47" s="45">
        <f>SUM(AH36:AH46)</f>
        <v/>
      </c>
      <c r="AI47" s="123">
        <f>SUM(AI36:AI46)</f>
        <v/>
      </c>
      <c r="AJ47" s="124">
        <f>SUM(AJ36:AJ46)</f>
        <v/>
      </c>
      <c r="AK47" s="124">
        <f>SUM(AK36:AK46)</f>
        <v/>
      </c>
      <c r="AL47" s="124">
        <f>SUM(AL36:AL46)</f>
        <v/>
      </c>
      <c r="AM47" s="124">
        <f>SUM(AM36:AM46)</f>
        <v/>
      </c>
      <c r="AN47" s="123">
        <f>SUM(AN36:AN46)</f>
        <v/>
      </c>
      <c r="AO47" s="125">
        <f>SUM(AC47:AH47)+SUM(AI47:AN47)</f>
        <v/>
      </c>
      <c r="AP47" s="126">
        <f>IF(AB47&lt;&gt;0,(AO47-AB47)/ABS(AB47),0)</f>
        <v/>
      </c>
    </row>
    <row r="48" ht="15.75" customHeight="1">
      <c r="A48" s="96" t="inlineStr">
        <is>
          <t>Total Direct Costs</t>
        </is>
      </c>
      <c r="B48" s="97" t="n">
        <v>593308.08</v>
      </c>
      <c r="C48" s="97" t="n">
        <v>601457.04</v>
      </c>
      <c r="D48" s="97" t="n">
        <v>595179.59</v>
      </c>
      <c r="E48" s="97" t="n">
        <v>657683.8300000001</v>
      </c>
      <c r="F48" s="97" t="n">
        <v>657881.76</v>
      </c>
      <c r="G48" s="97" t="n">
        <v>641450.24</v>
      </c>
      <c r="H48" s="97" t="n">
        <v>670848.8300000001</v>
      </c>
      <c r="I48" s="97" t="n">
        <v>623265.5700000001</v>
      </c>
      <c r="J48" s="97" t="n">
        <v>643907.0899999999</v>
      </c>
      <c r="K48" s="97" t="n">
        <v>658803.66</v>
      </c>
      <c r="L48" s="97" t="n">
        <v>623280.2899999999</v>
      </c>
      <c r="M48" s="97" t="n">
        <v>631531.24</v>
      </c>
      <c r="N48" s="43">
        <f>SUM(B48:M48)</f>
        <v/>
      </c>
      <c r="O48" s="98">
        <f>O25+O34+O47</f>
        <v/>
      </c>
      <c r="P48" s="98">
        <f>P25+P34+P47</f>
        <v/>
      </c>
      <c r="Q48" s="98">
        <f>Q25+Q34+Q47</f>
        <v/>
      </c>
      <c r="R48" s="98">
        <f>R25+R34+R47</f>
        <v/>
      </c>
      <c r="S48" s="98">
        <f>S25+S34+S47</f>
        <v/>
      </c>
      <c r="T48" s="98">
        <f>T25+T34+T47</f>
        <v/>
      </c>
      <c r="U48" s="98">
        <f>U25+U34+U47</f>
        <v/>
      </c>
      <c r="V48" s="99">
        <f>V25+V34+V47</f>
        <v/>
      </c>
      <c r="W48" s="99">
        <f>W25+W34+W47</f>
        <v/>
      </c>
      <c r="X48" s="99">
        <f>X25+X34+X47</f>
        <v/>
      </c>
      <c r="Y48" s="99">
        <f>Y25+Y34+Y47</f>
        <v/>
      </c>
      <c r="Z48" s="99">
        <f>Z25+Z34+Z47</f>
        <v/>
      </c>
      <c r="AA48" s="43">
        <f>SUM(O48:U48)</f>
        <v/>
      </c>
      <c r="AB48" s="43">
        <f>AB25+AB34+AB47</f>
        <v/>
      </c>
      <c r="AC48" s="99">
        <f>AC25+AC34+AC47</f>
        <v/>
      </c>
      <c r="AD48" s="99">
        <f>AD25+AD34+AD47</f>
        <v/>
      </c>
      <c r="AE48" s="99">
        <f>AE25+AE34+AE47</f>
        <v/>
      </c>
      <c r="AF48" s="99">
        <f>AF25+AF34+AF47</f>
        <v/>
      </c>
      <c r="AG48" s="99">
        <f>AG25+AG34+AG47</f>
        <v/>
      </c>
      <c r="AH48" s="99">
        <f>AH25+AH34+AH47</f>
        <v/>
      </c>
      <c r="AI48" s="138">
        <f>AI25+AI34+AI47</f>
        <v/>
      </c>
      <c r="AJ48" s="155">
        <f>AJ25+AJ34+AJ47</f>
        <v/>
      </c>
      <c r="AK48" s="155">
        <f>AK25+AK34+AK47</f>
        <v/>
      </c>
      <c r="AL48" s="155">
        <f>AL25+AL34+AL47</f>
        <v/>
      </c>
      <c r="AM48" s="155">
        <f>AM25+AM34+AM47</f>
        <v/>
      </c>
      <c r="AN48" s="138">
        <f>AN25+AN34+AN47</f>
        <v/>
      </c>
      <c r="AO48" s="125">
        <f>SUM(AC48:AH48)+SUM(AI48:AN48)</f>
        <v/>
      </c>
      <c r="AP48" s="126">
        <f>IF(AB48&lt;&gt;0,(AO48-AB48)/ABS(AB48),0)</f>
        <v/>
      </c>
    </row>
    <row r="49">
      <c r="A49" s="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36" t="n"/>
      <c r="O49" s="8" t="n"/>
      <c r="P49" s="8" t="n"/>
      <c r="Q49" s="8" t="n"/>
      <c r="R49" s="8" t="n"/>
      <c r="S49" s="8" t="n"/>
      <c r="T49" s="8" t="n"/>
      <c r="U49" s="8" t="n"/>
      <c r="V49" s="20" t="n"/>
      <c r="W49" s="20" t="n"/>
      <c r="X49" s="20" t="n"/>
      <c r="Y49" s="20" t="n"/>
      <c r="Z49" s="20" t="n"/>
      <c r="AA49" s="39">
        <f>SUM(O49:U49)</f>
        <v/>
      </c>
      <c r="AB49" s="100" t="n"/>
      <c r="AC49" s="20">
        <f>'KNL GROUP P&amp;L'!AC49+'CCL GROUP P&amp;L'!AC49+'YBHN GROUP P&amp;L'!AC49+'YBN Group P&amp;L'!AC49+'HAB P&amp;L'!AC49+'Moe2 P&amp;L'!AC49</f>
        <v/>
      </c>
      <c r="AD49" s="20">
        <f>'KNL GROUP P&amp;L'!AD49+'CCL GROUP P&amp;L'!AD49+'YBHN GROUP P&amp;L'!AD49+'YBN Group P&amp;L'!AD49+'HAB P&amp;L'!AD49+'Moe2 P&amp;L'!AD49</f>
        <v/>
      </c>
      <c r="AE49" s="20">
        <f>'KNL GROUP P&amp;L'!AE49+'CCL GROUP P&amp;L'!AE49+'YBHN GROUP P&amp;L'!AE49+'YBN Group P&amp;L'!AE49+'HAB P&amp;L'!AE49+'Moe2 P&amp;L'!AE49</f>
        <v/>
      </c>
      <c r="AF49" s="20">
        <f>'KNL GROUP P&amp;L'!AF49+'CCL GROUP P&amp;L'!AF49+'YBHN GROUP P&amp;L'!AF49+'YBN Group P&amp;L'!AF49+'HAB P&amp;L'!AF49+'Moe2 P&amp;L'!AF49</f>
        <v/>
      </c>
      <c r="AG49" s="20">
        <f>'KNL GROUP P&amp;L'!AG49+'CCL GROUP P&amp;L'!AG49+'YBHN GROUP P&amp;L'!AG49+'YBN Group P&amp;L'!AG49+'HAB P&amp;L'!AG49+'Moe2 P&amp;L'!AG49</f>
        <v/>
      </c>
      <c r="AH49" s="20">
        <f>'KNL GROUP P&amp;L'!AH49+'CCL GROUP P&amp;L'!AH49+'YBHN GROUP P&amp;L'!AH49+'YBN Group P&amp;L'!AH49+'HAB P&amp;L'!AH49+'Moe2 P&amp;L'!AH49</f>
        <v/>
      </c>
      <c r="AI49" s="8" t="n"/>
      <c r="AJ49" s="36" t="n"/>
      <c r="AK49" s="36" t="n"/>
      <c r="AL49" s="36" t="n"/>
      <c r="AM49" s="36" t="n"/>
      <c r="AN49" s="40" t="n"/>
      <c r="AO49" s="92" t="n"/>
      <c r="AP49" s="92" t="n"/>
    </row>
    <row r="50">
      <c r="A50" s="54" t="inlineStr">
        <is>
          <t>CONTRIBUTION</t>
        </is>
      </c>
      <c r="B50" s="55" t="n">
        <v>269219.9400000001</v>
      </c>
      <c r="C50" s="55" t="n">
        <v>301867</v>
      </c>
      <c r="D50" s="55" t="n">
        <v>478366.39</v>
      </c>
      <c r="E50" s="55" t="n">
        <v>308137.9299999997</v>
      </c>
      <c r="F50" s="55" t="n">
        <v>198014.5800000001</v>
      </c>
      <c r="G50" s="55" t="n">
        <v>340460.8300000001</v>
      </c>
      <c r="H50" s="55" t="n">
        <v>618330.7199999997</v>
      </c>
      <c r="I50" s="55" t="n">
        <v>141509.5499999999</v>
      </c>
      <c r="J50" s="55" t="n">
        <v>119024.2300000001</v>
      </c>
      <c r="K50" s="55" t="n">
        <v>137562.37</v>
      </c>
      <c r="L50" s="55" t="n">
        <v>324270.7100000001</v>
      </c>
      <c r="M50" s="55" t="n">
        <v>536706.72</v>
      </c>
      <c r="N50" s="55">
        <f>SUM(B50:M50)</f>
        <v/>
      </c>
      <c r="O50" s="55">
        <f>O11-O48</f>
        <v/>
      </c>
      <c r="P50" s="55">
        <f>P11-P48</f>
        <v/>
      </c>
      <c r="Q50" s="55">
        <f>Q11-Q48</f>
        <v/>
      </c>
      <c r="R50" s="55">
        <f>R11-R48</f>
        <v/>
      </c>
      <c r="S50" s="55">
        <f>S11-S48</f>
        <v/>
      </c>
      <c r="T50" s="55">
        <f>T11-T48</f>
        <v/>
      </c>
      <c r="U50" s="55">
        <f>U11-U48</f>
        <v/>
      </c>
      <c r="V50" s="55">
        <f>V11-V48</f>
        <v/>
      </c>
      <c r="W50" s="55">
        <f>W11-W48</f>
        <v/>
      </c>
      <c r="X50" s="55">
        <f>X11-X48</f>
        <v/>
      </c>
      <c r="Y50" s="55">
        <f>Y11-Y48</f>
        <v/>
      </c>
      <c r="Z50" s="55">
        <f>Z11-Z48</f>
        <v/>
      </c>
      <c r="AA50" s="55">
        <f>AA11-AA48</f>
        <v/>
      </c>
      <c r="AB50" s="101">
        <f>AB11-AB48</f>
        <v/>
      </c>
      <c r="AC50" s="55">
        <f>AC11-AC48</f>
        <v/>
      </c>
      <c r="AD50" s="55">
        <f>AD11-AD48</f>
        <v/>
      </c>
      <c r="AE50" s="55">
        <f>AE11-AE48</f>
        <v/>
      </c>
      <c r="AF50" s="55">
        <f>AF11-AF48</f>
        <v/>
      </c>
      <c r="AG50" s="55">
        <f>AG11-AG48</f>
        <v/>
      </c>
      <c r="AH50" s="55">
        <f>AH11-AH48</f>
        <v/>
      </c>
      <c r="AI50" s="140">
        <f>AI11-AI48</f>
        <v/>
      </c>
      <c r="AJ50" s="156">
        <f>AJ11-AJ48</f>
        <v/>
      </c>
      <c r="AK50" s="156">
        <f>AK11-AK48</f>
        <v/>
      </c>
      <c r="AL50" s="156">
        <f>AL11-AL48</f>
        <v/>
      </c>
      <c r="AM50" s="156">
        <f>AM11-AM48</f>
        <v/>
      </c>
      <c r="AN50" s="140">
        <f>AN11-AN48</f>
        <v/>
      </c>
      <c r="AO50" s="157">
        <f>SUM(AC50:AH50)+SUM(AI50:AN50)</f>
        <v/>
      </c>
      <c r="AP50" s="122">
        <f>IF(AB50&lt;&gt;0,(AO50-AB50)/ABS(AB50),0)</f>
        <v/>
      </c>
    </row>
    <row r="51">
      <c r="A51" s="22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36" t="n"/>
      <c r="O51" s="8" t="n"/>
      <c r="P51" s="8" t="n"/>
      <c r="Q51" s="8" t="n"/>
      <c r="R51" s="8" t="n"/>
      <c r="S51" s="8" t="n"/>
      <c r="T51" s="8" t="n"/>
      <c r="U51" s="8" t="n"/>
      <c r="V51" s="20" t="n"/>
      <c r="W51" s="20" t="n"/>
      <c r="X51" s="20" t="n"/>
      <c r="Y51" s="20" t="n"/>
      <c r="Z51" s="20" t="n"/>
      <c r="AA51" s="39">
        <f>SUM(O51:U51)</f>
        <v/>
      </c>
      <c r="AB51" s="36" t="n"/>
      <c r="AC51" s="20">
        <f>'KNL GROUP P&amp;L'!AC51+'CCL GROUP P&amp;L'!AC51+'YBHN GROUP P&amp;L'!AC51+'YBN Group P&amp;L'!AC51+'HAB P&amp;L'!AC51+'Moe2 P&amp;L'!AC51</f>
        <v/>
      </c>
      <c r="AD51" s="20">
        <f>'KNL GROUP P&amp;L'!AD51+'CCL GROUP P&amp;L'!AD51+'YBHN GROUP P&amp;L'!AD51+'YBN Group P&amp;L'!AD51+'HAB P&amp;L'!AD51+'Moe2 P&amp;L'!AD51</f>
        <v/>
      </c>
      <c r="AE51" s="20">
        <f>'KNL GROUP P&amp;L'!AE51+'CCL GROUP P&amp;L'!AE51+'YBHN GROUP P&amp;L'!AE51+'YBN Group P&amp;L'!AE51+'HAB P&amp;L'!AE51+'Moe2 P&amp;L'!AE51</f>
        <v/>
      </c>
      <c r="AF51" s="20">
        <f>'KNL GROUP P&amp;L'!AF51+'CCL GROUP P&amp;L'!AF51+'YBHN GROUP P&amp;L'!AF51+'YBN Group P&amp;L'!AF51+'HAB P&amp;L'!AF51+'Moe2 P&amp;L'!AF51</f>
        <v/>
      </c>
      <c r="AG51" s="20">
        <f>'KNL GROUP P&amp;L'!AG51+'CCL GROUP P&amp;L'!AG51+'YBHN GROUP P&amp;L'!AG51+'YBN Group P&amp;L'!AG51+'HAB P&amp;L'!AG51+'Moe2 P&amp;L'!AG51</f>
        <v/>
      </c>
      <c r="AH51" s="20">
        <f>'KNL GROUP P&amp;L'!AH51+'CCL GROUP P&amp;L'!AH51+'YBHN GROUP P&amp;L'!AH51+'YBN Group P&amp;L'!AH51+'HAB P&amp;L'!AH51+'Moe2 P&amp;L'!AH51</f>
        <v/>
      </c>
      <c r="AI51" s="8" t="n"/>
      <c r="AJ51" s="36" t="n"/>
      <c r="AK51" s="36" t="n"/>
      <c r="AL51" s="36" t="n"/>
      <c r="AM51" s="36" t="n"/>
      <c r="AN51" s="40" t="n"/>
      <c r="AO51" s="92" t="n"/>
      <c r="AP51" s="92" t="n"/>
    </row>
    <row r="52">
      <c r="A52" s="28" t="inlineStr">
        <is>
          <t>OVERHEADS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36" t="n"/>
      <c r="O52" s="8" t="n"/>
      <c r="P52" s="8" t="n"/>
      <c r="Q52" s="8" t="n"/>
      <c r="R52" s="8" t="n"/>
      <c r="S52" s="8" t="n"/>
      <c r="T52" s="8" t="n"/>
      <c r="U52" s="8" t="n"/>
      <c r="V52" s="20" t="n"/>
      <c r="W52" s="20" t="n"/>
      <c r="X52" s="20" t="n"/>
      <c r="Y52" s="20" t="n"/>
      <c r="Z52" s="20" t="n"/>
      <c r="AA52" s="39">
        <f>SUM(O52:U52)</f>
        <v/>
      </c>
      <c r="AB52" s="36" t="n"/>
      <c r="AC52" s="20">
        <f>'KNL GROUP P&amp;L'!AC52+'CCL GROUP P&amp;L'!AC52+'YBHN GROUP P&amp;L'!AC52+'YBN Group P&amp;L'!AC52+'HAB P&amp;L'!AC52+'Moe2 P&amp;L'!AC52</f>
        <v/>
      </c>
      <c r="AD52" s="20">
        <f>'KNL GROUP P&amp;L'!AD52+'CCL GROUP P&amp;L'!AD52+'YBHN GROUP P&amp;L'!AD52+'YBN Group P&amp;L'!AD52+'HAB P&amp;L'!AD52+'Moe2 P&amp;L'!AD52</f>
        <v/>
      </c>
      <c r="AE52" s="20">
        <f>'KNL GROUP P&amp;L'!AE52+'CCL GROUP P&amp;L'!AE52+'YBHN GROUP P&amp;L'!AE52+'YBN Group P&amp;L'!AE52+'HAB P&amp;L'!AE52+'Moe2 P&amp;L'!AE52</f>
        <v/>
      </c>
      <c r="AF52" s="20">
        <f>'KNL GROUP P&amp;L'!AF52+'CCL GROUP P&amp;L'!AF52+'YBHN GROUP P&amp;L'!AF52+'YBN Group P&amp;L'!AF52+'HAB P&amp;L'!AF52+'Moe2 P&amp;L'!AF52</f>
        <v/>
      </c>
      <c r="AG52" s="20">
        <f>'KNL GROUP P&amp;L'!AG52+'CCL GROUP P&amp;L'!AG52+'YBHN GROUP P&amp;L'!AG52+'YBN Group P&amp;L'!AG52+'HAB P&amp;L'!AG52+'Moe2 P&amp;L'!AG52</f>
        <v/>
      </c>
      <c r="AH52" s="20">
        <f>'KNL GROUP P&amp;L'!AH52+'CCL GROUP P&amp;L'!AH52+'YBHN GROUP P&amp;L'!AH52+'YBN Group P&amp;L'!AH52+'HAB P&amp;L'!AH52+'Moe2 P&amp;L'!AH52</f>
        <v/>
      </c>
      <c r="AI52" s="134" t="n">
        <v>0</v>
      </c>
      <c r="AJ52" s="135" t="n">
        <v>0</v>
      </c>
      <c r="AK52" s="135" t="n">
        <v>0</v>
      </c>
      <c r="AL52" s="135" t="n">
        <v>0</v>
      </c>
      <c r="AM52" s="135" t="n">
        <v>0</v>
      </c>
      <c r="AN52" s="134" t="n">
        <v>0</v>
      </c>
      <c r="AO52" s="121">
        <f>SUM(AC52:AH52)+SUM(AI52:AN52)</f>
        <v/>
      </c>
      <c r="AP52" s="122">
        <f>IF(AB52&lt;&gt;0,(AO52-AB52)/ABS(AB52),0)</f>
        <v/>
      </c>
    </row>
    <row r="53">
      <c r="A53" s="34" t="inlineStr">
        <is>
          <t>HO Salaries</t>
        </is>
      </c>
      <c r="B53" s="35" t="n">
        <v>82089.10000000001</v>
      </c>
      <c r="C53" s="35" t="n">
        <v>83145.28</v>
      </c>
      <c r="D53" s="35" t="n">
        <v>82791.22</v>
      </c>
      <c r="E53" s="35" t="n">
        <v>134235.96</v>
      </c>
      <c r="F53" s="35" t="n">
        <v>81426.45999999999</v>
      </c>
      <c r="G53" s="35" t="n">
        <v>97910.46000000001</v>
      </c>
      <c r="H53" s="35" t="n">
        <v>97978.69</v>
      </c>
      <c r="I53" s="35" t="n">
        <v>112374.73</v>
      </c>
      <c r="J53" s="35" t="n">
        <v>137394</v>
      </c>
      <c r="K53" s="35" t="n">
        <v>102166.94</v>
      </c>
      <c r="L53" s="35" t="n">
        <v>108279</v>
      </c>
      <c r="M53" s="35" t="n">
        <v>384692.96</v>
      </c>
      <c r="N53" s="36">
        <f>SUM(B53:M53)</f>
        <v/>
      </c>
      <c r="O53" s="37">
        <f>SUMIF('Group TB '!$R:$R,'GROUP TOTALS MONTHLY P&amp;L'!$A53,'Group TB '!C:C)</f>
        <v/>
      </c>
      <c r="P53" s="37">
        <f>SUMIF('Group TB '!$R:$R,'GROUP TOTALS MONTHLY P&amp;L'!$A53,'Group TB '!D:D)</f>
        <v/>
      </c>
      <c r="Q53" s="37">
        <f>SUMIF('Group TB '!$R:$R,'GROUP TOTALS MONTHLY P&amp;L'!$A53,'Group TB '!E:E)</f>
        <v/>
      </c>
      <c r="R53" s="37">
        <f>SUMIF('Group TB '!$R:$R,'GROUP TOTALS MONTHLY P&amp;L'!$A53,'Group TB '!F:F)</f>
        <v/>
      </c>
      <c r="S53" s="37">
        <f>SUMIF('Group TB '!$R:$R,'GROUP TOTALS MONTHLY P&amp;L'!$A53,'Group TB '!G:G)</f>
        <v/>
      </c>
      <c r="T53" s="37">
        <f>SUMIF('Group TB '!$R:$R,'GROUP TOTALS MONTHLY P&amp;L'!$A53,'Group TB '!H:H)</f>
        <v/>
      </c>
      <c r="U53" s="37">
        <f>SUMIF('Group TB '!$R:$R,'GROUP TOTALS MONTHLY P&amp;L'!$A53,'Group TB '!I:I)</f>
        <v/>
      </c>
      <c r="V53" s="38">
        <f>'KNL GROUP P&amp;L'!V53+'CCL GROUP P&amp;L'!V53+'YBHN GROUP P&amp;L'!V53+'YBN Group P&amp;L'!V53+'HAB P&amp;L'!V53+'Moe2 P&amp;L'!V53</f>
        <v/>
      </c>
      <c r="W53" s="38">
        <f>'KNL GROUP P&amp;L'!W53+'CCL GROUP P&amp;L'!W53+'YBHN GROUP P&amp;L'!W53+'YBN Group P&amp;L'!W53+'HAB P&amp;L'!W53+'Moe2 P&amp;L'!W53</f>
        <v/>
      </c>
      <c r="X53" s="38">
        <f>'KNL GROUP P&amp;L'!X53+'CCL GROUP P&amp;L'!X53+'YBHN GROUP P&amp;L'!X53+'YBN Group P&amp;L'!X53+'HAB P&amp;L'!X53+'Moe2 P&amp;L'!X53</f>
        <v/>
      </c>
      <c r="Y53" s="38">
        <f>'KNL GROUP P&amp;L'!Y53+'CCL GROUP P&amp;L'!Y53+'YBHN GROUP P&amp;L'!Y53+'YBN Group P&amp;L'!Y53+'HAB P&amp;L'!Y53+'Moe2 P&amp;L'!Y53</f>
        <v/>
      </c>
      <c r="Z53" s="103">
        <f>'KNL GROUP P&amp;L'!Z53+'CCL GROUP P&amp;L'!Z53+'YBHN GROUP P&amp;L'!Z53+'YBN Group P&amp;L'!Z53+'HAB P&amp;L'!Z53+'Moe2 P&amp;L'!Z53</f>
        <v/>
      </c>
      <c r="AA53" s="36">
        <f>SUM(O53:U53)</f>
        <v/>
      </c>
      <c r="AB53" s="36">
        <f>SUM(O53:Z53)</f>
        <v/>
      </c>
      <c r="AC53" s="38">
        <f>'KNL GROUP P&amp;L'!AC53+'CCL GROUP P&amp;L'!AC53+'YBHN GROUP P&amp;L'!AC53+'YBN Group P&amp;L'!AC53+'HAB P&amp;L'!AC53+'Moe2 P&amp;L'!AC53</f>
        <v/>
      </c>
      <c r="AD53" s="38">
        <f>'KNL GROUP P&amp;L'!AD53+'CCL GROUP P&amp;L'!AD53+'YBHN GROUP P&amp;L'!AD53+'YBN Group P&amp;L'!AD53+'HAB P&amp;L'!AD53+'Moe2 P&amp;L'!AD53</f>
        <v/>
      </c>
      <c r="AE53" s="38">
        <f>'KNL GROUP P&amp;L'!AE53+'CCL GROUP P&amp;L'!AE53+'YBHN GROUP P&amp;L'!AE53+'YBN Group P&amp;L'!AE53+'HAB P&amp;L'!AE53+'Moe2 P&amp;L'!AE53</f>
        <v/>
      </c>
      <c r="AF53" s="38">
        <f>'KNL GROUP P&amp;L'!AF53+'CCL GROUP P&amp;L'!AF53+'YBHN GROUP P&amp;L'!AF53+'YBN Group P&amp;L'!AF53+'HAB P&amp;L'!AF53+'Moe2 P&amp;L'!AF53</f>
        <v/>
      </c>
      <c r="AG53" s="38">
        <f>'KNL GROUP P&amp;L'!AG53+'CCL GROUP P&amp;L'!AG53+'YBHN GROUP P&amp;L'!AG53+'YBN Group P&amp;L'!AG53+'HAB P&amp;L'!AG53+'Moe2 P&amp;L'!AG53</f>
        <v/>
      </c>
      <c r="AH53" s="38">
        <f>'KNL GROUP P&amp;L'!AH53+'CCL GROUP P&amp;L'!AH53+'YBHN GROUP P&amp;L'!AH53+'YBN Group P&amp;L'!AH53+'HAB P&amp;L'!AH53+'Moe2 P&amp;L'!AH53</f>
        <v/>
      </c>
      <c r="AI53" s="118" t="n">
        <v>0</v>
      </c>
      <c r="AJ53" s="119" t="n">
        <v>0</v>
      </c>
      <c r="AK53" s="119" t="n">
        <v>0</v>
      </c>
      <c r="AL53" s="119" t="n">
        <v>0</v>
      </c>
      <c r="AM53" s="119" t="n">
        <v>0</v>
      </c>
      <c r="AN53" s="118" t="n">
        <v>0</v>
      </c>
      <c r="AO53" s="121">
        <f>SUM(AC53:AH53)+SUM(AI53:AN53)</f>
        <v/>
      </c>
      <c r="AP53" s="122">
        <f>IF(AB53&lt;&gt;0,(AO53-AB53)/ABS(AB53),0)</f>
        <v/>
      </c>
    </row>
    <row r="54">
      <c r="A54" s="34" t="inlineStr">
        <is>
          <t>HO NI</t>
        </is>
      </c>
      <c r="B54" s="35" t="n">
        <v>9992.110000000001</v>
      </c>
      <c r="C54" s="35" t="n">
        <v>11326.84</v>
      </c>
      <c r="D54" s="35" t="n">
        <v>11325.06</v>
      </c>
      <c r="E54" s="35" t="n">
        <v>20699.56</v>
      </c>
      <c r="F54" s="35" t="n">
        <v>12797.69</v>
      </c>
      <c r="G54" s="35" t="n">
        <v>15261.34</v>
      </c>
      <c r="H54" s="35" t="n">
        <v>15170.04</v>
      </c>
      <c r="I54" s="35" t="n">
        <v>17278.08</v>
      </c>
      <c r="J54" s="35" t="n">
        <v>15614.88</v>
      </c>
      <c r="K54" s="35" t="n">
        <v>14827.88</v>
      </c>
      <c r="L54" s="35" t="n">
        <v>15458.86</v>
      </c>
      <c r="M54" s="35" t="n">
        <v>57020.84</v>
      </c>
      <c r="N54" s="36">
        <f>SUM(B54:M54)</f>
        <v/>
      </c>
      <c r="O54" s="37">
        <f>SUMIF('Group TB '!$R:$R,'GROUP TOTALS MONTHLY P&amp;L'!$A54,'Group TB '!C:C)</f>
        <v/>
      </c>
      <c r="P54" s="37">
        <f>SUMIF('Group TB '!$R:$R,'GROUP TOTALS MONTHLY P&amp;L'!$A54,'Group TB '!D:D)</f>
        <v/>
      </c>
      <c r="Q54" s="37">
        <f>SUMIF('Group TB '!$R:$R,'GROUP TOTALS MONTHLY P&amp;L'!$A54,'Group TB '!E:E)</f>
        <v/>
      </c>
      <c r="R54" s="37">
        <f>SUMIF('Group TB '!$R:$R,'GROUP TOTALS MONTHLY P&amp;L'!$A54,'Group TB '!F:F)</f>
        <v/>
      </c>
      <c r="S54" s="37">
        <f>SUMIF('Group TB '!$R:$R,'GROUP TOTALS MONTHLY P&amp;L'!$A54,'Group TB '!G:G)</f>
        <v/>
      </c>
      <c r="T54" s="37">
        <f>SUMIF('Group TB '!$R:$R,'GROUP TOTALS MONTHLY P&amp;L'!$A54,'Group TB '!H:H)</f>
        <v/>
      </c>
      <c r="U54" s="37">
        <f>SUMIF('Group TB '!$R:$R,'GROUP TOTALS MONTHLY P&amp;L'!$A54,'Group TB '!I:I)</f>
        <v/>
      </c>
      <c r="V54" s="38">
        <f>'KNL GROUP P&amp;L'!V54+'CCL GROUP P&amp;L'!V54+'YBHN GROUP P&amp;L'!V54+'YBN Group P&amp;L'!V54+'HAB P&amp;L'!V54+'Moe2 P&amp;L'!V54</f>
        <v/>
      </c>
      <c r="W54" s="38">
        <f>'KNL GROUP P&amp;L'!W54+'CCL GROUP P&amp;L'!W54+'YBHN GROUP P&amp;L'!W54+'YBN Group P&amp;L'!W54+'HAB P&amp;L'!W54+'Moe2 P&amp;L'!W54</f>
        <v/>
      </c>
      <c r="X54" s="38">
        <f>'KNL GROUP P&amp;L'!X54+'CCL GROUP P&amp;L'!X54+'YBHN GROUP P&amp;L'!X54+'YBN Group P&amp;L'!X54+'HAB P&amp;L'!X54+'Moe2 P&amp;L'!X54</f>
        <v/>
      </c>
      <c r="Y54" s="38">
        <f>'KNL GROUP P&amp;L'!Y54+'CCL GROUP P&amp;L'!Y54+'YBHN GROUP P&amp;L'!Y54+'YBN Group P&amp;L'!Y54+'HAB P&amp;L'!Y54+'Moe2 P&amp;L'!Y54</f>
        <v/>
      </c>
      <c r="Z54" s="38">
        <f>'KNL GROUP P&amp;L'!Z54+'CCL GROUP P&amp;L'!Z54+'YBHN GROUP P&amp;L'!Z54+'YBN Group P&amp;L'!Z54+'HAB P&amp;L'!Z54+'Moe2 P&amp;L'!Z54</f>
        <v/>
      </c>
      <c r="AA54" s="36">
        <f>SUM(O54:U54)</f>
        <v/>
      </c>
      <c r="AB54" s="36">
        <f>SUM(O54:Z54)</f>
        <v/>
      </c>
      <c r="AC54" s="38">
        <f>'KNL GROUP P&amp;L'!AC54+'CCL GROUP P&amp;L'!AC54+'YBHN GROUP P&amp;L'!AC54+'YBN Group P&amp;L'!AC54+'HAB P&amp;L'!AC54+'Moe2 P&amp;L'!AC54</f>
        <v/>
      </c>
      <c r="AD54" s="38">
        <f>'KNL GROUP P&amp;L'!AD54+'CCL GROUP P&amp;L'!AD54+'YBHN GROUP P&amp;L'!AD54+'YBN Group P&amp;L'!AD54+'HAB P&amp;L'!AD54+'Moe2 P&amp;L'!AD54</f>
        <v/>
      </c>
      <c r="AE54" s="38">
        <f>'KNL GROUP P&amp;L'!AE54+'CCL GROUP P&amp;L'!AE54+'YBHN GROUP P&amp;L'!AE54+'YBN Group P&amp;L'!AE54+'HAB P&amp;L'!AE54+'Moe2 P&amp;L'!AE54</f>
        <v/>
      </c>
      <c r="AF54" s="38">
        <f>'KNL GROUP P&amp;L'!AF54+'CCL GROUP P&amp;L'!AF54+'YBHN GROUP P&amp;L'!AF54+'YBN Group P&amp;L'!AF54+'HAB P&amp;L'!AF54+'Moe2 P&amp;L'!AF54</f>
        <v/>
      </c>
      <c r="AG54" s="38">
        <f>'KNL GROUP P&amp;L'!AG54+'CCL GROUP P&amp;L'!AG54+'YBHN GROUP P&amp;L'!AG54+'YBN Group P&amp;L'!AG54+'HAB P&amp;L'!AG54+'Moe2 P&amp;L'!AG54</f>
        <v/>
      </c>
      <c r="AH54" s="38">
        <f>'KNL GROUP P&amp;L'!AH54+'CCL GROUP P&amp;L'!AH54+'YBHN GROUP P&amp;L'!AH54+'YBN Group P&amp;L'!AH54+'HAB P&amp;L'!AH54+'Moe2 P&amp;L'!AH54</f>
        <v/>
      </c>
      <c r="AI54" s="118" t="n">
        <v>0</v>
      </c>
      <c r="AJ54" s="119" t="n">
        <v>0</v>
      </c>
      <c r="AK54" s="119" t="n">
        <v>0</v>
      </c>
      <c r="AL54" s="119" t="n">
        <v>0</v>
      </c>
      <c r="AM54" s="119" t="n">
        <v>0</v>
      </c>
      <c r="AN54" s="118" t="n">
        <v>0</v>
      </c>
      <c r="AO54" s="121">
        <f>SUM(AC54:AH54)+SUM(AI54:AN54)</f>
        <v/>
      </c>
      <c r="AP54" s="122">
        <f>IF(AB54&lt;&gt;0,(AO54-AB54)/ABS(AB54),0)</f>
        <v/>
      </c>
    </row>
    <row r="55">
      <c r="A55" s="34" t="inlineStr">
        <is>
          <t>HO Health Care</t>
        </is>
      </c>
      <c r="B55" s="35" t="n">
        <v>697.83</v>
      </c>
      <c r="C55" s="35" t="n">
        <v>754.1500000000001</v>
      </c>
      <c r="D55" s="35" t="n">
        <v>754.1500000000001</v>
      </c>
      <c r="E55" s="35" t="n">
        <v>754.1500000000001</v>
      </c>
      <c r="F55" s="35" t="n">
        <v>754.1500000000001</v>
      </c>
      <c r="G55" s="35" t="n">
        <v>645.13</v>
      </c>
      <c r="H55" s="35" t="n">
        <v>711.13</v>
      </c>
      <c r="I55" s="35" t="n">
        <v>711.13</v>
      </c>
      <c r="J55" s="35" t="n">
        <v>711.13</v>
      </c>
      <c r="K55" s="35" t="n">
        <v>343.6</v>
      </c>
      <c r="L55" s="35" t="n">
        <v>397.55</v>
      </c>
      <c r="M55" s="35" t="n">
        <v>397.55</v>
      </c>
      <c r="N55" s="36">
        <f>SUM(B55:M55)</f>
        <v/>
      </c>
      <c r="O55" s="37">
        <f>SUMIF('Group TB '!$R:$R,'GROUP TOTALS MONTHLY P&amp;L'!$A55,'Group TB '!C:C)</f>
        <v/>
      </c>
      <c r="P55" s="37">
        <f>SUMIF('Group TB '!$R:$R,'GROUP TOTALS MONTHLY P&amp;L'!$A55,'Group TB '!D:D)</f>
        <v/>
      </c>
      <c r="Q55" s="37">
        <f>SUMIF('Group TB '!$R:$R,'GROUP TOTALS MONTHLY P&amp;L'!$A55,'Group TB '!E:E)</f>
        <v/>
      </c>
      <c r="R55" s="37">
        <f>SUMIF('Group TB '!$R:$R,'GROUP TOTALS MONTHLY P&amp;L'!$A55,'Group TB '!F:F)</f>
        <v/>
      </c>
      <c r="S55" s="37">
        <f>SUMIF('Group TB '!$R:$R,'GROUP TOTALS MONTHLY P&amp;L'!$A55,'Group TB '!G:G)</f>
        <v/>
      </c>
      <c r="T55" s="37">
        <f>SUMIF('Group TB '!$R:$R,'GROUP TOTALS MONTHLY P&amp;L'!$A55,'Group TB '!H:H)</f>
        <v/>
      </c>
      <c r="U55" s="37">
        <f>SUMIF('Group TB '!$R:$R,'GROUP TOTALS MONTHLY P&amp;L'!$A55,'Group TB '!I:I)</f>
        <v/>
      </c>
      <c r="V55" s="38">
        <f>'KNL GROUP P&amp;L'!V55+'CCL GROUP P&amp;L'!V55+'YBHN GROUP P&amp;L'!V55+'YBN Group P&amp;L'!V55+'HAB P&amp;L'!V55+'Moe2 P&amp;L'!V55</f>
        <v/>
      </c>
      <c r="W55" s="38">
        <f>'KNL GROUP P&amp;L'!W55+'CCL GROUP P&amp;L'!W55+'YBHN GROUP P&amp;L'!W55+'YBN Group P&amp;L'!W55+'HAB P&amp;L'!W55+'Moe2 P&amp;L'!W55</f>
        <v/>
      </c>
      <c r="X55" s="38">
        <f>'KNL GROUP P&amp;L'!X55+'CCL GROUP P&amp;L'!X55+'YBHN GROUP P&amp;L'!X55+'YBN Group P&amp;L'!X55+'HAB P&amp;L'!X55+'Moe2 P&amp;L'!X55</f>
        <v/>
      </c>
      <c r="Y55" s="38">
        <f>'KNL GROUP P&amp;L'!Y55+'CCL GROUP P&amp;L'!Y55+'YBHN GROUP P&amp;L'!Y55+'YBN Group P&amp;L'!Y55+'HAB P&amp;L'!Y55+'Moe2 P&amp;L'!Y55</f>
        <v/>
      </c>
      <c r="Z55" s="38">
        <f>'KNL GROUP P&amp;L'!Z55+'CCL GROUP P&amp;L'!Z55+'YBHN GROUP P&amp;L'!Z55+'YBN Group P&amp;L'!Z55+'HAB P&amp;L'!Z55+'Moe2 P&amp;L'!Z55</f>
        <v/>
      </c>
      <c r="AA55" s="36">
        <f>SUM(O55:U55)</f>
        <v/>
      </c>
      <c r="AB55" s="36">
        <f>SUM(O55:Z55)</f>
        <v/>
      </c>
      <c r="AC55" s="38">
        <f>'KNL GROUP P&amp;L'!AC55+'CCL GROUP P&amp;L'!AC55+'YBHN GROUP P&amp;L'!AC55+'YBN Group P&amp;L'!AC55+'HAB P&amp;L'!AC55+'Moe2 P&amp;L'!AC55</f>
        <v/>
      </c>
      <c r="AD55" s="38">
        <f>'KNL GROUP P&amp;L'!AD55+'CCL GROUP P&amp;L'!AD55+'YBHN GROUP P&amp;L'!AD55+'YBN Group P&amp;L'!AD55+'HAB P&amp;L'!AD55+'Moe2 P&amp;L'!AD55</f>
        <v/>
      </c>
      <c r="AE55" s="38">
        <f>'KNL GROUP P&amp;L'!AE55+'CCL GROUP P&amp;L'!AE55+'YBHN GROUP P&amp;L'!AE55+'YBN Group P&amp;L'!AE55+'HAB P&amp;L'!AE55+'Moe2 P&amp;L'!AE55</f>
        <v/>
      </c>
      <c r="AF55" s="38">
        <f>'KNL GROUP P&amp;L'!AF55+'CCL GROUP P&amp;L'!AF55+'YBHN GROUP P&amp;L'!AF55+'YBN Group P&amp;L'!AF55+'HAB P&amp;L'!AF55+'Moe2 P&amp;L'!AF55</f>
        <v/>
      </c>
      <c r="AG55" s="38">
        <f>'KNL GROUP P&amp;L'!AG55+'CCL GROUP P&amp;L'!AG55+'YBHN GROUP P&amp;L'!AG55+'YBN Group P&amp;L'!AG55+'HAB P&amp;L'!AG55+'Moe2 P&amp;L'!AG55</f>
        <v/>
      </c>
      <c r="AH55" s="38">
        <f>'KNL GROUP P&amp;L'!AH55+'CCL GROUP P&amp;L'!AH55+'YBHN GROUP P&amp;L'!AH55+'YBN Group P&amp;L'!AH55+'HAB P&amp;L'!AH55+'Moe2 P&amp;L'!AH55</f>
        <v/>
      </c>
      <c r="AI55" s="118" t="n">
        <v>0</v>
      </c>
      <c r="AJ55" s="119" t="n">
        <v>0</v>
      </c>
      <c r="AK55" s="119" t="n">
        <v>0</v>
      </c>
      <c r="AL55" s="119" t="n">
        <v>0</v>
      </c>
      <c r="AM55" s="119" t="n">
        <v>0</v>
      </c>
      <c r="AN55" s="118" t="n">
        <v>0</v>
      </c>
      <c r="AO55" s="121">
        <f>SUM(AC55:AH55)+SUM(AI55:AN55)</f>
        <v/>
      </c>
      <c r="AP55" s="122">
        <f>IF(AB55&lt;&gt;0,(AO55-AB55)/ABS(AB55),0)</f>
        <v/>
      </c>
    </row>
    <row r="56">
      <c r="A56" s="34" t="inlineStr">
        <is>
          <t>HO Pension</t>
        </is>
      </c>
      <c r="B56" s="35" t="n">
        <v>832.4000000000001</v>
      </c>
      <c r="C56" s="35" t="n">
        <v>886.37</v>
      </c>
      <c r="D56" s="35" t="n">
        <v>987.53</v>
      </c>
      <c r="E56" s="35" t="n">
        <v>1010.72</v>
      </c>
      <c r="F56" s="35" t="n">
        <v>917.11</v>
      </c>
      <c r="G56" s="35" t="n">
        <v>900.63</v>
      </c>
      <c r="H56" s="35" t="n">
        <v>1072.08</v>
      </c>
      <c r="I56" s="35" t="n">
        <v>989.58</v>
      </c>
      <c r="J56" s="35" t="n">
        <v>823.79</v>
      </c>
      <c r="K56" s="35" t="n">
        <v>958.6500000000001</v>
      </c>
      <c r="L56" s="35" t="n">
        <v>1038.97</v>
      </c>
      <c r="M56" s="35" t="n">
        <v>980.35</v>
      </c>
      <c r="N56" s="36">
        <f>SUM(B56:M56)</f>
        <v/>
      </c>
      <c r="O56" s="37">
        <f>SUMIF('Group TB '!$R:$R,'GROUP TOTALS MONTHLY P&amp;L'!$A56,'Group TB '!C:C)</f>
        <v/>
      </c>
      <c r="P56" s="37">
        <f>SUMIF('Group TB '!$R:$R,'GROUP TOTALS MONTHLY P&amp;L'!$A56,'Group TB '!D:D)</f>
        <v/>
      </c>
      <c r="Q56" s="37">
        <f>SUMIF('Group TB '!$R:$R,'GROUP TOTALS MONTHLY P&amp;L'!$A56,'Group TB '!E:E)</f>
        <v/>
      </c>
      <c r="R56" s="37">
        <f>SUMIF('Group TB '!$R:$R,'GROUP TOTALS MONTHLY P&amp;L'!$A56,'Group TB '!F:F)</f>
        <v/>
      </c>
      <c r="S56" s="37">
        <f>SUMIF('Group TB '!$R:$R,'GROUP TOTALS MONTHLY P&amp;L'!$A56,'Group TB '!G:G)</f>
        <v/>
      </c>
      <c r="T56" s="37">
        <f>SUMIF('Group TB '!$R:$R,'GROUP TOTALS MONTHLY P&amp;L'!$A56,'Group TB '!H:H)</f>
        <v/>
      </c>
      <c r="U56" s="37">
        <f>SUMIF('Group TB '!$R:$R,'GROUP TOTALS MONTHLY P&amp;L'!$A56,'Group TB '!I:I)</f>
        <v/>
      </c>
      <c r="V56" s="38">
        <f>'KNL GROUP P&amp;L'!V56+'CCL GROUP P&amp;L'!V56+'YBHN GROUP P&amp;L'!V56+'YBN Group P&amp;L'!V56+'HAB P&amp;L'!V56+'Moe2 P&amp;L'!V56</f>
        <v/>
      </c>
      <c r="W56" s="38">
        <f>'KNL GROUP P&amp;L'!W56+'CCL GROUP P&amp;L'!W56+'YBHN GROUP P&amp;L'!W56+'YBN Group P&amp;L'!W56+'HAB P&amp;L'!W56+'Moe2 P&amp;L'!W56</f>
        <v/>
      </c>
      <c r="X56" s="38">
        <f>'KNL GROUP P&amp;L'!X56+'CCL GROUP P&amp;L'!X56+'YBHN GROUP P&amp;L'!X56+'YBN Group P&amp;L'!X56+'HAB P&amp;L'!X56+'Moe2 P&amp;L'!X56</f>
        <v/>
      </c>
      <c r="Y56" s="38">
        <f>'KNL GROUP P&amp;L'!Y56+'CCL GROUP P&amp;L'!Y56+'YBHN GROUP P&amp;L'!Y56+'YBN Group P&amp;L'!Y56+'HAB P&amp;L'!Y56+'Moe2 P&amp;L'!Y56</f>
        <v/>
      </c>
      <c r="Z56" s="38">
        <f>'KNL GROUP P&amp;L'!Z56+'CCL GROUP P&amp;L'!Z56+'YBHN GROUP P&amp;L'!Z56+'YBN Group P&amp;L'!Z56+'HAB P&amp;L'!Z56+'Moe2 P&amp;L'!Z56</f>
        <v/>
      </c>
      <c r="AA56" s="36">
        <f>SUM(O56:U56)</f>
        <v/>
      </c>
      <c r="AB56" s="36">
        <f>SUM(O56:Z56)</f>
        <v/>
      </c>
      <c r="AC56" s="38">
        <f>'KNL GROUP P&amp;L'!AC56+'CCL GROUP P&amp;L'!AC56+'YBHN GROUP P&amp;L'!AC56+'YBN Group P&amp;L'!AC56+'HAB P&amp;L'!AC56+'Moe2 P&amp;L'!AC56</f>
        <v/>
      </c>
      <c r="AD56" s="38">
        <f>'KNL GROUP P&amp;L'!AD56+'CCL GROUP P&amp;L'!AD56+'YBHN GROUP P&amp;L'!AD56+'YBN Group P&amp;L'!AD56+'HAB P&amp;L'!AD56+'Moe2 P&amp;L'!AD56</f>
        <v/>
      </c>
      <c r="AE56" s="38">
        <f>'KNL GROUP P&amp;L'!AE56+'CCL GROUP P&amp;L'!AE56+'YBHN GROUP P&amp;L'!AE56+'YBN Group P&amp;L'!AE56+'HAB P&amp;L'!AE56+'Moe2 P&amp;L'!AE56</f>
        <v/>
      </c>
      <c r="AF56" s="38">
        <f>'KNL GROUP P&amp;L'!AF56+'CCL GROUP P&amp;L'!AF56+'YBHN GROUP P&amp;L'!AF56+'YBN Group P&amp;L'!AF56+'HAB P&amp;L'!AF56+'Moe2 P&amp;L'!AF56</f>
        <v/>
      </c>
      <c r="AG56" s="38">
        <f>'KNL GROUP P&amp;L'!AG56+'CCL GROUP P&amp;L'!AG56+'YBHN GROUP P&amp;L'!AG56+'YBN Group P&amp;L'!AG56+'HAB P&amp;L'!AG56+'Moe2 P&amp;L'!AG56</f>
        <v/>
      </c>
      <c r="AH56" s="38">
        <f>'KNL GROUP P&amp;L'!AH56+'CCL GROUP P&amp;L'!AH56+'YBHN GROUP P&amp;L'!AH56+'YBN Group P&amp;L'!AH56+'HAB P&amp;L'!AH56+'Moe2 P&amp;L'!AH56</f>
        <v/>
      </c>
      <c r="AI56" s="118" t="n">
        <v>0</v>
      </c>
      <c r="AJ56" s="119" t="n">
        <v>0</v>
      </c>
      <c r="AK56" s="119" t="n">
        <v>0</v>
      </c>
      <c r="AL56" s="119" t="n">
        <v>0</v>
      </c>
      <c r="AM56" s="119" t="n">
        <v>0</v>
      </c>
      <c r="AN56" s="118" t="n">
        <v>0</v>
      </c>
      <c r="AO56" s="121">
        <f>SUM(AC56:AH56)+SUM(AI56:AN56)</f>
        <v/>
      </c>
      <c r="AP56" s="122">
        <f>IF(AB56&lt;&gt;0,(AO56-AB56)/ABS(AB56),0)</f>
        <v/>
      </c>
    </row>
    <row r="57">
      <c r="A57" s="34" t="inlineStr">
        <is>
          <t>Staff Entertaining</t>
        </is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769.91</v>
      </c>
      <c r="J57" s="35" t="n">
        <v>16814</v>
      </c>
      <c r="K57" s="35" t="n">
        <v>492</v>
      </c>
      <c r="L57" s="35" t="n">
        <v>1431.15</v>
      </c>
      <c r="M57" s="35" t="n">
        <v>4073.23</v>
      </c>
      <c r="N57" s="36">
        <f>SUM(B57:M57)</f>
        <v/>
      </c>
      <c r="O57" s="37">
        <f>SUMIF('Group TB '!$R:$R,'GROUP TOTALS MONTHLY P&amp;L'!$A57,'Group TB '!C:C)</f>
        <v/>
      </c>
      <c r="P57" s="37">
        <f>SUMIF('Group TB '!$R:$R,'GROUP TOTALS MONTHLY P&amp;L'!$A57,'Group TB '!D:D)</f>
        <v/>
      </c>
      <c r="Q57" s="37">
        <f>SUMIF('Group TB '!$R:$R,'GROUP TOTALS MONTHLY P&amp;L'!$A57,'Group TB '!E:E)</f>
        <v/>
      </c>
      <c r="R57" s="37">
        <f>SUMIF('Group TB '!$R:$R,'GROUP TOTALS MONTHLY P&amp;L'!$A57,'Group TB '!F:F)</f>
        <v/>
      </c>
      <c r="S57" s="37">
        <f>SUMIF('Group TB '!$R:$R,'GROUP TOTALS MONTHLY P&amp;L'!$A57,'Group TB '!G:G)</f>
        <v/>
      </c>
      <c r="T57" s="37">
        <f>SUMIF('Group TB '!$R:$R,'GROUP TOTALS MONTHLY P&amp;L'!$A57,'Group TB '!H:H)</f>
        <v/>
      </c>
      <c r="U57" s="37">
        <f>SUMIF('Group TB '!$R:$R,'GROUP TOTALS MONTHLY P&amp;L'!$A57,'Group TB '!I:I)</f>
        <v/>
      </c>
      <c r="V57" s="38">
        <f>'KNL GROUP P&amp;L'!V57+'CCL GROUP P&amp;L'!V57+'YBHN GROUP P&amp;L'!V57+'YBN Group P&amp;L'!V57+'HAB P&amp;L'!V57+'Moe2 P&amp;L'!V57</f>
        <v/>
      </c>
      <c r="W57" s="38">
        <f>'KNL GROUP P&amp;L'!W57+'CCL GROUP P&amp;L'!W57+'YBHN GROUP P&amp;L'!W57+'YBN Group P&amp;L'!W57+'HAB P&amp;L'!W57+'Moe2 P&amp;L'!W57</f>
        <v/>
      </c>
      <c r="X57" s="38">
        <f>'KNL GROUP P&amp;L'!X57+'CCL GROUP P&amp;L'!X57+'YBHN GROUP P&amp;L'!X57+'YBN Group P&amp;L'!X57+'HAB P&amp;L'!X57+'Moe2 P&amp;L'!X57</f>
        <v/>
      </c>
      <c r="Y57" s="38">
        <f>'KNL GROUP P&amp;L'!Y57+'CCL GROUP P&amp;L'!Y57+'YBHN GROUP P&amp;L'!Y57+'YBN Group P&amp;L'!Y57+'HAB P&amp;L'!Y57+'Moe2 P&amp;L'!Y57</f>
        <v/>
      </c>
      <c r="Z57" s="38">
        <f>'KNL GROUP P&amp;L'!Z57+'CCL GROUP P&amp;L'!Z57+'YBHN GROUP P&amp;L'!Z57+'YBN Group P&amp;L'!Z57+'HAB P&amp;L'!Z57+'Moe2 P&amp;L'!Z57</f>
        <v/>
      </c>
      <c r="AA57" s="36">
        <f>SUM(O57:U57)</f>
        <v/>
      </c>
      <c r="AB57" s="36">
        <f>SUM(O57:Z57)</f>
        <v/>
      </c>
      <c r="AC57" s="38">
        <f>19*30</f>
        <v/>
      </c>
      <c r="AD57" s="38">
        <f>19*30</f>
        <v/>
      </c>
      <c r="AE57" s="38">
        <f>19*30</f>
        <v/>
      </c>
      <c r="AF57" s="38">
        <f>19*30</f>
        <v/>
      </c>
      <c r="AG57" s="38">
        <f>19*30</f>
        <v/>
      </c>
      <c r="AH57" s="38">
        <f>19*30</f>
        <v/>
      </c>
      <c r="AI57" s="118" t="n">
        <v>0</v>
      </c>
      <c r="AJ57" s="119" t="n">
        <v>0</v>
      </c>
      <c r="AK57" s="119" t="n">
        <v>0</v>
      </c>
      <c r="AL57" s="119" t="n">
        <v>0</v>
      </c>
      <c r="AM57" s="119" t="n">
        <v>0</v>
      </c>
      <c r="AN57" s="118" t="n">
        <v>0</v>
      </c>
      <c r="AO57" s="121">
        <f>SUM(AC57:AH57)+SUM(AI57:AN57)</f>
        <v/>
      </c>
      <c r="AP57" s="122">
        <f>IF(AB57&lt;&gt;0,(AO57-AB57)/ABS(AB57),0)</f>
        <v/>
      </c>
    </row>
    <row r="58">
      <c r="A58" s="34" t="inlineStr">
        <is>
          <t>Business Insurance</t>
        </is>
      </c>
      <c r="B58" s="35" t="n">
        <v>6249.72</v>
      </c>
      <c r="C58" s="35" t="n">
        <v>6249.72</v>
      </c>
      <c r="D58" s="35" t="n">
        <v>6249.72</v>
      </c>
      <c r="E58" s="35" t="n">
        <v>6249.72</v>
      </c>
      <c r="F58" s="35" t="n">
        <v>6249.72</v>
      </c>
      <c r="G58" s="35" t="n">
        <v>6254.009999999999</v>
      </c>
      <c r="H58" s="35" t="n">
        <v>6254.009999999999</v>
      </c>
      <c r="I58" s="35" t="n">
        <v>6317.28</v>
      </c>
      <c r="J58" s="35" t="n">
        <v>6317.28</v>
      </c>
      <c r="K58" s="35" t="n">
        <v>6317.28</v>
      </c>
      <c r="L58" s="35" t="n">
        <v>6620.54</v>
      </c>
      <c r="M58" s="35" t="n">
        <v>6279.14</v>
      </c>
      <c r="N58" s="36">
        <f>SUM(B58:M58)</f>
        <v/>
      </c>
      <c r="O58" s="37">
        <f>SUMIF('Group TB '!$R:$R,'GROUP TOTALS MONTHLY P&amp;L'!$A58,'Group TB '!C:C)</f>
        <v/>
      </c>
      <c r="P58" s="37">
        <f>SUMIF('Group TB '!$R:$R,'GROUP TOTALS MONTHLY P&amp;L'!$A58,'Group TB '!D:D)</f>
        <v/>
      </c>
      <c r="Q58" s="37">
        <f>SUMIF('Group TB '!$R:$R,'GROUP TOTALS MONTHLY P&amp;L'!$A58,'Group TB '!E:E)</f>
        <v/>
      </c>
      <c r="R58" s="37">
        <f>SUMIF('Group TB '!$R:$R,'GROUP TOTALS MONTHLY P&amp;L'!$A58,'Group TB '!F:F)</f>
        <v/>
      </c>
      <c r="S58" s="37">
        <f>SUMIF('Group TB '!$R:$R,'GROUP TOTALS MONTHLY P&amp;L'!$A58,'Group TB '!G:G)</f>
        <v/>
      </c>
      <c r="T58" s="37">
        <f>SUMIF('Group TB '!$R:$R,'GROUP TOTALS MONTHLY P&amp;L'!$A58,'Group TB '!H:H)</f>
        <v/>
      </c>
      <c r="U58" s="37">
        <f>SUMIF('Group TB '!$R:$R,'GROUP TOTALS MONTHLY P&amp;L'!$A58,'Group TB '!I:I)</f>
        <v/>
      </c>
      <c r="V58" s="38">
        <f>'KNL GROUP P&amp;L'!V58+'CCL GROUP P&amp;L'!V58+'YBHN GROUP P&amp;L'!V58+'YBN Group P&amp;L'!V58+'HAB P&amp;L'!V58+'Moe2 P&amp;L'!V58</f>
        <v/>
      </c>
      <c r="W58" s="38">
        <f>'KNL GROUP P&amp;L'!W58+'CCL GROUP P&amp;L'!W58+'YBHN GROUP P&amp;L'!W58+'YBN Group P&amp;L'!W58+'HAB P&amp;L'!W58+'Moe2 P&amp;L'!W58</f>
        <v/>
      </c>
      <c r="X58" s="38">
        <f>'KNL GROUP P&amp;L'!X58+'CCL GROUP P&amp;L'!X58+'YBHN GROUP P&amp;L'!X58+'YBN Group P&amp;L'!X58+'HAB P&amp;L'!X58+'Moe2 P&amp;L'!X58</f>
        <v/>
      </c>
      <c r="Y58" s="38">
        <f>'KNL GROUP P&amp;L'!Y58+'CCL GROUP P&amp;L'!Y58+'YBHN GROUP P&amp;L'!Y58+'YBN Group P&amp;L'!Y58+'HAB P&amp;L'!Y58+'Moe2 P&amp;L'!Y58</f>
        <v/>
      </c>
      <c r="Z58" s="38">
        <f>'KNL GROUP P&amp;L'!Z58+'CCL GROUP P&amp;L'!Z58+'YBHN GROUP P&amp;L'!Z58+'YBN Group P&amp;L'!Z58+'HAB P&amp;L'!Z58+'Moe2 P&amp;L'!Z58</f>
        <v/>
      </c>
      <c r="AA58" s="36">
        <f>SUM(O58:U58)</f>
        <v/>
      </c>
      <c r="AB58" s="36">
        <f>SUM(O58:Z58)</f>
        <v/>
      </c>
      <c r="AC58" s="38">
        <f>'KNL GROUP P&amp;L'!AC58+'CCL GROUP P&amp;L'!AC58+'YBHN GROUP P&amp;L'!AC58+'YBN Group P&amp;L'!AC58+'HAB P&amp;L'!AC58+'Moe2 P&amp;L'!AC58</f>
        <v/>
      </c>
      <c r="AD58" s="38">
        <f>'KNL GROUP P&amp;L'!AD58+'CCL GROUP P&amp;L'!AD58+'YBHN GROUP P&amp;L'!AD58+'YBN Group P&amp;L'!AD58+'HAB P&amp;L'!AD58+'Moe2 P&amp;L'!AD58</f>
        <v/>
      </c>
      <c r="AE58" s="38">
        <f>'KNL GROUP P&amp;L'!AE58+'CCL GROUP P&amp;L'!AE58+'YBHN GROUP P&amp;L'!AE58+'YBN Group P&amp;L'!AE58+'HAB P&amp;L'!AE58+'Moe2 P&amp;L'!AE58</f>
        <v/>
      </c>
      <c r="AF58" s="38">
        <f>'KNL GROUP P&amp;L'!AF58+'CCL GROUP P&amp;L'!AF58+'YBHN GROUP P&amp;L'!AF58+'YBN Group P&amp;L'!AF58+'HAB P&amp;L'!AF58+'Moe2 P&amp;L'!AF58</f>
        <v/>
      </c>
      <c r="AG58" s="38">
        <f>'KNL GROUP P&amp;L'!AG58+'CCL GROUP P&amp;L'!AG58+'YBHN GROUP P&amp;L'!AG58+'YBN Group P&amp;L'!AG58+'HAB P&amp;L'!AG58+'Moe2 P&amp;L'!AG58</f>
        <v/>
      </c>
      <c r="AH58" s="38">
        <f>'KNL GROUP P&amp;L'!AH58+'CCL GROUP P&amp;L'!AH58+'YBHN GROUP P&amp;L'!AH58+'YBN Group P&amp;L'!AH58+'HAB P&amp;L'!AH58+'Moe2 P&amp;L'!AH58</f>
        <v/>
      </c>
      <c r="AI58" s="118" t="n">
        <v>0</v>
      </c>
      <c r="AJ58" s="119" t="n">
        <v>0</v>
      </c>
      <c r="AK58" s="119" t="n">
        <v>0</v>
      </c>
      <c r="AL58" s="119" t="n">
        <v>0</v>
      </c>
      <c r="AM58" s="119" t="n">
        <v>0</v>
      </c>
      <c r="AN58" s="118" t="n">
        <v>0</v>
      </c>
      <c r="AO58" s="121">
        <f>SUM(AC58:AH58)+SUM(AI58:AN58)</f>
        <v/>
      </c>
      <c r="AP58" s="122">
        <f>IF(AB58&lt;&gt;0,(AO58-AB58)/ABS(AB58),0)</f>
        <v/>
      </c>
    </row>
    <row r="59">
      <c r="A59" s="34" t="inlineStr">
        <is>
          <t>IT Support</t>
        </is>
      </c>
      <c r="B59" s="35" t="n">
        <v>5799.950000000002</v>
      </c>
      <c r="C59" s="35" t="n">
        <v>6701.59</v>
      </c>
      <c r="D59" s="35" t="n">
        <v>5239.389999999999</v>
      </c>
      <c r="E59" s="35" t="n">
        <v>5239.42</v>
      </c>
      <c r="F59" s="35" t="n">
        <v>4576.87</v>
      </c>
      <c r="G59" s="35" t="n">
        <v>6111.720000000001</v>
      </c>
      <c r="H59" s="35" t="n">
        <v>5448.22</v>
      </c>
      <c r="I59" s="35" t="n">
        <v>7220.200000000001</v>
      </c>
      <c r="J59" s="35" t="n">
        <v>12260.18</v>
      </c>
      <c r="K59" s="35" t="n">
        <v>5634.940000000001</v>
      </c>
      <c r="L59" s="35" t="n">
        <v>6329.940000000002</v>
      </c>
      <c r="M59" s="35" t="n">
        <v>6639.720000000002</v>
      </c>
      <c r="N59" s="36">
        <f>SUM(B59:M59)</f>
        <v/>
      </c>
      <c r="O59" s="37">
        <f>SUMIF('Group TB '!$R:$R,'GROUP TOTALS MONTHLY P&amp;L'!$A59,'Group TB '!C:C)</f>
        <v/>
      </c>
      <c r="P59" s="37">
        <f>SUMIF('Group TB '!$R:$R,'GROUP TOTALS MONTHLY P&amp;L'!$A59,'Group TB '!D:D)</f>
        <v/>
      </c>
      <c r="Q59" s="37">
        <f>SUMIF('Group TB '!$R:$R,'GROUP TOTALS MONTHLY P&amp;L'!$A59,'Group TB '!E:E)</f>
        <v/>
      </c>
      <c r="R59" s="37">
        <f>SUMIF('Group TB '!$R:$R,'GROUP TOTALS MONTHLY P&amp;L'!$A59,'Group TB '!F:F)</f>
        <v/>
      </c>
      <c r="S59" s="37">
        <f>SUMIF('Group TB '!$R:$R,'GROUP TOTALS MONTHLY P&amp;L'!$A59,'Group TB '!G:G)</f>
        <v/>
      </c>
      <c r="T59" s="37">
        <f>SUMIF('Group TB '!$R:$R,'GROUP TOTALS MONTHLY P&amp;L'!$A59,'Group TB '!H:H)</f>
        <v/>
      </c>
      <c r="U59" s="37">
        <f>SUMIF('Group TB '!$R:$R,'GROUP TOTALS MONTHLY P&amp;L'!$A59,'Group TB '!I:I)</f>
        <v/>
      </c>
      <c r="V59" s="38">
        <f>'KNL GROUP P&amp;L'!V59+'CCL GROUP P&amp;L'!V59+'YBHN GROUP P&amp;L'!V59+'YBN Group P&amp;L'!V59+'HAB P&amp;L'!V59+'Moe2 P&amp;L'!V59</f>
        <v/>
      </c>
      <c r="W59" s="38">
        <f>'KNL GROUP P&amp;L'!W59+'CCL GROUP P&amp;L'!W59+'YBHN GROUP P&amp;L'!W59+'YBN Group P&amp;L'!W59+'HAB P&amp;L'!W59+'Moe2 P&amp;L'!W59</f>
        <v/>
      </c>
      <c r="X59" s="38">
        <f>'KNL GROUP P&amp;L'!X59+'CCL GROUP P&amp;L'!X59+'YBHN GROUP P&amp;L'!X59+'YBN Group P&amp;L'!X59+'HAB P&amp;L'!X59+'Moe2 P&amp;L'!X59</f>
        <v/>
      </c>
      <c r="Y59" s="38">
        <f>'KNL GROUP P&amp;L'!Y59+'CCL GROUP P&amp;L'!Y59+'YBHN GROUP P&amp;L'!Y59+'YBN Group P&amp;L'!Y59+'HAB P&amp;L'!Y59+'Moe2 P&amp;L'!Y59</f>
        <v/>
      </c>
      <c r="Z59" s="38">
        <f>'KNL GROUP P&amp;L'!Z59+'CCL GROUP P&amp;L'!Z59+'YBHN GROUP P&amp;L'!Z59+'YBN Group P&amp;L'!Z59+'HAB P&amp;L'!Z59+'Moe2 P&amp;L'!Z59</f>
        <v/>
      </c>
      <c r="AA59" s="36">
        <f>SUM(O59:U59)</f>
        <v/>
      </c>
      <c r="AB59" s="36">
        <f>SUM(O59:Z59)</f>
        <v/>
      </c>
      <c r="AC59" s="38">
        <f>215*1.06</f>
        <v/>
      </c>
      <c r="AD59" s="38">
        <f>215*1.06</f>
        <v/>
      </c>
      <c r="AE59" s="38">
        <f>215*1.06</f>
        <v/>
      </c>
      <c r="AF59" s="38">
        <f>215*1.06</f>
        <v/>
      </c>
      <c r="AG59" s="38">
        <f>215*1.06</f>
        <v/>
      </c>
      <c r="AH59" s="38">
        <f>215*1.06</f>
        <v/>
      </c>
      <c r="AI59" s="118" t="n">
        <v>0</v>
      </c>
      <c r="AJ59" s="119" t="n">
        <v>0</v>
      </c>
      <c r="AK59" s="119" t="n">
        <v>0</v>
      </c>
      <c r="AL59" s="119" t="n">
        <v>0</v>
      </c>
      <c r="AM59" s="119" t="n">
        <v>0</v>
      </c>
      <c r="AN59" s="118" t="n">
        <v>0</v>
      </c>
      <c r="AO59" s="121">
        <f>SUM(AC59:AH59)+SUM(AI59:AN59)</f>
        <v/>
      </c>
      <c r="AP59" s="122">
        <f>IF(AB59&lt;&gt;0,(AO59-AB59)/ABS(AB59),0)</f>
        <v/>
      </c>
    </row>
    <row r="60">
      <c r="A60" s="34" t="inlineStr">
        <is>
          <t>Fees &amp; Subscriptions</t>
        </is>
      </c>
      <c r="B60" s="35" t="n">
        <v>3006.489999999998</v>
      </c>
      <c r="C60" s="35" t="n">
        <v>1240.21</v>
      </c>
      <c r="D60" s="35" t="n">
        <v>2135.16</v>
      </c>
      <c r="E60" s="35" t="n">
        <v>1707.609999999999</v>
      </c>
      <c r="F60" s="35" t="n">
        <v>774.9300000000001</v>
      </c>
      <c r="G60" s="35" t="n">
        <v>1888.42</v>
      </c>
      <c r="H60" s="35" t="n">
        <v>783.0400000000002</v>
      </c>
      <c r="I60" s="35" t="n">
        <v>760.6800000000002</v>
      </c>
      <c r="J60" s="35" t="n">
        <v>1067.700000000001</v>
      </c>
      <c r="K60" s="35" t="n">
        <v>2456.52</v>
      </c>
      <c r="L60" s="35" t="n">
        <v>1668.72</v>
      </c>
      <c r="M60" s="35" t="n">
        <v>3469.42</v>
      </c>
      <c r="N60" s="36">
        <f>SUM(B60:M60)</f>
        <v/>
      </c>
      <c r="O60" s="37">
        <f>SUMIF('Group TB '!$R:$R,'GROUP TOTALS MONTHLY P&amp;L'!$A60,'Group TB '!C:C)</f>
        <v/>
      </c>
      <c r="P60" s="37">
        <f>SUMIF('Group TB '!$R:$R,'GROUP TOTALS MONTHLY P&amp;L'!$A60,'Group TB '!D:D)</f>
        <v/>
      </c>
      <c r="Q60" s="37">
        <f>SUMIF('Group TB '!$R:$R,'GROUP TOTALS MONTHLY P&amp;L'!$A60,'Group TB '!E:E)</f>
        <v/>
      </c>
      <c r="R60" s="37">
        <f>SUMIF('Group TB '!$R:$R,'GROUP TOTALS MONTHLY P&amp;L'!$A60,'Group TB '!F:F)</f>
        <v/>
      </c>
      <c r="S60" s="37">
        <f>SUMIF('Group TB '!$R:$R,'GROUP TOTALS MONTHLY P&amp;L'!$A60,'Group TB '!G:G)</f>
        <v/>
      </c>
      <c r="T60" s="37">
        <f>SUMIF('Group TB '!$R:$R,'GROUP TOTALS MONTHLY P&amp;L'!$A60,'Group TB '!H:H)</f>
        <v/>
      </c>
      <c r="U60" s="37">
        <f>SUMIF('Group TB '!$R:$R,'GROUP TOTALS MONTHLY P&amp;L'!$A60,'Group TB '!I:I)</f>
        <v/>
      </c>
      <c r="V60" s="38">
        <f>'KNL GROUP P&amp;L'!V60+'CCL GROUP P&amp;L'!V60+'YBHN GROUP P&amp;L'!V60+'YBN Group P&amp;L'!V60+'HAB P&amp;L'!V60+'Moe2 P&amp;L'!V60</f>
        <v/>
      </c>
      <c r="W60" s="38">
        <f>'KNL GROUP P&amp;L'!W60+'CCL GROUP P&amp;L'!W60+'YBHN GROUP P&amp;L'!W60+'YBN Group P&amp;L'!W60+'HAB P&amp;L'!W60+'Moe2 P&amp;L'!W60</f>
        <v/>
      </c>
      <c r="X60" s="38">
        <f>'KNL GROUP P&amp;L'!X60+'CCL GROUP P&amp;L'!X60+'YBHN GROUP P&amp;L'!X60+'YBN Group P&amp;L'!X60+'HAB P&amp;L'!X60+'Moe2 P&amp;L'!X60</f>
        <v/>
      </c>
      <c r="Y60" s="38">
        <f>'KNL GROUP P&amp;L'!Y60+'CCL GROUP P&amp;L'!Y60+'YBHN GROUP P&amp;L'!Y60+'YBN Group P&amp;L'!Y60+'HAB P&amp;L'!Y60+'Moe2 P&amp;L'!Y60</f>
        <v/>
      </c>
      <c r="Z60" s="38">
        <f>'KNL GROUP P&amp;L'!Z60+'CCL GROUP P&amp;L'!Z60+'YBHN GROUP P&amp;L'!Z60+'YBN Group P&amp;L'!Z60+'HAB P&amp;L'!Z60+'Moe2 P&amp;L'!Z60</f>
        <v/>
      </c>
      <c r="AA60" s="36">
        <f>SUM(O60:U60)</f>
        <v/>
      </c>
      <c r="AB60" s="36">
        <f>SUM(O60:Z60)</f>
        <v/>
      </c>
      <c r="AC60" s="38">
        <f>'KNL GROUP P&amp;L'!AC60+'CCL GROUP P&amp;L'!AC60+'YBHN GROUP P&amp;L'!AC60+'YBN Group P&amp;L'!AC60+'HAB P&amp;L'!AC60+'Moe2 P&amp;L'!AC60</f>
        <v/>
      </c>
      <c r="AD60" s="38">
        <f>'KNL GROUP P&amp;L'!AD60+'CCL GROUP P&amp;L'!AD60+'YBHN GROUP P&amp;L'!AD60+'YBN Group P&amp;L'!AD60+'HAB P&amp;L'!AD60+'Moe2 P&amp;L'!AD60</f>
        <v/>
      </c>
      <c r="AE60" s="38">
        <f>'KNL GROUP P&amp;L'!AE60+'CCL GROUP P&amp;L'!AE60+'YBHN GROUP P&amp;L'!AE60+'YBN Group P&amp;L'!AE60+'HAB P&amp;L'!AE60+'Moe2 P&amp;L'!AE60</f>
        <v/>
      </c>
      <c r="AF60" s="38">
        <f>'KNL GROUP P&amp;L'!AF60+'CCL GROUP P&amp;L'!AF60+'YBHN GROUP P&amp;L'!AF60+'YBN Group P&amp;L'!AF60+'HAB P&amp;L'!AF60+'Moe2 P&amp;L'!AF60</f>
        <v/>
      </c>
      <c r="AG60" s="38">
        <f>'KNL GROUP P&amp;L'!AG60+'CCL GROUP P&amp;L'!AG60+'YBHN GROUP P&amp;L'!AG60+'YBN Group P&amp;L'!AG60+'HAB P&amp;L'!AG60+'Moe2 P&amp;L'!AG60</f>
        <v/>
      </c>
      <c r="AH60" s="38">
        <f>'KNL GROUP P&amp;L'!AH60+'CCL GROUP P&amp;L'!AH60+'YBHN GROUP P&amp;L'!AH60+'YBN Group P&amp;L'!AH60+'HAB P&amp;L'!AH60+'Moe2 P&amp;L'!AH60</f>
        <v/>
      </c>
      <c r="AI60" s="118" t="n">
        <v>0</v>
      </c>
      <c r="AJ60" s="119" t="n">
        <v>0</v>
      </c>
      <c r="AK60" s="119" t="n">
        <v>0</v>
      </c>
      <c r="AL60" s="119" t="n">
        <v>0</v>
      </c>
      <c r="AM60" s="119" t="n">
        <v>0</v>
      </c>
      <c r="AN60" s="118" t="n">
        <v>0</v>
      </c>
      <c r="AO60" s="121">
        <f>SUM(AC60:AH60)+SUM(AI60:AN60)</f>
        <v/>
      </c>
      <c r="AP60" s="122">
        <f>IF(AB60&lt;&gt;0,(AO60-AB60)/ABS(AB60),0)</f>
        <v/>
      </c>
    </row>
    <row r="61">
      <c r="A61" s="34" t="inlineStr">
        <is>
          <t>Miscellaneous</t>
        </is>
      </c>
      <c r="B61" s="35" t="n">
        <v>276.16</v>
      </c>
      <c r="C61" s="35" t="n">
        <v>364.83</v>
      </c>
      <c r="D61" s="35" t="n">
        <v>1027.36</v>
      </c>
      <c r="E61" s="35" t="n">
        <v>315.59</v>
      </c>
      <c r="F61" s="35" t="n">
        <v>423.71</v>
      </c>
      <c r="G61" s="35" t="n">
        <v>1522.89</v>
      </c>
      <c r="H61" s="35" t="n">
        <v>1202.36</v>
      </c>
      <c r="I61" s="35" t="n">
        <v>60.18</v>
      </c>
      <c r="J61" s="35" t="n">
        <v>25.63</v>
      </c>
      <c r="K61" s="35" t="n">
        <v>622.87</v>
      </c>
      <c r="L61" s="35" t="n">
        <v>3119.889999999999</v>
      </c>
      <c r="M61" s="35" t="n">
        <v>647.1600000000001</v>
      </c>
      <c r="N61" s="36">
        <f>SUM(B61:M61)</f>
        <v/>
      </c>
      <c r="O61" s="37">
        <f>SUMIF('Group TB '!$R:$R,'GROUP TOTALS MONTHLY P&amp;L'!$A61,'Group TB '!C:C)</f>
        <v/>
      </c>
      <c r="P61" s="37">
        <f>SUMIF('Group TB '!$R:$R,'GROUP TOTALS MONTHLY P&amp;L'!$A61,'Group TB '!D:D)</f>
        <v/>
      </c>
      <c r="Q61" s="37">
        <f>SUMIF('Group TB '!$R:$R,'GROUP TOTALS MONTHLY P&amp;L'!$A61,'Group TB '!E:E)</f>
        <v/>
      </c>
      <c r="R61" s="37">
        <f>SUMIF('Group TB '!$R:$R,'GROUP TOTALS MONTHLY P&amp;L'!$A61,'Group TB '!F:F)</f>
        <v/>
      </c>
      <c r="S61" s="37">
        <f>SUMIF('Group TB '!$R:$R,'GROUP TOTALS MONTHLY P&amp;L'!$A61,'Group TB '!G:G)</f>
        <v/>
      </c>
      <c r="T61" s="37">
        <f>SUMIF('Group TB '!$R:$R,'GROUP TOTALS MONTHLY P&amp;L'!$A61,'Group TB '!H:H)</f>
        <v/>
      </c>
      <c r="U61" s="37">
        <f>SUMIF('Group TB '!$R:$R,'GROUP TOTALS MONTHLY P&amp;L'!$A61,'Group TB '!I:I)</f>
        <v/>
      </c>
      <c r="V61" s="38">
        <f>'KNL GROUP P&amp;L'!V61+'CCL GROUP P&amp;L'!V61+'YBHN GROUP P&amp;L'!V61+'YBN Group P&amp;L'!V61+'HAB P&amp;L'!V61+'Moe2 P&amp;L'!V61</f>
        <v/>
      </c>
      <c r="W61" s="38">
        <f>'KNL GROUP P&amp;L'!W61+'CCL GROUP P&amp;L'!W61+'YBHN GROUP P&amp;L'!W61+'YBN Group P&amp;L'!W61+'HAB P&amp;L'!W61+'Moe2 P&amp;L'!W61</f>
        <v/>
      </c>
      <c r="X61" s="38">
        <f>'KNL GROUP P&amp;L'!X61+'CCL GROUP P&amp;L'!X61+'YBHN GROUP P&amp;L'!X61+'YBN Group P&amp;L'!X61+'HAB P&amp;L'!X61+'Moe2 P&amp;L'!X61</f>
        <v/>
      </c>
      <c r="Y61" s="38">
        <f>'KNL GROUP P&amp;L'!Y61+'CCL GROUP P&amp;L'!Y61+'YBHN GROUP P&amp;L'!Y61+'YBN Group P&amp;L'!Y61+'HAB P&amp;L'!Y61+'Moe2 P&amp;L'!Y61</f>
        <v/>
      </c>
      <c r="Z61" s="38">
        <f>'KNL GROUP P&amp;L'!Z61+'CCL GROUP P&amp;L'!Z61+'YBHN GROUP P&amp;L'!Z61+'YBN Group P&amp;L'!Z61+'HAB P&amp;L'!Z61+'Moe2 P&amp;L'!Z61</f>
        <v/>
      </c>
      <c r="AA61" s="36">
        <f>SUM(O61:U61)</f>
        <v/>
      </c>
      <c r="AB61" s="36">
        <f>SUM(O61:Z61)</f>
        <v/>
      </c>
      <c r="AC61" s="38">
        <f>'KNL GROUP P&amp;L'!AC61+'CCL GROUP P&amp;L'!AC61+'YBHN GROUP P&amp;L'!AC61+'YBN Group P&amp;L'!AC61+'HAB P&amp;L'!AC61+'Moe2 P&amp;L'!AC61</f>
        <v/>
      </c>
      <c r="AD61" s="38">
        <f>'KNL GROUP P&amp;L'!AD61+'CCL GROUP P&amp;L'!AD61+'YBHN GROUP P&amp;L'!AD61+'YBN Group P&amp;L'!AD61+'HAB P&amp;L'!AD61+'Moe2 P&amp;L'!AD61</f>
        <v/>
      </c>
      <c r="AE61" s="38">
        <f>'KNL GROUP P&amp;L'!AE61+'CCL GROUP P&amp;L'!AE61+'YBHN GROUP P&amp;L'!AE61+'YBN Group P&amp;L'!AE61+'HAB P&amp;L'!AE61+'Moe2 P&amp;L'!AE61</f>
        <v/>
      </c>
      <c r="AF61" s="38">
        <f>'KNL GROUP P&amp;L'!AF61+'CCL GROUP P&amp;L'!AF61+'YBHN GROUP P&amp;L'!AF61+'YBN Group P&amp;L'!AF61+'HAB P&amp;L'!AF61+'Moe2 P&amp;L'!AF61</f>
        <v/>
      </c>
      <c r="AG61" s="38">
        <f>'KNL GROUP P&amp;L'!AG61+'CCL GROUP P&amp;L'!AG61+'YBHN GROUP P&amp;L'!AG61+'YBN Group P&amp;L'!AG61+'HAB P&amp;L'!AG61+'Moe2 P&amp;L'!AG61</f>
        <v/>
      </c>
      <c r="AH61" s="38">
        <f>'KNL GROUP P&amp;L'!AH61+'CCL GROUP P&amp;L'!AH61+'YBHN GROUP P&amp;L'!AH61+'YBN Group P&amp;L'!AH61+'HAB P&amp;L'!AH61+'Moe2 P&amp;L'!AH61</f>
        <v/>
      </c>
      <c r="AI61" s="118" t="n">
        <v>0</v>
      </c>
      <c r="AJ61" s="119" t="n">
        <v>0</v>
      </c>
      <c r="AK61" s="119" t="n">
        <v>0</v>
      </c>
      <c r="AL61" s="119" t="n">
        <v>0</v>
      </c>
      <c r="AM61" s="119" t="n">
        <v>0</v>
      </c>
      <c r="AN61" s="118" t="n">
        <v>0</v>
      </c>
      <c r="AO61" s="121">
        <f>SUM(AC61:AH61)+SUM(AI61:AN61)</f>
        <v/>
      </c>
      <c r="AP61" s="122">
        <f>IF(AB61&lt;&gt;0,(AO61-AB61)/ABS(AB61),0)</f>
        <v/>
      </c>
    </row>
    <row r="62">
      <c r="A62" s="34" t="inlineStr">
        <is>
          <t>Motor &amp; Travel</t>
        </is>
      </c>
      <c r="B62" s="35" t="n">
        <v>1448.76</v>
      </c>
      <c r="C62" s="35" t="n">
        <v>3387.65</v>
      </c>
      <c r="D62" s="35" t="n">
        <v>3506.15</v>
      </c>
      <c r="E62" s="35" t="n">
        <v>2909.55</v>
      </c>
      <c r="F62" s="35" t="n">
        <v>2835.84</v>
      </c>
      <c r="G62" s="35" t="n">
        <v>3477.6</v>
      </c>
      <c r="H62" s="35" t="n">
        <v>5887.940000000001</v>
      </c>
      <c r="I62" s="35" t="n">
        <v>4588.77</v>
      </c>
      <c r="J62" s="35" t="n">
        <v>5359.77</v>
      </c>
      <c r="K62" s="35" t="n">
        <v>3400.08</v>
      </c>
      <c r="L62" s="35" t="n">
        <v>4858.96</v>
      </c>
      <c r="M62" s="35" t="n">
        <v>2499.98</v>
      </c>
      <c r="N62" s="36">
        <f>SUM(B62:M62)</f>
        <v/>
      </c>
      <c r="O62" s="37">
        <f>SUMIF('Group TB '!$R:$R,'GROUP TOTALS MONTHLY P&amp;L'!$A62,'Group TB '!C:C)</f>
        <v/>
      </c>
      <c r="P62" s="37">
        <f>SUMIF('Group TB '!$R:$R,'GROUP TOTALS MONTHLY P&amp;L'!$A62,'Group TB '!D:D)</f>
        <v/>
      </c>
      <c r="Q62" s="37">
        <f>SUMIF('Group TB '!$R:$R,'GROUP TOTALS MONTHLY P&amp;L'!$A62,'Group TB '!E:E)</f>
        <v/>
      </c>
      <c r="R62" s="37">
        <f>SUMIF('Group TB '!$R:$R,'GROUP TOTALS MONTHLY P&amp;L'!$A62,'Group TB '!F:F)</f>
        <v/>
      </c>
      <c r="S62" s="37">
        <f>SUMIF('Group TB '!$R:$R,'GROUP TOTALS MONTHLY P&amp;L'!$A62,'Group TB '!G:G)</f>
        <v/>
      </c>
      <c r="T62" s="37">
        <f>SUMIF('Group TB '!$R:$R,'GROUP TOTALS MONTHLY P&amp;L'!$A62,'Group TB '!H:H)</f>
        <v/>
      </c>
      <c r="U62" s="37">
        <f>SUMIF('Group TB '!$R:$R,'GROUP TOTALS MONTHLY P&amp;L'!$A62,'Group TB '!I:I)</f>
        <v/>
      </c>
      <c r="V62" s="38">
        <f>'KNL GROUP P&amp;L'!V62+'CCL GROUP P&amp;L'!V62+'YBHN GROUP P&amp;L'!V62+'YBN Group P&amp;L'!V62+'HAB P&amp;L'!V62+'Moe2 P&amp;L'!V62</f>
        <v/>
      </c>
      <c r="W62" s="38">
        <f>'KNL GROUP P&amp;L'!W62+'CCL GROUP P&amp;L'!W62+'YBHN GROUP P&amp;L'!W62+'YBN Group P&amp;L'!W62+'HAB P&amp;L'!W62+'Moe2 P&amp;L'!W62</f>
        <v/>
      </c>
      <c r="X62" s="38">
        <f>'KNL GROUP P&amp;L'!X62+'CCL GROUP P&amp;L'!X62+'YBHN GROUP P&amp;L'!X62+'YBN Group P&amp;L'!X62+'HAB P&amp;L'!X62+'Moe2 P&amp;L'!X62</f>
        <v/>
      </c>
      <c r="Y62" s="38">
        <f>'KNL GROUP P&amp;L'!Y62+'CCL GROUP P&amp;L'!Y62+'YBHN GROUP P&amp;L'!Y62+'YBN Group P&amp;L'!Y62+'HAB P&amp;L'!Y62+'Moe2 P&amp;L'!Y62</f>
        <v/>
      </c>
      <c r="Z62" s="38">
        <f>'KNL GROUP P&amp;L'!Z62+'CCL GROUP P&amp;L'!Z62+'YBHN GROUP P&amp;L'!Z62+'YBN Group P&amp;L'!Z62+'HAB P&amp;L'!Z62+'Moe2 P&amp;L'!Z62</f>
        <v/>
      </c>
      <c r="AA62" s="36">
        <f>SUM(O62:U62)</f>
        <v/>
      </c>
      <c r="AB62" s="36">
        <f>SUM(O62:Z62)</f>
        <v/>
      </c>
      <c r="AC62" s="38">
        <f>'KNL GROUP P&amp;L'!AC62+'CCL GROUP P&amp;L'!AC62+'YBHN GROUP P&amp;L'!AC62+'YBN Group P&amp;L'!AC62+'HAB P&amp;L'!AC62+'Moe2 P&amp;L'!AC62</f>
        <v/>
      </c>
      <c r="AD62" s="38">
        <f>'KNL GROUP P&amp;L'!AD62+'CCL GROUP P&amp;L'!AD62+'YBHN GROUP P&amp;L'!AD62+'YBN Group P&amp;L'!AD62+'HAB P&amp;L'!AD62+'Moe2 P&amp;L'!AD62</f>
        <v/>
      </c>
      <c r="AE62" s="38">
        <f>'KNL GROUP P&amp;L'!AE62+'CCL GROUP P&amp;L'!AE62+'YBHN GROUP P&amp;L'!AE62+'YBN Group P&amp;L'!AE62+'HAB P&amp;L'!AE62+'Moe2 P&amp;L'!AE62</f>
        <v/>
      </c>
      <c r="AF62" s="38">
        <f>'KNL GROUP P&amp;L'!AF62+'CCL GROUP P&amp;L'!AF62+'YBHN GROUP P&amp;L'!AF62+'YBN Group P&amp;L'!AF62+'HAB P&amp;L'!AF62+'Moe2 P&amp;L'!AF62</f>
        <v/>
      </c>
      <c r="AG62" s="38">
        <f>'KNL GROUP P&amp;L'!AG62+'CCL GROUP P&amp;L'!AG62+'YBHN GROUP P&amp;L'!AG62+'YBN Group P&amp;L'!AG62+'HAB P&amp;L'!AG62+'Moe2 P&amp;L'!AG62</f>
        <v/>
      </c>
      <c r="AH62" s="38">
        <f>'KNL GROUP P&amp;L'!AH62+'CCL GROUP P&amp;L'!AH62+'YBHN GROUP P&amp;L'!AH62+'YBN Group P&amp;L'!AH62+'HAB P&amp;L'!AH62+'Moe2 P&amp;L'!AH62</f>
        <v/>
      </c>
      <c r="AI62" s="118" t="n">
        <v>0</v>
      </c>
      <c r="AJ62" s="119" t="n">
        <v>0</v>
      </c>
      <c r="AK62" s="119" t="n">
        <v>0</v>
      </c>
      <c r="AL62" s="119" t="n">
        <v>0</v>
      </c>
      <c r="AM62" s="119" t="n">
        <v>0</v>
      </c>
      <c r="AN62" s="118" t="n">
        <v>0</v>
      </c>
      <c r="AO62" s="121">
        <f>SUM(AC62:AH62)+SUM(AI62:AN62)</f>
        <v/>
      </c>
      <c r="AP62" s="122">
        <f>IF(AB62&lt;&gt;0,(AO62-AB62)/ABS(AB62),0)</f>
        <v/>
      </c>
    </row>
    <row r="63">
      <c r="A63" s="34" t="inlineStr">
        <is>
          <t>Motor Insurance</t>
        </is>
      </c>
      <c r="B63" s="35" t="n">
        <v>742.17</v>
      </c>
      <c r="C63" s="35" t="n">
        <v>1029.79</v>
      </c>
      <c r="D63" s="35" t="n">
        <v>1029.79</v>
      </c>
      <c r="E63" s="35" t="n">
        <v>1029.79</v>
      </c>
      <c r="F63" s="35" t="n">
        <v>1029.79</v>
      </c>
      <c r="G63" s="35" t="n">
        <v>1029.79</v>
      </c>
      <c r="H63" s="35" t="n">
        <v>1137.79</v>
      </c>
      <c r="I63" s="35" t="n">
        <v>1022.54</v>
      </c>
      <c r="J63" s="35" t="n">
        <v>1022.54</v>
      </c>
      <c r="K63" s="35" t="n">
        <v>1092.42</v>
      </c>
      <c r="L63" s="35" t="n">
        <v>1092.42</v>
      </c>
      <c r="M63" s="35" t="n">
        <v>1179.3</v>
      </c>
      <c r="N63" s="36">
        <f>SUM(B63:M63)</f>
        <v/>
      </c>
      <c r="O63" s="37">
        <f>SUMIF('Group TB '!$R:$R,'GROUP TOTALS MONTHLY P&amp;L'!$A63,'Group TB '!C:C)</f>
        <v/>
      </c>
      <c r="P63" s="37">
        <f>SUMIF('Group TB '!$R:$R,'GROUP TOTALS MONTHLY P&amp;L'!$A63,'Group TB '!D:D)</f>
        <v/>
      </c>
      <c r="Q63" s="37">
        <f>SUMIF('Group TB '!$R:$R,'GROUP TOTALS MONTHLY P&amp;L'!$A63,'Group TB '!E:E)</f>
        <v/>
      </c>
      <c r="R63" s="37">
        <f>SUMIF('Group TB '!$R:$R,'GROUP TOTALS MONTHLY P&amp;L'!$A63,'Group TB '!F:F)</f>
        <v/>
      </c>
      <c r="S63" s="37">
        <f>SUMIF('Group TB '!$R:$R,'GROUP TOTALS MONTHLY P&amp;L'!$A63,'Group TB '!G:G)</f>
        <v/>
      </c>
      <c r="T63" s="37">
        <f>SUMIF('Group TB '!$R:$R,'GROUP TOTALS MONTHLY P&amp;L'!$A63,'Group TB '!H:H)</f>
        <v/>
      </c>
      <c r="U63" s="37">
        <f>SUMIF('Group TB '!$R:$R,'GROUP TOTALS MONTHLY P&amp;L'!$A63,'Group TB '!I:I)</f>
        <v/>
      </c>
      <c r="V63" s="38">
        <f>'KNL GROUP P&amp;L'!V63+'CCL GROUP P&amp;L'!V63+'YBHN GROUP P&amp;L'!V63+'YBN Group P&amp;L'!V63+'HAB P&amp;L'!V63+'Moe2 P&amp;L'!V63</f>
        <v/>
      </c>
      <c r="W63" s="38">
        <f>'KNL GROUP P&amp;L'!W63+'CCL GROUP P&amp;L'!W63+'YBHN GROUP P&amp;L'!W63+'YBN Group P&amp;L'!W63+'HAB P&amp;L'!W63+'Moe2 P&amp;L'!W63</f>
        <v/>
      </c>
      <c r="X63" s="38">
        <f>'KNL GROUP P&amp;L'!X63+'CCL GROUP P&amp;L'!X63+'YBHN GROUP P&amp;L'!X63+'YBN Group P&amp;L'!X63+'HAB P&amp;L'!X63+'Moe2 P&amp;L'!X63</f>
        <v/>
      </c>
      <c r="Y63" s="38">
        <f>'KNL GROUP P&amp;L'!Y63+'CCL GROUP P&amp;L'!Y63+'YBHN GROUP P&amp;L'!Y63+'YBN Group P&amp;L'!Y63+'HAB P&amp;L'!Y63+'Moe2 P&amp;L'!Y63</f>
        <v/>
      </c>
      <c r="Z63" s="38">
        <f>'KNL GROUP P&amp;L'!Z63+'CCL GROUP P&amp;L'!Z63+'YBHN GROUP P&amp;L'!Z63+'YBN Group P&amp;L'!Z63+'HAB P&amp;L'!Z63+'Moe2 P&amp;L'!Z63</f>
        <v/>
      </c>
      <c r="AA63" s="36">
        <f>SUM(O63:U63)</f>
        <v/>
      </c>
      <c r="AB63" s="36">
        <f>SUM(O63:Z63)</f>
        <v/>
      </c>
      <c r="AC63" s="38">
        <f>'KNL GROUP P&amp;L'!AC63+'CCL GROUP P&amp;L'!AC63+'YBHN GROUP P&amp;L'!AC63+'YBN Group P&amp;L'!AC63+'HAB P&amp;L'!AC63+'Moe2 P&amp;L'!AC63</f>
        <v/>
      </c>
      <c r="AD63" s="38">
        <f>'KNL GROUP P&amp;L'!AD63+'CCL GROUP P&amp;L'!AD63+'YBHN GROUP P&amp;L'!AD63+'YBN Group P&amp;L'!AD63+'HAB P&amp;L'!AD63+'Moe2 P&amp;L'!AD63</f>
        <v/>
      </c>
      <c r="AE63" s="38">
        <f>'KNL GROUP P&amp;L'!AE63+'CCL GROUP P&amp;L'!AE63+'YBHN GROUP P&amp;L'!AE63+'YBN Group P&amp;L'!AE63+'HAB P&amp;L'!AE63+'Moe2 P&amp;L'!AE63</f>
        <v/>
      </c>
      <c r="AF63" s="38">
        <f>'KNL GROUP P&amp;L'!AF63+'CCL GROUP P&amp;L'!AF63+'YBHN GROUP P&amp;L'!AF63+'YBN Group P&amp;L'!AF63+'HAB P&amp;L'!AF63+'Moe2 P&amp;L'!AF63</f>
        <v/>
      </c>
      <c r="AG63" s="38">
        <f>'KNL GROUP P&amp;L'!AG63+'CCL GROUP P&amp;L'!AG63+'YBHN GROUP P&amp;L'!AG63+'YBN Group P&amp;L'!AG63+'HAB P&amp;L'!AG63+'Moe2 P&amp;L'!AG63</f>
        <v/>
      </c>
      <c r="AH63" s="38">
        <f>'KNL GROUP P&amp;L'!AH63+'CCL GROUP P&amp;L'!AH63+'YBHN GROUP P&amp;L'!AH63+'YBN Group P&amp;L'!AH63+'HAB P&amp;L'!AH63+'Moe2 P&amp;L'!AH63</f>
        <v/>
      </c>
      <c r="AI63" s="118" t="n">
        <v>0</v>
      </c>
      <c r="AJ63" s="119" t="n">
        <v>0</v>
      </c>
      <c r="AK63" s="119" t="n">
        <v>0</v>
      </c>
      <c r="AL63" s="119" t="n">
        <v>0</v>
      </c>
      <c r="AM63" s="119" t="n">
        <v>0</v>
      </c>
      <c r="AN63" s="118" t="n">
        <v>0</v>
      </c>
      <c r="AO63" s="121">
        <f>SUM(AC63:AH63)+SUM(AI63:AN63)</f>
        <v/>
      </c>
      <c r="AP63" s="122">
        <f>IF(AB63&lt;&gt;0,(AO63-AB63)/ABS(AB63),0)</f>
        <v/>
      </c>
    </row>
    <row r="64">
      <c r="A64" s="34" t="inlineStr">
        <is>
          <t>Publications</t>
        </is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0</v>
      </c>
      <c r="I64" s="35" t="n">
        <v>0</v>
      </c>
      <c r="J64" s="35" t="n">
        <v>0</v>
      </c>
      <c r="K64" s="35" t="n">
        <v>0</v>
      </c>
      <c r="L64" s="35" t="n">
        <v>0</v>
      </c>
      <c r="M64" s="35" t="n">
        <v>0</v>
      </c>
      <c r="N64" s="36">
        <f>SUM(B64:M64)</f>
        <v/>
      </c>
      <c r="O64" s="37">
        <f>SUMIF('Group TB '!$R:$R,'GROUP TOTALS MONTHLY P&amp;L'!$A64,'Group TB '!C:C)</f>
        <v/>
      </c>
      <c r="P64" s="37">
        <f>SUMIF('Group TB '!$R:$R,'GROUP TOTALS MONTHLY P&amp;L'!$A64,'Group TB '!D:D)</f>
        <v/>
      </c>
      <c r="Q64" s="37">
        <f>SUMIF('Group TB '!$R:$R,'GROUP TOTALS MONTHLY P&amp;L'!$A64,'Group TB '!E:E)</f>
        <v/>
      </c>
      <c r="R64" s="37">
        <f>SUMIF('Group TB '!$R:$R,'GROUP TOTALS MONTHLY P&amp;L'!$A64,'Group TB '!F:F)</f>
        <v/>
      </c>
      <c r="S64" s="37">
        <f>SUMIF('Group TB '!$R:$R,'GROUP TOTALS MONTHLY P&amp;L'!$A64,'Group TB '!G:G)</f>
        <v/>
      </c>
      <c r="T64" s="37">
        <f>SUMIF('Group TB '!$R:$R,'GROUP TOTALS MONTHLY P&amp;L'!$A64,'Group TB '!H:H)</f>
        <v/>
      </c>
      <c r="U64" s="37">
        <f>SUMIF('Group TB '!$R:$R,'GROUP TOTALS MONTHLY P&amp;L'!$A64,'Group TB '!I:I)</f>
        <v/>
      </c>
      <c r="V64" s="38">
        <f>'KNL GROUP P&amp;L'!V64+'CCL GROUP P&amp;L'!V64+'YBHN GROUP P&amp;L'!V64+'YBN Group P&amp;L'!V64+'HAB P&amp;L'!V64+'Moe2 P&amp;L'!V64</f>
        <v/>
      </c>
      <c r="W64" s="38">
        <f>'KNL GROUP P&amp;L'!W64+'CCL GROUP P&amp;L'!W64+'YBHN GROUP P&amp;L'!W64+'YBN Group P&amp;L'!W64+'HAB P&amp;L'!W64+'Moe2 P&amp;L'!W64</f>
        <v/>
      </c>
      <c r="X64" s="38">
        <f>'KNL GROUP P&amp;L'!X64+'CCL GROUP P&amp;L'!X64+'YBHN GROUP P&amp;L'!X64+'YBN Group P&amp;L'!X64+'HAB P&amp;L'!X64+'Moe2 P&amp;L'!X64</f>
        <v/>
      </c>
      <c r="Y64" s="38">
        <f>'KNL GROUP P&amp;L'!Y64+'CCL GROUP P&amp;L'!Y64+'YBHN GROUP P&amp;L'!Y64+'YBN Group P&amp;L'!Y64+'HAB P&amp;L'!Y64+'Moe2 P&amp;L'!Y64</f>
        <v/>
      </c>
      <c r="Z64" s="38">
        <f>'KNL GROUP P&amp;L'!Z64+'CCL GROUP P&amp;L'!Z64+'YBHN GROUP P&amp;L'!Z64+'YBN Group P&amp;L'!Z64+'HAB P&amp;L'!Z64+'Moe2 P&amp;L'!Z64</f>
        <v/>
      </c>
      <c r="AA64" s="36">
        <f>SUM(O64:U64)</f>
        <v/>
      </c>
      <c r="AB64" s="36">
        <f>SUM(O64:Z64)</f>
        <v/>
      </c>
      <c r="AC64" s="38">
        <f>'KNL GROUP P&amp;L'!AC64+'CCL GROUP P&amp;L'!AC64+'YBHN GROUP P&amp;L'!AC64+'YBN Group P&amp;L'!AC64+'HAB P&amp;L'!AC64+'Moe2 P&amp;L'!AC64</f>
        <v/>
      </c>
      <c r="AD64" s="38">
        <f>'KNL GROUP P&amp;L'!AD64+'CCL GROUP P&amp;L'!AD64+'YBHN GROUP P&amp;L'!AD64+'YBN Group P&amp;L'!AD64+'HAB P&amp;L'!AD64+'Moe2 P&amp;L'!AD64</f>
        <v/>
      </c>
      <c r="AE64" s="38">
        <f>'KNL GROUP P&amp;L'!AE64+'CCL GROUP P&amp;L'!AE64+'YBHN GROUP P&amp;L'!AE64+'YBN Group P&amp;L'!AE64+'HAB P&amp;L'!AE64+'Moe2 P&amp;L'!AE64</f>
        <v/>
      </c>
      <c r="AF64" s="38">
        <f>'KNL GROUP P&amp;L'!AF64+'CCL GROUP P&amp;L'!AF64+'YBHN GROUP P&amp;L'!AF64+'YBN Group P&amp;L'!AF64+'HAB P&amp;L'!AF64+'Moe2 P&amp;L'!AF64</f>
        <v/>
      </c>
      <c r="AG64" s="38">
        <f>'KNL GROUP P&amp;L'!AG64+'CCL GROUP P&amp;L'!AG64+'YBHN GROUP P&amp;L'!AG64+'YBN Group P&amp;L'!AG64+'HAB P&amp;L'!AG64+'Moe2 P&amp;L'!AG64</f>
        <v/>
      </c>
      <c r="AH64" s="38">
        <f>'KNL GROUP P&amp;L'!AH64+'CCL GROUP P&amp;L'!AH64+'YBHN GROUP P&amp;L'!AH64+'YBN Group P&amp;L'!AH64+'HAB P&amp;L'!AH64+'Moe2 P&amp;L'!AH64</f>
        <v/>
      </c>
      <c r="AI64" s="118" t="n">
        <v>0</v>
      </c>
      <c r="AJ64" s="119" t="n">
        <v>0</v>
      </c>
      <c r="AK64" s="119" t="n">
        <v>0</v>
      </c>
      <c r="AL64" s="119" t="n">
        <v>0</v>
      </c>
      <c r="AM64" s="119" t="n">
        <v>0</v>
      </c>
      <c r="AN64" s="118" t="n">
        <v>0</v>
      </c>
      <c r="AO64" s="121">
        <f>SUM(AC64:AH64)+SUM(AI64:AN64)</f>
        <v/>
      </c>
      <c r="AP64" s="122">
        <f>IF(AB64&lt;&gt;0,(AO64-AB64)/ABS(AB64),0)</f>
        <v/>
      </c>
    </row>
    <row r="65">
      <c r="A65" s="34" t="inlineStr">
        <is>
          <t>Audit</t>
        </is>
      </c>
      <c r="B65" s="35" t="n">
        <v>18480</v>
      </c>
      <c r="C65" s="35" t="n">
        <v>150</v>
      </c>
      <c r="D65" s="35" t="n">
        <v>43200</v>
      </c>
      <c r="E65" s="35" t="n">
        <v>5672.4</v>
      </c>
      <c r="F65" s="35" t="n">
        <v>0</v>
      </c>
      <c r="G65" s="35" t="n">
        <v>0</v>
      </c>
      <c r="H65" s="35" t="n">
        <v>0</v>
      </c>
      <c r="I65" s="35" t="n">
        <v>0</v>
      </c>
      <c r="J65" s="35" t="n">
        <v>0</v>
      </c>
      <c r="K65" s="35" t="n">
        <v>0</v>
      </c>
      <c r="L65" s="35" t="n">
        <v>0</v>
      </c>
      <c r="M65" s="35" t="n">
        <v>10200</v>
      </c>
      <c r="N65" s="36">
        <f>SUM(B65:M65)</f>
        <v/>
      </c>
      <c r="O65" s="37">
        <f>SUMIF('Group TB '!$R:$R,'GROUP TOTALS MONTHLY P&amp;L'!$A65,'Group TB '!C:C)</f>
        <v/>
      </c>
      <c r="P65" s="37">
        <f>SUMIF('Group TB '!$R:$R,'GROUP TOTALS MONTHLY P&amp;L'!$A65,'Group TB '!D:D)</f>
        <v/>
      </c>
      <c r="Q65" s="37">
        <f>SUMIF('Group TB '!$R:$R,'GROUP TOTALS MONTHLY P&amp;L'!$A65,'Group TB '!E:E)</f>
        <v/>
      </c>
      <c r="R65" s="37">
        <f>SUMIF('Group TB '!$R:$R,'GROUP TOTALS MONTHLY P&amp;L'!$A65,'Group TB '!F:F)</f>
        <v/>
      </c>
      <c r="S65" s="37">
        <f>SUMIF('Group TB '!$R:$R,'GROUP TOTALS MONTHLY P&amp;L'!$A65,'Group TB '!G:G)</f>
        <v/>
      </c>
      <c r="T65" s="37">
        <f>SUMIF('Group TB '!$R:$R,'GROUP TOTALS MONTHLY P&amp;L'!$A65,'Group TB '!H:H)</f>
        <v/>
      </c>
      <c r="U65" s="37">
        <f>SUMIF('Group TB '!$R:$R,'GROUP TOTALS MONTHLY P&amp;L'!$A65,'Group TB '!I:I)</f>
        <v/>
      </c>
      <c r="V65" s="38">
        <f>'KNL GROUP P&amp;L'!V65+'CCL GROUP P&amp;L'!V65+'YBHN GROUP P&amp;L'!V65+'YBN Group P&amp;L'!V65+'HAB P&amp;L'!V65+'Moe2 P&amp;L'!V65</f>
        <v/>
      </c>
      <c r="W65" s="38">
        <f>'KNL GROUP P&amp;L'!W65+'CCL GROUP P&amp;L'!W65+'YBHN GROUP P&amp;L'!W65+'YBN Group P&amp;L'!W65+'HAB P&amp;L'!W65+'Moe2 P&amp;L'!W65</f>
        <v/>
      </c>
      <c r="X65" s="38">
        <f>'KNL GROUP P&amp;L'!X65+'CCL GROUP P&amp;L'!X65+'YBHN GROUP P&amp;L'!X65+'YBN Group P&amp;L'!X65+'HAB P&amp;L'!X65+'Moe2 P&amp;L'!X65</f>
        <v/>
      </c>
      <c r="Y65" s="38">
        <f>'KNL GROUP P&amp;L'!Y65+'CCL GROUP P&amp;L'!Y65+'YBHN GROUP P&amp;L'!Y65+'YBN Group P&amp;L'!Y65+'HAB P&amp;L'!Y65+'Moe2 P&amp;L'!Y65</f>
        <v/>
      </c>
      <c r="Z65" s="38">
        <f>'KNL GROUP P&amp;L'!Z65+'CCL GROUP P&amp;L'!Z65+'YBHN GROUP P&amp;L'!Z65+'YBN Group P&amp;L'!Z65+'HAB P&amp;L'!Z65+'Moe2 P&amp;L'!Z65</f>
        <v/>
      </c>
      <c r="AA65" s="36">
        <f>SUM(O65:U65)</f>
        <v/>
      </c>
      <c r="AB65" s="36">
        <f>SUM(O65:Z65)</f>
        <v/>
      </c>
      <c r="AC65" s="38">
        <f>'KNL GROUP P&amp;L'!AC65+'CCL GROUP P&amp;L'!AC65+'YBHN GROUP P&amp;L'!AC65+'YBN Group P&amp;L'!AC65+'HAB P&amp;L'!AC65+'Moe2 P&amp;L'!AC65</f>
        <v/>
      </c>
      <c r="AD65" s="38">
        <f>'KNL GROUP P&amp;L'!AD65+'CCL GROUP P&amp;L'!AD65+'YBHN GROUP P&amp;L'!AD65+'YBN Group P&amp;L'!AD65+'HAB P&amp;L'!AD65+'Moe2 P&amp;L'!AD65</f>
        <v/>
      </c>
      <c r="AE65" s="38">
        <f>'KNL GROUP P&amp;L'!AE65+'CCL GROUP P&amp;L'!AE65+'YBHN GROUP P&amp;L'!AE65+'YBN Group P&amp;L'!AE65+'HAB P&amp;L'!AE65+'Moe2 P&amp;L'!AE65</f>
        <v/>
      </c>
      <c r="AF65" s="38">
        <f>'KNL GROUP P&amp;L'!AF65+'CCL GROUP P&amp;L'!AF65+'YBHN GROUP P&amp;L'!AF65+'YBN Group P&amp;L'!AF65+'HAB P&amp;L'!AF65+'Moe2 P&amp;L'!AF65</f>
        <v/>
      </c>
      <c r="AG65" s="38">
        <f>'KNL GROUP P&amp;L'!AG65+'CCL GROUP P&amp;L'!AG65+'YBHN GROUP P&amp;L'!AG65+'YBN Group P&amp;L'!AG65+'HAB P&amp;L'!AG65+'Moe2 P&amp;L'!AG65</f>
        <v/>
      </c>
      <c r="AH65" s="38">
        <f>'KNL GROUP P&amp;L'!AH65+'CCL GROUP P&amp;L'!AH65+'YBHN GROUP P&amp;L'!AH65+'YBN Group P&amp;L'!AH65+'HAB P&amp;L'!AH65+'Moe2 P&amp;L'!AH65</f>
        <v/>
      </c>
      <c r="AI65" s="118" t="n">
        <v>0</v>
      </c>
      <c r="AJ65" s="119" t="n">
        <v>0</v>
      </c>
      <c r="AK65" s="119" t="n">
        <v>0</v>
      </c>
      <c r="AL65" s="119" t="n">
        <v>0</v>
      </c>
      <c r="AM65" s="119" t="n">
        <v>0</v>
      </c>
      <c r="AN65" s="118" t="n">
        <v>0</v>
      </c>
      <c r="AO65" s="121">
        <f>SUM(AC65:AH65)+SUM(AI65:AN65)</f>
        <v/>
      </c>
      <c r="AP65" s="122">
        <f>IF(AB65&lt;&gt;0,(AO65-AB65)/ABS(AB65),0)</f>
        <v/>
      </c>
    </row>
    <row r="66">
      <c r="A66" s="34" t="inlineStr">
        <is>
          <t>Accountancy</t>
        </is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0</v>
      </c>
      <c r="J66" s="35" t="n">
        <v>0</v>
      </c>
      <c r="K66" s="35" t="n">
        <v>0</v>
      </c>
      <c r="L66" s="35" t="n">
        <v>0</v>
      </c>
      <c r="M66" s="35" t="n">
        <v>0</v>
      </c>
      <c r="N66" s="36">
        <f>SUM(B66:M66)</f>
        <v/>
      </c>
      <c r="O66" s="37">
        <f>SUMIF('Group TB '!$R:$R,'GROUP TOTALS MONTHLY P&amp;L'!$A66,'Group TB '!C:C)</f>
        <v/>
      </c>
      <c r="P66" s="37">
        <f>SUMIF('Group TB '!$R:$R,'GROUP TOTALS MONTHLY P&amp;L'!$A66,'Group TB '!D:D)</f>
        <v/>
      </c>
      <c r="Q66" s="37">
        <f>SUMIF('Group TB '!$R:$R,'GROUP TOTALS MONTHLY P&amp;L'!$A66,'Group TB '!E:E)</f>
        <v/>
      </c>
      <c r="R66" s="37">
        <f>SUMIF('Group TB '!$R:$R,'GROUP TOTALS MONTHLY P&amp;L'!$A66,'Group TB '!F:F)</f>
        <v/>
      </c>
      <c r="S66" s="37">
        <f>SUMIF('Group TB '!$R:$R,'GROUP TOTALS MONTHLY P&amp;L'!$A66,'Group TB '!G:G)</f>
        <v/>
      </c>
      <c r="T66" s="37">
        <f>SUMIF('Group TB '!$R:$R,'GROUP TOTALS MONTHLY P&amp;L'!$A66,'Group TB '!H:H)</f>
        <v/>
      </c>
      <c r="U66" s="37">
        <f>SUMIF('Group TB '!$R:$R,'GROUP TOTALS MONTHLY P&amp;L'!$A66,'Group TB '!I:I)</f>
        <v/>
      </c>
      <c r="V66" s="38">
        <f>'KNL GROUP P&amp;L'!V66+'CCL GROUP P&amp;L'!V66+'YBHN GROUP P&amp;L'!V66+'YBN Group P&amp;L'!V66+'HAB P&amp;L'!V66+'Moe2 P&amp;L'!V66</f>
        <v/>
      </c>
      <c r="W66" s="38">
        <f>'KNL GROUP P&amp;L'!W66+'CCL GROUP P&amp;L'!W66+'YBHN GROUP P&amp;L'!W66+'YBN Group P&amp;L'!W66+'HAB P&amp;L'!W66+'Moe2 P&amp;L'!W66</f>
        <v/>
      </c>
      <c r="X66" s="38">
        <f>'KNL GROUP P&amp;L'!X66+'CCL GROUP P&amp;L'!X66+'YBHN GROUP P&amp;L'!X66+'YBN Group P&amp;L'!X66+'HAB P&amp;L'!X66+'Moe2 P&amp;L'!X66</f>
        <v/>
      </c>
      <c r="Y66" s="38">
        <f>'KNL GROUP P&amp;L'!Y66+'CCL GROUP P&amp;L'!Y66+'YBHN GROUP P&amp;L'!Y66+'YBN Group P&amp;L'!Y66+'HAB P&amp;L'!Y66+'Moe2 P&amp;L'!Y66</f>
        <v/>
      </c>
      <c r="Z66" s="38">
        <f>'KNL GROUP P&amp;L'!Z66+'CCL GROUP P&amp;L'!Z66+'YBHN GROUP P&amp;L'!Z66+'YBN Group P&amp;L'!Z66+'HAB P&amp;L'!Z66+'Moe2 P&amp;L'!Z66</f>
        <v/>
      </c>
      <c r="AA66" s="36">
        <f>SUM(O66:U66)</f>
        <v/>
      </c>
      <c r="AB66" s="36">
        <f>SUM(O66:Z66)</f>
        <v/>
      </c>
      <c r="AC66" s="38">
        <f>'KNL GROUP P&amp;L'!AC66+'CCL GROUP P&amp;L'!AC66+'YBHN GROUP P&amp;L'!AC66+'YBN Group P&amp;L'!AC66+'HAB P&amp;L'!AC66+'Moe2 P&amp;L'!AC66</f>
        <v/>
      </c>
      <c r="AD66" s="38">
        <f>'KNL GROUP P&amp;L'!AD66+'CCL GROUP P&amp;L'!AD66+'YBHN GROUP P&amp;L'!AD66+'YBN Group P&amp;L'!AD66+'HAB P&amp;L'!AD66+'Moe2 P&amp;L'!AD66</f>
        <v/>
      </c>
      <c r="AE66" s="38">
        <f>'KNL GROUP P&amp;L'!AE66+'CCL GROUP P&amp;L'!AE66+'YBHN GROUP P&amp;L'!AE66+'YBN Group P&amp;L'!AE66+'HAB P&amp;L'!AE66+'Moe2 P&amp;L'!AE66</f>
        <v/>
      </c>
      <c r="AF66" s="38">
        <f>'KNL GROUP P&amp;L'!AF66+'CCL GROUP P&amp;L'!AF66+'YBHN GROUP P&amp;L'!AF66+'YBN Group P&amp;L'!AF66+'HAB P&amp;L'!AF66+'Moe2 P&amp;L'!AF66</f>
        <v/>
      </c>
      <c r="AG66" s="38">
        <f>'KNL GROUP P&amp;L'!AG66+'CCL GROUP P&amp;L'!AG66+'YBHN GROUP P&amp;L'!AG66+'YBN Group P&amp;L'!AG66+'HAB P&amp;L'!AG66+'Moe2 P&amp;L'!AG66</f>
        <v/>
      </c>
      <c r="AH66" s="38">
        <f>'KNL GROUP P&amp;L'!AH66+'CCL GROUP P&amp;L'!AH66+'YBHN GROUP P&amp;L'!AH66+'YBN Group P&amp;L'!AH66+'HAB P&amp;L'!AH66+'Moe2 P&amp;L'!AH66</f>
        <v/>
      </c>
      <c r="AI66" s="118" t="n">
        <v>0</v>
      </c>
      <c r="AJ66" s="119" t="n">
        <v>0</v>
      </c>
      <c r="AK66" s="119" t="n">
        <v>0</v>
      </c>
      <c r="AL66" s="119" t="n">
        <v>0</v>
      </c>
      <c r="AM66" s="119" t="n">
        <v>0</v>
      </c>
      <c r="AN66" s="118" t="n">
        <v>0</v>
      </c>
      <c r="AO66" s="121">
        <f>SUM(AC66:AH66)+SUM(AI66:AN66)</f>
        <v/>
      </c>
      <c r="AP66" s="122">
        <f>IF(AB66&lt;&gt;0,(AO66-AB66)/ABS(AB66),0)</f>
        <v/>
      </c>
    </row>
    <row r="67">
      <c r="A67" s="34" t="inlineStr">
        <is>
          <t>Proffessional Fees</t>
        </is>
      </c>
      <c r="B67" s="35" t="n">
        <v>-2490.960000000001</v>
      </c>
      <c r="C67" s="35" t="n">
        <v>24986.81</v>
      </c>
      <c r="D67" s="35" t="n">
        <v>6956.65</v>
      </c>
      <c r="E67" s="35" t="n">
        <v>23477.11</v>
      </c>
      <c r="F67" s="35" t="n">
        <v>12828.06</v>
      </c>
      <c r="G67" s="35" t="n">
        <v>6524.48</v>
      </c>
      <c r="H67" s="35" t="n">
        <v>5991.870000000001</v>
      </c>
      <c r="I67" s="35" t="n">
        <v>5914.58</v>
      </c>
      <c r="J67" s="35" t="n">
        <v>17708.91</v>
      </c>
      <c r="K67" s="35" t="n">
        <v>9306.309999999999</v>
      </c>
      <c r="L67" s="35" t="n">
        <v>6955.470000000001</v>
      </c>
      <c r="M67" s="35" t="n">
        <v>10551.59</v>
      </c>
      <c r="N67" s="36">
        <f>SUM(B67:M67)</f>
        <v/>
      </c>
      <c r="O67" s="37">
        <f>SUMIF('Group TB '!$R:$R,'GROUP TOTALS MONTHLY P&amp;L'!$A67,'Group TB '!C:C)</f>
        <v/>
      </c>
      <c r="P67" s="37">
        <f>SUMIF('Group TB '!$R:$R,'GROUP TOTALS MONTHLY P&amp;L'!$A67,'Group TB '!D:D)</f>
        <v/>
      </c>
      <c r="Q67" s="37">
        <f>SUMIF('Group TB '!$R:$R,'GROUP TOTALS MONTHLY P&amp;L'!$A67,'Group TB '!E:E)</f>
        <v/>
      </c>
      <c r="R67" s="37">
        <f>SUMIF('Group TB '!$R:$R,'GROUP TOTALS MONTHLY P&amp;L'!$A67,'Group TB '!F:F)</f>
        <v/>
      </c>
      <c r="S67" s="37">
        <f>SUMIF('Group TB '!$R:$R,'GROUP TOTALS MONTHLY P&amp;L'!$A67,'Group TB '!G:G)</f>
        <v/>
      </c>
      <c r="T67" s="37">
        <f>SUMIF('Group TB '!$R:$R,'GROUP TOTALS MONTHLY P&amp;L'!$A67,'Group TB '!H:H)</f>
        <v/>
      </c>
      <c r="U67" s="37">
        <f>SUMIF('Group TB '!$R:$R,'GROUP TOTALS MONTHLY P&amp;L'!$A67,'Group TB '!I:I)</f>
        <v/>
      </c>
      <c r="V67" s="38">
        <f>'KNL GROUP P&amp;L'!V67+'CCL GROUP P&amp;L'!V67+'YBHN GROUP P&amp;L'!V67+'YBN Group P&amp;L'!V67+'HAB P&amp;L'!V67+'Moe2 P&amp;L'!V67</f>
        <v/>
      </c>
      <c r="W67" s="38">
        <f>'KNL GROUP P&amp;L'!W67+'CCL GROUP P&amp;L'!W67+'YBHN GROUP P&amp;L'!W67+'YBN Group P&amp;L'!W67+'HAB P&amp;L'!W67+'Moe2 P&amp;L'!W67</f>
        <v/>
      </c>
      <c r="X67" s="38">
        <f>'KNL GROUP P&amp;L'!X67+'CCL GROUP P&amp;L'!X67+'YBHN GROUP P&amp;L'!X67+'YBN Group P&amp;L'!X67+'HAB P&amp;L'!X67+'Moe2 P&amp;L'!X67</f>
        <v/>
      </c>
      <c r="Y67" s="38">
        <f>'KNL GROUP P&amp;L'!Y67+'CCL GROUP P&amp;L'!Y67+'YBHN GROUP P&amp;L'!Y67+'YBN Group P&amp;L'!Y67+'HAB P&amp;L'!Y67+'Moe2 P&amp;L'!Y67</f>
        <v/>
      </c>
      <c r="Z67" s="38">
        <f>'KNL GROUP P&amp;L'!Z67+'CCL GROUP P&amp;L'!Z67+'YBHN GROUP P&amp;L'!Z67+'YBN Group P&amp;L'!Z67+'HAB P&amp;L'!Z67+'Moe2 P&amp;L'!Z67</f>
        <v/>
      </c>
      <c r="AA67" s="36">
        <f>SUM(O67:U67)</f>
        <v/>
      </c>
      <c r="AB67" s="36">
        <f>SUM(O67:Z67)</f>
        <v/>
      </c>
      <c r="AC67" s="38">
        <f>'KNL GROUP P&amp;L'!AC67+'CCL GROUP P&amp;L'!AC67+'YBHN GROUP P&amp;L'!AC67+'YBN Group P&amp;L'!AC67+'HAB P&amp;L'!AC67+'Moe2 P&amp;L'!AC67</f>
        <v/>
      </c>
      <c r="AD67" s="38">
        <f>'KNL GROUP P&amp;L'!AD67+'CCL GROUP P&amp;L'!AD67+'YBHN GROUP P&amp;L'!AD67+'YBN Group P&amp;L'!AD67+'HAB P&amp;L'!AD67+'Moe2 P&amp;L'!AD67</f>
        <v/>
      </c>
      <c r="AE67" s="38">
        <f>'KNL GROUP P&amp;L'!AE67+'CCL GROUP P&amp;L'!AE67+'YBHN GROUP P&amp;L'!AE67+'YBN Group P&amp;L'!AE67+'HAB P&amp;L'!AE67+'Moe2 P&amp;L'!AE67</f>
        <v/>
      </c>
      <c r="AF67" s="38">
        <f>'KNL GROUP P&amp;L'!AF67+'CCL GROUP P&amp;L'!AF67+'YBHN GROUP P&amp;L'!AF67+'YBN Group P&amp;L'!AF67+'HAB P&amp;L'!AF67+'Moe2 P&amp;L'!AF67</f>
        <v/>
      </c>
      <c r="AG67" s="38">
        <f>'KNL GROUP P&amp;L'!AG67+'CCL GROUP P&amp;L'!AG67+'YBHN GROUP P&amp;L'!AG67+'YBN Group P&amp;L'!AG67+'HAB P&amp;L'!AG67+'Moe2 P&amp;L'!AG67</f>
        <v/>
      </c>
      <c r="AH67" s="38">
        <f>'KNL GROUP P&amp;L'!AH67+'CCL GROUP P&amp;L'!AH67+'YBHN GROUP P&amp;L'!AH67+'YBN Group P&amp;L'!AH67+'HAB P&amp;L'!AH67+'Moe2 P&amp;L'!AH67</f>
        <v/>
      </c>
      <c r="AI67" s="118" t="n">
        <v>0</v>
      </c>
      <c r="AJ67" s="119" t="n">
        <v>0</v>
      </c>
      <c r="AK67" s="119" t="n">
        <v>0</v>
      </c>
      <c r="AL67" s="119" t="n">
        <v>0</v>
      </c>
      <c r="AM67" s="119" t="n">
        <v>0</v>
      </c>
      <c r="AN67" s="118" t="n">
        <v>0</v>
      </c>
      <c r="AO67" s="121">
        <f>SUM(AC67:AH67)+SUM(AI67:AN67)</f>
        <v/>
      </c>
      <c r="AP67" s="122">
        <f>IF(AB67&lt;&gt;0,(AO67-AB67)/ABS(AB67),0)</f>
        <v/>
      </c>
    </row>
    <row r="68" ht="15.75" customHeight="1">
      <c r="A68" s="34" t="inlineStr">
        <is>
          <t>Finance Costs</t>
        </is>
      </c>
      <c r="B68" s="35" t="n">
        <v>355.6</v>
      </c>
      <c r="C68" s="35" t="n">
        <v>382.15</v>
      </c>
      <c r="D68" s="35" t="n">
        <v>494.51</v>
      </c>
      <c r="E68" s="35" t="n">
        <v>424.02</v>
      </c>
      <c r="F68" s="35" t="n">
        <v>451.65</v>
      </c>
      <c r="G68" s="35" t="n">
        <v>545.4</v>
      </c>
      <c r="H68" s="35" t="n">
        <v>1075.45</v>
      </c>
      <c r="I68" s="35" t="n">
        <v>326.4</v>
      </c>
      <c r="J68" s="35" t="n">
        <v>166.53</v>
      </c>
      <c r="K68" s="35" t="n">
        <v>342.5</v>
      </c>
      <c r="L68" s="35" t="n">
        <v>281.9</v>
      </c>
      <c r="M68" s="35" t="n">
        <v>314.79</v>
      </c>
      <c r="N68" s="36">
        <f>SUM(B68:M68)</f>
        <v/>
      </c>
      <c r="O68" s="37">
        <f>SUMIF('Group TB '!$R:$R,'GROUP TOTALS MONTHLY P&amp;L'!$A68,'Group TB '!C:C)</f>
        <v/>
      </c>
      <c r="P68" s="37">
        <f>SUMIF('Group TB '!$R:$R,'GROUP TOTALS MONTHLY P&amp;L'!$A68,'Group TB '!D:D)</f>
        <v/>
      </c>
      <c r="Q68" s="37">
        <f>SUMIF('Group TB '!$R:$R,'GROUP TOTALS MONTHLY P&amp;L'!$A68,'Group TB '!E:E)</f>
        <v/>
      </c>
      <c r="R68" s="37">
        <f>SUMIF('Group TB '!$R:$R,'GROUP TOTALS MONTHLY P&amp;L'!$A68,'Group TB '!F:F)</f>
        <v/>
      </c>
      <c r="S68" s="37">
        <f>SUMIF('Group TB '!$R:$R,'GROUP TOTALS MONTHLY P&amp;L'!$A68,'Group TB '!G:G)</f>
        <v/>
      </c>
      <c r="T68" s="37">
        <f>SUMIF('Group TB '!$R:$R,'GROUP TOTALS MONTHLY P&amp;L'!$A68,'Group TB '!H:H)</f>
        <v/>
      </c>
      <c r="U68" s="37">
        <f>SUMIF('Group TB '!$R:$R,'GROUP TOTALS MONTHLY P&amp;L'!$A68,'Group TB '!I:I)</f>
        <v/>
      </c>
      <c r="V68" s="38">
        <f>'KNL GROUP P&amp;L'!V68+'CCL GROUP P&amp;L'!V68+'YBHN GROUP P&amp;L'!V68+'YBN Group P&amp;L'!V68+'HAB P&amp;L'!V68+'Moe2 P&amp;L'!V68</f>
        <v/>
      </c>
      <c r="W68" s="38">
        <f>'KNL GROUP P&amp;L'!W68+'CCL GROUP P&amp;L'!W68+'YBHN GROUP P&amp;L'!W68+'YBN Group P&amp;L'!W68+'HAB P&amp;L'!W68+'Moe2 P&amp;L'!W68</f>
        <v/>
      </c>
      <c r="X68" s="38">
        <f>'KNL GROUP P&amp;L'!X68+'CCL GROUP P&amp;L'!X68+'YBHN GROUP P&amp;L'!X68+'YBN Group P&amp;L'!X68+'HAB P&amp;L'!X68+'Moe2 P&amp;L'!X68</f>
        <v/>
      </c>
      <c r="Y68" s="38">
        <f>'KNL GROUP P&amp;L'!Y68+'CCL GROUP P&amp;L'!Y68+'YBHN GROUP P&amp;L'!Y68+'YBN Group P&amp;L'!Y68+'HAB P&amp;L'!Y68+'Moe2 P&amp;L'!Y68</f>
        <v/>
      </c>
      <c r="Z68" s="38">
        <f>'KNL GROUP P&amp;L'!Z68+'CCL GROUP P&amp;L'!Z68+'YBHN GROUP P&amp;L'!Z68+'YBN Group P&amp;L'!Z68+'HAB P&amp;L'!Z68+'Moe2 P&amp;L'!Z68</f>
        <v/>
      </c>
      <c r="AA68" s="36">
        <f>SUM(O68:U68)</f>
        <v/>
      </c>
      <c r="AB68" s="104">
        <f>SUM(O68:Z68)</f>
        <v/>
      </c>
      <c r="AC68" s="38">
        <f>'KNL GROUP P&amp;L'!AC68+'CCL GROUP P&amp;L'!AC68+'YBHN GROUP P&amp;L'!AC68+'YBN Group P&amp;L'!AC68+'HAB P&amp;L'!AC68+'Moe2 P&amp;L'!AC68</f>
        <v/>
      </c>
      <c r="AD68" s="38">
        <f>'KNL GROUP P&amp;L'!AD68+'CCL GROUP P&amp;L'!AD68+'YBHN GROUP P&amp;L'!AD68+'YBN Group P&amp;L'!AD68+'HAB P&amp;L'!AD68+'Moe2 P&amp;L'!AD68</f>
        <v/>
      </c>
      <c r="AE68" s="38">
        <f>'KNL GROUP P&amp;L'!AE68+'CCL GROUP P&amp;L'!AE68+'YBHN GROUP P&amp;L'!AE68+'YBN Group P&amp;L'!AE68+'HAB P&amp;L'!AE68+'Moe2 P&amp;L'!AE68</f>
        <v/>
      </c>
      <c r="AF68" s="38">
        <f>'KNL GROUP P&amp;L'!AF68+'CCL GROUP P&amp;L'!AF68+'YBHN GROUP P&amp;L'!AF68+'YBN Group P&amp;L'!AF68+'HAB P&amp;L'!AF68+'Moe2 P&amp;L'!AF68</f>
        <v/>
      </c>
      <c r="AG68" s="38">
        <f>'KNL GROUP P&amp;L'!AG68+'CCL GROUP P&amp;L'!AG68+'YBHN GROUP P&amp;L'!AG68+'YBN Group P&amp;L'!AG68+'HAB P&amp;L'!AG68+'Moe2 P&amp;L'!AG68</f>
        <v/>
      </c>
      <c r="AH68" s="38">
        <f>'KNL GROUP P&amp;L'!AH68+'CCL GROUP P&amp;L'!AH68+'YBHN GROUP P&amp;L'!AH68+'YBN Group P&amp;L'!AH68+'HAB P&amp;L'!AH68+'Moe2 P&amp;L'!AH68</f>
        <v/>
      </c>
      <c r="AI68" s="118" t="n">
        <v>0</v>
      </c>
      <c r="AJ68" s="119" t="n">
        <v>0</v>
      </c>
      <c r="AK68" s="119" t="n">
        <v>0</v>
      </c>
      <c r="AL68" s="119" t="n">
        <v>0</v>
      </c>
      <c r="AM68" s="119" t="n">
        <v>0</v>
      </c>
      <c r="AN68" s="118" t="n">
        <v>0</v>
      </c>
      <c r="AO68" s="121">
        <f>SUM(AC68:AH68)+SUM(AI68:AN68)</f>
        <v/>
      </c>
      <c r="AP68" s="122">
        <f>IF(AB68&lt;&gt;0,(AO68-AB68)/ABS(AB68),0)</f>
        <v/>
      </c>
    </row>
    <row r="69" ht="15.75" customHeight="1">
      <c r="A69" s="41" t="inlineStr">
        <is>
          <t>Total Overheads</t>
        </is>
      </c>
      <c r="B69" s="42" t="n">
        <v>127479.33</v>
      </c>
      <c r="C69" s="42" t="n">
        <v>140605.39</v>
      </c>
      <c r="D69" s="42" t="n">
        <v>165696.69</v>
      </c>
      <c r="E69" s="42" t="n">
        <v>203725.6</v>
      </c>
      <c r="F69" s="42" t="n">
        <v>125065.98</v>
      </c>
      <c r="G69" s="42" t="n">
        <v>142071.87</v>
      </c>
      <c r="H69" s="42" t="n">
        <v>142712.62</v>
      </c>
      <c r="I69" s="42" t="n">
        <v>158334.06</v>
      </c>
      <c r="J69" s="42" t="n">
        <v>215286.34</v>
      </c>
      <c r="K69" s="42" t="n">
        <v>147961.99</v>
      </c>
      <c r="L69" s="42" t="n">
        <v>157533.37</v>
      </c>
      <c r="M69" s="42" t="n">
        <v>488946.03</v>
      </c>
      <c r="N69" s="43">
        <f>SUM(B69:M69)</f>
        <v/>
      </c>
      <c r="O69" s="44">
        <f>SUM(O53:O68)</f>
        <v/>
      </c>
      <c r="P69" s="44">
        <f>SUM(P53:P68)</f>
        <v/>
      </c>
      <c r="Q69" s="44">
        <f>SUM(Q53:Q68)</f>
        <v/>
      </c>
      <c r="R69" s="44">
        <f>SUM(R53:R68)</f>
        <v/>
      </c>
      <c r="S69" s="44">
        <f>SUM(S53:S68)</f>
        <v/>
      </c>
      <c r="T69" s="44">
        <f>SUM(T53:T68)</f>
        <v/>
      </c>
      <c r="U69" s="44">
        <f>SUM(U53:U68)</f>
        <v/>
      </c>
      <c r="V69" s="45">
        <f>SUM(V53:V68)</f>
        <v/>
      </c>
      <c r="W69" s="45">
        <f>SUM(W53:W68)</f>
        <v/>
      </c>
      <c r="X69" s="45">
        <f>SUM(X53:X68)</f>
        <v/>
      </c>
      <c r="Y69" s="45">
        <f>SUM(Y53:Y68)</f>
        <v/>
      </c>
      <c r="Z69" s="45">
        <f>SUM(Z53:Z68)</f>
        <v/>
      </c>
      <c r="AA69" s="43">
        <f>SUM(O69:U69)</f>
        <v/>
      </c>
      <c r="AB69" s="43">
        <f>SUM(AB53:AB68)</f>
        <v/>
      </c>
      <c r="AC69" s="45">
        <f>SUM(AC53:AC68)</f>
        <v/>
      </c>
      <c r="AD69" s="45">
        <f>SUM(AD53:AD68)</f>
        <v/>
      </c>
      <c r="AE69" s="45">
        <f>SUM(AE53:AE68)</f>
        <v/>
      </c>
      <c r="AF69" s="45">
        <f>SUM(AF53:AF68)</f>
        <v/>
      </c>
      <c r="AG69" s="45">
        <f>SUM(AG53:AG68)</f>
        <v/>
      </c>
      <c r="AH69" s="45">
        <f>SUM(AH53:AH68)</f>
        <v/>
      </c>
      <c r="AI69" s="123">
        <f>SUM(AI53:AI68)</f>
        <v/>
      </c>
      <c r="AJ69" s="124">
        <f>SUM(AJ53:AJ68)</f>
        <v/>
      </c>
      <c r="AK69" s="124">
        <f>SUM(AK53:AK68)</f>
        <v/>
      </c>
      <c r="AL69" s="124">
        <f>SUM(AL53:AL68)</f>
        <v/>
      </c>
      <c r="AM69" s="124">
        <f>SUM(AM53:AM68)</f>
        <v/>
      </c>
      <c r="AN69" s="123">
        <f>SUM(AN53:AN68)</f>
        <v/>
      </c>
      <c r="AO69" s="125">
        <f>SUM(AC69:AH69)+SUM(AI69:AN69)</f>
        <v/>
      </c>
      <c r="AP69" s="126">
        <f>IF(AB69&lt;&gt;0,(AO69-AB69)/ABS(AB69),0)</f>
        <v/>
      </c>
    </row>
    <row r="70" ht="15.75" customHeight="1">
      <c r="A70" s="54" t="inlineStr">
        <is>
          <t>EBITDA</t>
        </is>
      </c>
      <c r="B70" s="55" t="n">
        <v>141740.61</v>
      </c>
      <c r="C70" s="55" t="n">
        <v>161261.61</v>
      </c>
      <c r="D70" s="55" t="n">
        <v>312669.7000000001</v>
      </c>
      <c r="E70" s="55" t="n">
        <v>104412.3299999997</v>
      </c>
      <c r="F70" s="55" t="n">
        <v>72948.60000000011</v>
      </c>
      <c r="G70" s="55" t="n">
        <v>198388.9600000001</v>
      </c>
      <c r="H70" s="55" t="n">
        <v>475618.0999999997</v>
      </c>
      <c r="I70" s="55" t="n">
        <v>-16824.51000000004</v>
      </c>
      <c r="J70" s="55" t="n">
        <v>-96262.10999999993</v>
      </c>
      <c r="K70" s="55" t="n">
        <v>-10399.62</v>
      </c>
      <c r="L70" s="55" t="n">
        <v>166737.3400000001</v>
      </c>
      <c r="M70" s="55" t="n">
        <v>47760.69</v>
      </c>
      <c r="N70" s="55">
        <f>SUM(B70:M70)</f>
        <v/>
      </c>
      <c r="O70" s="55">
        <f>O50-O69</f>
        <v/>
      </c>
      <c r="P70" s="55">
        <f>P50-P69</f>
        <v/>
      </c>
      <c r="Q70" s="55">
        <f>Q50-Q69</f>
        <v/>
      </c>
      <c r="R70" s="55">
        <f>R50-R69</f>
        <v/>
      </c>
      <c r="S70" s="55">
        <f>S50-S69</f>
        <v/>
      </c>
      <c r="T70" s="55">
        <f>T50-T69</f>
        <v/>
      </c>
      <c r="U70" s="55">
        <f>U50-U69</f>
        <v/>
      </c>
      <c r="V70" s="55">
        <f>V50-V69</f>
        <v/>
      </c>
      <c r="W70" s="55">
        <f>W50-W69</f>
        <v/>
      </c>
      <c r="X70" s="55">
        <f>X50-X69</f>
        <v/>
      </c>
      <c r="Y70" s="55">
        <f>Y50-Y69</f>
        <v/>
      </c>
      <c r="Z70" s="55">
        <f>Z50-Z69</f>
        <v/>
      </c>
      <c r="AA70" s="55">
        <f>AA50-AA69</f>
        <v/>
      </c>
      <c r="AB70" s="55">
        <f>AB50-AB69</f>
        <v/>
      </c>
      <c r="AC70" s="55">
        <f>AC50-AC69</f>
        <v/>
      </c>
      <c r="AD70" s="55">
        <f>AD50-AD69</f>
        <v/>
      </c>
      <c r="AE70" s="55">
        <f>AE50-AE69</f>
        <v/>
      </c>
      <c r="AF70" s="55">
        <f>AF50-AF69</f>
        <v/>
      </c>
      <c r="AG70" s="55">
        <f>AG50-AG69</f>
        <v/>
      </c>
      <c r="AH70" s="55">
        <f>AH50-AH69</f>
        <v/>
      </c>
      <c r="AI70" s="140">
        <f>AI50-AI69</f>
        <v/>
      </c>
      <c r="AJ70" s="140">
        <f>AJ50-AJ69</f>
        <v/>
      </c>
      <c r="AK70" s="140">
        <f>AK50-AK69</f>
        <v/>
      </c>
      <c r="AL70" s="140">
        <f>AL50-AL69</f>
        <v/>
      </c>
      <c r="AM70" s="140">
        <f>AM50-AM69</f>
        <v/>
      </c>
      <c r="AN70" s="140">
        <f>AN50-AN69</f>
        <v/>
      </c>
      <c r="AO70" s="141">
        <f>SUM(AC70:AH70)+SUM(AI70:AN70)</f>
        <v/>
      </c>
      <c r="AP70" s="142">
        <f>IF(AB70&lt;&gt;0,(AO70-AB70)/ABS(AB70),0)</f>
        <v/>
      </c>
      <c r="AQ70" s="143">
        <f>AO70-1300000</f>
        <v/>
      </c>
    </row>
    <row r="71">
      <c r="A71" s="28" t="inlineStr">
        <is>
          <t>Exceptional Add Backs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36">
        <f>SUM(B71:M71)</f>
        <v/>
      </c>
      <c r="O71" s="8" t="n"/>
      <c r="P71" s="8" t="n"/>
      <c r="Q71" s="8" t="n"/>
      <c r="R71" s="8" t="n"/>
      <c r="S71" s="8" t="n"/>
      <c r="T71" s="8" t="n"/>
      <c r="U71" s="8" t="n"/>
      <c r="V71" s="20" t="n"/>
      <c r="W71" s="20" t="n"/>
      <c r="X71" s="20" t="n"/>
      <c r="Y71" s="20" t="n"/>
      <c r="Z71" s="20" t="n"/>
      <c r="AA71" s="36">
        <f>SUM(O71:U71)</f>
        <v/>
      </c>
      <c r="AB71" s="56" t="n"/>
      <c r="AC71" s="20" t="n"/>
      <c r="AD71" s="20" t="n"/>
      <c r="AE71" s="20" t="n"/>
      <c r="AF71" s="20" t="n"/>
      <c r="AG71" s="20" t="n"/>
      <c r="AH71" s="20" t="n"/>
      <c r="AI71" s="134" t="n">
        <v>0</v>
      </c>
      <c r="AJ71" s="134" t="n">
        <v>0</v>
      </c>
      <c r="AK71" s="134" t="n">
        <v>0</v>
      </c>
      <c r="AL71" s="134" t="n">
        <v>0</v>
      </c>
      <c r="AM71" s="134" t="n">
        <v>0</v>
      </c>
      <c r="AN71" s="134" t="n">
        <v>0</v>
      </c>
      <c r="AO71" s="144">
        <f>SUM(AC71:AH71)+SUM(AI71:AN71)</f>
        <v/>
      </c>
      <c r="AP71" s="142">
        <f>IF(AB71&lt;&gt;0,(AO71-AB71)/ABS(AB71),0)</f>
        <v/>
      </c>
    </row>
    <row r="72">
      <c r="A72" s="34" t="inlineStr">
        <is>
          <t>Bonus - Attendance</t>
        </is>
      </c>
      <c r="B72" s="35" t="n"/>
      <c r="C72" s="35" t="n"/>
      <c r="D72" s="35" t="n"/>
      <c r="E72" s="35" t="n"/>
      <c r="F72" s="35" t="n"/>
      <c r="G72" s="35" t="n"/>
      <c r="H72" s="35" t="n">
        <v>23662</v>
      </c>
      <c r="I72" s="35" t="n">
        <v>278</v>
      </c>
      <c r="J72" s="35" t="n"/>
      <c r="K72" s="35" t="n"/>
      <c r="L72" s="35" t="n"/>
      <c r="M72" s="35" t="n"/>
      <c r="N72" s="36">
        <f>SUM(B72:M72)</f>
        <v/>
      </c>
      <c r="O72" s="37" t="n"/>
      <c r="P72" s="37" t="n"/>
      <c r="Q72" s="37" t="n"/>
      <c r="R72" s="37" t="n"/>
      <c r="S72" s="37" t="n"/>
      <c r="T72" s="37" t="n"/>
      <c r="U72" s="37" t="n"/>
      <c r="V72" s="38" t="n"/>
      <c r="W72" s="38" t="n"/>
      <c r="X72" s="38" t="n"/>
      <c r="Y72" s="38" t="n"/>
      <c r="Z72" s="38" t="n"/>
      <c r="AA72" s="36">
        <f>SUM(O72:U72)</f>
        <v/>
      </c>
      <c r="AB72" s="56" t="n"/>
      <c r="AC72" s="38" t="n"/>
      <c r="AD72" s="38" t="n"/>
      <c r="AE72" s="38" t="n"/>
      <c r="AF72" s="38" t="n"/>
      <c r="AG72" s="38" t="n"/>
      <c r="AH72" s="38" t="n"/>
      <c r="AI72" s="118" t="n">
        <v>0</v>
      </c>
      <c r="AJ72" s="118" t="n">
        <v>0</v>
      </c>
      <c r="AK72" s="118" t="n">
        <v>0</v>
      </c>
      <c r="AL72" s="118" t="n">
        <v>0</v>
      </c>
      <c r="AM72" s="118" t="n">
        <v>0</v>
      </c>
      <c r="AN72" s="118" t="n">
        <v>0</v>
      </c>
      <c r="AO72" s="144">
        <f>SUM(AC72:AH72)+SUM(AI72:AN72)</f>
        <v/>
      </c>
      <c r="AP72" s="142">
        <f>IF(AB72&lt;&gt;0,(AO72-AB72)/ABS(AB72),0)</f>
        <v/>
      </c>
    </row>
    <row r="73">
      <c r="A73" s="34" t="inlineStr">
        <is>
          <t>Bonus - General</t>
        </is>
      </c>
      <c r="B73" s="35" t="n">
        <v>300</v>
      </c>
      <c r="C73" s="35" t="n">
        <v>918</v>
      </c>
      <c r="D73" s="35" t="n">
        <v>518</v>
      </c>
      <c r="E73" s="35" t="n">
        <v>1618</v>
      </c>
      <c r="F73" s="35" t="n">
        <v>993</v>
      </c>
      <c r="G73" s="35" t="n">
        <v>1443</v>
      </c>
      <c r="H73" s="35" t="n">
        <v>4593</v>
      </c>
      <c r="I73" s="35" t="n">
        <v>900</v>
      </c>
      <c r="J73" s="35" t="n"/>
      <c r="K73" s="35" t="n"/>
      <c r="L73" s="35" t="n"/>
      <c r="M73" s="35" t="n"/>
      <c r="N73" s="36">
        <f>SUM(B73:M73)</f>
        <v/>
      </c>
      <c r="O73" s="37" t="n"/>
      <c r="P73" s="37" t="n"/>
      <c r="Q73" s="37" t="n"/>
      <c r="R73" s="37" t="n"/>
      <c r="S73" s="37" t="n"/>
      <c r="T73" s="37" t="n"/>
      <c r="U73" s="37" t="n"/>
      <c r="V73" s="38" t="n"/>
      <c r="W73" s="38" t="n"/>
      <c r="X73" s="38" t="n"/>
      <c r="Y73" s="38" t="n"/>
      <c r="Z73" s="38" t="n"/>
      <c r="AA73" s="36">
        <f>SUM(O73:U73)</f>
        <v/>
      </c>
      <c r="AB73" s="56" t="n"/>
      <c r="AC73" s="38" t="n"/>
      <c r="AD73" s="38" t="n"/>
      <c r="AE73" s="38" t="n"/>
      <c r="AF73" s="38" t="n"/>
      <c r="AG73" s="38" t="n"/>
      <c r="AH73" s="38" t="n"/>
      <c r="AI73" s="118" t="n">
        <v>0</v>
      </c>
      <c r="AJ73" s="118" t="n">
        <v>0</v>
      </c>
      <c r="AK73" s="118" t="n">
        <v>0</v>
      </c>
      <c r="AL73" s="118" t="n">
        <v>0</v>
      </c>
      <c r="AM73" s="118" t="n">
        <v>0</v>
      </c>
      <c r="AN73" s="118" t="n">
        <v>0</v>
      </c>
      <c r="AO73" s="144">
        <f>SUM(AC73:AH73)+SUM(AI73:AN73)</f>
        <v/>
      </c>
      <c r="AP73" s="142">
        <f>IF(AB73&lt;&gt;0,(AO73-AB73)/ABS(AB73),0)</f>
        <v/>
      </c>
    </row>
    <row r="74">
      <c r="A74" s="34" t="inlineStr">
        <is>
          <t>Bonus - Directors</t>
        </is>
      </c>
      <c r="B74" s="35" t="n">
        <v>24447</v>
      </c>
      <c r="C74" s="35" t="n">
        <v>24447</v>
      </c>
      <c r="D74" s="35" t="n">
        <v>24447</v>
      </c>
      <c r="E74" s="35" t="n">
        <v>24446</v>
      </c>
      <c r="F74" s="35" t="n">
        <v>24446</v>
      </c>
      <c r="G74" s="35" t="n">
        <v>42271</v>
      </c>
      <c r="H74" s="35" t="n">
        <v>33516</v>
      </c>
      <c r="I74" s="35" t="n">
        <v>51026</v>
      </c>
      <c r="J74" s="35" t="n">
        <v>42272</v>
      </c>
      <c r="K74" s="35" t="n">
        <v>42271</v>
      </c>
      <c r="L74" s="35" t="n">
        <v>42271</v>
      </c>
      <c r="M74" s="35" t="n">
        <v>341213</v>
      </c>
      <c r="N74" s="36">
        <f>SUM(B74:M74)</f>
        <v/>
      </c>
      <c r="O74" s="37" t="n"/>
      <c r="P74" s="37" t="n"/>
      <c r="Q74" s="37" t="n"/>
      <c r="R74" s="37" t="n"/>
      <c r="S74" s="37" t="n"/>
      <c r="T74" s="37" t="n"/>
      <c r="U74" s="37" t="n"/>
      <c r="V74" s="38" t="n"/>
      <c r="W74" s="38" t="n"/>
      <c r="X74" s="38" t="n"/>
      <c r="Y74" s="38" t="n"/>
      <c r="Z74" s="38" t="n"/>
      <c r="AA74" s="36">
        <f>SUM(O74:U74)</f>
        <v/>
      </c>
      <c r="AB74" s="8" t="n"/>
      <c r="AC74" s="38" t="n"/>
      <c r="AD74" s="38" t="n"/>
      <c r="AE74" s="38" t="n"/>
      <c r="AF74" s="38" t="n"/>
      <c r="AG74" s="38" t="n"/>
      <c r="AH74" s="38" t="n"/>
      <c r="AI74" s="118" t="n">
        <v>0</v>
      </c>
      <c r="AJ74" s="118" t="n">
        <v>0</v>
      </c>
      <c r="AK74" s="118" t="n">
        <v>0</v>
      </c>
      <c r="AL74" s="118" t="n">
        <v>0</v>
      </c>
      <c r="AM74" s="118" t="n">
        <v>0</v>
      </c>
      <c r="AN74" s="118" t="n">
        <v>0</v>
      </c>
      <c r="AO74" s="144">
        <f>SUM(AC74:AH74)+SUM(AI74:AN74)</f>
        <v/>
      </c>
      <c r="AP74" s="142">
        <f>IF(AB74&lt;&gt;0,(AO74-AB74)/ABS(AB74),0)</f>
        <v/>
      </c>
    </row>
    <row r="75">
      <c r="A75" s="34" t="inlineStr">
        <is>
          <t>Bonus - Performance</t>
        </is>
      </c>
      <c r="B75" s="35" t="n"/>
      <c r="C75" s="35" t="n"/>
      <c r="D75" s="35" t="n"/>
      <c r="E75" s="35" t="n">
        <v>35000</v>
      </c>
      <c r="F75" s="35" t="n"/>
      <c r="G75" s="35" t="n"/>
      <c r="H75" s="35" t="n"/>
      <c r="I75" s="35" t="n"/>
      <c r="J75" s="35" t="n">
        <v>17241</v>
      </c>
      <c r="K75" s="35" t="n"/>
      <c r="L75" s="35" t="n"/>
      <c r="M75" s="35" t="n"/>
      <c r="N75" s="36">
        <f>SUM(B75:M75)</f>
        <v/>
      </c>
      <c r="O75" s="37" t="n"/>
      <c r="P75" s="37" t="n"/>
      <c r="Q75" s="37" t="n"/>
      <c r="R75" s="37" t="n"/>
      <c r="S75" s="37" t="n"/>
      <c r="T75" s="37" t="n"/>
      <c r="U75" s="37" t="n"/>
      <c r="V75" s="38" t="n"/>
      <c r="W75" s="38" t="n"/>
      <c r="X75" s="38" t="n"/>
      <c r="Y75" s="38" t="n"/>
      <c r="Z75" s="38" t="n"/>
      <c r="AA75" s="36">
        <f>SUM(O75:U75)</f>
        <v/>
      </c>
      <c r="AB75" s="8" t="n"/>
      <c r="AC75" s="38" t="n"/>
      <c r="AD75" s="38" t="n"/>
      <c r="AE75" s="38" t="n"/>
      <c r="AF75" s="38" t="n"/>
      <c r="AG75" s="38" t="n"/>
      <c r="AH75" s="38" t="n"/>
      <c r="AI75" s="118" t="n">
        <v>0</v>
      </c>
      <c r="AJ75" s="118" t="n">
        <v>0</v>
      </c>
      <c r="AK75" s="118" t="n">
        <v>0</v>
      </c>
      <c r="AL75" s="118" t="n">
        <v>0</v>
      </c>
      <c r="AM75" s="118" t="n">
        <v>0</v>
      </c>
      <c r="AN75" s="118" t="n">
        <v>0</v>
      </c>
      <c r="AO75" s="144">
        <f>SUM(AC75:AH75)+SUM(AI75:AN75)</f>
        <v/>
      </c>
      <c r="AP75" s="142">
        <f>IF(AB75&lt;&gt;0,(AO75-AB75)/ABS(AB75),0)</f>
        <v/>
      </c>
    </row>
    <row r="76">
      <c r="A76" s="34" t="inlineStr">
        <is>
          <t>PILON</t>
        </is>
      </c>
      <c r="B76" s="35" t="n">
        <v>3148</v>
      </c>
      <c r="C76" s="35" t="n"/>
      <c r="D76" s="35" t="n">
        <v>933</v>
      </c>
      <c r="E76" s="35" t="n">
        <v>22819</v>
      </c>
      <c r="F76" s="35" t="n">
        <v>400</v>
      </c>
      <c r="G76" s="35" t="n"/>
      <c r="H76" s="35" t="n"/>
      <c r="I76" s="35" t="n"/>
      <c r="J76" s="35" t="n">
        <v>14086</v>
      </c>
      <c r="K76" s="35" t="n"/>
      <c r="L76" s="35" t="n"/>
      <c r="M76" s="35" t="n"/>
      <c r="N76" s="36">
        <f>SUM(B76:M76)</f>
        <v/>
      </c>
      <c r="O76" s="37" t="n"/>
      <c r="P76" s="37" t="n"/>
      <c r="Q76" s="37" t="n"/>
      <c r="R76" s="37" t="n"/>
      <c r="S76" s="37" t="n"/>
      <c r="T76" s="37" t="n"/>
      <c r="U76" s="37" t="n"/>
      <c r="V76" s="38" t="n"/>
      <c r="W76" s="38" t="n"/>
      <c r="X76" s="38" t="n"/>
      <c r="Y76" s="38" t="n"/>
      <c r="Z76" s="38" t="n"/>
      <c r="AA76" s="36">
        <f>SUM(O76:U76)</f>
        <v/>
      </c>
      <c r="AB76" s="8" t="n"/>
      <c r="AC76" s="38" t="n"/>
      <c r="AD76" s="38" t="n"/>
      <c r="AE76" s="38" t="n"/>
      <c r="AF76" s="38" t="n"/>
      <c r="AG76" s="38" t="n"/>
      <c r="AH76" s="38" t="n"/>
      <c r="AI76" s="118" t="n">
        <v>0</v>
      </c>
      <c r="AJ76" s="118" t="n">
        <v>0</v>
      </c>
      <c r="AK76" s="118" t="n">
        <v>0</v>
      </c>
      <c r="AL76" s="118" t="n">
        <v>0</v>
      </c>
      <c r="AM76" s="118" t="n">
        <v>0</v>
      </c>
      <c r="AN76" s="118" t="n">
        <v>0</v>
      </c>
      <c r="AO76" s="144">
        <f>SUM(AC76:AH76)+SUM(AI76:AN76)</f>
        <v/>
      </c>
      <c r="AP76" s="142">
        <f>IF(AB76&lt;&gt;0,(AO76-AB76)/ABS(AB76),0)</f>
        <v/>
      </c>
    </row>
    <row r="77">
      <c r="A77" s="34" t="inlineStr">
        <is>
          <t>All Staff Party</t>
        </is>
      </c>
      <c r="B77" s="35" t="n"/>
      <c r="C77" s="35" t="n"/>
      <c r="D77" s="35" t="n"/>
      <c r="E77" s="35" t="n"/>
      <c r="F77" s="35" t="n"/>
      <c r="G77" s="35" t="n"/>
      <c r="H77" s="35" t="n"/>
      <c r="I77" s="35" t="n">
        <v>769.91</v>
      </c>
      <c r="J77" s="35" t="n">
        <v>16814</v>
      </c>
      <c r="K77" s="35" t="n"/>
      <c r="L77" s="35" t="n"/>
      <c r="M77" s="35" t="n"/>
      <c r="N77" s="36">
        <f>SUM(B77:M77)</f>
        <v/>
      </c>
      <c r="O77" s="37" t="n"/>
      <c r="P77" s="37" t="n"/>
      <c r="Q77" s="37" t="n"/>
      <c r="R77" s="37" t="n"/>
      <c r="S77" s="37" t="n"/>
      <c r="T77" s="37" t="n"/>
      <c r="U77" s="37" t="n"/>
      <c r="V77" s="38" t="n"/>
      <c r="W77" s="38" t="n"/>
      <c r="X77" s="38" t="n"/>
      <c r="Y77" s="38" t="n"/>
      <c r="Z77" s="38" t="n"/>
      <c r="AA77" s="36">
        <f>SUM(O77:U77)</f>
        <v/>
      </c>
      <c r="AB77" s="8" t="n"/>
      <c r="AC77" s="38" t="n"/>
      <c r="AD77" s="38" t="n"/>
      <c r="AE77" s="38" t="n"/>
      <c r="AF77" s="38" t="n"/>
      <c r="AG77" s="38" t="n"/>
      <c r="AH77" s="38" t="n"/>
      <c r="AI77" s="118" t="n">
        <v>0</v>
      </c>
      <c r="AJ77" s="118" t="n">
        <v>0</v>
      </c>
      <c r="AK77" s="118" t="n">
        <v>0</v>
      </c>
      <c r="AL77" s="118" t="n">
        <v>0</v>
      </c>
      <c r="AM77" s="118" t="n">
        <v>0</v>
      </c>
      <c r="AN77" s="118" t="n">
        <v>0</v>
      </c>
      <c r="AO77" s="144">
        <f>SUM(AC77:AH77)+SUM(AI77:AN77)</f>
        <v/>
      </c>
      <c r="AP77" s="142">
        <f>IF(AB77&lt;&gt;0,(AO77-AB77)/ABS(AB77),0)</f>
        <v/>
      </c>
    </row>
    <row r="78">
      <c r="A78" s="34" t="inlineStr">
        <is>
          <t>HS Relaunch</t>
        </is>
      </c>
      <c r="B78" s="35" t="n"/>
      <c r="C78" s="35" t="n"/>
      <c r="D78" s="35" t="n"/>
      <c r="E78" s="35" t="n"/>
      <c r="F78" s="35" t="n"/>
      <c r="G78" s="35" t="n">
        <v>8439.74</v>
      </c>
      <c r="H78" s="35" t="n">
        <v>233.52</v>
      </c>
      <c r="I78" s="35" t="n">
        <v>795.67</v>
      </c>
      <c r="J78" s="35" t="n">
        <v>111.91</v>
      </c>
      <c r="K78" s="35" t="n"/>
      <c r="L78" s="35" t="n"/>
      <c r="M78" s="35" t="n"/>
      <c r="N78" s="36">
        <f>SUM(B78:M78)</f>
        <v/>
      </c>
      <c r="O78" s="37" t="n"/>
      <c r="P78" s="37" t="n"/>
      <c r="Q78" s="37" t="n"/>
      <c r="R78" s="37" t="n"/>
      <c r="S78" s="37" t="n"/>
      <c r="T78" s="37" t="n"/>
      <c r="U78" s="37" t="n"/>
      <c r="V78" s="38" t="n"/>
      <c r="W78" s="38" t="n"/>
      <c r="X78" s="38" t="n"/>
      <c r="Y78" s="38" t="n"/>
      <c r="Z78" s="38" t="n"/>
      <c r="AA78" s="36">
        <f>SUM(O78:U78)</f>
        <v/>
      </c>
      <c r="AB78" s="8" t="n"/>
      <c r="AC78" s="38" t="n"/>
      <c r="AD78" s="38" t="n"/>
      <c r="AE78" s="38" t="n"/>
      <c r="AF78" s="38" t="n"/>
      <c r="AG78" s="38" t="n"/>
      <c r="AH78" s="38" t="n"/>
      <c r="AI78" s="118" t="n">
        <v>0</v>
      </c>
      <c r="AJ78" s="118" t="n">
        <v>0</v>
      </c>
      <c r="AK78" s="118" t="n">
        <v>0</v>
      </c>
      <c r="AL78" s="118" t="n">
        <v>0</v>
      </c>
      <c r="AM78" s="118" t="n">
        <v>0</v>
      </c>
      <c r="AN78" s="118" t="n">
        <v>0</v>
      </c>
      <c r="AO78" s="144">
        <f>SUM(AC78:AH78)+SUM(AI78:AN78)</f>
        <v/>
      </c>
      <c r="AP78" s="142">
        <f>IF(AB78&lt;&gt;0,(AO78-AB78)/ABS(AB78),0)</f>
        <v/>
      </c>
    </row>
    <row r="79">
      <c r="A79" s="34" t="inlineStr">
        <is>
          <t>Tech refresh - Netteam</t>
        </is>
      </c>
      <c r="B79" s="35" t="n"/>
      <c r="C79" s="35" t="n"/>
      <c r="D79" s="35" t="n"/>
      <c r="E79" s="35" t="n"/>
      <c r="F79" s="35" t="n"/>
      <c r="G79" s="35" t="n"/>
      <c r="H79" s="35" t="n"/>
      <c r="I79" s="35" t="n">
        <v>1662</v>
      </c>
      <c r="J79" s="35" t="n">
        <v>5820</v>
      </c>
      <c r="K79" s="35" t="n"/>
      <c r="L79" s="35" t="n"/>
      <c r="M79" s="35" t="n"/>
      <c r="N79" s="36">
        <f>SUM(B79:M79)</f>
        <v/>
      </c>
      <c r="O79" s="37" t="n"/>
      <c r="P79" s="37" t="n"/>
      <c r="Q79" s="37" t="n"/>
      <c r="R79" s="37" t="n"/>
      <c r="S79" s="37" t="n"/>
      <c r="T79" s="37" t="n"/>
      <c r="U79" s="37" t="n"/>
      <c r="V79" s="38" t="n"/>
      <c r="W79" s="38" t="n"/>
      <c r="X79" s="38" t="n"/>
      <c r="Y79" s="38" t="n"/>
      <c r="Z79" s="38" t="n"/>
      <c r="AA79" s="36">
        <f>SUM(O79:U79)</f>
        <v/>
      </c>
      <c r="AB79" s="8" t="n"/>
      <c r="AC79" s="38" t="n"/>
      <c r="AD79" s="38" t="n"/>
      <c r="AE79" s="38" t="n"/>
      <c r="AF79" s="38" t="n"/>
      <c r="AG79" s="38" t="n"/>
      <c r="AH79" s="38" t="n"/>
      <c r="AI79" s="118" t="n">
        <v>0</v>
      </c>
      <c r="AJ79" s="118" t="n">
        <v>0</v>
      </c>
      <c r="AK79" s="118" t="n">
        <v>0</v>
      </c>
      <c r="AL79" s="118" t="n">
        <v>0</v>
      </c>
      <c r="AM79" s="118" t="n">
        <v>0</v>
      </c>
      <c r="AN79" s="118" t="n">
        <v>0</v>
      </c>
      <c r="AO79" s="144">
        <f>SUM(AC79:AH79)+SUM(AI79:AN79)</f>
        <v/>
      </c>
      <c r="AP79" s="142">
        <f>IF(AB79&lt;&gt;0,(AO79-AB79)/ABS(AB79),0)</f>
        <v/>
      </c>
    </row>
    <row r="80" ht="15.75" customHeight="1">
      <c r="A80" s="34" t="n"/>
      <c r="B80" s="35" t="n"/>
      <c r="C80" s="35" t="n"/>
      <c r="D80" s="35" t="n"/>
      <c r="E80" s="35" t="n"/>
      <c r="F80" s="35" t="n"/>
      <c r="G80" s="35" t="n"/>
      <c r="H80" s="35" t="n"/>
      <c r="I80" s="35" t="n"/>
      <c r="J80" s="35" t="n"/>
      <c r="K80" s="35" t="n"/>
      <c r="L80" s="35" t="n"/>
      <c r="M80" s="35" t="n"/>
      <c r="N80" s="36">
        <f>SUM(B80:M80)</f>
        <v/>
      </c>
      <c r="O80" s="37" t="n"/>
      <c r="P80" s="37" t="n"/>
      <c r="Q80" s="37" t="n"/>
      <c r="R80" s="37" t="n"/>
      <c r="S80" s="37" t="n"/>
      <c r="T80" s="37" t="n"/>
      <c r="U80" s="37" t="n"/>
      <c r="V80" s="38" t="n"/>
      <c r="W80" s="38" t="n"/>
      <c r="X80" s="38" t="n"/>
      <c r="Y80" s="38" t="n"/>
      <c r="Z80" s="38" t="n"/>
      <c r="AA80" s="36">
        <f>SUM(O80:U80)</f>
        <v/>
      </c>
      <c r="AB80" s="8" t="n"/>
      <c r="AC80" s="38" t="n"/>
      <c r="AD80" s="38" t="n"/>
      <c r="AE80" s="38" t="n"/>
      <c r="AF80" s="38" t="n"/>
      <c r="AG80" s="38" t="n"/>
      <c r="AH80" s="38" t="n"/>
      <c r="AI80" s="8" t="n"/>
      <c r="AJ80" s="8" t="n"/>
      <c r="AK80" s="8" t="n"/>
      <c r="AL80" s="8" t="n"/>
      <c r="AM80" s="8" t="n"/>
      <c r="AN80" s="8" t="n"/>
      <c r="AO80" s="8" t="n"/>
      <c r="AP80" s="8" t="n"/>
    </row>
    <row r="81" ht="15.75" customHeight="1">
      <c r="A81" s="107" t="n"/>
      <c r="B81" s="108" t="n">
        <v>169635.61</v>
      </c>
      <c r="C81" s="108" t="n">
        <v>186626.61</v>
      </c>
      <c r="D81" s="108" t="n">
        <v>338567.7000000001</v>
      </c>
      <c r="E81" s="108" t="n">
        <v>188295.3299999997</v>
      </c>
      <c r="F81" s="108" t="n">
        <v>98787.60000000011</v>
      </c>
      <c r="G81" s="108" t="n">
        <v>250542.7</v>
      </c>
      <c r="H81" s="108" t="n">
        <v>537622.62</v>
      </c>
      <c r="I81" s="108" t="n">
        <v>38607.06999999996</v>
      </c>
      <c r="J81" s="108" t="n">
        <v>82.80000000007567</v>
      </c>
      <c r="K81" s="108" t="n">
        <v>31871.38</v>
      </c>
      <c r="L81" s="108" t="n">
        <v>209008.3400000001</v>
      </c>
      <c r="M81" s="108" t="n">
        <v>388973.69</v>
      </c>
      <c r="N81" s="108">
        <f>SUM(B81:M81)</f>
        <v/>
      </c>
      <c r="O81" s="108">
        <f>O70+SUM(O72:O80)</f>
        <v/>
      </c>
      <c r="P81" s="108">
        <f>P70+SUM(P72:P80)</f>
        <v/>
      </c>
      <c r="Q81" s="108">
        <f>Q70+SUM(Q72:Q80)</f>
        <v/>
      </c>
      <c r="R81" s="108">
        <f>R70+SUM(R72:R80)</f>
        <v/>
      </c>
      <c r="S81" s="108">
        <f>S70+SUM(S72:S80)</f>
        <v/>
      </c>
      <c r="T81" s="108">
        <f>T70+SUM(T72:T80)</f>
        <v/>
      </c>
      <c r="U81" s="108">
        <f>U70+SUM(U72:U80)</f>
        <v/>
      </c>
      <c r="V81" s="108">
        <f>V70+SUM(V72:V80)</f>
        <v/>
      </c>
      <c r="W81" s="108">
        <f>W70+SUM(W72:W80)</f>
        <v/>
      </c>
      <c r="X81" s="108">
        <f>X70+SUM(X72:X80)</f>
        <v/>
      </c>
      <c r="Y81" s="108">
        <f>Y70+SUM(Y72:Y80)</f>
        <v/>
      </c>
      <c r="Z81" s="108">
        <f>Z70+SUM(Z72:Z80)</f>
        <v/>
      </c>
      <c r="AA81" s="108">
        <f>AA70+SUM(AA72:AA80)</f>
        <v/>
      </c>
      <c r="AB81" s="8" t="n"/>
      <c r="AC81" s="108" t="n"/>
      <c r="AD81" s="108" t="n"/>
      <c r="AE81" s="108" t="n"/>
      <c r="AF81" s="108" t="n"/>
      <c r="AG81" s="108" t="n"/>
      <c r="AH81" s="108" t="n"/>
      <c r="AI81" s="127" t="n">
        <v>0</v>
      </c>
      <c r="AJ81" s="127" t="n">
        <v>0</v>
      </c>
      <c r="AK81" s="127" t="n">
        <v>0</v>
      </c>
      <c r="AL81" s="127" t="n">
        <v>0</v>
      </c>
      <c r="AM81" s="127" t="n">
        <v>0</v>
      </c>
      <c r="AN81" s="127" t="n">
        <v>0</v>
      </c>
      <c r="AO81" s="141">
        <f>SUM(AC81:AH81)+SUM(AI81:AN81)</f>
        <v/>
      </c>
      <c r="AP81" s="142">
        <f>IF(AB81&lt;&gt;0,(AO81-AB81)/ABS(AB81),0)</f>
        <v/>
      </c>
    </row>
    <row r="82">
      <c r="A82" s="22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109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</row>
    <row r="88">
      <c r="A88" s="22" t="inlineStr">
        <is>
          <t>Memo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</row>
    <row r="89">
      <c r="A89" s="34" t="inlineStr">
        <is>
          <t>Direct - Sales</t>
        </is>
      </c>
      <c r="B89" s="18" t="n">
        <v>862528.02</v>
      </c>
      <c r="C89" s="18" t="n">
        <v>903324.04</v>
      </c>
      <c r="D89" s="18" t="n">
        <v>1073545.98</v>
      </c>
      <c r="E89" s="18" t="n">
        <v>965821.7599999998</v>
      </c>
      <c r="F89" s="18" t="n">
        <v>855896.3400000001</v>
      </c>
      <c r="G89" s="18" t="n">
        <v>981911.0700000001</v>
      </c>
      <c r="H89" s="18" t="n">
        <v>1289179.55</v>
      </c>
      <c r="I89" s="18" t="n">
        <v>764775.12</v>
      </c>
      <c r="J89" s="18" t="n">
        <v>762931.3199999999</v>
      </c>
      <c r="K89" s="18" t="n">
        <v>796366.03</v>
      </c>
      <c r="L89" s="18" t="n">
        <v>947551</v>
      </c>
      <c r="M89" s="18" t="n">
        <v>1168237.96</v>
      </c>
      <c r="N89" s="8" t="n"/>
      <c r="O89" s="60">
        <f>-SUMIF('Group TB '!$T:$T,'GROUP TOTALS MONTHLY P&amp;L'!$A89,'Group TB '!C:C)</f>
        <v/>
      </c>
      <c r="P89" s="60">
        <f>-SUMIF('Group TB '!$T:$T,'GROUP TOTALS MONTHLY P&amp;L'!$A89,'Group TB '!D:D)</f>
        <v/>
      </c>
      <c r="Q89" s="60">
        <f>-SUMIF('Group TB '!$T:$T,'GROUP TOTALS MONTHLY P&amp;L'!$A89,'Group TB '!E:E)</f>
        <v/>
      </c>
      <c r="R89" s="60">
        <f>-SUMIF('Group TB '!$T:$T,'GROUP TOTALS MONTHLY P&amp;L'!$A89,'Group TB '!F:F)</f>
        <v/>
      </c>
      <c r="S89" s="60">
        <f>-SUMIF('Group TB '!$T:$T,'GROUP TOTALS MONTHLY P&amp;L'!$A89,'Group TB '!G:G)</f>
        <v/>
      </c>
      <c r="T89" s="60">
        <f>-SUMIF('Group TB '!$T:$T,'GROUP TOTALS MONTHLY P&amp;L'!$A89,'Group TB '!H:H)</f>
        <v/>
      </c>
      <c r="U89" s="60">
        <f>-SUMIF('Group TB '!$T:$T,'GROUP TOTALS MONTHLY P&amp;L'!$A89,'Group TB '!I:I)</f>
        <v/>
      </c>
      <c r="V89" s="60">
        <f>-SUMIF('Group TB '!$T:$T,'GROUP TOTALS MONTHLY P&amp;L'!$A89,'Group TB '!J:J)</f>
        <v/>
      </c>
      <c r="W89" s="60">
        <f>-SUMIF('Group TB '!$T:$T,'GROUP TOTALS MONTHLY P&amp;L'!$A89,'Group TB '!K:K)</f>
        <v/>
      </c>
      <c r="X89" s="60">
        <f>-SUMIF('Group TB '!$T:$T,'GROUP TOTALS MONTHLY P&amp;L'!$A89,'Group TB '!L:L)</f>
        <v/>
      </c>
      <c r="Y89" s="60">
        <f>-SUMIF('Group TB '!$T:$T,'GROUP TOTALS MONTHLY P&amp;L'!$A89,'Group TB '!M:M)</f>
        <v/>
      </c>
      <c r="Z89" s="60">
        <f>-SUMIF('Group TB '!$T:$T,'GROUP TOTALS MONTHLY P&amp;L'!$A89,'Group TB '!N:N)</f>
        <v/>
      </c>
      <c r="AA89" s="8" t="n"/>
      <c r="AB89" s="8" t="n"/>
      <c r="AC89" s="8" t="n"/>
      <c r="AD89" s="8" t="n"/>
      <c r="AE89" s="8" t="n"/>
      <c r="AF89" s="8" t="n"/>
      <c r="AG89" s="8" t="n"/>
      <c r="AH89" s="8" t="n"/>
      <c r="AI89" s="134" t="n">
        <v>0</v>
      </c>
      <c r="AJ89" s="134" t="n">
        <v>0</v>
      </c>
      <c r="AK89" s="134" t="n">
        <v>0</v>
      </c>
      <c r="AL89" s="134" t="n">
        <v>0</v>
      </c>
      <c r="AM89" s="134" t="n">
        <v>0</v>
      </c>
      <c r="AN89" s="134" t="n">
        <v>0</v>
      </c>
      <c r="AO89" s="144">
        <f>SUM(AC89:AH89)+SUM(AI89:AN89)</f>
        <v/>
      </c>
      <c r="AP89" s="142">
        <f>IF(AB89&lt;&gt;0,(AO89-AB89)/ABS(AB89),0)</f>
        <v/>
      </c>
    </row>
    <row r="90">
      <c r="A90" s="34" t="inlineStr">
        <is>
          <t>Direct - Staff Cost</t>
        </is>
      </c>
      <c r="B90" s="18" t="n">
        <v>-453315.68</v>
      </c>
      <c r="C90" s="18" t="n">
        <v>-457131.66</v>
      </c>
      <c r="D90" s="18" t="n">
        <v>-450046.64</v>
      </c>
      <c r="E90" s="18" t="n">
        <v>-513439.7500000001</v>
      </c>
      <c r="F90" s="18" t="n">
        <v>-520315.8300000001</v>
      </c>
      <c r="G90" s="18" t="n">
        <v>-500062.94</v>
      </c>
      <c r="H90" s="18" t="n">
        <v>-540450.8400000001</v>
      </c>
      <c r="I90" s="18" t="n">
        <v>-494870.5800000001</v>
      </c>
      <c r="J90" s="18" t="n">
        <v>-523267.4399999999</v>
      </c>
      <c r="K90" s="18" t="n">
        <v>-528710.3</v>
      </c>
      <c r="L90" s="18" t="n">
        <v>-502447.01</v>
      </c>
      <c r="M90" s="18" t="n">
        <v>-516214.69</v>
      </c>
      <c r="N90" s="8" t="n"/>
      <c r="O90" s="60">
        <f>-SUMIF('Group TB '!$T:$T,'GROUP TOTALS MONTHLY P&amp;L'!$A90,'Group TB '!C:C)</f>
        <v/>
      </c>
      <c r="P90" s="60">
        <f>-SUMIF('Group TB '!$T:$T,'GROUP TOTALS MONTHLY P&amp;L'!$A90,'Group TB '!D:D)</f>
        <v/>
      </c>
      <c r="Q90" s="60">
        <f>-SUMIF('Group TB '!$T:$T,'GROUP TOTALS MONTHLY P&amp;L'!$A90,'Group TB '!E:E)</f>
        <v/>
      </c>
      <c r="R90" s="60">
        <f>-SUMIF('Group TB '!$T:$T,'GROUP TOTALS MONTHLY P&amp;L'!$A90,'Group TB '!F:F)</f>
        <v/>
      </c>
      <c r="S90" s="60">
        <f>-SUMIF('Group TB '!$T:$T,'GROUP TOTALS MONTHLY P&amp;L'!$A90,'Group TB '!G:G)</f>
        <v/>
      </c>
      <c r="T90" s="60">
        <f>-SUMIF('Group TB '!$T:$T,'GROUP TOTALS MONTHLY P&amp;L'!$A90,'Group TB '!H:H)</f>
        <v/>
      </c>
      <c r="U90" s="60">
        <f>-SUMIF('Group TB '!$T:$T,'GROUP TOTALS MONTHLY P&amp;L'!$A90,'Group TB '!I:I)</f>
        <v/>
      </c>
      <c r="V90" s="60">
        <f>-SUMIF('Group TB '!$T:$T,'GROUP TOTALS MONTHLY P&amp;L'!$A90,'Group TB '!J:J)</f>
        <v/>
      </c>
      <c r="W90" s="60">
        <f>-SUMIF('Group TB '!$T:$T,'GROUP TOTALS MONTHLY P&amp;L'!$A90,'Group TB '!K:K)</f>
        <v/>
      </c>
      <c r="X90" s="60">
        <f>-SUMIF('Group TB '!$T:$T,'GROUP TOTALS MONTHLY P&amp;L'!$A90,'Group TB '!L:L)</f>
        <v/>
      </c>
      <c r="Y90" s="60">
        <f>-SUMIF('Group TB '!$T:$T,'GROUP TOTALS MONTHLY P&amp;L'!$A90,'Group TB '!M:M)</f>
        <v/>
      </c>
      <c r="Z90" s="60">
        <f>-SUMIF('Group TB '!$T:$T,'GROUP TOTALS MONTHLY P&amp;L'!$A90,'Group TB '!N:N)</f>
        <v/>
      </c>
      <c r="AA90" s="8" t="n"/>
      <c r="AB90" s="8" t="n"/>
      <c r="AC90" s="8" t="n"/>
      <c r="AD90" s="8" t="n"/>
      <c r="AE90" s="8" t="n"/>
      <c r="AF90" s="8" t="n"/>
      <c r="AG90" s="8" t="n"/>
      <c r="AH90" s="8" t="n"/>
      <c r="AI90" s="134" t="n">
        <v>0</v>
      </c>
      <c r="AJ90" s="134" t="n">
        <v>0</v>
      </c>
      <c r="AK90" s="134" t="n">
        <v>0</v>
      </c>
      <c r="AL90" s="134" t="n">
        <v>0</v>
      </c>
      <c r="AM90" s="134" t="n">
        <v>0</v>
      </c>
      <c r="AN90" s="134" t="n">
        <v>0</v>
      </c>
      <c r="AO90" s="144">
        <f>SUM(AC90:AH90)+SUM(AI90:AN90)</f>
        <v/>
      </c>
      <c r="AP90" s="142">
        <f>IF(AB90&lt;&gt;0,(AO90-AB90)/ABS(AB90),0)</f>
        <v/>
      </c>
    </row>
    <row r="91">
      <c r="A91" s="60" t="inlineStr">
        <is>
          <t>Direct - Childcare Cost</t>
        </is>
      </c>
      <c r="B91" s="18" t="n">
        <v>-35205.68</v>
      </c>
      <c r="C91" s="18" t="n">
        <v>-41585.37</v>
      </c>
      <c r="D91" s="18" t="n">
        <v>-35688.76</v>
      </c>
      <c r="E91" s="18" t="n">
        <v>-30859.64</v>
      </c>
      <c r="F91" s="18" t="n">
        <v>-40642.69000000001</v>
      </c>
      <c r="G91" s="18" t="n">
        <v>-40290.33000000001</v>
      </c>
      <c r="H91" s="18" t="n">
        <v>-38526.12</v>
      </c>
      <c r="I91" s="18" t="n">
        <v>-37931.38</v>
      </c>
      <c r="J91" s="18" t="n">
        <v>-36694.59000000001</v>
      </c>
      <c r="K91" s="18" t="n">
        <v>-39332.78</v>
      </c>
      <c r="L91" s="18" t="n">
        <v>-36711.58</v>
      </c>
      <c r="M91" s="18" t="n">
        <v>-28826.44</v>
      </c>
      <c r="N91" s="8" t="n"/>
      <c r="O91" s="60">
        <f>-SUMIF('Group TB '!$T:$T,'GROUP TOTALS MONTHLY P&amp;L'!$A91,'Group TB '!C:C)</f>
        <v/>
      </c>
      <c r="P91" s="60">
        <f>-SUMIF('Group TB '!$T:$T,'GROUP TOTALS MONTHLY P&amp;L'!$A91,'Group TB '!D:D)</f>
        <v/>
      </c>
      <c r="Q91" s="60">
        <f>-SUMIF('Group TB '!$T:$T,'GROUP TOTALS MONTHLY P&amp;L'!$A91,'Group TB '!E:E)</f>
        <v/>
      </c>
      <c r="R91" s="60">
        <f>-SUMIF('Group TB '!$T:$T,'GROUP TOTALS MONTHLY P&amp;L'!$A91,'Group TB '!F:F)</f>
        <v/>
      </c>
      <c r="S91" s="60">
        <f>-SUMIF('Group TB '!$T:$T,'GROUP TOTALS MONTHLY P&amp;L'!$A91,'Group TB '!G:G)</f>
        <v/>
      </c>
      <c r="T91" s="60">
        <f>-SUMIF('Group TB '!$T:$T,'GROUP TOTALS MONTHLY P&amp;L'!$A91,'Group TB '!H:H)</f>
        <v/>
      </c>
      <c r="U91" s="60">
        <f>-SUMIF('Group TB '!$T:$T,'GROUP TOTALS MONTHLY P&amp;L'!$A91,'Group TB '!I:I)</f>
        <v/>
      </c>
      <c r="V91" s="60">
        <f>-SUMIF('Group TB '!$T:$T,'GROUP TOTALS MONTHLY P&amp;L'!$A91,'Group TB '!J:J)</f>
        <v/>
      </c>
      <c r="W91" s="60">
        <f>-SUMIF('Group TB '!$T:$T,'GROUP TOTALS MONTHLY P&amp;L'!$A91,'Group TB '!K:K)</f>
        <v/>
      </c>
      <c r="X91" s="60">
        <f>-SUMIF('Group TB '!$T:$T,'GROUP TOTALS MONTHLY P&amp;L'!$A91,'Group TB '!L:L)</f>
        <v/>
      </c>
      <c r="Y91" s="60">
        <f>-SUMIF('Group TB '!$T:$T,'GROUP TOTALS MONTHLY P&amp;L'!$A91,'Group TB '!M:M)</f>
        <v/>
      </c>
      <c r="Z91" s="60">
        <f>-SUMIF('Group TB '!$T:$T,'GROUP TOTALS MONTHLY P&amp;L'!$A91,'Group TB '!N:N)</f>
        <v/>
      </c>
      <c r="AA91" s="8" t="n"/>
      <c r="AB91" s="8" t="n"/>
      <c r="AC91" s="8" t="n"/>
      <c r="AD91" s="8" t="n"/>
      <c r="AE91" s="8" t="n"/>
      <c r="AF91" s="8" t="n"/>
      <c r="AG91" s="8" t="n"/>
      <c r="AH91" s="8" t="n"/>
      <c r="AI91" s="134" t="n">
        <v>0</v>
      </c>
      <c r="AJ91" s="134" t="n">
        <v>0</v>
      </c>
      <c r="AK91" s="134" t="n">
        <v>0</v>
      </c>
      <c r="AL91" s="134" t="n">
        <v>0</v>
      </c>
      <c r="AM91" s="134" t="n">
        <v>0</v>
      </c>
      <c r="AN91" s="134" t="n">
        <v>0</v>
      </c>
      <c r="AO91" s="144">
        <f>SUM(AC91:AH91)+SUM(AI91:AN91)</f>
        <v/>
      </c>
      <c r="AP91" s="142">
        <f>IF(AB91&lt;&gt;0,(AO91-AB91)/ABS(AB91),0)</f>
        <v/>
      </c>
    </row>
    <row r="92">
      <c r="A92" s="60" t="inlineStr">
        <is>
          <t>Direct - Premises &amp; Admin</t>
        </is>
      </c>
      <c r="B92" s="18" t="n">
        <v>-104786.72</v>
      </c>
      <c r="C92" s="18" t="n">
        <v>-102740.01</v>
      </c>
      <c r="D92" s="18" t="n">
        <v>-109444.19</v>
      </c>
      <c r="E92" s="18" t="n">
        <v>-113384.44</v>
      </c>
      <c r="F92" s="18" t="n">
        <v>-96923.24000000001</v>
      </c>
      <c r="G92" s="18" t="n">
        <v>-101096.97</v>
      </c>
      <c r="H92" s="18" t="n">
        <v>-91871.87000000002</v>
      </c>
      <c r="I92" s="18" t="n">
        <v>-90463.61</v>
      </c>
      <c r="J92" s="18" t="n">
        <v>-83945.06</v>
      </c>
      <c r="K92" s="18" t="n">
        <v>-90760.58000000002</v>
      </c>
      <c r="L92" s="18" t="n">
        <v>-84121.70000000001</v>
      </c>
      <c r="M92" s="18" t="n">
        <v>-86490.11</v>
      </c>
      <c r="N92" s="8" t="n"/>
      <c r="O92" s="60">
        <f>-SUMIF('Group TB '!$T:$T,'GROUP TOTALS MONTHLY P&amp;L'!$A92,'Group TB '!C:C)</f>
        <v/>
      </c>
      <c r="P92" s="60">
        <f>-SUMIF('Group TB '!$T:$T,'GROUP TOTALS MONTHLY P&amp;L'!$A92,'Group TB '!D:D)</f>
        <v/>
      </c>
      <c r="Q92" s="60">
        <f>-SUMIF('Group TB '!$T:$T,'GROUP TOTALS MONTHLY P&amp;L'!$A92,'Group TB '!E:E)</f>
        <v/>
      </c>
      <c r="R92" s="60">
        <f>-SUMIF('Group TB '!$T:$T,'GROUP TOTALS MONTHLY P&amp;L'!$A92,'Group TB '!F:F)</f>
        <v/>
      </c>
      <c r="S92" s="60">
        <f>-SUMIF('Group TB '!$T:$T,'GROUP TOTALS MONTHLY P&amp;L'!$A92,'Group TB '!G:G)</f>
        <v/>
      </c>
      <c r="T92" s="60">
        <f>-SUMIF('Group TB '!$T:$T,'GROUP TOTALS MONTHLY P&amp;L'!$A92,'Group TB '!H:H)</f>
        <v/>
      </c>
      <c r="U92" s="60">
        <f>-SUMIF('Group TB '!$T:$T,'GROUP TOTALS MONTHLY P&amp;L'!$A92,'Group TB '!I:I)</f>
        <v/>
      </c>
      <c r="V92" s="60">
        <f>-SUMIF('Group TB '!$T:$T,'GROUP TOTALS MONTHLY P&amp;L'!$A92,'Group TB '!J:J)</f>
        <v/>
      </c>
      <c r="W92" s="60">
        <f>-SUMIF('Group TB '!$T:$T,'GROUP TOTALS MONTHLY P&amp;L'!$A92,'Group TB '!K:K)</f>
        <v/>
      </c>
      <c r="X92" s="60">
        <f>-SUMIF('Group TB '!$T:$T,'GROUP TOTALS MONTHLY P&amp;L'!$A92,'Group TB '!L:L)</f>
        <v/>
      </c>
      <c r="Y92" s="60">
        <f>-SUMIF('Group TB '!$T:$T,'GROUP TOTALS MONTHLY P&amp;L'!$A92,'Group TB '!M:M)</f>
        <v/>
      </c>
      <c r="Z92" s="60">
        <f>-SUMIF('Group TB '!$T:$T,'GROUP TOTALS MONTHLY P&amp;L'!$A92,'Group TB '!N:N)</f>
        <v/>
      </c>
      <c r="AA92" s="8" t="n"/>
      <c r="AB92" s="8" t="n"/>
      <c r="AC92" s="8" t="n"/>
      <c r="AD92" s="8" t="n"/>
      <c r="AE92" s="8" t="n"/>
      <c r="AF92" s="8" t="n"/>
      <c r="AG92" s="8" t="n"/>
      <c r="AH92" s="8" t="n"/>
      <c r="AI92" s="134" t="n">
        <v>0</v>
      </c>
      <c r="AJ92" s="134" t="n">
        <v>0</v>
      </c>
      <c r="AK92" s="134" t="n">
        <v>0</v>
      </c>
      <c r="AL92" s="134" t="n">
        <v>0</v>
      </c>
      <c r="AM92" s="134" t="n">
        <v>0</v>
      </c>
      <c r="AN92" s="134" t="n">
        <v>0</v>
      </c>
      <c r="AO92" s="144">
        <f>SUM(AC92:AH92)+SUM(AI92:AN92)</f>
        <v/>
      </c>
      <c r="AP92" s="142">
        <f>IF(AB92&lt;&gt;0,(AO92-AB92)/ABS(AB92),0)</f>
        <v/>
      </c>
    </row>
    <row r="93">
      <c r="A93" s="60" t="inlineStr">
        <is>
          <t>In-Direct - Staff Cost</t>
        </is>
      </c>
      <c r="B93" s="18" t="n">
        <v>-93611.44</v>
      </c>
      <c r="C93" s="18" t="n">
        <v>-96112.63999999998</v>
      </c>
      <c r="D93" s="18" t="n">
        <v>-95857.95999999999</v>
      </c>
      <c r="E93" s="18" t="n">
        <v>-156700.39</v>
      </c>
      <c r="F93" s="18" t="n">
        <v>-95895.40999999999</v>
      </c>
      <c r="G93" s="18" t="n">
        <v>-114717.56</v>
      </c>
      <c r="H93" s="18" t="n">
        <v>-114931.94</v>
      </c>
      <c r="I93" s="18" t="n">
        <v>-131353.52</v>
      </c>
      <c r="J93" s="18" t="n">
        <v>-154543.8</v>
      </c>
      <c r="K93" s="18" t="n">
        <v>-118297.07</v>
      </c>
      <c r="L93" s="18" t="n">
        <v>-125174.38</v>
      </c>
      <c r="M93" s="18" t="n">
        <v>-443091.7</v>
      </c>
      <c r="N93" s="8" t="n"/>
      <c r="O93" s="60">
        <f>-SUMIF('Group TB '!$T:$T,'GROUP TOTALS MONTHLY P&amp;L'!$A93,'Group TB '!C:C)</f>
        <v/>
      </c>
      <c r="P93" s="60">
        <f>-SUMIF('Group TB '!$T:$T,'GROUP TOTALS MONTHLY P&amp;L'!$A93,'Group TB '!D:D)</f>
        <v/>
      </c>
      <c r="Q93" s="60">
        <f>-SUMIF('Group TB '!$T:$T,'GROUP TOTALS MONTHLY P&amp;L'!$A93,'Group TB '!E:E)</f>
        <v/>
      </c>
      <c r="R93" s="60">
        <f>-SUMIF('Group TB '!$T:$T,'GROUP TOTALS MONTHLY P&amp;L'!$A93,'Group TB '!F:F)</f>
        <v/>
      </c>
      <c r="S93" s="60">
        <f>-SUMIF('Group TB '!$T:$T,'GROUP TOTALS MONTHLY P&amp;L'!$A93,'Group TB '!G:G)</f>
        <v/>
      </c>
      <c r="T93" s="60">
        <f>-SUMIF('Group TB '!$T:$T,'GROUP TOTALS MONTHLY P&amp;L'!$A93,'Group TB '!H:H)</f>
        <v/>
      </c>
      <c r="U93" s="60">
        <f>-SUMIF('Group TB '!$T:$T,'GROUP TOTALS MONTHLY P&amp;L'!$A93,'Group TB '!I:I)</f>
        <v/>
      </c>
      <c r="V93" s="60">
        <f>-SUMIF('Group TB '!$T:$T,'GROUP TOTALS MONTHLY P&amp;L'!$A93,'Group TB '!J:J)</f>
        <v/>
      </c>
      <c r="W93" s="60">
        <f>-SUMIF('Group TB '!$T:$T,'GROUP TOTALS MONTHLY P&amp;L'!$A93,'Group TB '!K:K)</f>
        <v/>
      </c>
      <c r="X93" s="60">
        <f>-SUMIF('Group TB '!$T:$T,'GROUP TOTALS MONTHLY P&amp;L'!$A93,'Group TB '!L:L)</f>
        <v/>
      </c>
      <c r="Y93" s="60">
        <f>-SUMIF('Group TB '!$T:$T,'GROUP TOTALS MONTHLY P&amp;L'!$A93,'Group TB '!M:M)</f>
        <v/>
      </c>
      <c r="Z93" s="60">
        <f>-SUMIF('Group TB '!$T:$T,'GROUP TOTALS MONTHLY P&amp;L'!$A93,'Group TB '!N:N)</f>
        <v/>
      </c>
      <c r="AA93" s="8" t="n"/>
      <c r="AB93" s="8" t="n"/>
      <c r="AC93" s="8" t="n"/>
      <c r="AD93" s="8" t="n"/>
      <c r="AE93" s="8" t="n"/>
      <c r="AF93" s="8" t="n"/>
      <c r="AG93" s="8" t="n"/>
      <c r="AH93" s="8" t="n"/>
      <c r="AI93" s="134" t="n">
        <v>0</v>
      </c>
      <c r="AJ93" s="134" t="n">
        <v>0</v>
      </c>
      <c r="AK93" s="134" t="n">
        <v>0</v>
      </c>
      <c r="AL93" s="134" t="n">
        <v>0</v>
      </c>
      <c r="AM93" s="134" t="n">
        <v>0</v>
      </c>
      <c r="AN93" s="134" t="n">
        <v>0</v>
      </c>
      <c r="AO93" s="144">
        <f>SUM(AC93:AH93)+SUM(AI93:AN93)</f>
        <v/>
      </c>
      <c r="AP93" s="142">
        <f>IF(AB93&lt;&gt;0,(AO93-AB93)/ABS(AB93),0)</f>
        <v/>
      </c>
    </row>
    <row r="94">
      <c r="A94" s="60" t="inlineStr">
        <is>
          <t>In-Direct - Overheads</t>
        </is>
      </c>
      <c r="B94" s="18" t="n">
        <v>-33867.89</v>
      </c>
      <c r="C94" s="18" t="n">
        <v>-44492.75</v>
      </c>
      <c r="D94" s="18" t="n">
        <v>-69838.73</v>
      </c>
      <c r="E94" s="18" t="n">
        <v>-47025.21</v>
      </c>
      <c r="F94" s="18" t="n">
        <v>-29170.57</v>
      </c>
      <c r="G94" s="18" t="n">
        <v>-27354.31</v>
      </c>
      <c r="H94" s="18" t="n">
        <v>-27780.68</v>
      </c>
      <c r="I94" s="18" t="n">
        <v>-26980.54</v>
      </c>
      <c r="J94" s="18" t="n">
        <v>-60742.53999999999</v>
      </c>
      <c r="K94" s="18" t="n">
        <v>-29664.92</v>
      </c>
      <c r="L94" s="18" t="n">
        <v>-32358.99000000001</v>
      </c>
      <c r="M94" s="18" t="n">
        <v>-45854.33</v>
      </c>
      <c r="N94" s="8" t="n"/>
      <c r="O94" s="60">
        <f>-SUMIF('Group TB '!$T:$T,'GROUP TOTALS MONTHLY P&amp;L'!$A94,'Group TB '!C:C)</f>
        <v/>
      </c>
      <c r="P94" s="60">
        <f>-SUMIF('Group TB '!$T:$T,'GROUP TOTALS MONTHLY P&amp;L'!$A94,'Group TB '!D:D)</f>
        <v/>
      </c>
      <c r="Q94" s="60">
        <f>-SUMIF('Group TB '!$T:$T,'GROUP TOTALS MONTHLY P&amp;L'!$A94,'Group TB '!E:E)</f>
        <v/>
      </c>
      <c r="R94" s="60">
        <f>-SUMIF('Group TB '!$T:$T,'GROUP TOTALS MONTHLY P&amp;L'!$A94,'Group TB '!F:F)</f>
        <v/>
      </c>
      <c r="S94" s="60">
        <f>-SUMIF('Group TB '!$T:$T,'GROUP TOTALS MONTHLY P&amp;L'!$A94,'Group TB '!G:G)</f>
        <v/>
      </c>
      <c r="T94" s="60">
        <f>-SUMIF('Group TB '!$T:$T,'GROUP TOTALS MONTHLY P&amp;L'!$A94,'Group TB '!H:H)</f>
        <v/>
      </c>
      <c r="U94" s="60">
        <f>-SUMIF('Group TB '!$T:$T,'GROUP TOTALS MONTHLY P&amp;L'!$A94,'Group TB '!I:I)</f>
        <v/>
      </c>
      <c r="V94" s="60">
        <f>-SUMIF('Group TB '!$T:$T,'GROUP TOTALS MONTHLY P&amp;L'!$A94,'Group TB '!J:J)</f>
        <v/>
      </c>
      <c r="W94" s="60">
        <f>-SUMIF('Group TB '!$T:$T,'GROUP TOTALS MONTHLY P&amp;L'!$A94,'Group TB '!K:K)</f>
        <v/>
      </c>
      <c r="X94" s="60">
        <f>-SUMIF('Group TB '!$T:$T,'GROUP TOTALS MONTHLY P&amp;L'!$A94,'Group TB '!L:L)</f>
        <v/>
      </c>
      <c r="Y94" s="60">
        <f>-SUMIF('Group TB '!$T:$T,'GROUP TOTALS MONTHLY P&amp;L'!$A94,'Group TB '!M:M)</f>
        <v/>
      </c>
      <c r="Z94" s="60">
        <f>-SUMIF('Group TB '!$T:$T,'GROUP TOTALS MONTHLY P&amp;L'!$A94,'Group TB '!N:N)</f>
        <v/>
      </c>
      <c r="AA94" s="8" t="n"/>
      <c r="AB94" s="8" t="n"/>
      <c r="AC94" s="8" t="n"/>
      <c r="AD94" s="8" t="n"/>
      <c r="AE94" s="8" t="n"/>
      <c r="AF94" s="8" t="n"/>
      <c r="AG94" s="8" t="n"/>
      <c r="AH94" s="8" t="n"/>
      <c r="AI94" s="134" t="n">
        <v>0</v>
      </c>
      <c r="AJ94" s="134" t="n">
        <v>0</v>
      </c>
      <c r="AK94" s="134" t="n">
        <v>0</v>
      </c>
      <c r="AL94" s="134" t="n">
        <v>0</v>
      </c>
      <c r="AM94" s="134" t="n">
        <v>0</v>
      </c>
      <c r="AN94" s="134" t="n">
        <v>0</v>
      </c>
      <c r="AO94" s="144">
        <f>SUM(AC94:AH94)+SUM(AI94:AN94)</f>
        <v/>
      </c>
      <c r="AP94" s="142">
        <f>IF(AB94&lt;&gt;0,(AO94-AB94)/ABS(AB94),0)</f>
        <v/>
      </c>
    </row>
    <row r="95" ht="15.75" customHeight="1">
      <c r="A95" s="8" t="n"/>
      <c r="B95" s="67" t="n">
        <v>141740.61</v>
      </c>
      <c r="C95" s="67" t="n">
        <v>161261.6100000001</v>
      </c>
      <c r="D95" s="67" t="n">
        <v>312669.7000000001</v>
      </c>
      <c r="E95" s="67" t="n">
        <v>104412.3299999997</v>
      </c>
      <c r="F95" s="67" t="n">
        <v>72948.60000000003</v>
      </c>
      <c r="G95" s="67" t="n">
        <v>198388.9600000001</v>
      </c>
      <c r="H95" s="67" t="n">
        <v>475618.0999999997</v>
      </c>
      <c r="I95" s="67" t="n">
        <v>-16824.51000000006</v>
      </c>
      <c r="J95" s="67" t="n">
        <v>-96262.11000000003</v>
      </c>
      <c r="K95" s="67" t="n">
        <v>-10399.62000000004</v>
      </c>
      <c r="L95" s="67" t="n">
        <v>166737.34</v>
      </c>
      <c r="M95" s="67" t="n">
        <v>47760.69000000013</v>
      </c>
      <c r="N95" s="8" t="n"/>
      <c r="O95" s="64">
        <f>SUM(O89:O94)</f>
        <v/>
      </c>
      <c r="P95" s="64">
        <f>SUM(P89:P94)</f>
        <v/>
      </c>
      <c r="Q95" s="64">
        <f>SUM(Q89:Q94)</f>
        <v/>
      </c>
      <c r="R95" s="64">
        <f>SUM(R89:R94)</f>
        <v/>
      </c>
      <c r="S95" s="64">
        <f>SUM(S89:S94)</f>
        <v/>
      </c>
      <c r="T95" s="64">
        <f>SUM(T89:T94)</f>
        <v/>
      </c>
      <c r="U95" s="64">
        <f>SUM(U89:U94)</f>
        <v/>
      </c>
      <c r="V95" s="64">
        <f>SUM(V89:V94)</f>
        <v/>
      </c>
      <c r="W95" s="64">
        <f>SUM(W89:W94)</f>
        <v/>
      </c>
      <c r="X95" s="64">
        <f>SUM(X89:X94)</f>
        <v/>
      </c>
      <c r="Y95" s="64">
        <f>SUM(Y89:Y94)</f>
        <v/>
      </c>
      <c r="Z95" s="64">
        <f>SUM(Z89:Z94)</f>
        <v/>
      </c>
      <c r="AA95" s="8" t="n"/>
      <c r="AB95" s="8" t="n"/>
      <c r="AC95" s="64" t="n"/>
      <c r="AD95" s="64" t="n"/>
      <c r="AE95" s="64" t="n"/>
      <c r="AF95" s="64" t="n"/>
      <c r="AG95" s="64" t="n"/>
      <c r="AH95" s="64" t="n"/>
      <c r="AI95" s="134" t="n">
        <v>0</v>
      </c>
      <c r="AJ95" s="134" t="n">
        <v>0</v>
      </c>
      <c r="AK95" s="134" t="n">
        <v>0</v>
      </c>
      <c r="AL95" s="134" t="n">
        <v>0</v>
      </c>
      <c r="AM95" s="134" t="n">
        <v>0</v>
      </c>
      <c r="AN95" s="134" t="n">
        <v>0</v>
      </c>
      <c r="AO95" s="144">
        <f>SUM(AC95:AH95)+SUM(AI95:AN95)</f>
        <v/>
      </c>
      <c r="AP95" s="142">
        <f>IF(AB95&lt;&gt;0,(AO95-AB95)/ABS(AB95),0)</f>
        <v/>
      </c>
    </row>
    <row r="96" ht="15.75" customHeight="1">
      <c r="A96" s="8" t="n"/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0</v>
      </c>
      <c r="G96" s="18" t="n">
        <v>0</v>
      </c>
      <c r="H96" s="18" t="n">
        <v>0</v>
      </c>
      <c r="I96" s="18" t="n">
        <v>0</v>
      </c>
      <c r="J96" s="18" t="n">
        <v>0</v>
      </c>
      <c r="K96" s="18" t="n">
        <v>4.365574568510056e-11</v>
      </c>
      <c r="L96" s="18" t="n">
        <v>0</v>
      </c>
      <c r="M96" s="18" t="n">
        <v>-1.309672370553017e-10</v>
      </c>
      <c r="N96" s="8" t="n"/>
      <c r="O96" s="60">
        <f>+O70-O95</f>
        <v/>
      </c>
      <c r="P96" s="60">
        <f>+P70-P95</f>
        <v/>
      </c>
      <c r="Q96" s="60">
        <f>+Q70-Q95</f>
        <v/>
      </c>
      <c r="R96" s="60">
        <f>+R70-R95</f>
        <v/>
      </c>
      <c r="S96" s="60">
        <f>+S70-S95</f>
        <v/>
      </c>
      <c r="T96" s="60">
        <f>+T70-T95</f>
        <v/>
      </c>
      <c r="U96" s="60">
        <f>+U70-U95</f>
        <v/>
      </c>
      <c r="V96" s="60">
        <f>+V70-V95</f>
        <v/>
      </c>
      <c r="W96" s="60">
        <f>+W70-W95</f>
        <v/>
      </c>
      <c r="X96" s="60">
        <f>+X70-X95</f>
        <v/>
      </c>
      <c r="Y96" s="60">
        <f>+Y70-Y95</f>
        <v/>
      </c>
      <c r="Z96" s="60">
        <f>+Z70-Z95</f>
        <v/>
      </c>
      <c r="AA96" s="8" t="n"/>
      <c r="AB96" s="8" t="n"/>
      <c r="AC96" s="8" t="n"/>
      <c r="AD96" s="8" t="n"/>
      <c r="AE96" s="8" t="n"/>
      <c r="AF96" s="8" t="n"/>
      <c r="AG96" s="8" t="n"/>
      <c r="AH96" s="8" t="n"/>
      <c r="AI96" s="134" t="n">
        <v>0</v>
      </c>
      <c r="AJ96" s="134" t="n">
        <v>0</v>
      </c>
      <c r="AK96" s="134" t="n">
        <v>0</v>
      </c>
      <c r="AL96" s="134" t="n">
        <v>0</v>
      </c>
      <c r="AM96" s="134" t="n">
        <v>0</v>
      </c>
      <c r="AN96" s="134" t="n">
        <v>0</v>
      </c>
      <c r="AO96" s="144">
        <f>SUM(AC96:AH96)+SUM(AI96:AN96)</f>
        <v/>
      </c>
      <c r="AP96" s="142">
        <f>IF(AB96&lt;&gt;0,(AO96-AB96)/ABS(AB96),0)</f>
        <v/>
      </c>
    </row>
    <row r="97">
      <c r="A97" s="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</row>
    <row r="98">
      <c r="A98" s="34" t="inlineStr">
        <is>
          <t>CHECK TO TB</t>
        </is>
      </c>
      <c r="B98" s="18" t="n">
        <v>0</v>
      </c>
      <c r="C98" s="18" t="n">
        <v>0</v>
      </c>
      <c r="D98" s="18" t="n">
        <v>0</v>
      </c>
      <c r="E98" s="18" t="n">
        <v>0</v>
      </c>
      <c r="F98" s="18" t="n">
        <v>0</v>
      </c>
      <c r="G98" s="18" t="n">
        <v>0</v>
      </c>
      <c r="H98" s="18" t="n">
        <v>0</v>
      </c>
      <c r="I98" s="18" t="n">
        <v>-7.639755494892597e-11</v>
      </c>
      <c r="J98" s="18" t="n">
        <v>0</v>
      </c>
      <c r="K98" s="18" t="n">
        <v>-2.364686224609613e-11</v>
      </c>
      <c r="L98" s="18" t="n">
        <v>0</v>
      </c>
      <c r="M98" s="18" t="n">
        <v>717.000000000131</v>
      </c>
      <c r="N98" s="8" t="n"/>
      <c r="O98" s="60">
        <f>O95+O99</f>
        <v/>
      </c>
      <c r="P98" s="60">
        <f>P95+P99</f>
        <v/>
      </c>
      <c r="Q98" s="60">
        <f>Q95+Q99</f>
        <v/>
      </c>
      <c r="R98" s="60">
        <f>R95+R99</f>
        <v/>
      </c>
      <c r="S98" s="60">
        <f>S95+S99</f>
        <v/>
      </c>
      <c r="T98" s="60">
        <f>T95+T99</f>
        <v/>
      </c>
      <c r="U98" s="60">
        <f>U95+U99</f>
        <v/>
      </c>
      <c r="V98" s="60">
        <f>V95+V99</f>
        <v/>
      </c>
      <c r="W98" s="60">
        <f>W95+W99</f>
        <v/>
      </c>
      <c r="X98" s="60">
        <f>X95+X99</f>
        <v/>
      </c>
      <c r="Y98" s="60">
        <f>Y95+Y99</f>
        <v/>
      </c>
      <c r="Z98" s="60">
        <f>Z95+Z99</f>
        <v/>
      </c>
      <c r="AA98" s="8" t="n"/>
      <c r="AB98" s="8" t="n"/>
      <c r="AC98" s="8" t="n"/>
      <c r="AD98" s="8" t="n"/>
      <c r="AE98" s="8" t="n"/>
      <c r="AF98" s="8" t="n"/>
      <c r="AG98" s="8" t="n"/>
      <c r="AH98" s="8" t="n"/>
      <c r="AI98" s="134" t="n">
        <v>0</v>
      </c>
      <c r="AJ98" s="134" t="n">
        <v>0</v>
      </c>
      <c r="AK98" s="134" t="n">
        <v>0</v>
      </c>
      <c r="AL98" s="134" t="n">
        <v>0</v>
      </c>
      <c r="AM98" s="134" t="n">
        <v>0</v>
      </c>
      <c r="AN98" s="134" t="n">
        <v>0</v>
      </c>
      <c r="AO98" s="144">
        <f>SUM(AC98:AH98)+SUM(AI98:AN98)</f>
        <v/>
      </c>
      <c r="AP98" s="142">
        <f>IF(AB98&lt;&gt;0,(AO98-AB98)/ABS(AB98),0)</f>
        <v/>
      </c>
    </row>
    <row r="99">
      <c r="A99" s="8" t="n"/>
      <c r="B99" s="18" t="n">
        <v>-141740.61</v>
      </c>
      <c r="C99" s="18" t="n">
        <v>-161261.61</v>
      </c>
      <c r="D99" s="18" t="n">
        <v>-312669.6999999999</v>
      </c>
      <c r="E99" s="18" t="n">
        <v>-104412.3299999997</v>
      </c>
      <c r="F99" s="18" t="n">
        <v>-72948.60000000002</v>
      </c>
      <c r="G99" s="18" t="n">
        <v>-198388.9599999999</v>
      </c>
      <c r="H99" s="18" t="n">
        <v>-475618.0999999997</v>
      </c>
      <c r="I99" s="18" t="n">
        <v>16824.50999999998</v>
      </c>
      <c r="J99" s="18" t="n">
        <v>96262.11000000007</v>
      </c>
      <c r="K99" s="18" t="n">
        <v>10399.62000000002</v>
      </c>
      <c r="L99" s="18" t="n">
        <v>-166737.34</v>
      </c>
      <c r="M99" s="18" t="n">
        <v>-47043.69</v>
      </c>
      <c r="N99" s="8" t="n"/>
      <c r="O99" s="60">
        <f>SUM('Group TB '!C2:C67)</f>
        <v/>
      </c>
      <c r="P99" s="60">
        <f>SUM('Group TB '!D2:D67)</f>
        <v/>
      </c>
      <c r="Q99" s="60">
        <f>SUM('Group TB '!E2:E67)</f>
        <v/>
      </c>
      <c r="R99" s="60">
        <f>SUM('Group TB '!F2:F67)</f>
        <v/>
      </c>
      <c r="S99" s="60">
        <f>SUM('Group TB '!G2:G67)</f>
        <v/>
      </c>
      <c r="T99" s="60">
        <f>SUM('Group TB '!H2:H67)</f>
        <v/>
      </c>
      <c r="U99" s="60">
        <f>SUM('Group TB '!I2:I67)</f>
        <v/>
      </c>
      <c r="V99" s="60">
        <f>SUM('Group TB '!J2:J67)</f>
        <v/>
      </c>
      <c r="W99" s="60">
        <f>SUM('Group TB '!K2:K67)</f>
        <v/>
      </c>
      <c r="X99" s="60">
        <f>SUM('Group TB '!L2:L67)</f>
        <v/>
      </c>
      <c r="Y99" s="60">
        <f>SUM('Group TB '!M2:M67)</f>
        <v/>
      </c>
      <c r="Z99" s="60">
        <f>SUM('Group TB '!N2:N67)</f>
        <v/>
      </c>
      <c r="AA99" s="8" t="n"/>
      <c r="AB99" s="8" t="n"/>
      <c r="AC99" s="8" t="n"/>
      <c r="AD99" s="8" t="n"/>
      <c r="AE99" s="8" t="n"/>
      <c r="AF99" s="8" t="n"/>
      <c r="AG99" s="8" t="n"/>
      <c r="AH99" s="8" t="n"/>
      <c r="AI99" s="134" t="n">
        <v>0</v>
      </c>
      <c r="AJ99" s="134" t="n">
        <v>0</v>
      </c>
      <c r="AK99" s="134" t="n">
        <v>0</v>
      </c>
      <c r="AL99" s="134" t="n">
        <v>0</v>
      </c>
      <c r="AM99" s="134" t="n">
        <v>0</v>
      </c>
      <c r="AN99" s="134" t="n">
        <v>0</v>
      </c>
      <c r="AO99" s="144">
        <f>SUM(AC99:AH99)+SUM(AI99:AN99)</f>
        <v/>
      </c>
      <c r="AP99" s="142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2026-09-16T13:52:25Z</dcterms:created>
  <dcterms:modified xmlns:dcterms="http://purl.org/dc/terms/" xmlns:xsi="http://www.w3.org/2001/XMLSchema-instance" xsi:type="dcterms:W3CDTF">2026-09-16T13:54:38Z</dcterms:modified>
</cp:coreProperties>
</file>