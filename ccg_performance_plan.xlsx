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ABA Plan" sheetId="18" state="visible" r:id="rId18"/>
    <sheet xmlns:r="http://schemas.openxmlformats.org/officeDocument/2006/relationships" name="BK Plan" sheetId="19" state="visible" r:id="rId19"/>
    <sheet xmlns:r="http://schemas.openxmlformats.org/officeDocument/2006/relationships" name="BW Plan" sheetId="20" state="visible" r:id="rId20"/>
    <sheet xmlns:r="http://schemas.openxmlformats.org/officeDocument/2006/relationships" name="CED Plan" sheetId="21" state="visible" r:id="rId21"/>
    <sheet xmlns:r="http://schemas.openxmlformats.org/officeDocument/2006/relationships" name="HAB Plan" sheetId="22" state="visible" r:id="rId22"/>
    <sheet xmlns:r="http://schemas.openxmlformats.org/officeDocument/2006/relationships" name="HB Plan" sheetId="23" state="visible" r:id="rId23"/>
    <sheet xmlns:r="http://schemas.openxmlformats.org/officeDocument/2006/relationships" name="OD Plan" sheetId="24" state="visible" r:id="rId24"/>
    <sheet xmlns:r="http://schemas.openxmlformats.org/officeDocument/2006/relationships" name="HDN Plan" sheetId="25" state="visible" r:id="rId25"/>
    <sheet xmlns:r="http://schemas.openxmlformats.org/officeDocument/2006/relationships" name="KIN Plan" sheetId="26" state="visible" r:id="rId26"/>
    <sheet xmlns:r="http://schemas.openxmlformats.org/officeDocument/2006/relationships" name="LE Plan" sheetId="27" state="visible" r:id="rId27"/>
    <sheet xmlns:r="http://schemas.openxmlformats.org/officeDocument/2006/relationships" name="MER Plan" sheetId="28" state="visible" r:id="rId28"/>
    <sheet xmlns:r="http://schemas.openxmlformats.org/officeDocument/2006/relationships" name="NDN Plan" sheetId="29" state="visible" r:id="rId29"/>
    <sheet xmlns:r="http://schemas.openxmlformats.org/officeDocument/2006/relationships" name="SALT Plan" sheetId="30" state="visible" r:id="rId30"/>
    <sheet xmlns:r="http://schemas.openxmlformats.org/officeDocument/2006/relationships" name="SDN Plan" sheetId="31" state="visible" r:id="rId31"/>
    <sheet xmlns:r="http://schemas.openxmlformats.org/officeDocument/2006/relationships" name="SST Plan" sheetId="32" state="visible" r:id="rId32"/>
    <sheet xmlns:r="http://schemas.openxmlformats.org/officeDocument/2006/relationships" name="WH Plan" sheetId="33" state="visible" r:id="rId33"/>
    <sheet xmlns:r="http://schemas.openxmlformats.org/officeDocument/2006/relationships" name="FH Plan" sheetId="34" state="visible" r:id="rId34"/>
    <sheet xmlns:r="http://schemas.openxmlformats.org/officeDocument/2006/relationships" name="GROUP — Current" sheetId="35" state="visible" r:id="rId35"/>
    <sheet xmlns:r="http://schemas.openxmlformats.org/officeDocument/2006/relationships" name="GROUP — 2027 Plan" sheetId="36" state="visible" r:id="rId36"/>
    <sheet xmlns:r="http://schemas.openxmlformats.org/officeDocument/2006/relationships" name="Economic Pressures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+0.0%;-0.0%;0.0%"/>
    <numFmt numFmtId="165" formatCode="0.0%"/>
    <numFmt numFmtId="166" formatCode="+#,##0;-#,##0;#,##0"/>
  </numFmts>
  <fonts count="2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8"/>
    </font>
    <font>
      <b val="1"/>
      <color rgb="00FFFFFF"/>
      <sz val="9"/>
    </font>
    <font>
      <color rgb="00000000"/>
      <sz val="9"/>
    </font>
    <font>
      <color rgb="00888888"/>
      <sz val="9"/>
    </font>
    <font>
      <color rgb="00555555"/>
      <sz val="9"/>
    </font>
    <font>
      <b val="1"/>
      <color rgb="00888888"/>
      <sz val="9"/>
    </font>
    <font>
      <i val="1"/>
      <color rgb="00888888"/>
      <sz val="9"/>
    </font>
    <font>
      <b val="1"/>
      <color rgb="00C0392B"/>
      <sz val="9"/>
    </font>
    <font>
      <color rgb="00555555"/>
      <sz val="8"/>
    </font>
    <font>
      <color rgb="001A1A2E"/>
      <sz val="9"/>
    </font>
    <font>
      <b val="1"/>
      <color rgb="00000000"/>
      <sz val="9"/>
    </font>
    <font>
      <color rgb="0027AE60"/>
      <sz val="9"/>
    </font>
    <font>
      <color rgb="001A73E8"/>
      <sz val="9"/>
    </font>
    <font>
      <color rgb="00C0392B"/>
      <sz val="9"/>
    </font>
    <font>
      <color rgb="00D35400"/>
      <sz val="8"/>
    </font>
    <font>
      <color rgb="00C0392B"/>
      <sz val="8"/>
    </font>
    <font>
      <i val="1"/>
      <color rgb="00555555"/>
      <sz val="8"/>
    </font>
    <font>
      <color rgb="001A1A2E"/>
      <sz val="8"/>
    </font>
    <font>
      <color rgb="00555555"/>
      <sz val="7"/>
    </font>
    <font>
      <color rgb="00FFFFFF"/>
      <sz val="8"/>
    </font>
    <font>
      <b val="1"/>
      <color rgb="006C3483"/>
      <sz val="9"/>
    </font>
    <font>
      <b val="1"/>
      <color rgb="00FFFFFF"/>
      <sz val="8.5"/>
    </font>
  </fonts>
  <fills count="1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7AE60"/>
      </patternFill>
    </fill>
    <fill>
      <patternFill patternType="solid">
        <fgColor rgb="00F0FFF4"/>
      </patternFill>
    </fill>
    <fill>
      <patternFill patternType="solid">
        <fgColor rgb="00F8F9FA"/>
      </patternFill>
    </fill>
    <fill>
      <patternFill patternType="solid">
        <fgColor rgb="002C3E50"/>
      </patternFill>
    </fill>
    <fill>
      <patternFill patternType="solid">
        <fgColor rgb="00C0392B"/>
      </patternFill>
    </fill>
    <fill>
      <patternFill patternType="solid">
        <fgColor rgb="00FFF5F5"/>
      </patternFill>
    </fill>
    <fill>
      <patternFill patternType="solid">
        <fgColor rgb="00D35400"/>
      </patternFill>
    </fill>
    <fill>
      <patternFill patternType="solid">
        <fgColor rgb="00FFF9F0"/>
      </patternFill>
    </fill>
    <fill>
      <patternFill patternType="solid">
        <fgColor rgb="001A73E8"/>
      </patternFill>
    </fill>
    <fill>
      <patternFill patternType="solid">
        <fgColor rgb="00F0F4FF"/>
      </patternFill>
    </fill>
    <fill>
      <patternFill patternType="solid">
        <fgColor rgb="006C3483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3" fontId="5" fillId="5" borderId="0" applyAlignment="1" pivotButton="0" quotePrefix="0" xfId="0">
      <alignment horizontal="right" vertical="center"/>
    </xf>
    <xf numFmtId="164" fontId="6" fillId="5" borderId="0" applyAlignment="1" pivotButton="0" quotePrefix="0" xfId="0">
      <alignment horizontal="right" vertical="center"/>
    </xf>
    <xf numFmtId="3" fontId="4" fillId="5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3" fontId="3" fillId="3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0" fontId="3" fillId="6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/>
    </xf>
    <xf numFmtId="3" fontId="3" fillId="7" borderId="0" applyAlignment="1" pivotButton="0" quotePrefix="0" xfId="0">
      <alignment horizontal="right" vertical="center"/>
    </xf>
    <xf numFmtId="0" fontId="8" fillId="8" borderId="0" applyAlignment="1" pivotButton="0" quotePrefix="0" xfId="0">
      <alignment horizontal="left" vertical="center"/>
    </xf>
    <xf numFmtId="165" fontId="8" fillId="8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3" fontId="4" fillId="10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/>
    </xf>
    <xf numFmtId="3" fontId="3" fillId="9" borderId="0" applyAlignment="1" pivotButton="0" quotePrefix="0" xfId="0">
      <alignment horizontal="right" vertical="center"/>
    </xf>
    <xf numFmtId="0" fontId="3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3" fontId="4" fillId="12" borderId="0" applyAlignment="1" pivotButton="0" quotePrefix="0" xfId="0">
      <alignment horizontal="right" vertical="center"/>
    </xf>
    <xf numFmtId="0" fontId="3" fillId="11" borderId="0" applyAlignment="1" pivotButton="0" quotePrefix="0" xfId="0">
      <alignment horizontal="left" vertical="center"/>
    </xf>
    <xf numFmtId="3" fontId="3" fillId="11" borderId="0" applyAlignment="1" pivotButton="0" quotePrefix="0" xfId="0">
      <alignment horizontal="right" vertical="center"/>
    </xf>
    <xf numFmtId="0" fontId="3" fillId="6" borderId="0" applyAlignment="1" pivotButton="0" quotePrefix="0" xfId="0">
      <alignment horizontal="left" vertical="center"/>
    </xf>
    <xf numFmtId="3" fontId="3" fillId="6" borderId="0" applyAlignment="1" pivotButton="0" quotePrefix="0" xfId="0">
      <alignment horizontal="right" vertical="center"/>
    </xf>
    <xf numFmtId="0" fontId="3" fillId="13" borderId="0" applyAlignment="1" pivotButton="0" quotePrefix="0" xfId="0">
      <alignment horizontal="left" vertical="center"/>
    </xf>
    <xf numFmtId="3" fontId="3" fillId="13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3" fontId="3" fillId="2" borderId="0" applyAlignment="1" pivotButton="0" quotePrefix="0" xfId="0">
      <alignment horizontal="right" vertical="center"/>
    </xf>
    <xf numFmtId="0" fontId="2" fillId="13" borderId="0" applyAlignment="1" pivotButton="0" quotePrefix="0" xfId="0">
      <alignment horizontal="center" vertical="center" wrapText="1"/>
    </xf>
    <xf numFmtId="3" fontId="4" fillId="14" borderId="0" applyAlignment="1" pivotButton="0" quotePrefix="0" xfId="0">
      <alignment horizontal="right" vertical="center"/>
    </xf>
    <xf numFmtId="3" fontId="3" fillId="14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3" fontId="9" fillId="5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3" fontId="3" fillId="3" borderId="0" applyAlignment="1" pivotButton="0" quotePrefix="0" xfId="0">
      <alignment horizontal="right" vertical="center" wrapText="1"/>
    </xf>
    <xf numFmtId="3" fontId="3" fillId="13" borderId="0" applyAlignment="1" pivotButton="0" quotePrefix="0" xfId="0">
      <alignment horizontal="right" vertical="center" wrapText="1"/>
    </xf>
    <xf numFmtId="164" fontId="6" fillId="5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3" fontId="4" fillId="4" borderId="0" applyAlignment="1" pivotButton="0" quotePrefix="0" xfId="0">
      <alignment horizontal="right" vertical="center" wrapText="1"/>
    </xf>
    <xf numFmtId="3" fontId="4" fillId="14" borderId="0" applyAlignment="1" pivotButton="0" quotePrefix="0" xfId="0">
      <alignment horizontal="right" vertical="center" wrapText="1"/>
    </xf>
    <xf numFmtId="0" fontId="4" fillId="8" borderId="0" applyAlignment="1" pivotButton="0" quotePrefix="0" xfId="0">
      <alignment horizontal="left" vertical="center" wrapText="1"/>
    </xf>
    <xf numFmtId="3" fontId="4" fillId="8" borderId="0" applyAlignment="1" pivotButton="0" quotePrefix="0" xfId="0">
      <alignment horizontal="right" vertical="center" wrapText="1"/>
    </xf>
    <xf numFmtId="0" fontId="3" fillId="7" borderId="0" applyAlignment="1" pivotButton="0" quotePrefix="0" xfId="0">
      <alignment horizontal="left" vertical="center" wrapText="1"/>
    </xf>
    <xf numFmtId="3" fontId="3" fillId="7" borderId="0" applyAlignment="1" pivotButton="0" quotePrefix="0" xfId="0">
      <alignment horizontal="right" vertical="center" wrapText="1"/>
    </xf>
    <xf numFmtId="165" fontId="4" fillId="8" borderId="0" applyAlignment="1" pivotButton="0" quotePrefix="0" xfId="0">
      <alignment horizontal="right" vertical="center" wrapText="1"/>
    </xf>
    <xf numFmtId="165" fontId="4" fillId="14" borderId="0" applyAlignment="1" pivotButton="0" quotePrefix="0" xfId="0">
      <alignment horizontal="right" vertical="center" wrapText="1"/>
    </xf>
    <xf numFmtId="0" fontId="3" fillId="9" borderId="0" applyAlignment="1" pivotButton="0" quotePrefix="0" xfId="0">
      <alignment horizontal="left" vertical="center" wrapText="1"/>
    </xf>
    <xf numFmtId="3" fontId="3" fillId="9" borderId="0" applyAlignment="1" pivotButton="0" quotePrefix="0" xfId="0">
      <alignment horizontal="right" vertical="center" wrapText="1"/>
    </xf>
    <xf numFmtId="0" fontId="4" fillId="12" borderId="0" applyAlignment="1" pivotButton="0" quotePrefix="0" xfId="0">
      <alignment horizontal="left" vertical="center" wrapText="1"/>
    </xf>
    <xf numFmtId="3" fontId="4" fillId="12" borderId="0" applyAlignment="1" pivotButton="0" quotePrefix="0" xfId="0">
      <alignment horizontal="right" vertical="center" wrapText="1"/>
    </xf>
    <xf numFmtId="0" fontId="3" fillId="11" borderId="0" applyAlignment="1" pivotButton="0" quotePrefix="0" xfId="0">
      <alignment horizontal="left" vertical="center" wrapText="1"/>
    </xf>
    <xf numFmtId="3" fontId="3" fillId="11" borderId="0" applyAlignment="1" pivotButton="0" quotePrefix="0" xfId="0">
      <alignment horizontal="right" vertical="center" wrapText="1"/>
    </xf>
    <xf numFmtId="0" fontId="3" fillId="13" borderId="0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3" fontId="9" fillId="5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left" vertical="center" wrapText="1"/>
    </xf>
    <xf numFmtId="3" fontId="3" fillId="2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left" vertical="center" wrapText="1"/>
    </xf>
    <xf numFmtId="3" fontId="4" fillId="5" borderId="0" applyAlignment="1" pivotButton="0" quotePrefix="0" xfId="0">
      <alignment horizontal="right" vertical="center" wrapText="1"/>
    </xf>
    <xf numFmtId="3" fontId="12" fillId="14" borderId="0" applyAlignment="1" pivotButton="0" quotePrefix="0" xfId="0">
      <alignment horizontal="right" vertical="center" wrapText="1"/>
    </xf>
    <xf numFmtId="166" fontId="13" fillId="5" borderId="0" applyAlignment="1" pivotButton="0" quotePrefix="0" xfId="0">
      <alignment horizontal="right" vertical="center" wrapText="1"/>
    </xf>
    <xf numFmtId="3" fontId="14" fillId="5" borderId="0" applyAlignment="1" pivotButton="0" quotePrefix="0" xfId="0">
      <alignment horizontal="right" vertical="center" wrapText="1"/>
    </xf>
    <xf numFmtId="0" fontId="11" fillId="10" borderId="0" applyAlignment="1" pivotButton="0" quotePrefix="0" xfId="0">
      <alignment horizontal="left" vertical="center" wrapText="1"/>
    </xf>
    <xf numFmtId="3" fontId="4" fillId="10" borderId="0" applyAlignment="1" pivotButton="0" quotePrefix="0" xfId="0">
      <alignment horizontal="right" vertical="center" wrapText="1"/>
    </xf>
    <xf numFmtId="166" fontId="15" fillId="10" borderId="0" applyAlignment="1" pivotButton="0" quotePrefix="0" xfId="0">
      <alignment horizontal="right" vertical="center" wrapText="1"/>
    </xf>
    <xf numFmtId="3" fontId="14" fillId="10" borderId="0" applyAlignment="1" pivotButton="0" quotePrefix="0" xfId="0">
      <alignment horizontal="right" vertical="center" wrapText="1"/>
    </xf>
    <xf numFmtId="0" fontId="16" fillId="10" borderId="0" applyAlignment="1" pivotButton="0" quotePrefix="0" xfId="0">
      <alignment horizontal="left" vertical="center" wrapText="1"/>
    </xf>
    <xf numFmtId="166" fontId="15" fillId="5" borderId="0" applyAlignment="1" pivotButton="0" quotePrefix="0" xfId="0">
      <alignment horizontal="right" vertical="center" wrapText="1"/>
    </xf>
    <xf numFmtId="0" fontId="11" fillId="8" borderId="0" applyAlignment="1" pivotButton="0" quotePrefix="0" xfId="0">
      <alignment horizontal="left" vertical="center" wrapText="1"/>
    </xf>
    <xf numFmtId="166" fontId="15" fillId="8" borderId="0" applyAlignment="1" pivotButton="0" quotePrefix="0" xfId="0">
      <alignment horizontal="right" vertical="center" wrapText="1"/>
    </xf>
    <xf numFmtId="3" fontId="14" fillId="8" borderId="0" applyAlignment="1" pivotButton="0" quotePrefix="0" xfId="0">
      <alignment horizontal="right" vertical="center" wrapText="1"/>
    </xf>
    <xf numFmtId="0" fontId="17" fillId="8" borderId="0" applyAlignment="1" pivotButton="0" quotePrefix="0" xfId="0">
      <alignment horizontal="left" vertical="center" wrapText="1"/>
    </xf>
    <xf numFmtId="166" fontId="3" fillId="2" borderId="0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5" borderId="0" applyAlignment="1" pivotButton="0" quotePrefix="0" xfId="0">
      <alignment horizontal="left" vertical="center" wrapText="1"/>
    </xf>
    <xf numFmtId="0" fontId="20" fillId="5" borderId="0" applyAlignment="1" pivotButton="0" quotePrefix="0" xfId="0">
      <alignment horizontal="left" vertical="center" wrapText="1"/>
    </xf>
    <xf numFmtId="3" fontId="4" fillId="7" borderId="0" applyAlignment="1" pivotButton="0" quotePrefix="0" xfId="0">
      <alignment horizontal="right" vertical="center" wrapText="1"/>
    </xf>
    <xf numFmtId="166" fontId="3" fillId="7" borderId="0" applyAlignment="1" pivotButton="0" quotePrefix="0" xfId="0">
      <alignment horizontal="right" vertical="center" wrapText="1"/>
    </xf>
    <xf numFmtId="0" fontId="21" fillId="7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right" vertical="center" wrapText="1"/>
    </xf>
    <xf numFmtId="0" fontId="22" fillId="14" borderId="0" applyAlignment="1" pivotButton="0" quotePrefix="0" xfId="0">
      <alignment horizontal="center" vertical="center"/>
    </xf>
    <xf numFmtId="0" fontId="18" fillId="5" borderId="0" applyAlignment="1" pivotButton="0" quotePrefix="0" xfId="0">
      <alignment horizontal="left" vertical="center" wrapText="1"/>
    </xf>
    <xf numFmtId="0" fontId="23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Abacus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644469.1699999999</v>
      </c>
      <c r="C4" s="5" t="n">
        <v>331336.51</v>
      </c>
      <c r="D4" s="5" t="n">
        <v>658468.28</v>
      </c>
      <c r="E4" s="6" t="n">
        <v>658468.28</v>
      </c>
      <c r="F4" s="5">
        <f>D4+E4</f>
        <v/>
      </c>
      <c r="G4" s="7" t="n">
        <v>-0.4858768651415861</v>
      </c>
      <c r="H4" s="7" t="n">
        <v>2.974619518989924</v>
      </c>
    </row>
    <row r="5" ht="14" customHeight="1">
      <c r="A5" s="4" t="inlineStr">
        <is>
          <t xml:space="preserve">    EEEF Embedded</t>
        </is>
      </c>
      <c r="B5" s="5" t="n">
        <v>303898.21</v>
      </c>
      <c r="C5" s="5" t="n">
        <v>144566</v>
      </c>
      <c r="D5" s="5" t="n">
        <v>0</v>
      </c>
      <c r="E5" s="6" t="n">
        <v>0</v>
      </c>
      <c r="F5" s="5">
        <f>D5+E5</f>
        <v/>
      </c>
      <c r="G5" s="7" t="n">
        <v>-0.5242946643219781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2440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950807.38</v>
      </c>
      <c r="C7" s="10" t="n">
        <v>1156529.85</v>
      </c>
      <c r="D7" s="10" t="n">
        <v>658468.28</v>
      </c>
      <c r="E7" s="11" t="n">
        <v>658468.28</v>
      </c>
      <c r="F7" s="10">
        <f>D7+E7</f>
        <v/>
      </c>
      <c r="G7" s="7" t="n">
        <v>0.2163660845796128</v>
      </c>
      <c r="H7" s="7" t="n">
        <v>0.1386965585021432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419832.17</v>
      </c>
      <c r="C11" s="15" t="n">
        <v>503421.1</v>
      </c>
      <c r="D11" s="15" t="n">
        <v>264476.58</v>
      </c>
      <c r="E11" s="6" t="n">
        <v>264476.58</v>
      </c>
      <c r="F11" s="15">
        <f>D11+E11</f>
        <v/>
      </c>
      <c r="G11" s="7" t="n">
        <v>0.1991008216449921</v>
      </c>
      <c r="H11" s="7" t="n">
        <v>0.05071710343487799</v>
      </c>
    </row>
    <row r="12" ht="14" customHeight="1">
      <c r="A12" s="14" t="inlineStr">
        <is>
          <t xml:space="preserve">    Nursery NI</t>
        </is>
      </c>
      <c r="B12" s="15" t="n">
        <v>37810.1</v>
      </c>
      <c r="C12" s="15" t="n">
        <v>48170.45</v>
      </c>
      <c r="D12" s="15" t="n">
        <v>25739.52</v>
      </c>
      <c r="E12" s="6" t="n">
        <v>25739.52</v>
      </c>
      <c r="F12" s="15">
        <f>D12+E12</f>
        <v/>
      </c>
      <c r="G12" s="7" t="n">
        <v>0.2740101189893706</v>
      </c>
      <c r="H12" s="7" t="n">
        <v>0.06868505484171321</v>
      </c>
    </row>
    <row r="13" ht="14" customHeight="1">
      <c r="A13" s="14" t="inlineStr">
        <is>
          <t xml:space="preserve">    Nursery Pension</t>
        </is>
      </c>
      <c r="B13" s="15" t="n">
        <v>7724.320000000001</v>
      </c>
      <c r="C13" s="15" t="n">
        <v>7770.599999999999</v>
      </c>
      <c r="D13" s="15" t="n">
        <v>4237.74</v>
      </c>
      <c r="E13" s="6" t="n">
        <v>4237.74</v>
      </c>
      <c r="F13" s="15">
        <f>D13+E13</f>
        <v/>
      </c>
      <c r="G13" s="7" t="n">
        <v>0.005991465915446127</v>
      </c>
      <c r="H13" s="7" t="n">
        <v>0.09071114199675703</v>
      </c>
    </row>
    <row r="14" ht="14" customHeight="1">
      <c r="A14" s="14" t="inlineStr">
        <is>
          <t xml:space="preserve">    Uniform</t>
        </is>
      </c>
      <c r="B14" s="15" t="n">
        <v>710.6</v>
      </c>
      <c r="C14" s="15" t="n">
        <v>865</v>
      </c>
      <c r="D14" s="15" t="n">
        <v>1038</v>
      </c>
      <c r="E14" s="6" t="n">
        <v>1038</v>
      </c>
      <c r="F14" s="15">
        <f>D14+E14</f>
        <v/>
      </c>
      <c r="G14" s="7" t="n">
        <v>0.2172811708415423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1648</v>
      </c>
      <c r="C15" s="15" t="n">
        <v>1615</v>
      </c>
      <c r="D15" s="15" t="n">
        <v>1938</v>
      </c>
      <c r="E15" s="6" t="n">
        <v>1938</v>
      </c>
      <c r="F15" s="15">
        <f>D15+E15</f>
        <v/>
      </c>
      <c r="G15" s="7" t="n">
        <v>-0.0200242718446602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2860.2</v>
      </c>
      <c r="C16" s="15" t="n">
        <v>1055</v>
      </c>
      <c r="D16" s="15" t="n">
        <v>1266</v>
      </c>
      <c r="E16" s="6" t="n">
        <v>1266</v>
      </c>
      <c r="F16" s="15">
        <f>D16+E16</f>
        <v/>
      </c>
      <c r="G16" s="7" t="n">
        <v>-0.6311446751975386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644.48</v>
      </c>
      <c r="C18" s="15" t="n">
        <v>605</v>
      </c>
      <c r="D18" s="15" t="n">
        <v>726</v>
      </c>
      <c r="E18" s="6" t="n">
        <v>726</v>
      </c>
      <c r="F18" s="15">
        <f>D18+E18</f>
        <v/>
      </c>
      <c r="G18" s="7" t="n">
        <v>-0.06125868917576964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471229.87</v>
      </c>
      <c r="C20" s="17" t="n">
        <v>569930.9399999999</v>
      </c>
      <c r="D20" s="17" t="n">
        <v>299421.84</v>
      </c>
      <c r="E20" s="11" t="n">
        <v>299421.84</v>
      </c>
      <c r="F20" s="17">
        <f>D20+E20</f>
        <v/>
      </c>
      <c r="G20" s="7" t="n">
        <v>0.2094541884622041</v>
      </c>
      <c r="H20" s="7" t="n">
        <v>0.05073025163364529</v>
      </c>
    </row>
    <row r="21" ht="14" customHeight="1">
      <c r="A21" s="18" t="inlineStr">
        <is>
          <t xml:space="preserve">    Sal:Rev</t>
        </is>
      </c>
      <c r="B21" s="19" t="n">
        <v>0.4956102360080545</v>
      </c>
      <c r="C21" s="19" t="n">
        <v>0.492793973281364</v>
      </c>
      <c r="D21" s="19" t="n">
        <v>0.4547247742898108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19564.2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6829.97</v>
      </c>
      <c r="C25" s="22" t="n">
        <v>500</v>
      </c>
      <c r="D25" s="22" t="n">
        <v>600</v>
      </c>
      <c r="E25" s="6" t="n">
        <v>600</v>
      </c>
      <c r="F25" s="22">
        <f>D25+E25</f>
        <v/>
      </c>
      <c r="G25" s="7" t="n">
        <v>-0.9267932362806864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2476.97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876.47</v>
      </c>
      <c r="C27" s="22" t="n">
        <v>500</v>
      </c>
      <c r="D27" s="22" t="n">
        <v>600</v>
      </c>
      <c r="E27" s="6" t="n">
        <v>600</v>
      </c>
      <c r="F27" s="22">
        <f>D27+E27</f>
        <v/>
      </c>
      <c r="G27" s="7" t="n">
        <v>-0.4295298184763883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1938.2</v>
      </c>
      <c r="C28" s="22" t="n">
        <v>500</v>
      </c>
      <c r="D28" s="22" t="n">
        <v>600</v>
      </c>
      <c r="E28" s="6" t="n">
        <v>600</v>
      </c>
      <c r="F28" s="22">
        <f>D28+E28</f>
        <v/>
      </c>
      <c r="G28" s="7" t="n">
        <v>-0.7420286864100712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3010.72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34696.53</v>
      </c>
      <c r="C30" s="24" t="n">
        <v>24753.06</v>
      </c>
      <c r="D30" s="24" t="n">
        <v>1800</v>
      </c>
      <c r="E30" s="11" t="n">
        <v>1800</v>
      </c>
      <c r="F30" s="24">
        <f>D30+E30</f>
        <v/>
      </c>
      <c r="G30" s="7" t="n">
        <v>-0.2865839898110849</v>
      </c>
      <c r="H30" s="7" t="n">
        <v>-0.8545634357933928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20459.04</v>
      </c>
      <c r="C34" s="27" t="n">
        <v>9116.25</v>
      </c>
      <c r="D34" s="27" t="n">
        <v>10939.5</v>
      </c>
      <c r="E34" s="6" t="n">
        <v>10939.5</v>
      </c>
      <c r="F34" s="27">
        <f>D34+E34</f>
        <v/>
      </c>
      <c r="G34" s="7" t="n">
        <v>-0.554414576637027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16090.28</v>
      </c>
      <c r="C35" s="27" t="n">
        <v>11151.36</v>
      </c>
      <c r="D35" s="27" t="n">
        <v>8574</v>
      </c>
      <c r="E35" s="6" t="n">
        <v>8574</v>
      </c>
      <c r="F35" s="27">
        <f>D35+E35</f>
        <v/>
      </c>
      <c r="G35" s="7" t="n">
        <v>-0.3069505316253042</v>
      </c>
      <c r="H35" s="7" t="n">
        <v>0.5377496556473829</v>
      </c>
    </row>
    <row r="36" ht="14" customHeight="1">
      <c r="A36" s="26" t="inlineStr">
        <is>
          <t xml:space="preserve">    Repairs &amp; Maintenance</t>
        </is>
      </c>
      <c r="B36" s="27" t="n">
        <v>7897.56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14889.17</v>
      </c>
      <c r="C37" s="27" t="n">
        <v>2000</v>
      </c>
      <c r="D37" s="27" t="n">
        <v>2400</v>
      </c>
      <c r="E37" s="6" t="n">
        <v>2400</v>
      </c>
      <c r="F37" s="27">
        <f>D37+E37</f>
        <v/>
      </c>
      <c r="G37" s="7" t="n">
        <v>-0.8656741779427597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4863.360000000001</v>
      </c>
      <c r="C38" s="27" t="n">
        <v>2000</v>
      </c>
      <c r="D38" s="27" t="n">
        <v>2400</v>
      </c>
      <c r="E38" s="6" t="n">
        <v>2400</v>
      </c>
      <c r="F38" s="27">
        <f>D38+E38</f>
        <v/>
      </c>
      <c r="G38" s="7" t="n">
        <v>-0.5887616791683117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1009.61</v>
      </c>
      <c r="C39" s="27" t="n">
        <v>530</v>
      </c>
      <c r="D39" s="27" t="n">
        <v>636</v>
      </c>
      <c r="E39" s="6" t="n">
        <v>636</v>
      </c>
      <c r="F39" s="27">
        <f>D39+E39</f>
        <v/>
      </c>
      <c r="G39" s="7" t="n">
        <v>-0.4750448192866553</v>
      </c>
      <c r="H39" s="7" t="n">
        <v>1.4</v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678.8100000000001</v>
      </c>
      <c r="C41" s="27" t="n">
        <v>530</v>
      </c>
      <c r="D41" s="27" t="n">
        <v>636</v>
      </c>
      <c r="E41" s="6" t="n">
        <v>636</v>
      </c>
      <c r="F41" s="27">
        <f>D41+E41</f>
        <v/>
      </c>
      <c r="G41" s="7" t="n">
        <v>-0.2192218735728702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65887.83</v>
      </c>
      <c r="C42" s="29" t="n">
        <v>57349.37</v>
      </c>
      <c r="D42" s="29" t="n">
        <v>25585.5</v>
      </c>
      <c r="E42" s="11" t="n">
        <v>25585.5</v>
      </c>
      <c r="F42" s="29">
        <f>D42+E42</f>
        <v/>
      </c>
      <c r="G42" s="7" t="n">
        <v>-0.1295908516033993</v>
      </c>
      <c r="H42" s="7" t="n">
        <v>-0.1077321337618879</v>
      </c>
    </row>
    <row r="43" ht="5" customHeight="1"/>
    <row r="44" ht="14" customHeight="1">
      <c r="A44" s="30" t="inlineStr">
        <is>
          <t>Total Direct Costs</t>
        </is>
      </c>
      <c r="B44" s="31" t="n">
        <v>571814.23</v>
      </c>
      <c r="C44" s="31" t="n">
        <v>652033.37</v>
      </c>
      <c r="D44" s="31" t="n">
        <v>326807.34</v>
      </c>
      <c r="E44" s="11" t="n">
        <v>326807.34</v>
      </c>
      <c r="F44" s="31">
        <f>D44+E44</f>
        <v/>
      </c>
      <c r="G44" s="7" t="n">
        <v>0.1402888137288924</v>
      </c>
      <c r="H44" s="7" t="n">
        <v>0.002425197961877226</v>
      </c>
    </row>
    <row r="45" ht="5" customHeight="1"/>
    <row r="46" ht="14" customHeight="1">
      <c r="A46" s="32" t="inlineStr">
        <is>
          <t>CONTRIBUTION</t>
        </is>
      </c>
      <c r="B46" s="33" t="n">
        <v>378993.15</v>
      </c>
      <c r="C46" s="33" t="n">
        <v>504496.4800000001</v>
      </c>
      <c r="D46" s="33" t="n">
        <v>331660.9400000001</v>
      </c>
      <c r="E46" s="11" t="n">
        <v>331660.9400000001</v>
      </c>
      <c r="F46" s="33">
        <f>D46+E46</f>
        <v/>
      </c>
      <c r="G46" s="7" t="n">
        <v>0.331149336076391</v>
      </c>
      <c r="H46" s="7" t="n">
        <v>0.3148196395740957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0</v>
      </c>
      <c r="D51" s="8" t="n">
        <v>0</v>
      </c>
      <c r="E51" s="6" t="n">
        <v>0</v>
      </c>
      <c r="F51" s="8">
        <f>D51+E51</f>
        <v/>
      </c>
      <c r="G51" s="7" t="n">
        <v>-1</v>
      </c>
      <c r="H51" s="8" t="n"/>
    </row>
    <row r="52" ht="14" customHeight="1">
      <c r="A52" s="34" t="inlineStr">
        <is>
          <t xml:space="preserve">    Fees &amp; Subscriptions</t>
        </is>
      </c>
      <c r="B52" s="8" t="n">
        <v>136.6</v>
      </c>
      <c r="C52" s="8" t="n">
        <v>25</v>
      </c>
      <c r="D52" s="8" t="n">
        <v>30</v>
      </c>
      <c r="E52" s="6" t="n">
        <v>30</v>
      </c>
      <c r="F52" s="8">
        <f>D52+E52</f>
        <v/>
      </c>
      <c r="G52" s="7" t="n">
        <v>-0.8169838945827232</v>
      </c>
      <c r="H52" s="7" t="n">
        <v>1.4</v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220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7" t="n">
        <v>-1</v>
      </c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3754.83</v>
      </c>
      <c r="C56" s="31" t="n">
        <v>622923.4300000002</v>
      </c>
      <c r="D56" s="31" t="n">
        <v>30</v>
      </c>
      <c r="E56" s="11" t="n">
        <v>30</v>
      </c>
      <c r="F56" s="31">
        <f>D56+E56</f>
        <v/>
      </c>
      <c r="G56" s="7" t="n">
        <v>164.899236450119</v>
      </c>
      <c r="H56" s="7" t="n">
        <v>-0.999903679975563</v>
      </c>
    </row>
    <row r="57" ht="5" customHeight="1"/>
    <row r="58" ht="14" customHeight="1">
      <c r="A58" s="35" t="inlineStr">
        <is>
          <t>EBITDA</t>
        </is>
      </c>
      <c r="B58" s="36" t="n">
        <v>375238.32</v>
      </c>
      <c r="C58" s="36" t="n">
        <v>-118426.9500000001</v>
      </c>
      <c r="D58" s="36" t="n">
        <v>331630.9400000001</v>
      </c>
      <c r="E58" s="11" t="n">
        <v>331630.9400000001</v>
      </c>
      <c r="F58" s="36">
        <f>D58+E58</f>
        <v/>
      </c>
      <c r="G58" s="7" t="n">
        <v>-1.315604626947483</v>
      </c>
      <c r="H58" s="7" t="n">
        <v>6.600599187938216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Bees Knees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328920.81</v>
      </c>
      <c r="C4" s="5" t="n">
        <v>88671</v>
      </c>
      <c r="D4" s="5" t="n">
        <v>234036.19</v>
      </c>
      <c r="E4" s="6" t="n">
        <v>234036.19</v>
      </c>
      <c r="F4" s="5">
        <f>D4+E4</f>
        <v/>
      </c>
      <c r="G4" s="7" t="n">
        <v>-0.7304183946281781</v>
      </c>
      <c r="H4" s="7" t="n">
        <v>4.278753820302016</v>
      </c>
    </row>
    <row r="5" ht="14" customHeight="1">
      <c r="A5" s="4" t="inlineStr">
        <is>
          <t xml:space="preserve">    EEEF Embedded</t>
        </is>
      </c>
      <c r="B5" s="5" t="n">
        <v>184682.79</v>
      </c>
      <c r="C5" s="5" t="n">
        <v>60880.02</v>
      </c>
      <c r="D5" s="5" t="n">
        <v>0</v>
      </c>
      <c r="E5" s="6" t="n">
        <v>0</v>
      </c>
      <c r="F5" s="5">
        <f>D5+E5</f>
        <v/>
      </c>
      <c r="G5" s="7" t="n">
        <v>-0.6703535830274169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4568.76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518172.36</v>
      </c>
      <c r="C7" s="10" t="n">
        <v>448382.15</v>
      </c>
      <c r="D7" s="10" t="n">
        <v>234036.19</v>
      </c>
      <c r="E7" s="11" t="n">
        <v>234036.19</v>
      </c>
      <c r="F7" s="10">
        <f>D7+E7</f>
        <v/>
      </c>
      <c r="G7" s="7" t="n">
        <v>-0.1346853197650295</v>
      </c>
      <c r="H7" s="7" t="n">
        <v>0.04391394706502028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254723.16</v>
      </c>
      <c r="C11" s="15" t="n">
        <v>277804.71</v>
      </c>
      <c r="D11" s="15" t="n">
        <v>139359.6</v>
      </c>
      <c r="E11" s="6" t="n">
        <v>139359.6</v>
      </c>
      <c r="F11" s="15">
        <f>D11+E11</f>
        <v/>
      </c>
      <c r="G11" s="7" t="n">
        <v>0.09061425745503456</v>
      </c>
      <c r="H11" s="7" t="n">
        <v>0.003291844835892058</v>
      </c>
    </row>
    <row r="12" ht="14" customHeight="1">
      <c r="A12" s="14" t="inlineStr">
        <is>
          <t xml:space="preserve">    Nursery NI</t>
        </is>
      </c>
      <c r="B12" s="15" t="n">
        <v>27633.4</v>
      </c>
      <c r="C12" s="15" t="n">
        <v>27982.84</v>
      </c>
      <c r="D12" s="15" t="n">
        <v>13062.6</v>
      </c>
      <c r="E12" s="6" t="n">
        <v>13062.6</v>
      </c>
      <c r="F12" s="15">
        <f>D12+E12</f>
        <v/>
      </c>
      <c r="G12" s="7" t="n">
        <v>0.01264556659694423</v>
      </c>
      <c r="H12" s="7" t="n">
        <v>-0.06638497021746195</v>
      </c>
    </row>
    <row r="13" ht="14" customHeight="1">
      <c r="A13" s="14" t="inlineStr">
        <is>
          <t xml:space="preserve">    Nursery Pension</t>
        </is>
      </c>
      <c r="B13" s="15" t="n">
        <v>4900.1</v>
      </c>
      <c r="C13" s="15" t="n">
        <v>5121.39</v>
      </c>
      <c r="D13" s="15" t="n">
        <v>2482.56</v>
      </c>
      <c r="E13" s="6" t="n">
        <v>2482.56</v>
      </c>
      <c r="F13" s="15">
        <f>D13+E13</f>
        <v/>
      </c>
      <c r="G13" s="7" t="n">
        <v>0.04516030285096222</v>
      </c>
      <c r="H13" s="7" t="n">
        <v>-0.03051320051782825</v>
      </c>
    </row>
    <row r="14" ht="14" customHeight="1">
      <c r="A14" s="14" t="inlineStr">
        <is>
          <t xml:space="preserve">    Uniform</t>
        </is>
      </c>
      <c r="B14" s="15" t="n">
        <v>838.3</v>
      </c>
      <c r="C14" s="15" t="n">
        <v>250</v>
      </c>
      <c r="D14" s="15" t="n">
        <v>300</v>
      </c>
      <c r="E14" s="6" t="n">
        <v>300</v>
      </c>
      <c r="F14" s="15">
        <f>D14+E14</f>
        <v/>
      </c>
      <c r="G14" s="7" t="n">
        <v>-0.7017774066563283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1354.6</v>
      </c>
      <c r="C15" s="15" t="n">
        <v>0</v>
      </c>
      <c r="D15" s="15" t="n">
        <v>0</v>
      </c>
      <c r="E15" s="6" t="n">
        <v>0</v>
      </c>
      <c r="F15" s="15">
        <f>D15+E15</f>
        <v/>
      </c>
      <c r="G15" s="7" t="n">
        <v>-1</v>
      </c>
      <c r="H15" s="8" t="n"/>
    </row>
    <row r="16" ht="14" customHeight="1">
      <c r="A16" s="14" t="inlineStr">
        <is>
          <t xml:space="preserve">    Staff Welfare</t>
        </is>
      </c>
      <c r="B16" s="15" t="n">
        <v>2314.25</v>
      </c>
      <c r="C16" s="15" t="n">
        <v>400</v>
      </c>
      <c r="D16" s="15" t="n">
        <v>480</v>
      </c>
      <c r="E16" s="6" t="n">
        <v>480</v>
      </c>
      <c r="F16" s="15">
        <f>D16+E16</f>
        <v/>
      </c>
      <c r="G16" s="7" t="n">
        <v>-0.8271578265096684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3861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7" t="n">
        <v>-1</v>
      </c>
      <c r="H17" s="8" t="n"/>
    </row>
    <row r="18" ht="14" customHeight="1">
      <c r="A18" s="14" t="inlineStr">
        <is>
          <t xml:space="preserve">    Rewards &amp; Recognition</t>
        </is>
      </c>
      <c r="B18" s="15" t="n">
        <v>175.09</v>
      </c>
      <c r="C18" s="15" t="n">
        <v>165</v>
      </c>
      <c r="D18" s="15" t="n">
        <v>198</v>
      </c>
      <c r="E18" s="6" t="n">
        <v>198</v>
      </c>
      <c r="F18" s="15">
        <f>D18+E18</f>
        <v/>
      </c>
      <c r="G18" s="7" t="n">
        <v>-0.05762750585413218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475.44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7" t="n">
        <v>-1</v>
      </c>
      <c r="H19" s="8" t="n"/>
    </row>
    <row r="20" ht="14" customHeight="1">
      <c r="A20" s="16" t="inlineStr">
        <is>
          <t>Total Personnel</t>
        </is>
      </c>
      <c r="B20" s="17" t="n">
        <v>296275.34</v>
      </c>
      <c r="C20" s="17" t="n">
        <v>315344.03</v>
      </c>
      <c r="D20" s="17" t="n">
        <v>155882.76</v>
      </c>
      <c r="E20" s="11" t="n">
        <v>155882.76</v>
      </c>
      <c r="F20" s="17">
        <f>D20+E20</f>
        <v/>
      </c>
      <c r="G20" s="7" t="n">
        <v>0.06436138086956546</v>
      </c>
      <c r="H20" s="7" t="n">
        <v>-0.01134795543774844</v>
      </c>
    </row>
    <row r="21" ht="14" customHeight="1">
      <c r="A21" s="18" t="inlineStr">
        <is>
          <t xml:space="preserve">    Sal:Rev</t>
        </is>
      </c>
      <c r="B21" s="19" t="n">
        <v>0.5717698643748579</v>
      </c>
      <c r="C21" s="19" t="n">
        <v>0.7032930057541319</v>
      </c>
      <c r="D21" s="19" t="n">
        <v>0.6660626290318604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12751.05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1682.97</v>
      </c>
      <c r="C25" s="22" t="n">
        <v>250</v>
      </c>
      <c r="D25" s="22" t="n">
        <v>300</v>
      </c>
      <c r="E25" s="6" t="n">
        <v>300</v>
      </c>
      <c r="F25" s="22">
        <f>D25+E25</f>
        <v/>
      </c>
      <c r="G25" s="7" t="n">
        <v>-0.8514530859135933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716.27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668.8199999999999</v>
      </c>
      <c r="C27" s="22" t="n">
        <v>250</v>
      </c>
      <c r="D27" s="22" t="n">
        <v>300</v>
      </c>
      <c r="E27" s="6" t="n">
        <v>300</v>
      </c>
      <c r="F27" s="22">
        <f>D27+E27</f>
        <v/>
      </c>
      <c r="G27" s="7" t="n">
        <v>-0.6262073502586645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1579.12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-0.8416839758853032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1720.45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19118.68</v>
      </c>
      <c r="C30" s="24" t="n">
        <v>12195.94</v>
      </c>
      <c r="D30" s="24" t="n">
        <v>900</v>
      </c>
      <c r="E30" s="11" t="n">
        <v>900</v>
      </c>
      <c r="F30" s="24">
        <f>D30+E30</f>
        <v/>
      </c>
      <c r="G30" s="7" t="n">
        <v>-0.3620929896833882</v>
      </c>
      <c r="H30" s="7" t="n">
        <v>-0.852409900343885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12724.56</v>
      </c>
      <c r="C34" s="27" t="n">
        <v>5893.333333333335</v>
      </c>
      <c r="D34" s="27" t="n">
        <v>7072.000000000002</v>
      </c>
      <c r="E34" s="6" t="n">
        <v>7072.000000000002</v>
      </c>
      <c r="F34" s="27">
        <f>D34+E34</f>
        <v/>
      </c>
      <c r="G34" s="7" t="n">
        <v>-0.5368536646191826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9870.799999999999</v>
      </c>
      <c r="C35" s="27" t="n">
        <v>6152.78</v>
      </c>
      <c r="D35" s="27" t="n">
        <v>4848</v>
      </c>
      <c r="E35" s="6" t="n">
        <v>4848</v>
      </c>
      <c r="F35" s="27">
        <f>D35+E35</f>
        <v/>
      </c>
      <c r="G35" s="7" t="n">
        <v>-0.3766685577663411</v>
      </c>
      <c r="H35" s="7" t="n">
        <v>0.5758730200007152</v>
      </c>
    </row>
    <row r="36" ht="14" customHeight="1">
      <c r="A36" s="26" t="inlineStr">
        <is>
          <t xml:space="preserve">    Repairs &amp; Maintenance</t>
        </is>
      </c>
      <c r="B36" s="27" t="n">
        <v>16386.79</v>
      </c>
      <c r="C36" s="27" t="n">
        <v>4000</v>
      </c>
      <c r="D36" s="27" t="n">
        <v>0</v>
      </c>
      <c r="E36" s="6" t="n">
        <v>0</v>
      </c>
      <c r="F36" s="27">
        <f>D36+E36</f>
        <v/>
      </c>
      <c r="G36" s="7" t="n">
        <v>-0.7559009421613385</v>
      </c>
      <c r="H36" s="7" t="n">
        <v>-1</v>
      </c>
    </row>
    <row r="37" ht="14" customHeight="1">
      <c r="A37" s="26" t="inlineStr">
        <is>
          <t xml:space="preserve">    Cleaning</t>
        </is>
      </c>
      <c r="B37" s="27" t="n">
        <v>3308.02</v>
      </c>
      <c r="C37" s="27" t="n">
        <v>1550</v>
      </c>
      <c r="D37" s="27" t="n">
        <v>1860</v>
      </c>
      <c r="E37" s="6" t="n">
        <v>1860</v>
      </c>
      <c r="F37" s="27">
        <f>D37+E37</f>
        <v/>
      </c>
      <c r="G37" s="7" t="n">
        <v>-0.5314417687922081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4964.78</v>
      </c>
      <c r="C38" s="27" t="n">
        <v>1925</v>
      </c>
      <c r="D38" s="27" t="n">
        <v>2310</v>
      </c>
      <c r="E38" s="6" t="n">
        <v>2310</v>
      </c>
      <c r="F38" s="27">
        <f>D38+E38</f>
        <v/>
      </c>
      <c r="G38" s="7" t="n">
        <v>-0.6122688215792039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722.87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505.41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-0.01070418076413214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48483.23</v>
      </c>
      <c r="C42" s="29" t="n">
        <v>38668.14333333334</v>
      </c>
      <c r="D42" s="29" t="n">
        <v>16690</v>
      </c>
      <c r="E42" s="11" t="n">
        <v>16690</v>
      </c>
      <c r="F42" s="29">
        <f>D42+E42</f>
        <v/>
      </c>
      <c r="G42" s="7" t="n">
        <v>-0.2024429202977331</v>
      </c>
      <c r="H42" s="7" t="n">
        <v>-0.1367571048795293</v>
      </c>
    </row>
    <row r="43" ht="5" customHeight="1"/>
    <row r="44" ht="14" customHeight="1">
      <c r="A44" s="30" t="inlineStr">
        <is>
          <t>Total Direct Costs</t>
        </is>
      </c>
      <c r="B44" s="31" t="n">
        <v>363877.25</v>
      </c>
      <c r="C44" s="31" t="n">
        <v>366208.1133333334</v>
      </c>
      <c r="D44" s="31" t="n">
        <v>173472.76</v>
      </c>
      <c r="E44" s="11" t="n">
        <v>173472.76</v>
      </c>
      <c r="F44" s="31">
        <f>D44+E44</f>
        <v/>
      </c>
      <c r="G44" s="7" t="n">
        <v>0.006405630836589537</v>
      </c>
      <c r="H44" s="7" t="n">
        <v>-0.05260012717358887</v>
      </c>
    </row>
    <row r="45" ht="5" customHeight="1"/>
    <row r="46" ht="14" customHeight="1">
      <c r="A46" s="32" t="inlineStr">
        <is>
          <t>CONTRIBUTION</t>
        </is>
      </c>
      <c r="B46" s="33" t="n">
        <v>154295.11</v>
      </c>
      <c r="C46" s="33" t="n">
        <v>82174.03666666662</v>
      </c>
      <c r="D46" s="33" t="n">
        <v>60563.42999999999</v>
      </c>
      <c r="E46" s="11" t="n">
        <v>60563.42999999999</v>
      </c>
      <c r="F46" s="33">
        <f>D46+E46</f>
        <v/>
      </c>
      <c r="G46" s="7" t="n">
        <v>-0.4674229360433611</v>
      </c>
      <c r="H46" s="7" t="n">
        <v>0.474028353886798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2600.82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-0.5866688198337447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91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3461.76</v>
      </c>
      <c r="C56" s="31" t="n">
        <v>283860.53</v>
      </c>
      <c r="D56" s="31" t="n">
        <v>0</v>
      </c>
      <c r="E56" s="11" t="n">
        <v>0</v>
      </c>
      <c r="F56" s="31">
        <f>D56+E56</f>
        <v/>
      </c>
      <c r="G56" s="7" t="n">
        <v>80.99890518117951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150833.35</v>
      </c>
      <c r="C58" s="36" t="n">
        <v>-201686.4933333334</v>
      </c>
      <c r="D58" s="36" t="n">
        <v>60563.42999999999</v>
      </c>
      <c r="E58" s="11" t="n">
        <v>60563.42999999999</v>
      </c>
      <c r="F58" s="36">
        <f>D58+E58</f>
        <v/>
      </c>
      <c r="G58" s="7" t="n">
        <v>-2.337147874348302</v>
      </c>
      <c r="H58" s="7" t="n">
        <v>1.600570013381164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Bramley Wood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1382224.82</v>
      </c>
      <c r="C4" s="5" t="n">
        <v>437627.68</v>
      </c>
      <c r="D4" s="5" t="n">
        <v>877897.65</v>
      </c>
      <c r="E4" s="6" t="n">
        <v>877897.65</v>
      </c>
      <c r="F4" s="5">
        <f>D4+E4</f>
        <v/>
      </c>
      <c r="G4" s="7" t="n">
        <v>-0.6833889294507098</v>
      </c>
      <c r="H4" s="7" t="n">
        <v>3.012075515881445</v>
      </c>
    </row>
    <row r="5" ht="14" customHeight="1">
      <c r="A5" s="4" t="inlineStr">
        <is>
          <t xml:space="preserve">    EEEF Embedded</t>
        </is>
      </c>
      <c r="B5" s="5" t="n">
        <v>627012.6899999999</v>
      </c>
      <c r="C5" s="5" t="n">
        <v>244457</v>
      </c>
      <c r="D5" s="5" t="n">
        <v>0</v>
      </c>
      <c r="E5" s="6" t="n">
        <v>0</v>
      </c>
      <c r="F5" s="5">
        <f>D5+E5</f>
        <v/>
      </c>
      <c r="G5" s="7" t="n">
        <v>-0.6101243182175468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14751.66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2023989.17</v>
      </c>
      <c r="C7" s="10" t="n">
        <v>1917721.88</v>
      </c>
      <c r="D7" s="10" t="n">
        <v>877897.65</v>
      </c>
      <c r="E7" s="11" t="n">
        <v>877897.65</v>
      </c>
      <c r="F7" s="10">
        <f>D7+E7</f>
        <v/>
      </c>
      <c r="G7" s="7" t="n">
        <v>-0.05250388271593372</v>
      </c>
      <c r="H7" s="7" t="n">
        <v>-0.08443694661292588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829621.37</v>
      </c>
      <c r="C11" s="15" t="n">
        <v>788737.52</v>
      </c>
      <c r="D11" s="15" t="n">
        <v>402259.8</v>
      </c>
      <c r="E11" s="6" t="n">
        <v>402259.8</v>
      </c>
      <c r="F11" s="15">
        <f>D11+E11</f>
        <v/>
      </c>
      <c r="G11" s="7" t="n">
        <v>-0.04928013124830666</v>
      </c>
      <c r="H11" s="7" t="n">
        <v>0.02000929282532429</v>
      </c>
    </row>
    <row r="12" ht="14" customHeight="1">
      <c r="A12" s="14" t="inlineStr">
        <is>
          <t xml:space="preserve">    Nursery NI</t>
        </is>
      </c>
      <c r="B12" s="15" t="n">
        <v>78501.84</v>
      </c>
      <c r="C12" s="15" t="n">
        <v>76209.17</v>
      </c>
      <c r="D12" s="15" t="n">
        <v>39102.48</v>
      </c>
      <c r="E12" s="6" t="n">
        <v>39102.48</v>
      </c>
      <c r="F12" s="15">
        <f>D12+E12</f>
        <v/>
      </c>
      <c r="G12" s="7" t="n">
        <v>-0.02920530270373278</v>
      </c>
      <c r="H12" s="7" t="n">
        <v>0.02618831828243233</v>
      </c>
    </row>
    <row r="13" ht="14" customHeight="1">
      <c r="A13" s="14" t="inlineStr">
        <is>
          <t xml:space="preserve">    Nursery Pension</t>
        </is>
      </c>
      <c r="B13" s="15" t="n">
        <v>14260.34</v>
      </c>
      <c r="C13" s="15" t="n">
        <v>12966.6</v>
      </c>
      <c r="D13" s="15" t="n">
        <v>6525.900000000001</v>
      </c>
      <c r="E13" s="6" t="n">
        <v>6525.900000000001</v>
      </c>
      <c r="F13" s="15">
        <f>D13+E13</f>
        <v/>
      </c>
      <c r="G13" s="7" t="n">
        <v>-0.09072294208973979</v>
      </c>
      <c r="H13" s="7" t="n">
        <v>0.006570727870066226</v>
      </c>
    </row>
    <row r="14" ht="14" customHeight="1">
      <c r="A14" s="14" t="inlineStr">
        <is>
          <t xml:space="preserve">    Uniform</t>
        </is>
      </c>
      <c r="B14" s="15" t="n">
        <v>1747.69</v>
      </c>
      <c r="C14" s="15" t="n">
        <v>880</v>
      </c>
      <c r="D14" s="15" t="n">
        <v>1056</v>
      </c>
      <c r="E14" s="6" t="n">
        <v>1056</v>
      </c>
      <c r="F14" s="15">
        <f>D14+E14</f>
        <v/>
      </c>
      <c r="G14" s="7" t="n">
        <v>-0.496478208377916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1535.28</v>
      </c>
      <c r="C15" s="15" t="n">
        <v>2500</v>
      </c>
      <c r="D15" s="15" t="n">
        <v>3000</v>
      </c>
      <c r="E15" s="6" t="n">
        <v>3000</v>
      </c>
      <c r="F15" s="15">
        <f>D15+E15</f>
        <v/>
      </c>
      <c r="G15" s="7" t="n">
        <v>0.628367463915377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3063.15</v>
      </c>
      <c r="C16" s="15" t="n">
        <v>1800</v>
      </c>
      <c r="D16" s="15" t="n">
        <v>2160</v>
      </c>
      <c r="E16" s="6" t="n">
        <v>2160</v>
      </c>
      <c r="F16" s="15">
        <f>D16+E16</f>
        <v/>
      </c>
      <c r="G16" s="7" t="n">
        <v>-0.4123696195093287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64.8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7" t="n">
        <v>-1</v>
      </c>
      <c r="H17" s="8" t="n"/>
    </row>
    <row r="18" ht="14" customHeight="1">
      <c r="A18" s="14" t="inlineStr">
        <is>
          <t xml:space="preserve">    Rewards &amp; Recognition</t>
        </is>
      </c>
      <c r="B18" s="15" t="n">
        <v>149.12</v>
      </c>
      <c r="C18" s="15" t="n">
        <v>750</v>
      </c>
      <c r="D18" s="15" t="n">
        <v>900</v>
      </c>
      <c r="E18" s="6" t="n">
        <v>900</v>
      </c>
      <c r="F18" s="15">
        <f>D18+E18</f>
        <v/>
      </c>
      <c r="G18" s="7" t="n">
        <v>4.02950643776824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928943.59</v>
      </c>
      <c r="C20" s="17" t="n">
        <v>887428.4300000001</v>
      </c>
      <c r="D20" s="17" t="n">
        <v>455004.18</v>
      </c>
      <c r="E20" s="11" t="n">
        <v>455004.18</v>
      </c>
      <c r="F20" s="17">
        <f>D20+E20</f>
        <v/>
      </c>
      <c r="G20" s="7" t="n">
        <v>-0.04469072228594625</v>
      </c>
      <c r="H20" s="7" t="n">
        <v>0.02544422652765354</v>
      </c>
    </row>
    <row r="21" ht="14" customHeight="1">
      <c r="A21" s="18" t="inlineStr">
        <is>
          <t xml:space="preserve">    Sal:Rev</t>
        </is>
      </c>
      <c r="B21" s="19" t="n">
        <v>0.4589666801428587</v>
      </c>
      <c r="C21" s="19" t="n">
        <v>0.4627513714345274</v>
      </c>
      <c r="D21" s="19" t="n">
        <v>0.5182884132335928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55127.88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5621.59</v>
      </c>
      <c r="C25" s="22" t="n">
        <v>500</v>
      </c>
      <c r="D25" s="22" t="n">
        <v>600</v>
      </c>
      <c r="E25" s="6" t="n">
        <v>600</v>
      </c>
      <c r="F25" s="22">
        <f>D25+E25</f>
        <v/>
      </c>
      <c r="G25" s="7" t="n">
        <v>-0.9110571920043974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2918.59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573.1799999999999</v>
      </c>
      <c r="C27" s="22" t="n">
        <v>1390</v>
      </c>
      <c r="D27" s="22" t="n">
        <v>1668</v>
      </c>
      <c r="E27" s="6" t="n">
        <v>1668</v>
      </c>
      <c r="F27" s="22">
        <f>D27+E27</f>
        <v/>
      </c>
      <c r="G27" s="7" t="n">
        <v>1.425067169126627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2463.73</v>
      </c>
      <c r="C28" s="22" t="n">
        <v>500</v>
      </c>
      <c r="D28" s="22" t="n">
        <v>600</v>
      </c>
      <c r="E28" s="6" t="n">
        <v>600</v>
      </c>
      <c r="F28" s="22">
        <f>D28+E28</f>
        <v/>
      </c>
      <c r="G28" s="7" t="n">
        <v>-0.7970556838614621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9381.190000000001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76086.16</v>
      </c>
      <c r="C30" s="24" t="n">
        <v>46849.2</v>
      </c>
      <c r="D30" s="24" t="n">
        <v>2868</v>
      </c>
      <c r="E30" s="11" t="n">
        <v>2868</v>
      </c>
      <c r="F30" s="24">
        <f>D30+E30</f>
        <v/>
      </c>
      <c r="G30" s="7" t="n">
        <v>-0.3842612112373657</v>
      </c>
      <c r="H30" s="7" t="n">
        <v>-0.8775646115622038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36757.92</v>
      </c>
      <c r="C34" s="27" t="n">
        <v>15618.75</v>
      </c>
      <c r="D34" s="27" t="n">
        <v>18742.5</v>
      </c>
      <c r="E34" s="6" t="n">
        <v>18742.5</v>
      </c>
      <c r="F34" s="27">
        <f>D34+E34</f>
        <v/>
      </c>
      <c r="G34" s="7" t="n">
        <v>-0.5750915721020122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35114.95</v>
      </c>
      <c r="C35" s="27" t="n">
        <v>25692.03</v>
      </c>
      <c r="D35" s="27" t="n">
        <v>18828</v>
      </c>
      <c r="E35" s="6" t="n">
        <v>18828</v>
      </c>
      <c r="F35" s="27">
        <f>D35+E35</f>
        <v/>
      </c>
      <c r="G35" s="7" t="n">
        <v>-0.2683449641819225</v>
      </c>
      <c r="H35" s="7" t="n">
        <v>0.4656685361180102</v>
      </c>
    </row>
    <row r="36" ht="14" customHeight="1">
      <c r="A36" s="26" t="inlineStr">
        <is>
          <t xml:space="preserve">    Repairs &amp; Maintenance</t>
        </is>
      </c>
      <c r="B36" s="27" t="n">
        <v>11201.75</v>
      </c>
      <c r="C36" s="27" t="n">
        <v>1500</v>
      </c>
      <c r="D36" s="27" t="n">
        <v>0</v>
      </c>
      <c r="E36" s="6" t="n">
        <v>0</v>
      </c>
      <c r="F36" s="27">
        <f>D36+E36</f>
        <v/>
      </c>
      <c r="G36" s="7" t="n">
        <v>-0.8660923516414846</v>
      </c>
      <c r="H36" s="7" t="n">
        <v>-1</v>
      </c>
    </row>
    <row r="37" ht="14" customHeight="1">
      <c r="A37" s="26" t="inlineStr">
        <is>
          <t xml:space="preserve">    Cleaning</t>
        </is>
      </c>
      <c r="B37" s="27" t="n">
        <v>50742.12</v>
      </c>
      <c r="C37" s="27" t="n">
        <v>21500</v>
      </c>
      <c r="D37" s="27" t="n">
        <v>25800</v>
      </c>
      <c r="E37" s="6" t="n">
        <v>25800</v>
      </c>
      <c r="F37" s="27">
        <f>D37+E37</f>
        <v/>
      </c>
      <c r="G37" s="7" t="n">
        <v>-0.5762888897822953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9001.83</v>
      </c>
      <c r="C38" s="27" t="n">
        <v>3730</v>
      </c>
      <c r="D38" s="27" t="n">
        <v>4476</v>
      </c>
      <c r="E38" s="6" t="n">
        <v>4476</v>
      </c>
      <c r="F38" s="27">
        <f>D38+E38</f>
        <v/>
      </c>
      <c r="G38" s="7" t="n">
        <v>-0.585639808794434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1119.1</v>
      </c>
      <c r="C39" s="27" t="n">
        <v>750</v>
      </c>
      <c r="D39" s="27" t="n">
        <v>900</v>
      </c>
      <c r="E39" s="6" t="n">
        <v>900</v>
      </c>
      <c r="F39" s="27">
        <f>D39+E39</f>
        <v/>
      </c>
      <c r="G39" s="7" t="n">
        <v>-0.3298186042355464</v>
      </c>
      <c r="H39" s="7" t="n">
        <v>1.4</v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895.02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-0.4413532658488079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144832.69</v>
      </c>
      <c r="C42" s="29" t="n">
        <v>141671.02</v>
      </c>
      <c r="D42" s="29" t="n">
        <v>69346.5</v>
      </c>
      <c r="E42" s="11" t="n">
        <v>69346.5</v>
      </c>
      <c r="F42" s="29">
        <f>D42+E42</f>
        <v/>
      </c>
      <c r="G42" s="7" t="n">
        <v>-0.02182980927855433</v>
      </c>
      <c r="H42" s="7" t="n">
        <v>-0.02102067169418289</v>
      </c>
    </row>
    <row r="43" ht="5" customHeight="1"/>
    <row r="44" ht="14" customHeight="1">
      <c r="A44" s="30" t="inlineStr">
        <is>
          <t>Total Direct Costs</t>
        </is>
      </c>
      <c r="B44" s="31" t="n">
        <v>1149862.44</v>
      </c>
      <c r="C44" s="31" t="n">
        <v>1075948.65</v>
      </c>
      <c r="D44" s="31" t="n">
        <v>527218.6799999999</v>
      </c>
      <c r="E44" s="11" t="n">
        <v>527218.6799999999</v>
      </c>
      <c r="F44" s="31">
        <f>D44+E44</f>
        <v/>
      </c>
      <c r="G44" s="7" t="n">
        <v>-0.06428054994126084</v>
      </c>
      <c r="H44" s="7" t="n">
        <v>-0.01999285932465275</v>
      </c>
    </row>
    <row r="45" ht="5" customHeight="1"/>
    <row r="46" ht="14" customHeight="1">
      <c r="A46" s="32" t="inlineStr">
        <is>
          <t>CONTRIBUTION</t>
        </is>
      </c>
      <c r="B46" s="33" t="n">
        <v>874126.73</v>
      </c>
      <c r="C46" s="33" t="n">
        <v>841773.23</v>
      </c>
      <c r="D46" s="33" t="n">
        <v>350678.9700000001</v>
      </c>
      <c r="E46" s="11" t="n">
        <v>350678.9700000001</v>
      </c>
      <c r="F46" s="33">
        <f>D46+E46</f>
        <v/>
      </c>
      <c r="G46" s="7" t="n">
        <v>-0.03701236776045048</v>
      </c>
      <c r="H46" s="7" t="n">
        <v>-0.1668089278629113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2538.3</v>
      </c>
      <c r="C51" s="8" t="n">
        <v>1074</v>
      </c>
      <c r="D51" s="8" t="n">
        <v>0</v>
      </c>
      <c r="E51" s="6" t="n">
        <v>0</v>
      </c>
      <c r="F51" s="8">
        <f>D51+E51</f>
        <v/>
      </c>
      <c r="G51" s="7" t="n">
        <v>-0.5768821652286964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151</v>
      </c>
      <c r="C52" s="8" t="n">
        <v>18</v>
      </c>
      <c r="D52" s="8" t="n">
        <v>21.6</v>
      </c>
      <c r="E52" s="6" t="n">
        <v>21.6</v>
      </c>
      <c r="F52" s="8">
        <f>D52+E52</f>
        <v/>
      </c>
      <c r="G52" s="7" t="n">
        <v>-0.8807947019867549</v>
      </c>
      <c r="H52" s="7" t="n">
        <v>1.4</v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7167.25</v>
      </c>
      <c r="C56" s="31" t="n">
        <v>1204543.88</v>
      </c>
      <c r="D56" s="31" t="n">
        <v>21.6</v>
      </c>
      <c r="E56" s="11" t="n">
        <v>21.6</v>
      </c>
      <c r="F56" s="31">
        <f>D56+E56</f>
        <v/>
      </c>
      <c r="G56" s="7" t="n">
        <v>167.0622107502878</v>
      </c>
      <c r="H56" s="7" t="n">
        <v>-0.999964135802176</v>
      </c>
    </row>
    <row r="57" ht="5" customHeight="1"/>
    <row r="58" ht="14" customHeight="1">
      <c r="A58" s="35" t="inlineStr">
        <is>
          <t>EBITDA</t>
        </is>
      </c>
      <c r="B58" s="36" t="n">
        <v>866959.48</v>
      </c>
      <c r="C58" s="36" t="n">
        <v>-362770.6499999999</v>
      </c>
      <c r="D58" s="36" t="n">
        <v>350657.3700000001</v>
      </c>
      <c r="E58" s="11" t="n">
        <v>350657.3700000001</v>
      </c>
      <c r="F58" s="36">
        <f>D58+E58</f>
        <v/>
      </c>
      <c r="G58" s="7" t="n">
        <v>-1.418440144399828</v>
      </c>
      <c r="H58" s="7" t="n">
        <v>2.933217971189236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Cedars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275376.16</v>
      </c>
      <c r="C4" s="5" t="n">
        <v>77794</v>
      </c>
      <c r="D4" s="5" t="n">
        <v>181095.29</v>
      </c>
      <c r="E4" s="6" t="n">
        <v>181095.29</v>
      </c>
      <c r="F4" s="5">
        <f>D4+E4</f>
        <v/>
      </c>
      <c r="G4" s="7" t="n">
        <v>-0.7174991473481219</v>
      </c>
      <c r="H4" s="7" t="n">
        <v>3.655764969020747</v>
      </c>
    </row>
    <row r="5" ht="14" customHeight="1">
      <c r="A5" s="4" t="inlineStr">
        <is>
          <t xml:space="preserve">    EEEF Embedded</t>
        </is>
      </c>
      <c r="B5" s="5" t="n">
        <v>122664.63</v>
      </c>
      <c r="C5" s="5" t="n">
        <v>34990</v>
      </c>
      <c r="D5" s="5" t="n">
        <v>0</v>
      </c>
      <c r="E5" s="6" t="n">
        <v>0</v>
      </c>
      <c r="F5" s="5">
        <f>D5+E5</f>
        <v/>
      </c>
      <c r="G5" s="7" t="n">
        <v>-0.7147506987140466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1900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399940.79</v>
      </c>
      <c r="C7" s="10" t="n">
        <v>356835.57</v>
      </c>
      <c r="D7" s="10" t="n">
        <v>181095.29</v>
      </c>
      <c r="E7" s="11" t="n">
        <v>181095.29</v>
      </c>
      <c r="F7" s="10">
        <f>D7+E7</f>
        <v/>
      </c>
      <c r="G7" s="7" t="n">
        <v>-0.1077790039870651</v>
      </c>
      <c r="H7" s="7" t="n">
        <v>0.01500694003123066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215324.2</v>
      </c>
      <c r="C11" s="15" t="n">
        <v>256406.32</v>
      </c>
      <c r="D11" s="15" t="n">
        <v>135062.88</v>
      </c>
      <c r="E11" s="6" t="n">
        <v>135062.88</v>
      </c>
      <c r="F11" s="15">
        <f>D11+E11</f>
        <v/>
      </c>
      <c r="G11" s="7" t="n">
        <v>0.1907919314224783</v>
      </c>
      <c r="H11" s="7" t="n">
        <v>0.05350663743389789</v>
      </c>
    </row>
    <row r="12" ht="14" customHeight="1">
      <c r="A12" s="14" t="inlineStr">
        <is>
          <t xml:space="preserve">    Nursery NI</t>
        </is>
      </c>
      <c r="B12" s="15" t="n">
        <v>20793.88</v>
      </c>
      <c r="C12" s="15" t="n">
        <v>30640.2</v>
      </c>
      <c r="D12" s="15" t="n">
        <v>16582.62</v>
      </c>
      <c r="E12" s="6" t="n">
        <v>16582.62</v>
      </c>
      <c r="F12" s="15">
        <f>D12+E12</f>
        <v/>
      </c>
      <c r="G12" s="7" t="n">
        <v>0.4735200934121002</v>
      </c>
      <c r="H12" s="7" t="n">
        <v>0.08240938375075885</v>
      </c>
    </row>
    <row r="13" ht="14" customHeight="1">
      <c r="A13" s="14" t="inlineStr">
        <is>
          <t xml:space="preserve">    Nursery Pension</t>
        </is>
      </c>
      <c r="B13" s="15" t="n">
        <v>3086.35</v>
      </c>
      <c r="C13" s="15" t="n">
        <v>5172.370000000001</v>
      </c>
      <c r="D13" s="15" t="n">
        <v>2869.32</v>
      </c>
      <c r="E13" s="6" t="n">
        <v>2869.32</v>
      </c>
      <c r="F13" s="15">
        <f>D13+E13</f>
        <v/>
      </c>
      <c r="G13" s="7" t="n">
        <v>0.6758857550180637</v>
      </c>
      <c r="H13" s="7" t="n">
        <v>0.1094797935955857</v>
      </c>
    </row>
    <row r="14" ht="14" customHeight="1">
      <c r="A14" s="14" t="inlineStr">
        <is>
          <t xml:space="preserve">    Uniform</t>
        </is>
      </c>
      <c r="B14" s="15" t="n">
        <v>1087.26</v>
      </c>
      <c r="C14" s="15" t="n">
        <v>34.95</v>
      </c>
      <c r="D14" s="15" t="n">
        <v>41.94</v>
      </c>
      <c r="E14" s="6" t="n">
        <v>41.94</v>
      </c>
      <c r="F14" s="15">
        <f>D14+E14</f>
        <v/>
      </c>
      <c r="G14" s="7" t="n">
        <v>-0.9678549748910104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2026.49</v>
      </c>
      <c r="C15" s="15" t="n">
        <v>500</v>
      </c>
      <c r="D15" s="15" t="n">
        <v>600</v>
      </c>
      <c r="E15" s="6" t="n">
        <v>600</v>
      </c>
      <c r="F15" s="15">
        <f>D15+E15</f>
        <v/>
      </c>
      <c r="G15" s="7" t="n">
        <v>-0.7532679657930708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1180.39</v>
      </c>
      <c r="C16" s="15" t="n">
        <v>750</v>
      </c>
      <c r="D16" s="15" t="n">
        <v>900</v>
      </c>
      <c r="E16" s="6" t="n">
        <v>900</v>
      </c>
      <c r="F16" s="15">
        <f>D16+E16</f>
        <v/>
      </c>
      <c r="G16" s="7" t="n">
        <v>-0.3646167792000948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8690.4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7" t="n">
        <v>-1</v>
      </c>
      <c r="H17" s="8" t="n"/>
    </row>
    <row r="18" ht="14" customHeight="1">
      <c r="A18" s="14" t="inlineStr">
        <is>
          <t xml:space="preserve">    Rewards &amp; Recognition</t>
        </is>
      </c>
      <c r="B18" s="15" t="n">
        <v>32.99</v>
      </c>
      <c r="C18" s="15" t="n">
        <v>210</v>
      </c>
      <c r="D18" s="15" t="n">
        <v>252</v>
      </c>
      <c r="E18" s="6" t="n">
        <v>252</v>
      </c>
      <c r="F18" s="15">
        <f>D18+E18</f>
        <v/>
      </c>
      <c r="G18" s="7" t="n">
        <v>5.365565322825098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252221.96</v>
      </c>
      <c r="C20" s="17" t="n">
        <v>295909.49</v>
      </c>
      <c r="D20" s="17" t="n">
        <v>156308.76</v>
      </c>
      <c r="E20" s="11" t="n">
        <v>156308.76</v>
      </c>
      <c r="F20" s="17">
        <f>D20+E20</f>
        <v/>
      </c>
      <c r="G20" s="7" t="n">
        <v>0.1732106514436729</v>
      </c>
      <c r="H20" s="7" t="n">
        <v>0.05646331248112397</v>
      </c>
    </row>
    <row r="21" ht="14" customHeight="1">
      <c r="A21" s="18" t="inlineStr">
        <is>
          <t xml:space="preserve">    Sal:Rev</t>
        </is>
      </c>
      <c r="B21" s="19" t="n">
        <v>0.630648251707459</v>
      </c>
      <c r="C21" s="19" t="n">
        <v>0.8292600706818549</v>
      </c>
      <c r="D21" s="19" t="n">
        <v>0.8631299024949793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13794.68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3868.7</v>
      </c>
      <c r="C25" s="22" t="n">
        <v>500</v>
      </c>
      <c r="D25" s="22" t="n">
        <v>600</v>
      </c>
      <c r="E25" s="6" t="n">
        <v>600</v>
      </c>
      <c r="F25" s="22">
        <f>D25+E25</f>
        <v/>
      </c>
      <c r="G25" s="7" t="n">
        <v>-0.8707576188383694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1397.39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525.39</v>
      </c>
      <c r="C27" s="22" t="n">
        <v>500</v>
      </c>
      <c r="D27" s="22" t="n">
        <v>600</v>
      </c>
      <c r="E27" s="6" t="n">
        <v>600</v>
      </c>
      <c r="F27" s="22">
        <f>D27+E27</f>
        <v/>
      </c>
      <c r="G27" s="7" t="n">
        <v>-0.04832600544357522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1833.05</v>
      </c>
      <c r="C28" s="22" t="n">
        <v>500</v>
      </c>
      <c r="D28" s="22" t="n">
        <v>600</v>
      </c>
      <c r="E28" s="6" t="n">
        <v>600</v>
      </c>
      <c r="F28" s="22">
        <f>D28+E28</f>
        <v/>
      </c>
      <c r="G28" s="7" t="n">
        <v>-0.7272305719974905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1721.56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23140.77</v>
      </c>
      <c r="C30" s="24" t="n">
        <v>12778.04</v>
      </c>
      <c r="D30" s="24" t="n">
        <v>1800</v>
      </c>
      <c r="E30" s="11" t="n">
        <v>1800</v>
      </c>
      <c r="F30" s="24">
        <f>D30+E30</f>
        <v/>
      </c>
      <c r="G30" s="7" t="n">
        <v>-0.4478126700191913</v>
      </c>
      <c r="H30" s="7" t="n">
        <v>-0.7182666512235053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9231.48</v>
      </c>
      <c r="C34" s="27" t="n">
        <v>3683.35</v>
      </c>
      <c r="D34" s="27" t="n">
        <v>4420.02</v>
      </c>
      <c r="E34" s="6" t="n">
        <v>4420.02</v>
      </c>
      <c r="F34" s="27">
        <f>D34+E34</f>
        <v/>
      </c>
      <c r="G34" s="7" t="n">
        <v>-0.601001139578919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4552.360000000001</v>
      </c>
      <c r="C35" s="27" t="n">
        <v>3831.12</v>
      </c>
      <c r="D35" s="27" t="n">
        <v>2688</v>
      </c>
      <c r="E35" s="6" t="n">
        <v>2688</v>
      </c>
      <c r="F35" s="27">
        <f>D35+E35</f>
        <v/>
      </c>
      <c r="G35" s="7" t="n">
        <v>-0.1584321099385815</v>
      </c>
      <c r="H35" s="7" t="n">
        <v>0.4032450040719163</v>
      </c>
    </row>
    <row r="36" ht="14" customHeight="1">
      <c r="A36" s="26" t="inlineStr">
        <is>
          <t xml:space="preserve">    Repairs &amp; Maintenance</t>
        </is>
      </c>
      <c r="B36" s="27" t="n">
        <v>2200.08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2659.78</v>
      </c>
      <c r="C37" s="27" t="n">
        <v>1050</v>
      </c>
      <c r="D37" s="27" t="n">
        <v>1260</v>
      </c>
      <c r="E37" s="6" t="n">
        <v>1260</v>
      </c>
      <c r="F37" s="27">
        <f>D37+E37</f>
        <v/>
      </c>
      <c r="G37" s="7" t="n">
        <v>-0.6052305077863583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3679.91</v>
      </c>
      <c r="C38" s="27" t="n">
        <v>1500</v>
      </c>
      <c r="D38" s="27" t="n">
        <v>1800</v>
      </c>
      <c r="E38" s="6" t="n">
        <v>1800</v>
      </c>
      <c r="F38" s="27">
        <f>D38+E38</f>
        <v/>
      </c>
      <c r="G38" s="7" t="n">
        <v>-0.5923813354130943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980.9100000000001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317.73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0.5736631731344222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23622.25</v>
      </c>
      <c r="C42" s="29" t="n">
        <v>24785.19</v>
      </c>
      <c r="D42" s="29" t="n">
        <v>10768.02</v>
      </c>
      <c r="E42" s="11" t="n">
        <v>10768.02</v>
      </c>
      <c r="F42" s="29">
        <f>D42+E42</f>
        <v/>
      </c>
      <c r="G42" s="7" t="n">
        <v>0.04923070410312321</v>
      </c>
      <c r="H42" s="7" t="n">
        <v>-0.1310923983233536</v>
      </c>
    </row>
    <row r="43" ht="5" customHeight="1"/>
    <row r="44" ht="14" customHeight="1">
      <c r="A44" s="30" t="inlineStr">
        <is>
          <t>Total Direct Costs</t>
        </is>
      </c>
      <c r="B44" s="31" t="n">
        <v>298984.98</v>
      </c>
      <c r="C44" s="31" t="n">
        <v>333472.72</v>
      </c>
      <c r="D44" s="31" t="n">
        <v>168876.78</v>
      </c>
      <c r="E44" s="11" t="n">
        <v>168876.78</v>
      </c>
      <c r="F44" s="31">
        <f>D44+E44</f>
        <v/>
      </c>
      <c r="G44" s="7" t="n">
        <v>0.1153494065153373</v>
      </c>
      <c r="H44" s="7" t="n">
        <v>0.01283715201651285</v>
      </c>
    </row>
    <row r="45" ht="5" customHeight="1"/>
    <row r="46" ht="14" customHeight="1">
      <c r="A46" s="32" t="inlineStr">
        <is>
          <t>CONTRIBUTION</t>
        </is>
      </c>
      <c r="B46" s="33" t="n">
        <v>100955.81</v>
      </c>
      <c r="C46" s="33" t="n">
        <v>23362.85000000003</v>
      </c>
      <c r="D46" s="33" t="n">
        <v>12218.51000000001</v>
      </c>
      <c r="E46" s="11" t="n">
        <v>12218.51000000001</v>
      </c>
      <c r="F46" s="33">
        <f>D46+E46</f>
        <v/>
      </c>
      <c r="G46" s="7" t="n">
        <v>-0.7685834029760146</v>
      </c>
      <c r="H46" s="7" t="n">
        <v>0.04597769535822822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-0.5624425069805684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10.8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8404.139999999999</v>
      </c>
      <c r="C56" s="31" t="n">
        <v>251407.64</v>
      </c>
      <c r="D56" s="31" t="n">
        <v>0</v>
      </c>
      <c r="E56" s="11" t="n">
        <v>0</v>
      </c>
      <c r="F56" s="31">
        <f>D56+E56</f>
        <v/>
      </c>
      <c r="G56" s="7" t="n">
        <v>28.91473726044545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92551.67</v>
      </c>
      <c r="C58" s="36" t="n">
        <v>-228044.7899999999</v>
      </c>
      <c r="D58" s="36" t="n">
        <v>12218.51000000001</v>
      </c>
      <c r="E58" s="11" t="n">
        <v>12218.51000000001</v>
      </c>
      <c r="F58" s="36">
        <f>D58+E58</f>
        <v/>
      </c>
      <c r="G58" s="7" t="n">
        <v>-3.463972719238885</v>
      </c>
      <c r="H58" s="7" t="n">
        <v>1.107158861204415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Boot Farm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382980.7</v>
      </c>
      <c r="C4" s="5" t="n">
        <v>121447.29</v>
      </c>
      <c r="D4" s="5" t="n">
        <v>215894.05</v>
      </c>
      <c r="E4" s="6" t="n">
        <v>215894.05</v>
      </c>
      <c r="F4" s="5">
        <f>D4+E4</f>
        <v/>
      </c>
      <c r="G4" s="7" t="n">
        <v>-0.6828892683103874</v>
      </c>
      <c r="H4" s="7" t="n">
        <v>2.555353931734499</v>
      </c>
    </row>
    <row r="5" ht="14" customHeight="1">
      <c r="A5" s="4" t="inlineStr">
        <is>
          <t xml:space="preserve">    EEEF Embedded</t>
        </is>
      </c>
      <c r="B5" s="5" t="n">
        <v>151099.37</v>
      </c>
      <c r="C5" s="5" t="n">
        <v>62652</v>
      </c>
      <c r="D5" s="5" t="n">
        <v>0</v>
      </c>
      <c r="E5" s="6" t="n">
        <v>0</v>
      </c>
      <c r="F5" s="5">
        <f>D5+E5</f>
        <v/>
      </c>
      <c r="G5" s="7" t="n">
        <v>-0.5853589594715054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3943.27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538023.34</v>
      </c>
      <c r="C7" s="10" t="n">
        <v>575328.41</v>
      </c>
      <c r="D7" s="10" t="n">
        <v>215894.05</v>
      </c>
      <c r="E7" s="11" t="n">
        <v>215894.05</v>
      </c>
      <c r="F7" s="10">
        <f>D7+E7</f>
        <v/>
      </c>
      <c r="G7" s="7" t="n">
        <v>0.06933727075855123</v>
      </c>
      <c r="H7" s="7" t="n">
        <v>-0.2494928244548189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237110.13</v>
      </c>
      <c r="C11" s="15" t="n">
        <v>288163.6</v>
      </c>
      <c r="D11" s="15" t="n">
        <v>144270</v>
      </c>
      <c r="E11" s="6" t="n">
        <v>144270</v>
      </c>
      <c r="F11" s="15">
        <f>D11+E11</f>
        <v/>
      </c>
      <c r="G11" s="7" t="n">
        <v>0.2153154316941245</v>
      </c>
      <c r="H11" s="7" t="n">
        <v>0.001306202448886755</v>
      </c>
    </row>
    <row r="12" ht="14" customHeight="1">
      <c r="A12" s="14" t="inlineStr">
        <is>
          <t xml:space="preserve">    Nursery NI</t>
        </is>
      </c>
      <c r="B12" s="15" t="n">
        <v>25894.51</v>
      </c>
      <c r="C12" s="15" t="n">
        <v>32166.74</v>
      </c>
      <c r="D12" s="15" t="n">
        <v>16278</v>
      </c>
      <c r="E12" s="6" t="n">
        <v>16278</v>
      </c>
      <c r="F12" s="15">
        <f>D12+E12</f>
        <v/>
      </c>
      <c r="G12" s="7" t="n">
        <v>0.2422223861351305</v>
      </c>
      <c r="H12" s="7" t="n">
        <v>0.01210131956175846</v>
      </c>
    </row>
    <row r="13" ht="14" customHeight="1">
      <c r="A13" s="14" t="inlineStr">
        <is>
          <t xml:space="preserve">    Nursery Pension</t>
        </is>
      </c>
      <c r="B13" s="15" t="n">
        <v>4264.93</v>
      </c>
      <c r="C13" s="15" t="n">
        <v>5342.6</v>
      </c>
      <c r="D13" s="15" t="n">
        <v>2718</v>
      </c>
      <c r="E13" s="6" t="n">
        <v>2718</v>
      </c>
      <c r="F13" s="15">
        <f>D13+E13</f>
        <v/>
      </c>
      <c r="G13" s="7" t="n">
        <v>0.2526817556208426</v>
      </c>
      <c r="H13" s="7" t="n">
        <v>0.01748212480814578</v>
      </c>
    </row>
    <row r="14" ht="14" customHeight="1">
      <c r="A14" s="14" t="inlineStr">
        <is>
          <t xml:space="preserve">    Uniform</t>
        </is>
      </c>
      <c r="B14" s="15" t="n">
        <v>596.46</v>
      </c>
      <c r="C14" s="15" t="n">
        <v>245</v>
      </c>
      <c r="D14" s="15" t="n">
        <v>294</v>
      </c>
      <c r="E14" s="6" t="n">
        <v>294</v>
      </c>
      <c r="F14" s="15">
        <f>D14+E14</f>
        <v/>
      </c>
      <c r="G14" s="7" t="n">
        <v>-0.5892432015558462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1610.97</v>
      </c>
      <c r="C15" s="15" t="n">
        <v>500</v>
      </c>
      <c r="D15" s="15" t="n">
        <v>600</v>
      </c>
      <c r="E15" s="6" t="n">
        <v>600</v>
      </c>
      <c r="F15" s="15">
        <f>D15+E15</f>
        <v/>
      </c>
      <c r="G15" s="7" t="n">
        <v>-0.6896279881065445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1067.53</v>
      </c>
      <c r="C16" s="15" t="n">
        <v>500</v>
      </c>
      <c r="D16" s="15" t="n">
        <v>600</v>
      </c>
      <c r="E16" s="6" t="n">
        <v>600</v>
      </c>
      <c r="F16" s="15">
        <f>D16+E16</f>
        <v/>
      </c>
      <c r="G16" s="7" t="n">
        <v>-0.531629087707137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285.98</v>
      </c>
      <c r="C18" s="15" t="n">
        <v>210</v>
      </c>
      <c r="D18" s="15" t="n">
        <v>252</v>
      </c>
      <c r="E18" s="6" t="n">
        <v>252</v>
      </c>
      <c r="F18" s="15">
        <f>D18+E18</f>
        <v/>
      </c>
      <c r="G18" s="7" t="n">
        <v>-0.265682914889153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270830.51</v>
      </c>
      <c r="C20" s="17" t="n">
        <v>328953.65</v>
      </c>
      <c r="D20" s="17" t="n">
        <v>165012</v>
      </c>
      <c r="E20" s="11" t="n">
        <v>165012</v>
      </c>
      <c r="F20" s="17">
        <f>D20+E20</f>
        <v/>
      </c>
      <c r="G20" s="7" t="n">
        <v>0.2146107541576465</v>
      </c>
      <c r="H20" s="7" t="n">
        <v>0.003253801865399507</v>
      </c>
    </row>
    <row r="21" ht="14" customHeight="1">
      <c r="A21" s="18" t="inlineStr">
        <is>
          <t xml:space="preserve">    Sal:Rev</t>
        </is>
      </c>
      <c r="B21" s="19" t="n">
        <v>0.5033805968343307</v>
      </c>
      <c r="C21" s="19" t="n">
        <v>0.5717667410166656</v>
      </c>
      <c r="D21" s="19" t="n">
        <v>0.7643193501627303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12724.03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4055.42</v>
      </c>
      <c r="C25" s="22" t="n">
        <v>280</v>
      </c>
      <c r="D25" s="22" t="n">
        <v>348</v>
      </c>
      <c r="E25" s="6" t="n">
        <v>348</v>
      </c>
      <c r="F25" s="22">
        <f>D25+E25</f>
        <v/>
      </c>
      <c r="G25" s="7" t="n">
        <v>-0.9309565963574673</v>
      </c>
      <c r="H25" s="7" t="n">
        <v>1.485714285714286</v>
      </c>
    </row>
    <row r="26" ht="14" customHeight="1">
      <c r="A26" s="21" t="inlineStr">
        <is>
          <t xml:space="preserve">    Art Materials</t>
        </is>
      </c>
      <c r="B26" s="22" t="n">
        <v>1104.07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722.35</v>
      </c>
      <c r="C27" s="22" t="n">
        <v>500</v>
      </c>
      <c r="D27" s="22" t="n">
        <v>600</v>
      </c>
      <c r="E27" s="6" t="n">
        <v>600</v>
      </c>
      <c r="F27" s="22">
        <f>D27+E27</f>
        <v/>
      </c>
      <c r="G27" s="7" t="n">
        <v>-0.3078147712327819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2750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-0.9090909090909091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1315.22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22671.09</v>
      </c>
      <c r="C30" s="24" t="n">
        <v>12538.67</v>
      </c>
      <c r="D30" s="24" t="n">
        <v>1296</v>
      </c>
      <c r="E30" s="11" t="n">
        <v>1296</v>
      </c>
      <c r="F30" s="24">
        <f>D30+E30</f>
        <v/>
      </c>
      <c r="G30" s="7" t="n">
        <v>-0.446931312080716</v>
      </c>
      <c r="H30" s="7" t="n">
        <v>-0.7932795105062977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48000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7" t="n">
        <v>-1</v>
      </c>
      <c r="H33" s="8" t="n"/>
    </row>
    <row r="34" ht="14" customHeight="1">
      <c r="A34" s="26" t="inlineStr">
        <is>
          <t xml:space="preserve">    Business Rates</t>
        </is>
      </c>
      <c r="B34" s="27" t="n">
        <v>3858.41</v>
      </c>
      <c r="C34" s="27" t="n">
        <v>2835</v>
      </c>
      <c r="D34" s="27" t="n">
        <v>3402</v>
      </c>
      <c r="E34" s="6" t="n">
        <v>3402</v>
      </c>
      <c r="F34" s="27">
        <f>D34+E34</f>
        <v/>
      </c>
      <c r="G34" s="7" t="n">
        <v>-0.2652413818127157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4248.03</v>
      </c>
      <c r="C35" s="27" t="n">
        <v>3955.45</v>
      </c>
      <c r="D35" s="27" t="n">
        <v>2220</v>
      </c>
      <c r="E35" s="6" t="n">
        <v>2220</v>
      </c>
      <c r="F35" s="27">
        <f>D35+E35</f>
        <v/>
      </c>
      <c r="G35" s="7" t="n">
        <v>-0.06887427819483383</v>
      </c>
      <c r="H35" s="7" t="n">
        <v>0.1225018645160475</v>
      </c>
    </row>
    <row r="36" ht="14" customHeight="1">
      <c r="A36" s="26" t="inlineStr">
        <is>
          <t xml:space="preserve">    Repairs &amp; Maintenance</t>
        </is>
      </c>
      <c r="B36" s="27" t="n">
        <v>2804.04</v>
      </c>
      <c r="C36" s="27" t="n">
        <v>2500</v>
      </c>
      <c r="D36" s="27" t="n">
        <v>0</v>
      </c>
      <c r="E36" s="6" t="n">
        <v>0</v>
      </c>
      <c r="F36" s="27">
        <f>D36+E36</f>
        <v/>
      </c>
      <c r="G36" s="7" t="n">
        <v>-0.1084292663442748</v>
      </c>
      <c r="H36" s="7" t="n">
        <v>-1</v>
      </c>
    </row>
    <row r="37" ht="14" customHeight="1">
      <c r="A37" s="26" t="inlineStr">
        <is>
          <t xml:space="preserve">    Cleaning</t>
        </is>
      </c>
      <c r="B37" s="27" t="n">
        <v>2716.23</v>
      </c>
      <c r="C37" s="27" t="n">
        <v>1200</v>
      </c>
      <c r="D37" s="27" t="n">
        <v>1440</v>
      </c>
      <c r="E37" s="6" t="n">
        <v>1440</v>
      </c>
      <c r="F37" s="27">
        <f>D37+E37</f>
        <v/>
      </c>
      <c r="G37" s="7" t="n">
        <v>-0.5582111971372086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4618.53</v>
      </c>
      <c r="C38" s="27" t="n">
        <v>1975</v>
      </c>
      <c r="D38" s="27" t="n">
        <v>2370</v>
      </c>
      <c r="E38" s="6" t="n">
        <v>2370</v>
      </c>
      <c r="F38" s="27">
        <f>D38+E38</f>
        <v/>
      </c>
      <c r="G38" s="7" t="n">
        <v>-0.572374759934438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771.58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922.03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7" t="n">
        <v>-1</v>
      </c>
      <c r="H40" s="8" t="n"/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8" t="n"/>
      <c r="H41" s="7" t="n">
        <v>1.4</v>
      </c>
    </row>
    <row r="42" ht="14" customHeight="1">
      <c r="A42" s="28" t="inlineStr">
        <is>
          <t>Total Premises &amp; Admin</t>
        </is>
      </c>
      <c r="B42" s="29" t="n">
        <v>67938.85000000001</v>
      </c>
      <c r="C42" s="29" t="n">
        <v>28137.95</v>
      </c>
      <c r="D42" s="29" t="n">
        <v>10032</v>
      </c>
      <c r="E42" s="11" t="n">
        <v>10032</v>
      </c>
      <c r="F42" s="29">
        <f>D42+E42</f>
        <v/>
      </c>
      <c r="G42" s="7" t="n">
        <v>-0.5858341729363981</v>
      </c>
      <c r="H42" s="7" t="n">
        <v>-0.2869416570858929</v>
      </c>
    </row>
    <row r="43" ht="5" customHeight="1"/>
    <row r="44" ht="14" customHeight="1">
      <c r="A44" s="30" t="inlineStr">
        <is>
          <t>Total Direct Costs</t>
        </is>
      </c>
      <c r="B44" s="31" t="n">
        <v>361440.4500000001</v>
      </c>
      <c r="C44" s="31" t="n">
        <v>369630.27</v>
      </c>
      <c r="D44" s="31" t="n">
        <v>176340</v>
      </c>
      <c r="E44" s="11" t="n">
        <v>176340</v>
      </c>
      <c r="F44" s="31">
        <f>D44+E44</f>
        <v/>
      </c>
      <c r="G44" s="7" t="n">
        <v>0.02265883633112992</v>
      </c>
      <c r="H44" s="7" t="n">
        <v>-0.04585736444149993</v>
      </c>
    </row>
    <row r="45" ht="5" customHeight="1"/>
    <row r="46" ht="14" customHeight="1">
      <c r="A46" s="32" t="inlineStr">
        <is>
          <t>CONTRIBUTION</t>
        </is>
      </c>
      <c r="B46" s="33" t="n">
        <v>176582.8899999999</v>
      </c>
      <c r="C46" s="33" t="n">
        <v>205698.14</v>
      </c>
      <c r="D46" s="33" t="n">
        <v>39554.04999999999</v>
      </c>
      <c r="E46" s="11" t="n">
        <v>39554.04999999999</v>
      </c>
      <c r="F46" s="33">
        <f>D46+E46</f>
        <v/>
      </c>
      <c r="G46" s="7" t="n">
        <v>0.1648814899337084</v>
      </c>
      <c r="H46" s="7" t="n">
        <v>-0.6154165516518527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2566.8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-0.581190587501948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341.79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2196.5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7" t="n">
        <v>-1</v>
      </c>
      <c r="H54" s="8" t="n"/>
    </row>
    <row r="55" ht="14" customHeight="1">
      <c r="A55" s="34" t="inlineStr">
        <is>
          <t xml:space="preserve">    Finance Costs</t>
        </is>
      </c>
      <c r="B55" s="8" t="n">
        <v>170.35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7" t="n">
        <v>-1</v>
      </c>
      <c r="H55" s="8" t="n"/>
    </row>
    <row r="56" ht="14" customHeight="1">
      <c r="A56" s="30" t="inlineStr">
        <is>
          <t>Total Overheads</t>
        </is>
      </c>
      <c r="B56" s="31" t="n">
        <v>7541.79</v>
      </c>
      <c r="C56" s="31" t="n">
        <v>172103.85</v>
      </c>
      <c r="D56" s="31" t="n">
        <v>0</v>
      </c>
      <c r="E56" s="11" t="n">
        <v>0</v>
      </c>
      <c r="F56" s="31">
        <f>D56+E56</f>
        <v/>
      </c>
      <c r="G56" s="7" t="n">
        <v>21.82002681061127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169041.0999999999</v>
      </c>
      <c r="C58" s="36" t="n">
        <v>33594.29000000001</v>
      </c>
      <c r="D58" s="36" t="n">
        <v>39554.04999999999</v>
      </c>
      <c r="E58" s="11" t="n">
        <v>39554.04999999999</v>
      </c>
      <c r="F58" s="36">
        <f>D58+E58</f>
        <v/>
      </c>
      <c r="G58" s="7" t="n">
        <v>-0.8012655502123446</v>
      </c>
      <c r="H58" s="7" t="n">
        <v>1.354807915273696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Hazebrouck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553511.23</v>
      </c>
      <c r="C4" s="5" t="n">
        <v>168543</v>
      </c>
      <c r="D4" s="5" t="n">
        <v>335426.7</v>
      </c>
      <c r="E4" s="6" t="n">
        <v>335426.7</v>
      </c>
      <c r="F4" s="5">
        <f>D4+E4</f>
        <v/>
      </c>
      <c r="G4" s="7" t="n">
        <v>-0.6955021129381602</v>
      </c>
      <c r="H4" s="7" t="n">
        <v>2.980310069240491</v>
      </c>
    </row>
    <row r="5" ht="14" customHeight="1">
      <c r="A5" s="4" t="inlineStr">
        <is>
          <t xml:space="preserve">    EEEF Embedded</t>
        </is>
      </c>
      <c r="B5" s="5" t="n">
        <v>219552.43</v>
      </c>
      <c r="C5" s="5" t="n">
        <v>89145.08</v>
      </c>
      <c r="D5" s="5" t="n">
        <v>0</v>
      </c>
      <c r="E5" s="6" t="n">
        <v>0</v>
      </c>
      <c r="F5" s="5">
        <f>D5+E5</f>
        <v/>
      </c>
      <c r="G5" s="7" t="n">
        <v>-0.5939690578692297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4883.04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777946.7</v>
      </c>
      <c r="C7" s="10" t="n">
        <v>711503.98</v>
      </c>
      <c r="D7" s="10" t="n">
        <v>335426.7</v>
      </c>
      <c r="E7" s="11" t="n">
        <v>335426.7</v>
      </c>
      <c r="F7" s="10">
        <f>D7+E7</f>
        <v/>
      </c>
      <c r="G7" s="7" t="n">
        <v>-0.08540780493059483</v>
      </c>
      <c r="H7" s="7" t="n">
        <v>-0.05713331357612358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338039.33</v>
      </c>
      <c r="C11" s="15" t="n">
        <v>307176.85</v>
      </c>
      <c r="D11" s="15" t="n">
        <v>152316.78</v>
      </c>
      <c r="E11" s="6" t="n">
        <v>152316.78</v>
      </c>
      <c r="F11" s="15">
        <f>D11+E11</f>
        <v/>
      </c>
      <c r="G11" s="7" t="n">
        <v>-0.09129848884743672</v>
      </c>
      <c r="H11" s="7" t="n">
        <v>-0.00827956273397568</v>
      </c>
    </row>
    <row r="12" ht="14" customHeight="1">
      <c r="A12" s="14" t="inlineStr">
        <is>
          <t xml:space="preserve">    Nursery NI</t>
        </is>
      </c>
      <c r="B12" s="15" t="n">
        <v>36228.96</v>
      </c>
      <c r="C12" s="15" t="n">
        <v>32662.55</v>
      </c>
      <c r="D12" s="15" t="n">
        <v>16251.96</v>
      </c>
      <c r="E12" s="6" t="n">
        <v>16251.96</v>
      </c>
      <c r="F12" s="15">
        <f>D12+E12</f>
        <v/>
      </c>
      <c r="G12" s="7" t="n">
        <v>-0.09844086057121154</v>
      </c>
      <c r="H12" s="7" t="n">
        <v>-0.004856632442966058</v>
      </c>
    </row>
    <row r="13" ht="14" customHeight="1">
      <c r="A13" s="14" t="inlineStr">
        <is>
          <t xml:space="preserve">    Nursery Pension</t>
        </is>
      </c>
      <c r="B13" s="15" t="n">
        <v>7155.89</v>
      </c>
      <c r="C13" s="15" t="n">
        <v>6142.18</v>
      </c>
      <c r="D13" s="15" t="n">
        <v>3083.28</v>
      </c>
      <c r="E13" s="6" t="n">
        <v>3083.28</v>
      </c>
      <c r="F13" s="15">
        <f>D13+E13</f>
        <v/>
      </c>
      <c r="G13" s="7" t="n">
        <v>-0.1416609254753776</v>
      </c>
      <c r="H13" s="7" t="n">
        <v>0.003969274752612134</v>
      </c>
    </row>
    <row r="14" ht="14" customHeight="1">
      <c r="A14" s="14" t="inlineStr">
        <is>
          <t xml:space="preserve">    Uniform</t>
        </is>
      </c>
      <c r="B14" s="15" t="n">
        <v>632.8299999999999</v>
      </c>
      <c r="C14" s="15" t="n">
        <v>250</v>
      </c>
      <c r="D14" s="15" t="n">
        <v>300</v>
      </c>
      <c r="E14" s="6" t="n">
        <v>300</v>
      </c>
      <c r="F14" s="15">
        <f>D14+E14</f>
        <v/>
      </c>
      <c r="G14" s="7" t="n">
        <v>-0.6049491964666656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1492.8</v>
      </c>
      <c r="C15" s="15" t="n">
        <v>0</v>
      </c>
      <c r="D15" s="15" t="n">
        <v>0</v>
      </c>
      <c r="E15" s="6" t="n">
        <v>0</v>
      </c>
      <c r="F15" s="15">
        <f>D15+E15</f>
        <v/>
      </c>
      <c r="G15" s="7" t="n">
        <v>-1</v>
      </c>
      <c r="H15" s="8" t="n"/>
    </row>
    <row r="16" ht="14" customHeight="1">
      <c r="A16" s="14" t="inlineStr">
        <is>
          <t xml:space="preserve">    Staff Welfare</t>
        </is>
      </c>
      <c r="B16" s="15" t="n">
        <v>1813.07</v>
      </c>
      <c r="C16" s="15" t="n">
        <v>663.45</v>
      </c>
      <c r="D16" s="15" t="n">
        <v>796.14</v>
      </c>
      <c r="E16" s="6" t="n">
        <v>796.14</v>
      </c>
      <c r="F16" s="15">
        <f>D16+E16</f>
        <v/>
      </c>
      <c r="G16" s="7" t="n">
        <v>-0.6340736982024963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97.51000000000001</v>
      </c>
      <c r="C18" s="15" t="n">
        <v>210</v>
      </c>
      <c r="D18" s="15" t="n">
        <v>252</v>
      </c>
      <c r="E18" s="6" t="n">
        <v>252</v>
      </c>
      <c r="F18" s="15">
        <f>D18+E18</f>
        <v/>
      </c>
      <c r="G18" s="7" t="n">
        <v>1.153625269203159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385460.39</v>
      </c>
      <c r="C20" s="17" t="n">
        <v>348371.33</v>
      </c>
      <c r="D20" s="17" t="n">
        <v>173000.16</v>
      </c>
      <c r="E20" s="11" t="n">
        <v>173000.16</v>
      </c>
      <c r="F20" s="17">
        <f>D20+E20</f>
        <v/>
      </c>
      <c r="G20" s="7" t="n">
        <v>-0.09622015896367472</v>
      </c>
      <c r="H20" s="7" t="n">
        <v>-0.006805984866779799</v>
      </c>
    </row>
    <row r="21" ht="14" customHeight="1">
      <c r="A21" s="18" t="inlineStr">
        <is>
          <t xml:space="preserve">    Sal:Rev</t>
        </is>
      </c>
      <c r="B21" s="19" t="n">
        <v>0.4954843178845029</v>
      </c>
      <c r="C21" s="19" t="n">
        <v>0.4896266778437416</v>
      </c>
      <c r="D21" s="19" t="n">
        <v>0.5157614465395868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24108.89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3826.52</v>
      </c>
      <c r="C25" s="22" t="n">
        <v>265</v>
      </c>
      <c r="D25" s="22" t="n">
        <v>318</v>
      </c>
      <c r="E25" s="6" t="n">
        <v>318</v>
      </c>
      <c r="F25" s="22">
        <f>D25+E25</f>
        <v/>
      </c>
      <c r="G25" s="7" t="n">
        <v>-0.9307464746035562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1183.76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443.89</v>
      </c>
      <c r="C27" s="22" t="n">
        <v>490</v>
      </c>
      <c r="D27" s="22" t="n">
        <v>588</v>
      </c>
      <c r="E27" s="6" t="n">
        <v>588</v>
      </c>
      <c r="F27" s="22">
        <f>D27+E27</f>
        <v/>
      </c>
      <c r="G27" s="7" t="n">
        <v>0.1038770866656154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1765.55</v>
      </c>
      <c r="C28" s="22" t="n">
        <v>265</v>
      </c>
      <c r="D28" s="22" t="n">
        <v>318</v>
      </c>
      <c r="E28" s="6" t="n">
        <v>318</v>
      </c>
      <c r="F28" s="22">
        <f>D28+E28</f>
        <v/>
      </c>
      <c r="G28" s="7" t="n">
        <v>-0.849905128713432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2117.05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33445.66</v>
      </c>
      <c r="C30" s="24" t="n">
        <v>20738.77</v>
      </c>
      <c r="D30" s="24" t="n">
        <v>1224</v>
      </c>
      <c r="E30" s="11" t="n">
        <v>1224</v>
      </c>
      <c r="F30" s="24">
        <f>D30+E30</f>
        <v/>
      </c>
      <c r="G30" s="7" t="n">
        <v>-0.3799264239366184</v>
      </c>
      <c r="H30" s="7" t="n">
        <v>-0.8819602126837802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55749.98</v>
      </c>
      <c r="C33" s="27" t="n">
        <v>55750.83</v>
      </c>
      <c r="D33" s="27" t="n">
        <v>0</v>
      </c>
      <c r="E33" s="6" t="n">
        <v>0</v>
      </c>
      <c r="F33" s="27">
        <f>D33+E33</f>
        <v/>
      </c>
      <c r="G33" s="7" t="n">
        <v>1.52466422410523e-05</v>
      </c>
      <c r="H33" s="7" t="n">
        <v>-1</v>
      </c>
    </row>
    <row r="34" ht="14" customHeight="1">
      <c r="A34" s="26" t="inlineStr">
        <is>
          <t xml:space="preserve">    Business Rates</t>
        </is>
      </c>
      <c r="B34" s="27" t="n">
        <v>46707.42</v>
      </c>
      <c r="C34" s="27" t="n">
        <v>15414.6</v>
      </c>
      <c r="D34" s="27" t="n">
        <v>18497.52</v>
      </c>
      <c r="E34" s="6" t="n">
        <v>18497.52</v>
      </c>
      <c r="F34" s="27">
        <f>D34+E34</f>
        <v/>
      </c>
      <c r="G34" s="7" t="n">
        <v>-0.669975348670511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3600</v>
      </c>
      <c r="C35" s="27" t="n">
        <v>3600</v>
      </c>
      <c r="D35" s="27" t="n">
        <v>1800</v>
      </c>
      <c r="E35" s="6" t="n">
        <v>1800</v>
      </c>
      <c r="F35" s="27">
        <f>D35+E35</f>
        <v/>
      </c>
      <c r="G35" s="7" t="n">
        <v>0</v>
      </c>
      <c r="H35" s="7" t="n">
        <v>0</v>
      </c>
    </row>
    <row r="36" ht="14" customHeight="1">
      <c r="A36" s="26" t="inlineStr">
        <is>
          <t xml:space="preserve">    Repairs &amp; Maintenance</t>
        </is>
      </c>
      <c r="B36" s="27" t="n">
        <v>4688.01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12813.91</v>
      </c>
      <c r="C37" s="27" t="n">
        <v>5535</v>
      </c>
      <c r="D37" s="27" t="n">
        <v>6642</v>
      </c>
      <c r="E37" s="6" t="n">
        <v>6642</v>
      </c>
      <c r="F37" s="27">
        <f>D37+E37</f>
        <v/>
      </c>
      <c r="G37" s="7" t="n">
        <v>-0.5680475358419093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5049.23</v>
      </c>
      <c r="C38" s="27" t="n">
        <v>2115</v>
      </c>
      <c r="D38" s="27" t="n">
        <v>2538</v>
      </c>
      <c r="E38" s="6" t="n">
        <v>2538</v>
      </c>
      <c r="F38" s="27">
        <f>D38+E38</f>
        <v/>
      </c>
      <c r="G38" s="7" t="n">
        <v>-0.5811242506283136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809.51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767.5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-0.3485342019543974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130185.56</v>
      </c>
      <c r="C42" s="29" t="n">
        <v>122317.04</v>
      </c>
      <c r="D42" s="29" t="n">
        <v>30077.52</v>
      </c>
      <c r="E42" s="11" t="n">
        <v>30077.52</v>
      </c>
      <c r="F42" s="29">
        <f>D42+E42</f>
        <v/>
      </c>
      <c r="G42" s="7" t="n">
        <v>-0.06044080464838028</v>
      </c>
      <c r="H42" s="7" t="n">
        <v>-0.5082039264521117</v>
      </c>
    </row>
    <row r="43" ht="5" customHeight="1"/>
    <row r="44" ht="14" customHeight="1">
      <c r="A44" s="30" t="inlineStr">
        <is>
          <t>Total Direct Costs</t>
        </is>
      </c>
      <c r="B44" s="31" t="n">
        <v>549091.61</v>
      </c>
      <c r="C44" s="31" t="n">
        <v>491427.14</v>
      </c>
      <c r="D44" s="31" t="n">
        <v>204301.68</v>
      </c>
      <c r="E44" s="11" t="n">
        <v>204301.68</v>
      </c>
      <c r="F44" s="31">
        <f>D44+E44</f>
        <v/>
      </c>
      <c r="G44" s="7" t="n">
        <v>-0.1050179404489534</v>
      </c>
      <c r="H44" s="7" t="n">
        <v>-0.1685372525416484</v>
      </c>
    </row>
    <row r="45" ht="5" customHeight="1"/>
    <row r="46" ht="14" customHeight="1">
      <c r="A46" s="32" t="inlineStr">
        <is>
          <t>CONTRIBUTION</t>
        </is>
      </c>
      <c r="B46" s="33" t="n">
        <v>228855.09</v>
      </c>
      <c r="C46" s="33" t="n">
        <v>220076.84</v>
      </c>
      <c r="D46" s="33" t="n">
        <v>131125.02</v>
      </c>
      <c r="E46" s="11" t="n">
        <v>131125.02</v>
      </c>
      <c r="F46" s="33">
        <f>D46+E46</f>
        <v/>
      </c>
      <c r="G46" s="7" t="n">
        <v>-0.03835724169385964</v>
      </c>
      <c r="H46" s="7" t="n">
        <v>0.1916294327017785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-0.5624425069805684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118.6</v>
      </c>
      <c r="C52" s="8" t="n">
        <v>25</v>
      </c>
      <c r="D52" s="8" t="n">
        <v>30</v>
      </c>
      <c r="E52" s="6" t="n">
        <v>30</v>
      </c>
      <c r="F52" s="8">
        <f>D52+E52</f>
        <v/>
      </c>
      <c r="G52" s="7" t="n">
        <v>-0.7892074198988196</v>
      </c>
      <c r="H52" s="7" t="n">
        <v>1.4</v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4119.15</v>
      </c>
      <c r="C56" s="31" t="n">
        <v>434629.1</v>
      </c>
      <c r="D56" s="31" t="n">
        <v>630</v>
      </c>
      <c r="E56" s="11" t="n">
        <v>630</v>
      </c>
      <c r="F56" s="31">
        <f>D56+E56</f>
        <v/>
      </c>
      <c r="G56" s="7" t="n">
        <v>104.5142687204884</v>
      </c>
      <c r="H56" s="7" t="n">
        <v>-0.9971009764417523</v>
      </c>
    </row>
    <row r="57" ht="5" customHeight="1"/>
    <row r="58" ht="14" customHeight="1">
      <c r="A58" s="35" t="inlineStr">
        <is>
          <t>EBITDA</t>
        </is>
      </c>
      <c r="B58" s="36" t="n">
        <v>224735.94</v>
      </c>
      <c r="C58" s="36" t="n">
        <v>-214552.26</v>
      </c>
      <c r="D58" s="36" t="n">
        <v>130495.02</v>
      </c>
      <c r="E58" s="11" t="n">
        <v>130495.02</v>
      </c>
      <c r="F58" s="36">
        <f>D58+E58</f>
        <v/>
      </c>
      <c r="G58" s="7" t="n">
        <v>-1.9546860195125</v>
      </c>
      <c r="H58" s="7" t="n">
        <v>2.216440414097712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Our Den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4732.76</v>
      </c>
      <c r="C4" s="5" t="n">
        <v>13101</v>
      </c>
      <c r="D4" s="5" t="n">
        <v>159105.54</v>
      </c>
      <c r="E4" s="6" t="n">
        <v>159105.54</v>
      </c>
      <c r="F4" s="5">
        <f>D4+E4</f>
        <v/>
      </c>
      <c r="G4" s="7" t="n">
        <v>1.768152198717028</v>
      </c>
      <c r="H4" s="7" t="n">
        <v>23.28906801007557</v>
      </c>
    </row>
    <row r="5" ht="14" customHeight="1">
      <c r="A5" s="4" t="inlineStr">
        <is>
          <t xml:space="preserve">    EEEF Embedded</t>
        </is>
      </c>
      <c r="B5" s="5" t="n">
        <v>13583.66</v>
      </c>
      <c r="C5" s="5" t="n">
        <v>84896</v>
      </c>
      <c r="D5" s="5" t="n">
        <v>0</v>
      </c>
      <c r="E5" s="6" t="n">
        <v>0</v>
      </c>
      <c r="F5" s="5">
        <f>D5+E5</f>
        <v/>
      </c>
      <c r="G5" s="7" t="n">
        <v>5.249861966509762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0</v>
      </c>
      <c r="C6" s="5" t="n">
        <v>0</v>
      </c>
      <c r="D6" s="5" t="n">
        <v>0</v>
      </c>
      <c r="E6" s="6" t="n">
        <v>0</v>
      </c>
      <c r="F6" s="5">
        <f>D6+E6</f>
        <v/>
      </c>
      <c r="G6" s="8" t="n"/>
      <c r="H6" s="8" t="n"/>
    </row>
    <row r="7" ht="14" customHeight="1">
      <c r="A7" s="9" t="inlineStr">
        <is>
          <t>Total Income</t>
        </is>
      </c>
      <c r="B7" s="10" t="n">
        <v>18316.42</v>
      </c>
      <c r="C7" s="10" t="n">
        <v>97997</v>
      </c>
      <c r="D7" s="10" t="n">
        <v>159105.54</v>
      </c>
      <c r="E7" s="11" t="n">
        <v>159105.54</v>
      </c>
      <c r="F7" s="10">
        <f>D7+E7</f>
        <v/>
      </c>
      <c r="G7" s="7" t="n">
        <v>4.350226736447406</v>
      </c>
      <c r="H7" s="7" t="n">
        <v>2.247151239323653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26719.1</v>
      </c>
      <c r="C11" s="15" t="n">
        <v>45570</v>
      </c>
      <c r="D11" s="15" t="n">
        <v>54684</v>
      </c>
      <c r="E11" s="6" t="n">
        <v>54684</v>
      </c>
      <c r="F11" s="15">
        <f>D11+E11</f>
        <v/>
      </c>
      <c r="G11" s="7" t="n">
        <v>0.705521518314614</v>
      </c>
      <c r="H11" s="7" t="n">
        <v>1.4</v>
      </c>
    </row>
    <row r="12" ht="14" customHeight="1">
      <c r="A12" s="14" t="inlineStr">
        <is>
          <t xml:space="preserve">    Nursery NI</t>
        </is>
      </c>
      <c r="B12" s="15" t="n">
        <v>2944.49</v>
      </c>
      <c r="C12" s="15" t="n">
        <v>4355</v>
      </c>
      <c r="D12" s="15" t="n">
        <v>5226</v>
      </c>
      <c r="E12" s="6" t="n">
        <v>5226</v>
      </c>
      <c r="F12" s="15">
        <f>D12+E12</f>
        <v/>
      </c>
      <c r="G12" s="7" t="n">
        <v>0.4790337206103603</v>
      </c>
      <c r="H12" s="7" t="n">
        <v>1.4</v>
      </c>
    </row>
    <row r="13" ht="14" customHeight="1">
      <c r="A13" s="14" t="inlineStr">
        <is>
          <t xml:space="preserve">    Nursery Pension</t>
        </is>
      </c>
      <c r="B13" s="15" t="n">
        <v>282.6</v>
      </c>
      <c r="C13" s="15" t="n">
        <v>719.95</v>
      </c>
      <c r="D13" s="15" t="n">
        <v>863.9400000000001</v>
      </c>
      <c r="E13" s="6" t="n">
        <v>863.9400000000001</v>
      </c>
      <c r="F13" s="15">
        <f>D13+E13</f>
        <v/>
      </c>
      <c r="G13" s="7" t="n">
        <v>1.547593772116065</v>
      </c>
      <c r="H13" s="7" t="n">
        <v>1.4</v>
      </c>
    </row>
    <row r="14" ht="14" customHeight="1">
      <c r="A14" s="14" t="inlineStr">
        <is>
          <t xml:space="preserve">    Uniform</t>
        </is>
      </c>
      <c r="B14" s="15" t="n">
        <v>0</v>
      </c>
      <c r="C14" s="15" t="n">
        <v>100</v>
      </c>
      <c r="D14" s="15" t="n">
        <v>120</v>
      </c>
      <c r="E14" s="6" t="n">
        <v>120</v>
      </c>
      <c r="F14" s="15">
        <f>D14+E14</f>
        <v/>
      </c>
      <c r="G14" s="8" t="n"/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114</v>
      </c>
      <c r="C15" s="15" t="n">
        <v>500</v>
      </c>
      <c r="D15" s="15" t="n">
        <v>600</v>
      </c>
      <c r="E15" s="6" t="n">
        <v>600</v>
      </c>
      <c r="F15" s="15">
        <f>D15+E15</f>
        <v/>
      </c>
      <c r="G15" s="7" t="n">
        <v>3.385964912280702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61.57</v>
      </c>
      <c r="C16" s="15" t="n">
        <v>200</v>
      </c>
      <c r="D16" s="15" t="n">
        <v>240</v>
      </c>
      <c r="E16" s="6" t="n">
        <v>240</v>
      </c>
      <c r="F16" s="15">
        <f>D16+E16</f>
        <v/>
      </c>
      <c r="G16" s="7" t="n">
        <v>2.24833522819555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0</v>
      </c>
      <c r="C18" s="15" t="n">
        <v>85</v>
      </c>
      <c r="D18" s="15" t="n">
        <v>102</v>
      </c>
      <c r="E18" s="6" t="n">
        <v>102</v>
      </c>
      <c r="F18" s="15">
        <f>D18+E18</f>
        <v/>
      </c>
      <c r="G18" s="8" t="n"/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30121.76</v>
      </c>
      <c r="C20" s="17" t="n">
        <v>51529.95</v>
      </c>
      <c r="D20" s="17" t="n">
        <v>61835.94</v>
      </c>
      <c r="E20" s="11" t="n">
        <v>61835.94</v>
      </c>
      <c r="F20" s="17">
        <f>D20+E20</f>
        <v/>
      </c>
      <c r="G20" s="7" t="n">
        <v>0.7107217506546762</v>
      </c>
      <c r="H20" s="7" t="n">
        <v>1.4</v>
      </c>
    </row>
    <row r="21" ht="14" customHeight="1">
      <c r="A21" s="18" t="inlineStr">
        <is>
          <t xml:space="preserve">    Sal:Rev</t>
        </is>
      </c>
      <c r="B21" s="19" t="n">
        <v>1.644522237424126</v>
      </c>
      <c r="C21" s="19" t="n">
        <v>0.5258319132218333</v>
      </c>
      <c r="D21" s="19" t="n">
        <v>0.3886473092011755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125.31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3685.39</v>
      </c>
      <c r="C25" s="22" t="n">
        <v>280</v>
      </c>
      <c r="D25" s="22" t="n">
        <v>348</v>
      </c>
      <c r="E25" s="6" t="n">
        <v>348</v>
      </c>
      <c r="F25" s="22">
        <f>D25+E25</f>
        <v/>
      </c>
      <c r="G25" s="7" t="n">
        <v>-0.9240243230702857</v>
      </c>
      <c r="H25" s="7" t="n">
        <v>1.485714285714286</v>
      </c>
    </row>
    <row r="26" ht="14" customHeight="1">
      <c r="A26" s="21" t="inlineStr">
        <is>
          <t xml:space="preserve">    Art Materials</t>
        </is>
      </c>
      <c r="B26" s="22" t="n">
        <v>260.22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250</v>
      </c>
      <c r="D27" s="22" t="n">
        <v>300</v>
      </c>
      <c r="E27" s="6" t="n">
        <v>300</v>
      </c>
      <c r="F27" s="22">
        <f>D27+E27</f>
        <v/>
      </c>
      <c r="G27" s="8" t="n"/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546.12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-0.5422251519812495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30.93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4647.97</v>
      </c>
      <c r="C30" s="24" t="n">
        <v>810</v>
      </c>
      <c r="D30" s="24" t="n">
        <v>996</v>
      </c>
      <c r="E30" s="11" t="n">
        <v>996</v>
      </c>
      <c r="F30" s="24">
        <f>D30+E30</f>
        <v/>
      </c>
      <c r="G30" s="7" t="n">
        <v>-0.8257303726142811</v>
      </c>
      <c r="H30" s="7" t="n">
        <v>1.459259259259259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4226.02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7" t="n">
        <v>-1</v>
      </c>
      <c r="H33" s="8" t="n"/>
    </row>
    <row r="34" ht="14" customHeight="1">
      <c r="A34" s="26" t="inlineStr">
        <is>
          <t xml:space="preserve">    Business Rates</t>
        </is>
      </c>
      <c r="B34" s="27" t="n">
        <v>4041.95</v>
      </c>
      <c r="C34" s="27" t="n">
        <v>2295</v>
      </c>
      <c r="D34" s="27" t="n">
        <v>2754</v>
      </c>
      <c r="E34" s="6" t="n">
        <v>2754</v>
      </c>
      <c r="F34" s="27">
        <f>D34+E34</f>
        <v/>
      </c>
      <c r="G34" s="7" t="n">
        <v>-0.4322047526565148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335.92</v>
      </c>
      <c r="C35" s="27" t="n">
        <v>1300</v>
      </c>
      <c r="D35" s="27" t="n">
        <v>1560</v>
      </c>
      <c r="E35" s="6" t="n">
        <v>1560</v>
      </c>
      <c r="F35" s="27">
        <f>D35+E35</f>
        <v/>
      </c>
      <c r="G35" s="7" t="n">
        <v>2.869969040247678</v>
      </c>
      <c r="H35" s="7" t="n">
        <v>1.4</v>
      </c>
    </row>
    <row r="36" ht="14" customHeight="1">
      <c r="A36" s="26" t="inlineStr">
        <is>
          <t xml:space="preserve">    Repairs &amp; Maintenance</t>
        </is>
      </c>
      <c r="B36" s="27" t="n">
        <v>12602.62</v>
      </c>
      <c r="C36" s="27" t="n">
        <v>2500</v>
      </c>
      <c r="D36" s="27" t="n">
        <v>0</v>
      </c>
      <c r="E36" s="6" t="n">
        <v>0</v>
      </c>
      <c r="F36" s="27">
        <f>D36+E36</f>
        <v/>
      </c>
      <c r="G36" s="7" t="n">
        <v>-0.8016285502538362</v>
      </c>
      <c r="H36" s="7" t="n">
        <v>-1</v>
      </c>
    </row>
    <row r="37" ht="14" customHeight="1">
      <c r="A37" s="26" t="inlineStr">
        <is>
          <t xml:space="preserve">    Cleaning</t>
        </is>
      </c>
      <c r="B37" s="27" t="n">
        <v>157.02</v>
      </c>
      <c r="C37" s="27" t="n">
        <v>800</v>
      </c>
      <c r="D37" s="27" t="n">
        <v>960</v>
      </c>
      <c r="E37" s="6" t="n">
        <v>960</v>
      </c>
      <c r="F37" s="27">
        <f>D37+E37</f>
        <v/>
      </c>
      <c r="G37" s="7" t="n">
        <v>4.094892370398675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1258.12</v>
      </c>
      <c r="C38" s="27" t="n">
        <v>1000</v>
      </c>
      <c r="D38" s="27" t="n">
        <v>1200</v>
      </c>
      <c r="E38" s="6" t="n">
        <v>1200</v>
      </c>
      <c r="F38" s="27">
        <f>D38+E38</f>
        <v/>
      </c>
      <c r="G38" s="7" t="n">
        <v>-0.2051632594665055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378.34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30</v>
      </c>
      <c r="C40" s="27" t="n">
        <v>50</v>
      </c>
      <c r="D40" s="27" t="n">
        <v>60</v>
      </c>
      <c r="E40" s="6" t="n">
        <v>60</v>
      </c>
      <c r="F40" s="27">
        <f>D40+E40</f>
        <v/>
      </c>
      <c r="G40" s="7" t="n">
        <v>0.6666666666666666</v>
      </c>
      <c r="H40" s="7" t="n">
        <v>1.4</v>
      </c>
    </row>
    <row r="41" ht="14" customHeight="1">
      <c r="A41" s="26" t="inlineStr">
        <is>
          <t xml:space="preserve">    Marketing</t>
        </is>
      </c>
      <c r="B41" s="27" t="n">
        <v>348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0.4367816091954023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23377.99</v>
      </c>
      <c r="C42" s="29" t="n">
        <v>8445</v>
      </c>
      <c r="D42" s="29" t="n">
        <v>7134</v>
      </c>
      <c r="E42" s="11" t="n">
        <v>7134</v>
      </c>
      <c r="F42" s="29">
        <f>D42+E42</f>
        <v/>
      </c>
      <c r="G42" s="7" t="n">
        <v>-0.6387627849956306</v>
      </c>
      <c r="H42" s="7" t="n">
        <v>0.6895204262877442</v>
      </c>
    </row>
    <row r="43" ht="5" customHeight="1"/>
    <row r="44" ht="14" customHeight="1">
      <c r="A44" s="30" t="inlineStr">
        <is>
          <t>Total Direct Costs</t>
        </is>
      </c>
      <c r="B44" s="31" t="n">
        <v>58147.72</v>
      </c>
      <c r="C44" s="31" t="n">
        <v>60784.95</v>
      </c>
      <c r="D44" s="31" t="n">
        <v>69965.94</v>
      </c>
      <c r="E44" s="11" t="n">
        <v>69965.94</v>
      </c>
      <c r="F44" s="31">
        <f>D44+E44</f>
        <v/>
      </c>
      <c r="G44" s="7" t="n">
        <v>0.04535397088656264</v>
      </c>
      <c r="H44" s="7" t="n">
        <v>1.302081024990561</v>
      </c>
    </row>
    <row r="45" ht="5" customHeight="1"/>
    <row r="46" ht="14" customHeight="1">
      <c r="A46" s="32" t="inlineStr">
        <is>
          <t>CONTRIBUTION</t>
        </is>
      </c>
      <c r="B46" s="33" t="n">
        <v>-39831.3</v>
      </c>
      <c r="C46" s="33" t="n">
        <v>37212.05</v>
      </c>
      <c r="D46" s="33" t="n">
        <v>89139.60000000001</v>
      </c>
      <c r="E46" s="11" t="n">
        <v>89139.60000000001</v>
      </c>
      <c r="F46" s="33">
        <f>D46+E46</f>
        <v/>
      </c>
      <c r="G46" s="7" t="n">
        <v>1.934241413160002</v>
      </c>
      <c r="H46" s="7" t="n">
        <v>3.790899721998654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1503.6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-0.285049215216813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260.22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2002.19</v>
      </c>
      <c r="C56" s="31" t="n">
        <v>1075</v>
      </c>
      <c r="D56" s="31" t="n">
        <v>0</v>
      </c>
      <c r="E56" s="11" t="n">
        <v>0</v>
      </c>
      <c r="F56" s="31">
        <f>D56+E56</f>
        <v/>
      </c>
      <c r="G56" s="7" t="n">
        <v>-0.4630879187289917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-41833.49000000001</v>
      </c>
      <c r="C58" s="36" t="n">
        <v>36137.05</v>
      </c>
      <c r="D58" s="36" t="n">
        <v>89139.60000000001</v>
      </c>
      <c r="E58" s="11" t="n">
        <v>89139.60000000001</v>
      </c>
      <c r="F58" s="36">
        <f>D58+E58</f>
        <v/>
      </c>
      <c r="G58" s="7" t="n">
        <v>1.863830629478918</v>
      </c>
      <c r="H58" s="7" t="n">
        <v>3.933418748901751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Happitots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564094.37</v>
      </c>
      <c r="C4" s="5" t="n">
        <v>197594.86</v>
      </c>
      <c r="D4" s="5" t="n">
        <v>416271.21</v>
      </c>
      <c r="E4" s="6" t="n">
        <v>416271.21</v>
      </c>
      <c r="F4" s="5">
        <f>D4+E4</f>
        <v/>
      </c>
      <c r="G4" s="7" t="n">
        <v>-0.6497131144918181</v>
      </c>
      <c r="H4" s="7" t="n">
        <v>3.21338095535481</v>
      </c>
    </row>
    <row r="5" ht="14" customHeight="1">
      <c r="A5" s="4" t="inlineStr">
        <is>
          <t xml:space="preserve">    EEEF Embedded</t>
        </is>
      </c>
      <c r="B5" s="5" t="n">
        <v>198734.1</v>
      </c>
      <c r="C5" s="5" t="n">
        <v>76610.64</v>
      </c>
      <c r="D5" s="5" t="n">
        <v>0</v>
      </c>
      <c r="E5" s="6" t="n">
        <v>0</v>
      </c>
      <c r="F5" s="5">
        <f>D5+E5</f>
        <v/>
      </c>
      <c r="G5" s="7" t="n">
        <v>-0.6145068209230323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5239.07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768067.54</v>
      </c>
      <c r="C7" s="10" t="n">
        <v>732510.97</v>
      </c>
      <c r="D7" s="10" t="n">
        <v>416271.21</v>
      </c>
      <c r="E7" s="11" t="n">
        <v>416271.21</v>
      </c>
      <c r="F7" s="10">
        <f>D7+E7</f>
        <v/>
      </c>
      <c r="G7" s="7" t="n">
        <v>-0.04629354600768582</v>
      </c>
      <c r="H7" s="7" t="n">
        <v>0.1365596613522388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383591.67</v>
      </c>
      <c r="C11" s="15" t="n">
        <v>419859.53</v>
      </c>
      <c r="D11" s="15" t="n">
        <v>200900.16</v>
      </c>
      <c r="E11" s="6" t="n">
        <v>200900.16</v>
      </c>
      <c r="F11" s="15">
        <f>D11+E11</f>
        <v/>
      </c>
      <c r="G11" s="7" t="n">
        <v>0.0945480906819483</v>
      </c>
      <c r="H11" s="7" t="n">
        <v>-0.04301250468222065</v>
      </c>
    </row>
    <row r="12" ht="14" customHeight="1">
      <c r="A12" s="14" t="inlineStr">
        <is>
          <t xml:space="preserve">    Nursery NI</t>
        </is>
      </c>
      <c r="B12" s="15" t="n">
        <v>41589.41</v>
      </c>
      <c r="C12" s="15" t="n">
        <v>47756.1</v>
      </c>
      <c r="D12" s="15" t="n">
        <v>23639.94</v>
      </c>
      <c r="E12" s="6" t="n">
        <v>23639.94</v>
      </c>
      <c r="F12" s="15">
        <f>D12+E12</f>
        <v/>
      </c>
      <c r="G12" s="7" t="n">
        <v>0.1482754864760042</v>
      </c>
      <c r="H12" s="7" t="n">
        <v>-0.009971919817573068</v>
      </c>
    </row>
    <row r="13" ht="14" customHeight="1">
      <c r="A13" s="14" t="inlineStr">
        <is>
          <t xml:space="preserve">    Nursery Pension</t>
        </is>
      </c>
      <c r="B13" s="15" t="n">
        <v>8089.93</v>
      </c>
      <c r="C13" s="15" t="n">
        <v>3738.95</v>
      </c>
      <c r="D13" s="15" t="n">
        <v>4486.74</v>
      </c>
      <c r="E13" s="6" t="n">
        <v>4486.74</v>
      </c>
      <c r="F13" s="15">
        <f>D13+E13</f>
        <v/>
      </c>
      <c r="G13" s="7" t="n">
        <v>-0.5378266561020923</v>
      </c>
      <c r="H13" s="7" t="n">
        <v>1.4</v>
      </c>
    </row>
    <row r="14" ht="14" customHeight="1">
      <c r="A14" s="14" t="inlineStr">
        <is>
          <t xml:space="preserve">    Uniform</t>
        </is>
      </c>
      <c r="B14" s="15" t="n">
        <v>799.3099999999999</v>
      </c>
      <c r="C14" s="15" t="n">
        <v>415</v>
      </c>
      <c r="D14" s="15" t="n">
        <v>498</v>
      </c>
      <c r="E14" s="6" t="n">
        <v>498</v>
      </c>
      <c r="F14" s="15">
        <f>D14+E14</f>
        <v/>
      </c>
      <c r="G14" s="7" t="n">
        <v>-0.4808021918905055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265.2</v>
      </c>
      <c r="C15" s="15" t="n">
        <v>500</v>
      </c>
      <c r="D15" s="15" t="n">
        <v>600</v>
      </c>
      <c r="E15" s="6" t="n">
        <v>600</v>
      </c>
      <c r="F15" s="15">
        <f>D15+E15</f>
        <v/>
      </c>
      <c r="G15" s="7" t="n">
        <v>0.885369532428356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2222.99</v>
      </c>
      <c r="C16" s="15" t="n">
        <v>850</v>
      </c>
      <c r="D16" s="15" t="n">
        <v>1020</v>
      </c>
      <c r="E16" s="6" t="n">
        <v>1020</v>
      </c>
      <c r="F16" s="15">
        <f>D16+E16</f>
        <v/>
      </c>
      <c r="G16" s="7" t="n">
        <v>-0.6176321081066491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193.4</v>
      </c>
      <c r="C18" s="15" t="n">
        <v>355</v>
      </c>
      <c r="D18" s="15" t="n">
        <v>426</v>
      </c>
      <c r="E18" s="6" t="n">
        <v>426</v>
      </c>
      <c r="F18" s="15">
        <f>D18+E18</f>
        <v/>
      </c>
      <c r="G18" s="7" t="n">
        <v>0.8355739400206824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217.33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7" t="n">
        <v>-1</v>
      </c>
      <c r="H19" s="8" t="n"/>
    </row>
    <row r="20" ht="14" customHeight="1">
      <c r="A20" s="16" t="inlineStr">
        <is>
          <t>Total Personnel</t>
        </is>
      </c>
      <c r="B20" s="17" t="n">
        <v>436969.24</v>
      </c>
      <c r="C20" s="17" t="n">
        <v>481446.05</v>
      </c>
      <c r="D20" s="17" t="n">
        <v>231570.84</v>
      </c>
      <c r="E20" s="11" t="n">
        <v>231570.84</v>
      </c>
      <c r="F20" s="17">
        <f>D20+E20</f>
        <v/>
      </c>
      <c r="G20" s="7" t="n">
        <v>0.1017847617832321</v>
      </c>
      <c r="H20" s="7" t="n">
        <v>-0.0380195662629281</v>
      </c>
    </row>
    <row r="21" ht="14" customHeight="1">
      <c r="A21" s="18" t="inlineStr">
        <is>
          <t xml:space="preserve">    Sal:Rev</t>
        </is>
      </c>
      <c r="B21" s="19" t="n">
        <v>0.5689203321884947</v>
      </c>
      <c r="C21" s="19" t="n">
        <v>0.6572543889684</v>
      </c>
      <c r="D21" s="19" t="n">
        <v>0.5562979962030044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15726.64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3448.4</v>
      </c>
      <c r="C25" s="22" t="n">
        <v>500</v>
      </c>
      <c r="D25" s="22" t="n">
        <v>600</v>
      </c>
      <c r="E25" s="6" t="n">
        <v>600</v>
      </c>
      <c r="F25" s="22">
        <f>D25+E25</f>
        <v/>
      </c>
      <c r="G25" s="7" t="n">
        <v>-0.8550052198120868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890.91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500</v>
      </c>
      <c r="D27" s="22" t="n">
        <v>600</v>
      </c>
      <c r="E27" s="6" t="n">
        <v>600</v>
      </c>
      <c r="F27" s="22">
        <f>D27+E27</f>
        <v/>
      </c>
      <c r="G27" s="8" t="n"/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1011.8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-0.7529155959675825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1280.73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22358.48</v>
      </c>
      <c r="C30" s="24" t="n">
        <v>16055.54</v>
      </c>
      <c r="D30" s="24" t="n">
        <v>1500</v>
      </c>
      <c r="E30" s="11" t="n">
        <v>1500</v>
      </c>
      <c r="F30" s="24">
        <f>D30+E30</f>
        <v/>
      </c>
      <c r="G30" s="7" t="n">
        <v>-0.2819037787899714</v>
      </c>
      <c r="H30" s="7" t="n">
        <v>-0.813148607894845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22205.16</v>
      </c>
      <c r="C34" s="27" t="n">
        <v>10640.15</v>
      </c>
      <c r="D34" s="27" t="n">
        <v>12768.18</v>
      </c>
      <c r="E34" s="6" t="n">
        <v>12768.18</v>
      </c>
      <c r="F34" s="27">
        <f>D34+E34</f>
        <v/>
      </c>
      <c r="G34" s="7" t="n">
        <v>-0.5208253396958183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17668.51</v>
      </c>
      <c r="C35" s="27" t="n">
        <v>8125</v>
      </c>
      <c r="D35" s="27" t="n">
        <v>9750</v>
      </c>
      <c r="E35" s="6" t="n">
        <v>9750</v>
      </c>
      <c r="F35" s="27">
        <f>D35+E35</f>
        <v/>
      </c>
      <c r="G35" s="7" t="n">
        <v>-0.5401423209993372</v>
      </c>
      <c r="H35" s="7" t="n">
        <v>1.4</v>
      </c>
    </row>
    <row r="36" ht="14" customHeight="1">
      <c r="A36" s="26" t="inlineStr">
        <is>
          <t xml:space="preserve">    Repairs &amp; Maintenance</t>
        </is>
      </c>
      <c r="B36" s="27" t="n">
        <v>10245.4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2602.62</v>
      </c>
      <c r="C37" s="27" t="n">
        <v>1105</v>
      </c>
      <c r="D37" s="27" t="n">
        <v>1326</v>
      </c>
      <c r="E37" s="6" t="n">
        <v>1326</v>
      </c>
      <c r="F37" s="27">
        <f>D37+E37</f>
        <v/>
      </c>
      <c r="G37" s="7" t="n">
        <v>-0.5754278381016052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4615.09</v>
      </c>
      <c r="C38" s="27" t="n">
        <v>1945</v>
      </c>
      <c r="D38" s="27" t="n">
        <v>2334</v>
      </c>
      <c r="E38" s="6" t="n">
        <v>2334</v>
      </c>
      <c r="F38" s="27">
        <f>D38+E38</f>
        <v/>
      </c>
      <c r="G38" s="7" t="n">
        <v>-0.578556431185524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2024.55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29.98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15.67778519012675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59391.31</v>
      </c>
      <c r="C42" s="29" t="n">
        <v>65036.78000000001</v>
      </c>
      <c r="D42" s="29" t="n">
        <v>26778.18</v>
      </c>
      <c r="E42" s="11" t="n">
        <v>26778.18</v>
      </c>
      <c r="F42" s="29">
        <f>D42+E42</f>
        <v/>
      </c>
      <c r="G42" s="7" t="n">
        <v>0.0950554887575305</v>
      </c>
      <c r="H42" s="7" t="n">
        <v>-0.1765219618806466</v>
      </c>
    </row>
    <row r="43" ht="5" customHeight="1"/>
    <row r="44" ht="14" customHeight="1">
      <c r="A44" s="30" t="inlineStr">
        <is>
          <t>Total Direct Costs</t>
        </is>
      </c>
      <c r="B44" s="31" t="n">
        <v>518719.03</v>
      </c>
      <c r="C44" s="31" t="n">
        <v>562538.37</v>
      </c>
      <c r="D44" s="31" t="n">
        <v>259849.02</v>
      </c>
      <c r="E44" s="11" t="n">
        <v>259849.02</v>
      </c>
      <c r="F44" s="31">
        <f>D44+E44</f>
        <v/>
      </c>
      <c r="G44" s="7" t="n">
        <v>0.08447606019004167</v>
      </c>
      <c r="H44" s="7" t="n">
        <v>-0.07615539185353706</v>
      </c>
    </row>
    <row r="45" ht="5" customHeight="1"/>
    <row r="46" ht="14" customHeight="1">
      <c r="A46" s="32" t="inlineStr">
        <is>
          <t>CONTRIBUTION</t>
        </is>
      </c>
      <c r="B46" s="33" t="n">
        <v>249348.5100000001</v>
      </c>
      <c r="C46" s="33" t="n">
        <v>169972.6</v>
      </c>
      <c r="D46" s="33" t="n">
        <v>156422.19</v>
      </c>
      <c r="E46" s="11" t="n">
        <v>156422.19</v>
      </c>
      <c r="F46" s="33">
        <f>D46+E46</f>
        <v/>
      </c>
      <c r="G46" s="7" t="n">
        <v>-0.3183332035952413</v>
      </c>
      <c r="H46" s="7" t="n">
        <v>0.8405577134196923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2456.79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-0.5624371639415661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838.4999999999999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4829.28</v>
      </c>
      <c r="C56" s="31" t="n">
        <v>411244.38</v>
      </c>
      <c r="D56" s="31" t="n">
        <v>0</v>
      </c>
      <c r="E56" s="11" t="n">
        <v>0</v>
      </c>
      <c r="F56" s="31">
        <f>D56+E56</f>
        <v/>
      </c>
      <c r="G56" s="7" t="n">
        <v>84.15645810555611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244519.2300000001</v>
      </c>
      <c r="C58" s="36" t="n">
        <v>-241271.78</v>
      </c>
      <c r="D58" s="36" t="n">
        <v>156422.19</v>
      </c>
      <c r="E58" s="11" t="n">
        <v>156422.19</v>
      </c>
      <c r="F58" s="36">
        <f>D58+E58</f>
        <v/>
      </c>
      <c r="G58" s="7" t="n">
        <v>-1.986719040461562</v>
      </c>
      <c r="H58" s="7" t="n">
        <v>2.296647208388813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Kingsclere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289268.29</v>
      </c>
      <c r="C4" s="5" t="n">
        <v>137253</v>
      </c>
      <c r="D4" s="5" t="n">
        <v>251172.36</v>
      </c>
      <c r="E4" s="6" t="n">
        <v>251172.36</v>
      </c>
      <c r="F4" s="5">
        <f>D4+E4</f>
        <v/>
      </c>
      <c r="G4" s="7" t="n">
        <v>-0.5255166060545384</v>
      </c>
      <c r="H4" s="7" t="n">
        <v>2.659990819872789</v>
      </c>
    </row>
    <row r="5" ht="14" customHeight="1">
      <c r="A5" s="4" t="inlineStr">
        <is>
          <t xml:space="preserve">    EEEF Embedded</t>
        </is>
      </c>
      <c r="B5" s="5" t="n">
        <v>105464.16</v>
      </c>
      <c r="C5" s="5" t="n">
        <v>50467</v>
      </c>
      <c r="D5" s="5" t="n">
        <v>0</v>
      </c>
      <c r="E5" s="6" t="n">
        <v>0</v>
      </c>
      <c r="F5" s="5">
        <f>D5+E5</f>
        <v/>
      </c>
      <c r="G5" s="7" t="n">
        <v>-0.5214772487639403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1724.64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396457.09</v>
      </c>
      <c r="C7" s="10" t="n">
        <v>430684.08</v>
      </c>
      <c r="D7" s="10" t="n">
        <v>251172.36</v>
      </c>
      <c r="E7" s="11" t="n">
        <v>251172.36</v>
      </c>
      <c r="F7" s="10">
        <f>D7+E7</f>
        <v/>
      </c>
      <c r="G7" s="7" t="n">
        <v>0.08633214252770709</v>
      </c>
      <c r="H7" s="7" t="n">
        <v>0.1663879472860943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189377.79</v>
      </c>
      <c r="C11" s="15" t="n">
        <v>200726.78</v>
      </c>
      <c r="D11" s="15" t="n">
        <v>97387.79999999999</v>
      </c>
      <c r="E11" s="6" t="n">
        <v>97387.79999999999</v>
      </c>
      <c r="F11" s="15">
        <f>D11+E11</f>
        <v/>
      </c>
      <c r="G11" s="7" t="n">
        <v>0.05992777716964587</v>
      </c>
      <c r="H11" s="7" t="n">
        <v>-0.02964816154575898</v>
      </c>
    </row>
    <row r="12" ht="14" customHeight="1">
      <c r="A12" s="14" t="inlineStr">
        <is>
          <t xml:space="preserve">    Nursery NI</t>
        </is>
      </c>
      <c r="B12" s="15" t="n">
        <v>17401.55</v>
      </c>
      <c r="C12" s="15" t="n">
        <v>21065.29</v>
      </c>
      <c r="D12" s="15" t="n">
        <v>9649.860000000001</v>
      </c>
      <c r="E12" s="6" t="n">
        <v>9649.860000000001</v>
      </c>
      <c r="F12" s="15">
        <f>D12+E12</f>
        <v/>
      </c>
      <c r="G12" s="7" t="n">
        <v>0.2105410150245238</v>
      </c>
      <c r="H12" s="7" t="n">
        <v>-0.08381417962914348</v>
      </c>
    </row>
    <row r="13" ht="14" customHeight="1">
      <c r="A13" s="14" t="inlineStr">
        <is>
          <t xml:space="preserve">    Nursery Pension</t>
        </is>
      </c>
      <c r="B13" s="15" t="n">
        <v>3171.11</v>
      </c>
      <c r="C13" s="15" t="n">
        <v>3590.44</v>
      </c>
      <c r="D13" s="15" t="n">
        <v>1818.54</v>
      </c>
      <c r="E13" s="6" t="n">
        <v>1818.54</v>
      </c>
      <c r="F13" s="15">
        <f>D13+E13</f>
        <v/>
      </c>
      <c r="G13" s="7" t="n">
        <v>0.1322344541816586</v>
      </c>
      <c r="H13" s="7" t="n">
        <v>0.01299005135860795</v>
      </c>
    </row>
    <row r="14" ht="14" customHeight="1">
      <c r="A14" s="14" t="inlineStr">
        <is>
          <t xml:space="preserve">    Uniform</t>
        </is>
      </c>
      <c r="B14" s="15" t="n">
        <v>559.6899999999999</v>
      </c>
      <c r="C14" s="15" t="n">
        <v>250</v>
      </c>
      <c r="D14" s="15" t="n">
        <v>300</v>
      </c>
      <c r="E14" s="6" t="n">
        <v>300</v>
      </c>
      <c r="F14" s="15">
        <f>D14+E14</f>
        <v/>
      </c>
      <c r="G14" s="7" t="n">
        <v>-0.5533241615894513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753.5999999999999</v>
      </c>
      <c r="C15" s="15" t="n">
        <v>250</v>
      </c>
      <c r="D15" s="15" t="n">
        <v>300</v>
      </c>
      <c r="E15" s="6" t="n">
        <v>300</v>
      </c>
      <c r="F15" s="15">
        <f>D15+E15</f>
        <v/>
      </c>
      <c r="G15" s="7" t="n">
        <v>-0.6682590233545647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1949.26</v>
      </c>
      <c r="C16" s="15" t="n">
        <v>400</v>
      </c>
      <c r="D16" s="15" t="n">
        <v>480</v>
      </c>
      <c r="E16" s="6" t="n">
        <v>480</v>
      </c>
      <c r="F16" s="15">
        <f>D16+E16</f>
        <v/>
      </c>
      <c r="G16" s="7" t="n">
        <v>-0.7947939217959636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141.6</v>
      </c>
      <c r="C18" s="15" t="n">
        <v>165</v>
      </c>
      <c r="D18" s="15" t="n">
        <v>198</v>
      </c>
      <c r="E18" s="6" t="n">
        <v>198</v>
      </c>
      <c r="F18" s="15">
        <f>D18+E18</f>
        <v/>
      </c>
      <c r="G18" s="7" t="n">
        <v>0.1652542372881357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1893.95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7" t="n">
        <v>-1</v>
      </c>
      <c r="H19" s="8" t="n"/>
    </row>
    <row r="20" ht="14" customHeight="1">
      <c r="A20" s="16" t="inlineStr">
        <is>
          <t>Total Personnel</t>
        </is>
      </c>
      <c r="B20" s="17" t="n">
        <v>215248.55</v>
      </c>
      <c r="C20" s="17" t="n">
        <v>228466.6</v>
      </c>
      <c r="D20" s="17" t="n">
        <v>110134.2</v>
      </c>
      <c r="E20" s="11" t="n">
        <v>110134.2</v>
      </c>
      <c r="F20" s="17">
        <f>D20+E20</f>
        <v/>
      </c>
      <c r="G20" s="7" t="n">
        <v>0.06140831146133165</v>
      </c>
      <c r="H20" s="7" t="n">
        <v>-0.03588358210784413</v>
      </c>
    </row>
    <row r="21" ht="14" customHeight="1">
      <c r="A21" s="18" t="inlineStr">
        <is>
          <t xml:space="preserve">    Sal:Rev</t>
        </is>
      </c>
      <c r="B21" s="19" t="n">
        <v>0.5429302575973607</v>
      </c>
      <c r="C21" s="19" t="n">
        <v>0.5304737523615919</v>
      </c>
      <c r="D21" s="19" t="n">
        <v>0.4384805716679973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11779.6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1534.96</v>
      </c>
      <c r="C25" s="22" t="n">
        <v>250</v>
      </c>
      <c r="D25" s="22" t="n">
        <v>300</v>
      </c>
      <c r="E25" s="6" t="n">
        <v>300</v>
      </c>
      <c r="F25" s="22">
        <f>D25+E25</f>
        <v/>
      </c>
      <c r="G25" s="7" t="n">
        <v>-0.8371293063011414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938.9300000000001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205.17</v>
      </c>
      <c r="C27" s="22" t="n">
        <v>375</v>
      </c>
      <c r="D27" s="22" t="n">
        <v>450</v>
      </c>
      <c r="E27" s="6" t="n">
        <v>450</v>
      </c>
      <c r="F27" s="22">
        <f>D27+E27</f>
        <v/>
      </c>
      <c r="G27" s="7" t="n">
        <v>0.8277525954086853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1331.58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-0.8122531128433891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1074.61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16864.85</v>
      </c>
      <c r="C30" s="24" t="n">
        <v>12152.91</v>
      </c>
      <c r="D30" s="24" t="n">
        <v>1050</v>
      </c>
      <c r="E30" s="11" t="n">
        <v>1050</v>
      </c>
      <c r="F30" s="24">
        <f>D30+E30</f>
        <v/>
      </c>
      <c r="G30" s="7" t="n">
        <v>-0.2793941244659752</v>
      </c>
      <c r="H30" s="7" t="n">
        <v>-0.8272018800435451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9106.799999999999</v>
      </c>
      <c r="C34" s="27" t="n">
        <v>3410</v>
      </c>
      <c r="D34" s="27" t="n">
        <v>4092</v>
      </c>
      <c r="E34" s="6" t="n">
        <v>4092</v>
      </c>
      <c r="F34" s="27">
        <f>D34+E34</f>
        <v/>
      </c>
      <c r="G34" s="7" t="n">
        <v>-0.6255545306803707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8664.93</v>
      </c>
      <c r="C35" s="27" t="n">
        <v>5940.09</v>
      </c>
      <c r="D35" s="27" t="n">
        <v>4530</v>
      </c>
      <c r="E35" s="6" t="n">
        <v>4530</v>
      </c>
      <c r="F35" s="27">
        <f>D35+E35</f>
        <v/>
      </c>
      <c r="G35" s="7" t="n">
        <v>-0.3144676298596757</v>
      </c>
      <c r="H35" s="7" t="n">
        <v>0.5252294157159234</v>
      </c>
    </row>
    <row r="36" ht="14" customHeight="1">
      <c r="A36" s="26" t="inlineStr">
        <is>
          <t xml:space="preserve">    Repairs &amp; Maintenance</t>
        </is>
      </c>
      <c r="B36" s="27" t="n">
        <v>2534.7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2056.4</v>
      </c>
      <c r="C37" s="27" t="n">
        <v>925</v>
      </c>
      <c r="D37" s="27" t="n">
        <v>1110</v>
      </c>
      <c r="E37" s="6" t="n">
        <v>1110</v>
      </c>
      <c r="F37" s="27">
        <f>D37+E37</f>
        <v/>
      </c>
      <c r="G37" s="7" t="n">
        <v>-0.5501847889515659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4923.29</v>
      </c>
      <c r="C38" s="27" t="n">
        <v>2110</v>
      </c>
      <c r="D38" s="27" t="n">
        <v>2532</v>
      </c>
      <c r="E38" s="6" t="n">
        <v>2532</v>
      </c>
      <c r="F38" s="27">
        <f>D38+E38</f>
        <v/>
      </c>
      <c r="G38" s="7" t="n">
        <v>-0.5714247992704066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438.99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461.2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0.08412836079791837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28186.31</v>
      </c>
      <c r="C42" s="29" t="n">
        <v>27522.45</v>
      </c>
      <c r="D42" s="29" t="n">
        <v>12864</v>
      </c>
      <c r="E42" s="11" t="n">
        <v>12864</v>
      </c>
      <c r="F42" s="29">
        <f>D42+E42</f>
        <v/>
      </c>
      <c r="G42" s="7" t="n">
        <v>-0.02355256860511364</v>
      </c>
      <c r="H42" s="7" t="n">
        <v>-0.06519950077118863</v>
      </c>
    </row>
    <row r="43" ht="5" customHeight="1"/>
    <row r="44" ht="14" customHeight="1">
      <c r="A44" s="30" t="inlineStr">
        <is>
          <t>Total Direct Costs</t>
        </is>
      </c>
      <c r="B44" s="31" t="n">
        <v>260299.71</v>
      </c>
      <c r="C44" s="31" t="n">
        <v>268141.96</v>
      </c>
      <c r="D44" s="31" t="n">
        <v>124048.2</v>
      </c>
      <c r="E44" s="11" t="n">
        <v>124048.2</v>
      </c>
      <c r="F44" s="31">
        <f>D44+E44</f>
        <v/>
      </c>
      <c r="G44" s="7" t="n">
        <v>0.0301277707916003</v>
      </c>
      <c r="H44" s="7" t="n">
        <v>-0.07475726663592672</v>
      </c>
    </row>
    <row r="45" ht="5" customHeight="1"/>
    <row r="46" ht="14" customHeight="1">
      <c r="A46" s="32" t="inlineStr">
        <is>
          <t>CONTRIBUTION</t>
        </is>
      </c>
      <c r="B46" s="33" t="n">
        <v>136157.38</v>
      </c>
      <c r="C46" s="33" t="n">
        <v>162542.1199999999</v>
      </c>
      <c r="D46" s="33" t="n">
        <v>127124.16</v>
      </c>
      <c r="E46" s="11" t="n">
        <v>127124.16</v>
      </c>
      <c r="F46" s="33">
        <f>D46+E46</f>
        <v/>
      </c>
      <c r="G46" s="7" t="n">
        <v>0.1937811964360651</v>
      </c>
      <c r="H46" s="7" t="n">
        <v>0.5641996056160707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-0.5624425069805684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90.99999999999999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3562.38</v>
      </c>
      <c r="C56" s="31" t="n">
        <v>202452.68</v>
      </c>
      <c r="D56" s="31" t="n">
        <v>0</v>
      </c>
      <c r="E56" s="11" t="n">
        <v>0</v>
      </c>
      <c r="F56" s="31">
        <f>D56+E56</f>
        <v/>
      </c>
      <c r="G56" s="7" t="n">
        <v>55.83073675464156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132595</v>
      </c>
      <c r="C58" s="36" t="n">
        <v>-39910.56000000006</v>
      </c>
      <c r="D58" s="36" t="n">
        <v>127124.16</v>
      </c>
      <c r="E58" s="11" t="n">
        <v>127124.16</v>
      </c>
      <c r="F58" s="36">
        <f>D58+E58</f>
        <v/>
      </c>
      <c r="G58" s="7" t="n">
        <v>-1.300995965157058</v>
      </c>
      <c r="H58" s="7" t="n">
        <v>7.37045233141303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Lower Earley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328572.82</v>
      </c>
      <c r="C4" s="5" t="n">
        <v>80745</v>
      </c>
      <c r="D4" s="5" t="n">
        <v>199098.78</v>
      </c>
      <c r="E4" s="6" t="n">
        <v>199098.78</v>
      </c>
      <c r="F4" s="5">
        <f>D4+E4</f>
        <v/>
      </c>
      <c r="G4" s="7" t="n">
        <v>-0.754255388501094</v>
      </c>
      <c r="H4" s="7" t="n">
        <v>3.931544491919004</v>
      </c>
    </row>
    <row r="5" ht="14" customHeight="1">
      <c r="A5" s="4" t="inlineStr">
        <is>
          <t xml:space="preserve">    EEEF Embedded</t>
        </is>
      </c>
      <c r="B5" s="5" t="n">
        <v>133870.06</v>
      </c>
      <c r="C5" s="5" t="n">
        <v>45148</v>
      </c>
      <c r="D5" s="5" t="n">
        <v>0</v>
      </c>
      <c r="E5" s="6" t="n">
        <v>0</v>
      </c>
      <c r="F5" s="5">
        <f>D5+E5</f>
        <v/>
      </c>
      <c r="G5" s="7" t="n">
        <v>-0.6627475927029539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2075.37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464518.25</v>
      </c>
      <c r="C7" s="10" t="n">
        <v>378951.54</v>
      </c>
      <c r="D7" s="10" t="n">
        <v>199098.78</v>
      </c>
      <c r="E7" s="11" t="n">
        <v>199098.78</v>
      </c>
      <c r="F7" s="10">
        <f>D7+E7</f>
        <v/>
      </c>
      <c r="G7" s="7" t="n">
        <v>-0.1842052707294062</v>
      </c>
      <c r="H7" s="7" t="n">
        <v>0.05078754924706193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252492.76</v>
      </c>
      <c r="C11" s="15" t="n">
        <v>283601.57</v>
      </c>
      <c r="D11" s="15" t="n">
        <v>145956</v>
      </c>
      <c r="E11" s="6" t="n">
        <v>145956</v>
      </c>
      <c r="F11" s="15">
        <f>D11+E11</f>
        <v/>
      </c>
      <c r="G11" s="7" t="n">
        <v>0.1232067406606035</v>
      </c>
      <c r="H11" s="7" t="n">
        <v>0.02930318756697995</v>
      </c>
    </row>
    <row r="12" ht="14" customHeight="1">
      <c r="A12" s="14" t="inlineStr">
        <is>
          <t xml:space="preserve">    Nursery NI</t>
        </is>
      </c>
      <c r="B12" s="15" t="n">
        <v>26816.5</v>
      </c>
      <c r="C12" s="15" t="n">
        <v>31885.91</v>
      </c>
      <c r="D12" s="15" t="n">
        <v>16380</v>
      </c>
      <c r="E12" s="6" t="n">
        <v>16380</v>
      </c>
      <c r="F12" s="15">
        <f>D12+E12</f>
        <v/>
      </c>
      <c r="G12" s="7" t="n">
        <v>0.1890407025525329</v>
      </c>
      <c r="H12" s="7" t="n">
        <v>0.02741304858478244</v>
      </c>
    </row>
    <row r="13" ht="14" customHeight="1">
      <c r="A13" s="14" t="inlineStr">
        <is>
          <t xml:space="preserve">    Nursery Pension</t>
        </is>
      </c>
      <c r="B13" s="15" t="n">
        <v>5148.71</v>
      </c>
      <c r="C13" s="15" t="n">
        <v>5617.4</v>
      </c>
      <c r="D13" s="15" t="n">
        <v>2871</v>
      </c>
      <c r="E13" s="6" t="n">
        <v>2871</v>
      </c>
      <c r="F13" s="15">
        <f>D13+E13</f>
        <v/>
      </c>
      <c r="G13" s="7" t="n">
        <v>0.09103056882209322</v>
      </c>
      <c r="H13" s="7" t="n">
        <v>0.02218108021504617</v>
      </c>
    </row>
    <row r="14" ht="14" customHeight="1">
      <c r="A14" s="14" t="inlineStr">
        <is>
          <t xml:space="preserve">    Uniform</t>
        </is>
      </c>
      <c r="B14" s="15" t="n">
        <v>1260.42</v>
      </c>
      <c r="C14" s="15" t="n">
        <v>195</v>
      </c>
      <c r="D14" s="15" t="n">
        <v>234</v>
      </c>
      <c r="E14" s="6" t="n">
        <v>234</v>
      </c>
      <c r="F14" s="15">
        <f>D14+E14</f>
        <v/>
      </c>
      <c r="G14" s="7" t="n">
        <v>-0.8452896653496453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567.59</v>
      </c>
      <c r="C15" s="15" t="n">
        <v>250</v>
      </c>
      <c r="D15" s="15" t="n">
        <v>300</v>
      </c>
      <c r="E15" s="6" t="n">
        <v>300</v>
      </c>
      <c r="F15" s="15">
        <f>D15+E15</f>
        <v/>
      </c>
      <c r="G15" s="7" t="n">
        <v>-0.5595412181328071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1766.9</v>
      </c>
      <c r="C16" s="15" t="n">
        <v>400</v>
      </c>
      <c r="D16" s="15" t="n">
        <v>480</v>
      </c>
      <c r="E16" s="6" t="n">
        <v>480</v>
      </c>
      <c r="F16" s="15">
        <f>D16+E16</f>
        <v/>
      </c>
      <c r="G16" s="7" t="n">
        <v>-0.7736148055917144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64.5</v>
      </c>
      <c r="C18" s="15" t="n">
        <v>165</v>
      </c>
      <c r="D18" s="15" t="n">
        <v>198</v>
      </c>
      <c r="E18" s="6" t="n">
        <v>198</v>
      </c>
      <c r="F18" s="15">
        <f>D18+E18</f>
        <v/>
      </c>
      <c r="G18" s="7" t="n">
        <v>1.558139534883721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288117.38</v>
      </c>
      <c r="C20" s="17" t="n">
        <v>323080.24</v>
      </c>
      <c r="D20" s="17" t="n">
        <v>166419</v>
      </c>
      <c r="E20" s="11" t="n">
        <v>166419</v>
      </c>
      <c r="F20" s="17">
        <f>D20+E20</f>
        <v/>
      </c>
      <c r="G20" s="7" t="n">
        <v>0.1213493611527357</v>
      </c>
      <c r="H20" s="7" t="n">
        <v>0.03020228039944507</v>
      </c>
    </row>
    <row r="21" ht="14" customHeight="1">
      <c r="A21" s="18" t="inlineStr">
        <is>
          <t xml:space="preserve">    Sal:Rev</t>
        </is>
      </c>
      <c r="B21" s="19" t="n">
        <v>0.6202498610119194</v>
      </c>
      <c r="C21" s="19" t="n">
        <v>0.8525634702526871</v>
      </c>
      <c r="D21" s="19" t="n">
        <v>0.8358614753942741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14312.85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1322.14</v>
      </c>
      <c r="C25" s="22" t="n">
        <v>280</v>
      </c>
      <c r="D25" s="22" t="n">
        <v>348</v>
      </c>
      <c r="E25" s="6" t="n">
        <v>348</v>
      </c>
      <c r="F25" s="22">
        <f>D25+E25</f>
        <v/>
      </c>
      <c r="G25" s="7" t="n">
        <v>-0.7882221247371685</v>
      </c>
      <c r="H25" s="7" t="n">
        <v>1.485714285714286</v>
      </c>
    </row>
    <row r="26" ht="14" customHeight="1">
      <c r="A26" s="21" t="inlineStr">
        <is>
          <t xml:space="preserve">    Art Materials</t>
        </is>
      </c>
      <c r="B26" s="22" t="n">
        <v>917.85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500</v>
      </c>
      <c r="D27" s="22" t="n">
        <v>600</v>
      </c>
      <c r="E27" s="6" t="n">
        <v>600</v>
      </c>
      <c r="F27" s="22">
        <f>D27+E27</f>
        <v/>
      </c>
      <c r="G27" s="8" t="n"/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1267.66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-0.802786236056987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810.67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18631.17</v>
      </c>
      <c r="C30" s="24" t="n">
        <v>15251.76</v>
      </c>
      <c r="D30" s="24" t="n">
        <v>1296</v>
      </c>
      <c r="E30" s="11" t="n">
        <v>1296</v>
      </c>
      <c r="F30" s="24">
        <f>D30+E30</f>
        <v/>
      </c>
      <c r="G30" s="7" t="n">
        <v>-0.1813847439532782</v>
      </c>
      <c r="H30" s="7" t="n">
        <v>-0.8300524005098427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6500.02</v>
      </c>
      <c r="C33" s="27" t="n">
        <v>-0.009999999999990905</v>
      </c>
      <c r="D33" s="27" t="n">
        <v>0</v>
      </c>
      <c r="E33" s="6" t="n">
        <v>0</v>
      </c>
      <c r="F33" s="27">
        <f>D33+E33</f>
        <v/>
      </c>
      <c r="G33" s="7" t="n">
        <v>-1.000001538456805</v>
      </c>
      <c r="H33" s="7" t="n">
        <v>1</v>
      </c>
    </row>
    <row r="34" ht="14" customHeight="1">
      <c r="A34" s="26" t="inlineStr">
        <is>
          <t xml:space="preserve">    Business Rates</t>
        </is>
      </c>
      <c r="B34" s="27" t="n">
        <v>5114.76</v>
      </c>
      <c r="C34" s="27" t="n">
        <v>0</v>
      </c>
      <c r="D34" s="27" t="n">
        <v>0</v>
      </c>
      <c r="E34" s="6" t="n">
        <v>0</v>
      </c>
      <c r="F34" s="27">
        <f>D34+E34</f>
        <v/>
      </c>
      <c r="G34" s="7" t="n">
        <v>-1</v>
      </c>
      <c r="H34" s="8" t="n"/>
    </row>
    <row r="35" ht="14" customHeight="1">
      <c r="A35" s="26" t="inlineStr">
        <is>
          <t xml:space="preserve">    Utilities</t>
        </is>
      </c>
      <c r="B35" s="27" t="n">
        <v>21442.52</v>
      </c>
      <c r="C35" s="27" t="n">
        <v>9805.389999999999</v>
      </c>
      <c r="D35" s="27" t="n">
        <v>0</v>
      </c>
      <c r="E35" s="6" t="n">
        <v>0</v>
      </c>
      <c r="F35" s="27">
        <f>D35+E35</f>
        <v/>
      </c>
      <c r="G35" s="7" t="n">
        <v>-0.5427127968167921</v>
      </c>
      <c r="H35" s="7" t="n">
        <v>-1</v>
      </c>
    </row>
    <row r="36" ht="14" customHeight="1">
      <c r="A36" s="26" t="inlineStr">
        <is>
          <t xml:space="preserve">    Repairs &amp; Maintenance</t>
        </is>
      </c>
      <c r="B36" s="27" t="n">
        <v>1373.7</v>
      </c>
      <c r="C36" s="27" t="n">
        <v>7000</v>
      </c>
      <c r="D36" s="27" t="n">
        <v>0</v>
      </c>
      <c r="E36" s="6" t="n">
        <v>0</v>
      </c>
      <c r="F36" s="27">
        <f>D36+E36</f>
        <v/>
      </c>
      <c r="G36" s="7" t="n">
        <v>4.09572686903982</v>
      </c>
      <c r="H36" s="7" t="n">
        <v>-1</v>
      </c>
    </row>
    <row r="37" ht="14" customHeight="1">
      <c r="A37" s="26" t="inlineStr">
        <is>
          <t xml:space="preserve">    Cleaning</t>
        </is>
      </c>
      <c r="B37" s="27" t="n">
        <v>2233.61</v>
      </c>
      <c r="C37" s="27" t="n">
        <v>1000</v>
      </c>
      <c r="D37" s="27" t="n">
        <v>1200</v>
      </c>
      <c r="E37" s="6" t="n">
        <v>1200</v>
      </c>
      <c r="F37" s="27">
        <f>D37+E37</f>
        <v/>
      </c>
      <c r="G37" s="7" t="n">
        <v>-0.5522942680235136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5095.7</v>
      </c>
      <c r="C38" s="27" t="n">
        <v>2130</v>
      </c>
      <c r="D38" s="27" t="n">
        <v>2556</v>
      </c>
      <c r="E38" s="6" t="n">
        <v>2556</v>
      </c>
      <c r="F38" s="27">
        <f>D38+E38</f>
        <v/>
      </c>
      <c r="G38" s="7" t="n">
        <v>-0.5820005102341189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721.77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20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7" t="n">
        <v>-1</v>
      </c>
      <c r="H40" s="8" t="n"/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8" t="n"/>
      <c r="H41" s="7" t="n">
        <v>1.4</v>
      </c>
    </row>
    <row r="42" ht="14" customHeight="1">
      <c r="A42" s="28" t="inlineStr">
        <is>
          <t>Total Premises &amp; Admin</t>
        </is>
      </c>
      <c r="B42" s="29" t="n">
        <v>42502.08</v>
      </c>
      <c r="C42" s="29" t="n">
        <v>33819.09</v>
      </c>
      <c r="D42" s="29" t="n">
        <v>4356</v>
      </c>
      <c r="E42" s="11" t="n">
        <v>4356</v>
      </c>
      <c r="F42" s="29">
        <f>D42+E42</f>
        <v/>
      </c>
      <c r="G42" s="7" t="n">
        <v>-0.2042956485894339</v>
      </c>
      <c r="H42" s="7" t="n">
        <v>-0.7423940147413783</v>
      </c>
    </row>
    <row r="43" ht="5" customHeight="1"/>
    <row r="44" ht="14" customHeight="1">
      <c r="A44" s="30" t="inlineStr">
        <is>
          <t>Total Direct Costs</t>
        </is>
      </c>
      <c r="B44" s="31" t="n">
        <v>349250.63</v>
      </c>
      <c r="C44" s="31" t="n">
        <v>372151.09</v>
      </c>
      <c r="D44" s="31" t="n">
        <v>172071</v>
      </c>
      <c r="E44" s="11" t="n">
        <v>172071</v>
      </c>
      <c r="F44" s="31">
        <f>D44+E44</f>
        <v/>
      </c>
      <c r="G44" s="7" t="n">
        <v>0.06557027542083449</v>
      </c>
      <c r="H44" s="7" t="n">
        <v>-0.07526268430384006</v>
      </c>
    </row>
    <row r="45" ht="5" customHeight="1"/>
    <row r="46" ht="14" customHeight="1">
      <c r="A46" s="32" t="inlineStr">
        <is>
          <t>CONTRIBUTION</t>
        </is>
      </c>
      <c r="B46" s="33" t="n">
        <v>115267.62</v>
      </c>
      <c r="C46" s="33" t="n">
        <v>6800.45000000007</v>
      </c>
      <c r="D46" s="33" t="n">
        <v>27027.78</v>
      </c>
      <c r="E46" s="11" t="n">
        <v>27027.78</v>
      </c>
      <c r="F46" s="33">
        <f>D46+E46</f>
        <v/>
      </c>
      <c r="G46" s="7" t="n">
        <v>-0.9410029460138062</v>
      </c>
      <c r="H46" s="7" t="n">
        <v>6.948821033902086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2456.81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-0.5624407259820662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1061.59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4188.13</v>
      </c>
      <c r="C56" s="31" t="n">
        <v>191160.8</v>
      </c>
      <c r="D56" s="31" t="n">
        <v>0</v>
      </c>
      <c r="E56" s="11" t="n">
        <v>0</v>
      </c>
      <c r="F56" s="31">
        <f>D56+E56</f>
        <v/>
      </c>
      <c r="G56" s="7" t="n">
        <v>44.64347334013031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111079.49</v>
      </c>
      <c r="C58" s="36" t="n">
        <v>-184360.3499999999</v>
      </c>
      <c r="D58" s="36" t="n">
        <v>27027.78</v>
      </c>
      <c r="E58" s="11" t="n">
        <v>27027.78</v>
      </c>
      <c r="F58" s="36">
        <f>D58+E58</f>
        <v/>
      </c>
      <c r="G58" s="7" t="n">
        <v>-2.659715488430852</v>
      </c>
      <c r="H58" s="7" t="n">
        <v>1.293205995757765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Merrydale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884185.91</v>
      </c>
      <c r="C4" s="5" t="n">
        <v>257836</v>
      </c>
      <c r="D4" s="5" t="n">
        <v>502707.62</v>
      </c>
      <c r="E4" s="6" t="n">
        <v>502707.62</v>
      </c>
      <c r="F4" s="5">
        <f>D4+E4</f>
        <v/>
      </c>
      <c r="G4" s="7" t="n">
        <v>-0.708391643562834</v>
      </c>
      <c r="H4" s="7" t="n">
        <v>2.899437006469229</v>
      </c>
    </row>
    <row r="5" ht="14" customHeight="1">
      <c r="A5" s="4" t="inlineStr">
        <is>
          <t xml:space="preserve">    EEEF Embedded</t>
        </is>
      </c>
      <c r="B5" s="5" t="n">
        <v>353900.67</v>
      </c>
      <c r="C5" s="5" t="n">
        <v>119603</v>
      </c>
      <c r="D5" s="5" t="n">
        <v>0</v>
      </c>
      <c r="E5" s="6" t="n">
        <v>0</v>
      </c>
      <c r="F5" s="5">
        <f>D5+E5</f>
        <v/>
      </c>
      <c r="G5" s="7" t="n">
        <v>-0.6620435898016243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7996.690000000001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1246083.27</v>
      </c>
      <c r="C7" s="10" t="n">
        <v>1044659.75</v>
      </c>
      <c r="D7" s="10" t="n">
        <v>502707.62</v>
      </c>
      <c r="E7" s="11" t="n">
        <v>502707.62</v>
      </c>
      <c r="F7" s="10">
        <f>D7+E7</f>
        <v/>
      </c>
      <c r="G7" s="7" t="n">
        <v>-0.1616453128369182</v>
      </c>
      <c r="H7" s="7" t="n">
        <v>-0.03756678669777409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425745.89</v>
      </c>
      <c r="C11" s="15" t="n">
        <v>444526.51</v>
      </c>
      <c r="D11" s="15" t="n">
        <v>232986.84</v>
      </c>
      <c r="E11" s="6" t="n">
        <v>232986.84</v>
      </c>
      <c r="F11" s="15">
        <f>D11+E11</f>
        <v/>
      </c>
      <c r="G11" s="7" t="n">
        <v>0.0441122755172105</v>
      </c>
      <c r="H11" s="7" t="n">
        <v>0.04824722377074876</v>
      </c>
    </row>
    <row r="12" ht="14" customHeight="1">
      <c r="A12" s="14" t="inlineStr">
        <is>
          <t xml:space="preserve">    Nursery NI</t>
        </is>
      </c>
      <c r="B12" s="15" t="n">
        <v>40259.87</v>
      </c>
      <c r="C12" s="15" t="n">
        <v>39125.94</v>
      </c>
      <c r="D12" s="15" t="n">
        <v>20857.68</v>
      </c>
      <c r="E12" s="6" t="n">
        <v>20857.68</v>
      </c>
      <c r="F12" s="15">
        <f>D12+E12</f>
        <v/>
      </c>
      <c r="G12" s="7" t="n">
        <v>-0.02816526729967087</v>
      </c>
      <c r="H12" s="7" t="n">
        <v>0.06618166873434857</v>
      </c>
    </row>
    <row r="13" ht="14" customHeight="1">
      <c r="A13" s="14" t="inlineStr">
        <is>
          <t xml:space="preserve">    Nursery Pension</t>
        </is>
      </c>
      <c r="B13" s="15" t="n">
        <v>6096.28</v>
      </c>
      <c r="C13" s="15" t="n">
        <v>5572.809999999999</v>
      </c>
      <c r="D13" s="15" t="n">
        <v>3143.1</v>
      </c>
      <c r="E13" s="6" t="n">
        <v>3143.1</v>
      </c>
      <c r="F13" s="15">
        <f>D13+E13</f>
        <v/>
      </c>
      <c r="G13" s="7" t="n">
        <v>-0.08586711896435208</v>
      </c>
      <c r="H13" s="7" t="n">
        <v>0.1280126184097433</v>
      </c>
    </row>
    <row r="14" ht="14" customHeight="1">
      <c r="A14" s="14" t="inlineStr">
        <is>
          <t xml:space="preserve">    Uniform</t>
        </is>
      </c>
      <c r="B14" s="15" t="n">
        <v>1533.14</v>
      </c>
      <c r="C14" s="15" t="n">
        <v>440</v>
      </c>
      <c r="D14" s="15" t="n">
        <v>528</v>
      </c>
      <c r="E14" s="6" t="n">
        <v>528</v>
      </c>
      <c r="F14" s="15">
        <f>D14+E14</f>
        <v/>
      </c>
      <c r="G14" s="7" t="n">
        <v>-0.7130072922238021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414.6800000000001</v>
      </c>
      <c r="C15" s="15" t="n">
        <v>250</v>
      </c>
      <c r="D15" s="15" t="n">
        <v>300</v>
      </c>
      <c r="E15" s="6" t="n">
        <v>300</v>
      </c>
      <c r="F15" s="15">
        <f>D15+E15</f>
        <v/>
      </c>
      <c r="G15" s="7" t="n">
        <v>-0.3971254943570947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2567.99</v>
      </c>
      <c r="C16" s="15" t="n">
        <v>900</v>
      </c>
      <c r="D16" s="15" t="n">
        <v>1080</v>
      </c>
      <c r="E16" s="6" t="n">
        <v>1080</v>
      </c>
      <c r="F16" s="15">
        <f>D16+E16</f>
        <v/>
      </c>
      <c r="G16" s="7" t="n">
        <v>-0.6495313455270464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3352.38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7" t="n">
        <v>-1</v>
      </c>
      <c r="H17" s="8" t="n"/>
    </row>
    <row r="18" ht="14" customHeight="1">
      <c r="A18" s="14" t="inlineStr">
        <is>
          <t xml:space="preserve">    Rewards &amp; Recognition</t>
        </is>
      </c>
      <c r="B18" s="15" t="n">
        <v>133.26</v>
      </c>
      <c r="C18" s="15" t="n">
        <v>375</v>
      </c>
      <c r="D18" s="15" t="n">
        <v>450</v>
      </c>
      <c r="E18" s="6" t="n">
        <v>450</v>
      </c>
      <c r="F18" s="15">
        <f>D18+E18</f>
        <v/>
      </c>
      <c r="G18" s="7" t="n">
        <v>1.814047726249437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8074.62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7" t="n">
        <v>-1</v>
      </c>
      <c r="H19" s="8" t="n"/>
    </row>
    <row r="20" ht="14" customHeight="1">
      <c r="A20" s="16" t="inlineStr">
        <is>
          <t>Total Personnel</t>
        </is>
      </c>
      <c r="B20" s="17" t="n">
        <v>488178.11</v>
      </c>
      <c r="C20" s="17" t="n">
        <v>500033.34</v>
      </c>
      <c r="D20" s="17" t="n">
        <v>259345.62</v>
      </c>
      <c r="E20" s="11" t="n">
        <v>259345.62</v>
      </c>
      <c r="F20" s="17">
        <f>D20+E20</f>
        <v/>
      </c>
      <c r="G20" s="7" t="n">
        <v>0.02428464070214042</v>
      </c>
      <c r="H20" s="7" t="n">
        <v>0.03731331194835933</v>
      </c>
    </row>
    <row r="21" ht="14" customHeight="1">
      <c r="A21" s="18" t="inlineStr">
        <is>
          <t xml:space="preserve">    Sal:Rev</t>
        </is>
      </c>
      <c r="B21" s="19" t="n">
        <v>0.391770054018942</v>
      </c>
      <c r="C21" s="19" t="n">
        <v>0.4786566535180474</v>
      </c>
      <c r="D21" s="19" t="n">
        <v>0.5158975310539354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30094.26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3249.93</v>
      </c>
      <c r="C25" s="22" t="n">
        <v>250</v>
      </c>
      <c r="D25" s="22" t="n">
        <v>300</v>
      </c>
      <c r="E25" s="6" t="n">
        <v>300</v>
      </c>
      <c r="F25" s="22">
        <f>D25+E25</f>
        <v/>
      </c>
      <c r="G25" s="7" t="n">
        <v>-0.9230752662365036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1378.49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621.74</v>
      </c>
      <c r="C27" s="22" t="n">
        <v>450</v>
      </c>
      <c r="D27" s="22" t="n">
        <v>540</v>
      </c>
      <c r="E27" s="6" t="n">
        <v>540</v>
      </c>
      <c r="F27" s="22">
        <f>D27+E27</f>
        <v/>
      </c>
      <c r="G27" s="7" t="n">
        <v>-0.2762247884967993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1205.94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-0.7926928371229083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3514.21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40064.57</v>
      </c>
      <c r="C30" s="24" t="n">
        <v>19883.5</v>
      </c>
      <c r="D30" s="24" t="n">
        <v>1140</v>
      </c>
      <c r="E30" s="11" t="n">
        <v>1140</v>
      </c>
      <c r="F30" s="24">
        <f>D30+E30</f>
        <v/>
      </c>
      <c r="G30" s="7" t="n">
        <v>-0.5037136302723328</v>
      </c>
      <c r="H30" s="7" t="n">
        <v>-0.8853320592451027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37587</v>
      </c>
      <c r="C34" s="27" t="n">
        <v>15110</v>
      </c>
      <c r="D34" s="27" t="n">
        <v>18132</v>
      </c>
      <c r="E34" s="6" t="n">
        <v>18132</v>
      </c>
      <c r="F34" s="27">
        <f>D34+E34</f>
        <v/>
      </c>
      <c r="G34" s="7" t="n">
        <v>-0.5979993082714768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11901.85</v>
      </c>
      <c r="C35" s="27" t="n">
        <v>9734.27</v>
      </c>
      <c r="D35" s="27" t="n">
        <v>5976</v>
      </c>
      <c r="E35" s="6" t="n">
        <v>5976</v>
      </c>
      <c r="F35" s="27">
        <f>D35+E35</f>
        <v/>
      </c>
      <c r="G35" s="7" t="n">
        <v>-0.1821212668618744</v>
      </c>
      <c r="H35" s="7" t="n">
        <v>0.2278270481505033</v>
      </c>
    </row>
    <row r="36" ht="14" customHeight="1">
      <c r="A36" s="26" t="inlineStr">
        <is>
          <t xml:space="preserve">    Repairs &amp; Maintenance</t>
        </is>
      </c>
      <c r="B36" s="27" t="n">
        <v>3381.98</v>
      </c>
      <c r="C36" s="27" t="n">
        <v>3500</v>
      </c>
      <c r="D36" s="27" t="n">
        <v>0</v>
      </c>
      <c r="E36" s="6" t="n">
        <v>0</v>
      </c>
      <c r="F36" s="27">
        <f>D36+E36</f>
        <v/>
      </c>
      <c r="G36" s="7" t="n">
        <v>0.03489671730761269</v>
      </c>
      <c r="H36" s="7" t="n">
        <v>-1</v>
      </c>
    </row>
    <row r="37" ht="14" customHeight="1">
      <c r="A37" s="26" t="inlineStr">
        <is>
          <t xml:space="preserve">    Cleaning</t>
        </is>
      </c>
      <c r="B37" s="27" t="n">
        <v>7852.45</v>
      </c>
      <c r="C37" s="27" t="n">
        <v>1665</v>
      </c>
      <c r="D37" s="27" t="n">
        <v>1998</v>
      </c>
      <c r="E37" s="6" t="n">
        <v>1998</v>
      </c>
      <c r="F37" s="27">
        <f>D37+E37</f>
        <v/>
      </c>
      <c r="G37" s="7" t="n">
        <v>-0.7879642659297417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5636.84</v>
      </c>
      <c r="C38" s="27" t="n">
        <v>2370</v>
      </c>
      <c r="D38" s="27" t="n">
        <v>2844</v>
      </c>
      <c r="E38" s="6" t="n">
        <v>2844</v>
      </c>
      <c r="F38" s="27">
        <f>D38+E38</f>
        <v/>
      </c>
      <c r="G38" s="7" t="n">
        <v>-0.5795516636981004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1000.56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621.6900000000001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-0.1957406424423749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67982.37</v>
      </c>
      <c r="C42" s="29" t="n">
        <v>73880.07999999999</v>
      </c>
      <c r="D42" s="29" t="n">
        <v>29550</v>
      </c>
      <c r="E42" s="11" t="n">
        <v>29550</v>
      </c>
      <c r="F42" s="29">
        <f>D42+E42</f>
        <v/>
      </c>
      <c r="G42" s="7" t="n">
        <v>0.0867535215380104</v>
      </c>
      <c r="H42" s="7" t="n">
        <v>-0.2000550080617128</v>
      </c>
    </row>
    <row r="43" ht="5" customHeight="1"/>
    <row r="44" ht="14" customHeight="1">
      <c r="A44" s="30" t="inlineStr">
        <is>
          <t>Total Direct Costs</t>
        </is>
      </c>
      <c r="B44" s="31" t="n">
        <v>596225.0499999999</v>
      </c>
      <c r="C44" s="31" t="n">
        <v>593796.9199999999</v>
      </c>
      <c r="D44" s="31" t="n">
        <v>290035.62</v>
      </c>
      <c r="E44" s="11" t="n">
        <v>290035.62</v>
      </c>
      <c r="F44" s="31">
        <f>D44+E44</f>
        <v/>
      </c>
      <c r="G44" s="7" t="n">
        <v>-0.004072505843221456</v>
      </c>
      <c r="H44" s="7" t="n">
        <v>-0.02311510810800423</v>
      </c>
    </row>
    <row r="45" ht="5" customHeight="1"/>
    <row r="46" ht="14" customHeight="1">
      <c r="A46" s="32" t="inlineStr">
        <is>
          <t>CONTRIBUTION</t>
        </is>
      </c>
      <c r="B46" s="33" t="n">
        <v>649858.2200000001</v>
      </c>
      <c r="C46" s="33" t="n">
        <v>450862.8300000001</v>
      </c>
      <c r="D46" s="33" t="n">
        <v>212672</v>
      </c>
      <c r="E46" s="11" t="n">
        <v>212672</v>
      </c>
      <c r="F46" s="33">
        <f>D46+E46</f>
        <v/>
      </c>
      <c r="G46" s="7" t="n">
        <v>-0.3062135460870218</v>
      </c>
      <c r="H46" s="7" t="n">
        <v>-0.05659998629738466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-0.5624425069805684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167.8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6371.97</v>
      </c>
      <c r="C56" s="31" t="n">
        <v>602367.09</v>
      </c>
      <c r="D56" s="31" t="n">
        <v>0</v>
      </c>
      <c r="E56" s="11" t="n">
        <v>0</v>
      </c>
      <c r="F56" s="31">
        <f>D56+E56</f>
        <v/>
      </c>
      <c r="G56" s="7" t="n">
        <v>93.53388669438179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643486.2500000001</v>
      </c>
      <c r="C58" s="36" t="n">
        <v>-151504.2599999999</v>
      </c>
      <c r="D58" s="36" t="n">
        <v>212672</v>
      </c>
      <c r="E58" s="11" t="n">
        <v>212672</v>
      </c>
      <c r="F58" s="36">
        <f>D58+E58</f>
        <v/>
      </c>
      <c r="G58" s="7" t="n">
        <v>-1.235442886308759</v>
      </c>
      <c r="H58" s="7" t="n">
        <v>3.807472212332513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Northumberland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195198.38</v>
      </c>
      <c r="C4" s="5" t="n">
        <v>75802.87</v>
      </c>
      <c r="D4" s="5" t="n">
        <v>211309.68</v>
      </c>
      <c r="E4" s="6" t="n">
        <v>211309.68</v>
      </c>
      <c r="F4" s="5">
        <f>D4+E4</f>
        <v/>
      </c>
      <c r="G4" s="7" t="n">
        <v>-0.6116624021162471</v>
      </c>
      <c r="H4" s="7" t="n">
        <v>4.57524220389017</v>
      </c>
    </row>
    <row r="5" ht="14" customHeight="1">
      <c r="A5" s="4" t="inlineStr">
        <is>
          <t xml:space="preserve">    EEEF Embedded</t>
        </is>
      </c>
      <c r="B5" s="5" t="n">
        <v>125324.42</v>
      </c>
      <c r="C5" s="5" t="n">
        <v>70605</v>
      </c>
      <c r="D5" s="5" t="n">
        <v>0</v>
      </c>
      <c r="E5" s="6" t="n">
        <v>0</v>
      </c>
      <c r="F5" s="5">
        <f>D5+E5</f>
        <v/>
      </c>
      <c r="G5" s="7" t="n">
        <v>-0.4366221682893087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1570.68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322093.48</v>
      </c>
      <c r="C7" s="10" t="n">
        <v>308134.33</v>
      </c>
      <c r="D7" s="10" t="n">
        <v>211309.68</v>
      </c>
      <c r="E7" s="11" t="n">
        <v>211309.68</v>
      </c>
      <c r="F7" s="10">
        <f>D7+E7</f>
        <v/>
      </c>
      <c r="G7" s="7" t="n">
        <v>-0.04333881579968655</v>
      </c>
      <c r="H7" s="7" t="n">
        <v>0.3715425996188093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198244.87</v>
      </c>
      <c r="C11" s="15" t="n">
        <v>227677.38</v>
      </c>
      <c r="D11" s="15" t="n">
        <v>123043.5</v>
      </c>
      <c r="E11" s="6" t="n">
        <v>123043.5</v>
      </c>
      <c r="F11" s="15">
        <f>D11+E11</f>
        <v/>
      </c>
      <c r="G11" s="7" t="n">
        <v>0.1484654306565411</v>
      </c>
      <c r="H11" s="7" t="n">
        <v>0.0808583619505811</v>
      </c>
    </row>
    <row r="12" ht="14" customHeight="1">
      <c r="A12" s="14" t="inlineStr">
        <is>
          <t xml:space="preserve">    Nursery NI</t>
        </is>
      </c>
      <c r="B12" s="15" t="n">
        <v>18991.29</v>
      </c>
      <c r="C12" s="15" t="n">
        <v>23462.5</v>
      </c>
      <c r="D12" s="15" t="n">
        <v>12570.3</v>
      </c>
      <c r="E12" s="6" t="n">
        <v>12570.3</v>
      </c>
      <c r="F12" s="15">
        <f>D12+E12</f>
        <v/>
      </c>
      <c r="G12" s="7" t="n">
        <v>0.2354347703605179</v>
      </c>
      <c r="H12" s="7" t="n">
        <v>0.07152264251465114</v>
      </c>
    </row>
    <row r="13" ht="14" customHeight="1">
      <c r="A13" s="14" t="inlineStr">
        <is>
          <t xml:space="preserve">    Nursery Pension</t>
        </is>
      </c>
      <c r="B13" s="15" t="n">
        <v>3715.91</v>
      </c>
      <c r="C13" s="15" t="n">
        <v>1726.75</v>
      </c>
      <c r="D13" s="15" t="n">
        <v>2072.1</v>
      </c>
      <c r="E13" s="6" t="n">
        <v>2072.1</v>
      </c>
      <c r="F13" s="15">
        <f>D13+E13</f>
        <v/>
      </c>
      <c r="G13" s="7" t="n">
        <v>-0.535308982187405</v>
      </c>
      <c r="H13" s="7" t="n">
        <v>1.4</v>
      </c>
    </row>
    <row r="14" ht="14" customHeight="1">
      <c r="A14" s="14" t="inlineStr">
        <is>
          <t xml:space="preserve">    Uniform</t>
        </is>
      </c>
      <c r="B14" s="15" t="n">
        <v>441.62</v>
      </c>
      <c r="C14" s="15" t="n">
        <v>170</v>
      </c>
      <c r="D14" s="15" t="n">
        <v>204</v>
      </c>
      <c r="E14" s="6" t="n">
        <v>204</v>
      </c>
      <c r="F14" s="15">
        <f>D14+E14</f>
        <v/>
      </c>
      <c r="G14" s="7" t="n">
        <v>-0.6150536660477334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241.3</v>
      </c>
      <c r="C15" s="15" t="n">
        <v>500</v>
      </c>
      <c r="D15" s="15" t="n">
        <v>600</v>
      </c>
      <c r="E15" s="6" t="n">
        <v>600</v>
      </c>
      <c r="F15" s="15">
        <f>D15+E15</f>
        <v/>
      </c>
      <c r="G15" s="7" t="n">
        <v>1.072109407376709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3556.46</v>
      </c>
      <c r="C16" s="15" t="n">
        <v>350</v>
      </c>
      <c r="D16" s="15" t="n">
        <v>420</v>
      </c>
      <c r="E16" s="6" t="n">
        <v>420</v>
      </c>
      <c r="F16" s="15">
        <f>D16+E16</f>
        <v/>
      </c>
      <c r="G16" s="7" t="n">
        <v>-0.9015875336711224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484.45</v>
      </c>
      <c r="C18" s="15" t="n">
        <v>145</v>
      </c>
      <c r="D18" s="15" t="n">
        <v>174</v>
      </c>
      <c r="E18" s="6" t="n">
        <v>174</v>
      </c>
      <c r="F18" s="15">
        <f>D18+E18</f>
        <v/>
      </c>
      <c r="G18" s="7" t="n">
        <v>-0.7006915058313551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662.49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7" t="n">
        <v>-1</v>
      </c>
      <c r="H19" s="8" t="n"/>
    </row>
    <row r="20" ht="14" customHeight="1">
      <c r="A20" s="16" t="inlineStr">
        <is>
          <t>Total Personnel</t>
        </is>
      </c>
      <c r="B20" s="17" t="n">
        <v>226338.39</v>
      </c>
      <c r="C20" s="17" t="n">
        <v>259033.85</v>
      </c>
      <c r="D20" s="17" t="n">
        <v>139083.9</v>
      </c>
      <c r="E20" s="11" t="n">
        <v>139083.9</v>
      </c>
      <c r="F20" s="17">
        <f>D20+E20</f>
        <v/>
      </c>
      <c r="G20" s="7" t="n">
        <v>0.1444538860597179</v>
      </c>
      <c r="H20" s="7" t="n">
        <v>0.0738666008322852</v>
      </c>
    </row>
    <row r="21" ht="14" customHeight="1">
      <c r="A21" s="18" t="inlineStr">
        <is>
          <t xml:space="preserve">    Sal:Rev</t>
        </is>
      </c>
      <c r="B21" s="19" t="n">
        <v>0.7027102504527568</v>
      </c>
      <c r="C21" s="19" t="n">
        <v>0.8406523544455434</v>
      </c>
      <c r="D21" s="19" t="n">
        <v>0.6581993782774175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13264.85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1309.67</v>
      </c>
      <c r="C25" s="22" t="n">
        <v>250</v>
      </c>
      <c r="D25" s="22" t="n">
        <v>300</v>
      </c>
      <c r="E25" s="6" t="n">
        <v>300</v>
      </c>
      <c r="F25" s="22">
        <f>D25+E25</f>
        <v/>
      </c>
      <c r="G25" s="7" t="n">
        <v>-0.8091122191086304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467.13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500</v>
      </c>
      <c r="D27" s="22" t="n">
        <v>600</v>
      </c>
      <c r="E27" s="6" t="n">
        <v>600</v>
      </c>
      <c r="F27" s="22">
        <f>D27+E27</f>
        <v/>
      </c>
      <c r="G27" s="8" t="n"/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1203.27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-0.7922328321989246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1926.94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18171.86</v>
      </c>
      <c r="C30" s="24" t="n">
        <v>8431.870000000001</v>
      </c>
      <c r="D30" s="24" t="n">
        <v>1200</v>
      </c>
      <c r="E30" s="11" t="n">
        <v>1200</v>
      </c>
      <c r="F30" s="24">
        <f>D30+E30</f>
        <v/>
      </c>
      <c r="G30" s="7" t="n">
        <v>-0.5359930133734246</v>
      </c>
      <c r="H30" s="7" t="n">
        <v>-0.7153656306370948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13223.52</v>
      </c>
      <c r="C34" s="27" t="n">
        <v>6335</v>
      </c>
      <c r="D34" s="27" t="n">
        <v>7602</v>
      </c>
      <c r="E34" s="6" t="n">
        <v>7602</v>
      </c>
      <c r="F34" s="27">
        <f>D34+E34</f>
        <v/>
      </c>
      <c r="G34" s="7" t="n">
        <v>-0.5209293743269569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17007.45</v>
      </c>
      <c r="C35" s="27" t="n">
        <v>11500</v>
      </c>
      <c r="D35" s="27" t="n">
        <v>13800</v>
      </c>
      <c r="E35" s="6" t="n">
        <v>13800</v>
      </c>
      <c r="F35" s="27">
        <f>D35+E35</f>
        <v/>
      </c>
      <c r="G35" s="7" t="n">
        <v>-0.3238257351925186</v>
      </c>
      <c r="H35" s="7" t="n">
        <v>1.4</v>
      </c>
    </row>
    <row r="36" ht="14" customHeight="1">
      <c r="A36" s="26" t="inlineStr">
        <is>
          <t xml:space="preserve">    Repairs &amp; Maintenance</t>
        </is>
      </c>
      <c r="B36" s="27" t="n">
        <v>2151.59</v>
      </c>
      <c r="C36" s="27" t="n">
        <v>2000</v>
      </c>
      <c r="D36" s="27" t="n">
        <v>0</v>
      </c>
      <c r="E36" s="6" t="n">
        <v>0</v>
      </c>
      <c r="F36" s="27">
        <f>D36+E36</f>
        <v/>
      </c>
      <c r="G36" s="7" t="n">
        <v>-0.07045487290794256</v>
      </c>
      <c r="H36" s="7" t="n">
        <v>-1</v>
      </c>
    </row>
    <row r="37" ht="14" customHeight="1">
      <c r="A37" s="26" t="inlineStr">
        <is>
          <t xml:space="preserve">    Cleaning</t>
        </is>
      </c>
      <c r="B37" s="27" t="n">
        <v>1751</v>
      </c>
      <c r="C37" s="27" t="n">
        <v>825</v>
      </c>
      <c r="D37" s="27" t="n">
        <v>990</v>
      </c>
      <c r="E37" s="6" t="n">
        <v>990</v>
      </c>
      <c r="F37" s="27">
        <f>D37+E37</f>
        <v/>
      </c>
      <c r="G37" s="7" t="n">
        <v>-0.5288406624785836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4565.99</v>
      </c>
      <c r="C38" s="27" t="n">
        <v>1850</v>
      </c>
      <c r="D38" s="27" t="n">
        <v>2220</v>
      </c>
      <c r="E38" s="6" t="n">
        <v>2220</v>
      </c>
      <c r="F38" s="27">
        <f>D38+E38</f>
        <v/>
      </c>
      <c r="G38" s="7" t="n">
        <v>-0.5948304748805845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3205.86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8" t="n"/>
      <c r="H41" s="7" t="n">
        <v>1.4</v>
      </c>
    </row>
    <row r="42" ht="14" customHeight="1">
      <c r="A42" s="28" t="inlineStr">
        <is>
          <t>Total Premises &amp; Admin</t>
        </is>
      </c>
      <c r="B42" s="29" t="n">
        <v>41905.41</v>
      </c>
      <c r="C42" s="29" t="n">
        <v>56278.44</v>
      </c>
      <c r="D42" s="29" t="n">
        <v>25212</v>
      </c>
      <c r="E42" s="11" t="n">
        <v>25212</v>
      </c>
      <c r="F42" s="29">
        <f>D42+E42</f>
        <v/>
      </c>
      <c r="G42" s="7" t="n">
        <v>0.3429874567508109</v>
      </c>
      <c r="H42" s="7" t="n">
        <v>-0.1040263376170342</v>
      </c>
    </row>
    <row r="43" ht="5" customHeight="1"/>
    <row r="44" ht="14" customHeight="1">
      <c r="A44" s="30" t="inlineStr">
        <is>
          <t>Total Direct Costs</t>
        </is>
      </c>
      <c r="B44" s="31" t="n">
        <v>286415.66</v>
      </c>
      <c r="C44" s="31" t="n">
        <v>323744.16</v>
      </c>
      <c r="D44" s="31" t="n">
        <v>165495.9</v>
      </c>
      <c r="E44" s="11" t="n">
        <v>165495.9</v>
      </c>
      <c r="F44" s="31">
        <f>D44+E44</f>
        <v/>
      </c>
      <c r="G44" s="7" t="n">
        <v>0.1303298150666762</v>
      </c>
      <c r="H44" s="7" t="n">
        <v>0.02238693664775301</v>
      </c>
    </row>
    <row r="45" ht="5" customHeight="1"/>
    <row r="46" ht="14" customHeight="1">
      <c r="A46" s="32" t="inlineStr">
        <is>
          <t>CONTRIBUTION</t>
        </is>
      </c>
      <c r="B46" s="33" t="n">
        <v>35677.81999999995</v>
      </c>
      <c r="C46" s="33" t="n">
        <v>-15609.83000000007</v>
      </c>
      <c r="D46" s="33" t="n">
        <v>45813.77999999997</v>
      </c>
      <c r="E46" s="11" t="n">
        <v>45813.77999999997</v>
      </c>
      <c r="F46" s="33">
        <f>D46+E46</f>
        <v/>
      </c>
      <c r="G46" s="7" t="n">
        <v>-1.437521967429627</v>
      </c>
      <c r="H46" s="7" t="n">
        <v>6.869862772368405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2456.79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-0.5624371639415661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818.5500000000001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4400.690000000001</v>
      </c>
      <c r="C56" s="31" t="n">
        <v>134324.67</v>
      </c>
      <c r="D56" s="31" t="n">
        <v>0</v>
      </c>
      <c r="E56" s="11" t="n">
        <v>0</v>
      </c>
      <c r="F56" s="31">
        <f>D56+E56</f>
        <v/>
      </c>
      <c r="G56" s="7" t="n">
        <v>29.52354744369632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31277.12999999995</v>
      </c>
      <c r="C58" s="36" t="n">
        <v>-149934.5000000001</v>
      </c>
      <c r="D58" s="36" t="n">
        <v>45813.77999999997</v>
      </c>
      <c r="E58" s="11" t="n">
        <v>45813.77999999997</v>
      </c>
      <c r="F58" s="36">
        <f>D58+E58</f>
        <v/>
      </c>
      <c r="G58" s="7" t="n">
        <v>-5.793742264715474</v>
      </c>
      <c r="H58" s="7" t="n">
        <v>1.611117254534479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Saltway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547505.1899999999</v>
      </c>
      <c r="C4" s="5" t="n">
        <v>259395</v>
      </c>
      <c r="D4" s="5" t="n">
        <v>539039.17</v>
      </c>
      <c r="E4" s="6" t="n">
        <v>539039.17</v>
      </c>
      <c r="F4" s="5">
        <f>D4+E4</f>
        <v/>
      </c>
      <c r="G4" s="7" t="n">
        <v>-0.526223669222204</v>
      </c>
      <c r="H4" s="7" t="n">
        <v>3.156126139671158</v>
      </c>
    </row>
    <row r="5" ht="14" customHeight="1">
      <c r="A5" s="4" t="inlineStr">
        <is>
          <t xml:space="preserve">    EEEF Embedded</t>
        </is>
      </c>
      <c r="B5" s="5" t="n">
        <v>266727.8</v>
      </c>
      <c r="C5" s="5" t="n">
        <v>139647</v>
      </c>
      <c r="D5" s="5" t="n">
        <v>0</v>
      </c>
      <c r="E5" s="6" t="n">
        <v>0</v>
      </c>
      <c r="F5" s="5">
        <f>D5+E5</f>
        <v/>
      </c>
      <c r="G5" s="7" t="n">
        <v>-0.4764437752645206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8352.040000000001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822585.03</v>
      </c>
      <c r="C7" s="10" t="n">
        <v>1027383.23</v>
      </c>
      <c r="D7" s="10" t="n">
        <v>539039.17</v>
      </c>
      <c r="E7" s="11" t="n">
        <v>539039.17</v>
      </c>
      <c r="F7" s="10">
        <f>D7+E7</f>
        <v/>
      </c>
      <c r="G7" s="7" t="n">
        <v>0.248969033632912</v>
      </c>
      <c r="H7" s="7" t="n">
        <v>0.04934391424707225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415783.21</v>
      </c>
      <c r="C11" s="15" t="n">
        <v>532058.37</v>
      </c>
      <c r="D11" s="15" t="n">
        <v>282918.42</v>
      </c>
      <c r="E11" s="6" t="n">
        <v>282918.42</v>
      </c>
      <c r="F11" s="15">
        <f>D11+E11</f>
        <v/>
      </c>
      <c r="G11" s="7" t="n">
        <v>0.2796533318408888</v>
      </c>
      <c r="H11" s="7" t="n">
        <v>0.06348639905805818</v>
      </c>
    </row>
    <row r="12" ht="14" customHeight="1">
      <c r="A12" s="14" t="inlineStr">
        <is>
          <t xml:space="preserve">    Nursery NI</t>
        </is>
      </c>
      <c r="B12" s="15" t="n">
        <v>42288.58</v>
      </c>
      <c r="C12" s="15" t="n">
        <v>54593.03</v>
      </c>
      <c r="D12" s="15" t="n">
        <v>28882.98</v>
      </c>
      <c r="E12" s="6" t="n">
        <v>28882.98</v>
      </c>
      <c r="F12" s="15">
        <f>D12+E12</f>
        <v/>
      </c>
      <c r="G12" s="7" t="n">
        <v>0.2909638961629829</v>
      </c>
      <c r="H12" s="7" t="n">
        <v>0.05811969037073048</v>
      </c>
    </row>
    <row r="13" ht="14" customHeight="1">
      <c r="A13" s="14" t="inlineStr">
        <is>
          <t xml:space="preserve">    Nursery Pension</t>
        </is>
      </c>
      <c r="B13" s="15" t="n">
        <v>7783.48</v>
      </c>
      <c r="C13" s="15" t="n">
        <v>4217</v>
      </c>
      <c r="D13" s="15" t="n">
        <v>5060.4</v>
      </c>
      <c r="E13" s="6" t="n">
        <v>5060.4</v>
      </c>
      <c r="F13" s="15">
        <f>D13+E13</f>
        <v/>
      </c>
      <c r="G13" s="7" t="n">
        <v>-0.4582114940874776</v>
      </c>
      <c r="H13" s="7" t="n">
        <v>1.4</v>
      </c>
    </row>
    <row r="14" ht="14" customHeight="1">
      <c r="A14" s="14" t="inlineStr">
        <is>
          <t xml:space="preserve">    Uniform</t>
        </is>
      </c>
      <c r="B14" s="15" t="n">
        <v>1044.66</v>
      </c>
      <c r="C14" s="15" t="n">
        <v>245</v>
      </c>
      <c r="D14" s="15" t="n">
        <v>294</v>
      </c>
      <c r="E14" s="6" t="n">
        <v>294</v>
      </c>
      <c r="F14" s="15">
        <f>D14+E14</f>
        <v/>
      </c>
      <c r="G14" s="7" t="n">
        <v>-0.7654739341029617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397.2</v>
      </c>
      <c r="C15" s="15" t="n">
        <v>500</v>
      </c>
      <c r="D15" s="15" t="n">
        <v>600</v>
      </c>
      <c r="E15" s="6" t="n">
        <v>600</v>
      </c>
      <c r="F15" s="15">
        <f>D15+E15</f>
        <v/>
      </c>
      <c r="G15" s="7" t="n">
        <v>0.2588116817724069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2171.64</v>
      </c>
      <c r="C16" s="15" t="n">
        <v>500</v>
      </c>
      <c r="D16" s="15" t="n">
        <v>600</v>
      </c>
      <c r="E16" s="6" t="n">
        <v>600</v>
      </c>
      <c r="F16" s="15">
        <f>D16+E16</f>
        <v/>
      </c>
      <c r="G16" s="7" t="n">
        <v>-0.7697592602825514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81.26000000000001</v>
      </c>
      <c r="C18" s="15" t="n">
        <v>210</v>
      </c>
      <c r="D18" s="15" t="n">
        <v>252</v>
      </c>
      <c r="E18" s="6" t="n">
        <v>252</v>
      </c>
      <c r="F18" s="15">
        <f>D18+E18</f>
        <v/>
      </c>
      <c r="G18" s="7" t="n">
        <v>1.584297317253261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469550.03</v>
      </c>
      <c r="C20" s="17" t="n">
        <v>602295.87</v>
      </c>
      <c r="D20" s="17" t="n">
        <v>318607.8</v>
      </c>
      <c r="E20" s="11" t="n">
        <v>318607.8</v>
      </c>
      <c r="F20" s="17">
        <f>D20+E20</f>
        <v/>
      </c>
      <c r="G20" s="7" t="n">
        <v>0.2827086178654913</v>
      </c>
      <c r="H20" s="7" t="n">
        <v>0.0579777012251472</v>
      </c>
    </row>
    <row r="21" ht="14" customHeight="1">
      <c r="A21" s="18" t="inlineStr">
        <is>
          <t xml:space="preserve">    Sal:Rev</t>
        </is>
      </c>
      <c r="B21" s="19" t="n">
        <v>0.5708224838470498</v>
      </c>
      <c r="C21" s="19" t="n">
        <v>0.5862426526078297</v>
      </c>
      <c r="D21" s="19" t="n">
        <v>0.5910661371788622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25818.53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1292.74</v>
      </c>
      <c r="C25" s="22" t="n">
        <v>250</v>
      </c>
      <c r="D25" s="22" t="n">
        <v>300</v>
      </c>
      <c r="E25" s="6" t="n">
        <v>300</v>
      </c>
      <c r="F25" s="22">
        <f>D25+E25</f>
        <v/>
      </c>
      <c r="G25" s="7" t="n">
        <v>-0.8066123118337795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2480.45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613.5</v>
      </c>
      <c r="C27" s="22" t="n">
        <v>500</v>
      </c>
      <c r="D27" s="22" t="n">
        <v>600</v>
      </c>
      <c r="E27" s="6" t="n">
        <v>600</v>
      </c>
      <c r="F27" s="22">
        <f>D27+E27</f>
        <v/>
      </c>
      <c r="G27" s="7" t="n">
        <v>-0.1850040749796251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1209.08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-0.7932312171237635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1343.26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32757.56</v>
      </c>
      <c r="C30" s="24" t="n">
        <v>22076.67</v>
      </c>
      <c r="D30" s="24" t="n">
        <v>1200</v>
      </c>
      <c r="E30" s="11" t="n">
        <v>1200</v>
      </c>
      <c r="F30" s="24">
        <f>D30+E30</f>
        <v/>
      </c>
      <c r="G30" s="7" t="n">
        <v>-0.3260587784926594</v>
      </c>
      <c r="H30" s="7" t="n">
        <v>-0.8912879523949944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9563.68</v>
      </c>
      <c r="C34" s="27" t="n">
        <v>4365</v>
      </c>
      <c r="D34" s="27" t="n">
        <v>5238</v>
      </c>
      <c r="E34" s="6" t="n">
        <v>5238</v>
      </c>
      <c r="F34" s="27">
        <f>D34+E34</f>
        <v/>
      </c>
      <c r="G34" s="7" t="n">
        <v>-0.5435857326886722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11430.24</v>
      </c>
      <c r="C35" s="27" t="n">
        <v>4750</v>
      </c>
      <c r="D35" s="27" t="n">
        <v>5700</v>
      </c>
      <c r="E35" s="6" t="n">
        <v>5700</v>
      </c>
      <c r="F35" s="27">
        <f>D35+E35</f>
        <v/>
      </c>
      <c r="G35" s="7" t="n">
        <v>-0.5844356723918308</v>
      </c>
      <c r="H35" s="7" t="n">
        <v>1.4</v>
      </c>
    </row>
    <row r="36" ht="14" customHeight="1">
      <c r="A36" s="26" t="inlineStr">
        <is>
          <t xml:space="preserve">    Repairs &amp; Maintenance</t>
        </is>
      </c>
      <c r="B36" s="27" t="n">
        <v>7621.82</v>
      </c>
      <c r="C36" s="27" t="n">
        <v>4000</v>
      </c>
      <c r="D36" s="27" t="n">
        <v>0</v>
      </c>
      <c r="E36" s="6" t="n">
        <v>0</v>
      </c>
      <c r="F36" s="27">
        <f>D36+E36</f>
        <v/>
      </c>
      <c r="G36" s="7" t="n">
        <v>-0.4751909648876515</v>
      </c>
      <c r="H36" s="7" t="n">
        <v>-1</v>
      </c>
    </row>
    <row r="37" ht="14" customHeight="1">
      <c r="A37" s="26" t="inlineStr">
        <is>
          <t xml:space="preserve">    Cleaning</t>
        </is>
      </c>
      <c r="B37" s="27" t="n">
        <v>14299.4</v>
      </c>
      <c r="C37" s="27" t="n">
        <v>6160</v>
      </c>
      <c r="D37" s="27" t="n">
        <v>7392</v>
      </c>
      <c r="E37" s="6" t="n">
        <v>7392</v>
      </c>
      <c r="F37" s="27">
        <f>D37+E37</f>
        <v/>
      </c>
      <c r="G37" s="7" t="n">
        <v>-0.5692126942389191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5024.26</v>
      </c>
      <c r="C38" s="27" t="n">
        <v>2065</v>
      </c>
      <c r="D38" s="27" t="n">
        <v>2478</v>
      </c>
      <c r="E38" s="6" t="n">
        <v>2478</v>
      </c>
      <c r="F38" s="27">
        <f>D38+E38</f>
        <v/>
      </c>
      <c r="G38" s="7" t="n">
        <v>-0.5889942001409163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3765.08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2446.57</v>
      </c>
      <c r="C40" s="27" t="n">
        <v>765</v>
      </c>
      <c r="D40" s="27" t="n">
        <v>918</v>
      </c>
      <c r="E40" s="6" t="n">
        <v>918</v>
      </c>
      <c r="F40" s="27">
        <f>D40+E40</f>
        <v/>
      </c>
      <c r="G40" s="7" t="n">
        <v>-0.6873173463256722</v>
      </c>
      <c r="H40" s="7" t="n">
        <v>1.4</v>
      </c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0</v>
      </c>
      <c r="D41" s="27" t="n">
        <v>0</v>
      </c>
      <c r="E41" s="6" t="n">
        <v>0</v>
      </c>
      <c r="F41" s="27">
        <f>D41+E41</f>
        <v/>
      </c>
      <c r="G41" s="8" t="n"/>
      <c r="H41" s="8" t="n"/>
    </row>
    <row r="42" ht="14" customHeight="1">
      <c r="A42" s="28" t="inlineStr">
        <is>
          <t>Total Premises &amp; Admin</t>
        </is>
      </c>
      <c r="B42" s="29" t="n">
        <v>54151.05</v>
      </c>
      <c r="C42" s="29" t="n">
        <v>54650.79</v>
      </c>
      <c r="D42" s="29" t="n">
        <v>21726</v>
      </c>
      <c r="E42" s="11" t="n">
        <v>21726</v>
      </c>
      <c r="F42" s="29">
        <f>D42+E42</f>
        <v/>
      </c>
      <c r="G42" s="7" t="n">
        <v>0.009228629915763368</v>
      </c>
      <c r="H42" s="7" t="n">
        <v>-0.2049154275720443</v>
      </c>
    </row>
    <row r="43" ht="5" customHeight="1"/>
    <row r="44" ht="14" customHeight="1">
      <c r="A44" s="30" t="inlineStr">
        <is>
          <t>Total Direct Costs</t>
        </is>
      </c>
      <c r="B44" s="31" t="n">
        <v>556458.64</v>
      </c>
      <c r="C44" s="31" t="n">
        <v>679023.3300000001</v>
      </c>
      <c r="D44" s="31" t="n">
        <v>341533.8</v>
      </c>
      <c r="E44" s="11" t="n">
        <v>341533.8</v>
      </c>
      <c r="F44" s="31">
        <f>D44+E44</f>
        <v/>
      </c>
      <c r="G44" s="7" t="n">
        <v>0.2202584005165237</v>
      </c>
      <c r="H44" s="7" t="n">
        <v>0.005956010377434334</v>
      </c>
    </row>
    <row r="45" ht="5" customHeight="1"/>
    <row r="46" ht="14" customHeight="1">
      <c r="A46" s="32" t="inlineStr">
        <is>
          <t>CONTRIBUTION</t>
        </is>
      </c>
      <c r="B46" s="33" t="n">
        <v>266126.39</v>
      </c>
      <c r="C46" s="33" t="n">
        <v>348359.8999999999</v>
      </c>
      <c r="D46" s="33" t="n">
        <v>197505.37</v>
      </c>
      <c r="E46" s="11" t="n">
        <v>197505.37</v>
      </c>
      <c r="F46" s="33">
        <f>D46+E46</f>
        <v/>
      </c>
      <c r="G46" s="7" t="n">
        <v>0.3090017115551745</v>
      </c>
      <c r="H46" s="7" t="n">
        <v>0.1339156429887599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2486.69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-0.5676984264222722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411.86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4202.900000000001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7" t="n">
        <v>-1</v>
      </c>
      <c r="H54" s="8" t="n"/>
    </row>
    <row r="55" ht="14" customHeight="1">
      <c r="A55" s="34" t="inlineStr">
        <is>
          <t xml:space="preserve">    Finance Costs</t>
        </is>
      </c>
      <c r="B55" s="8" t="n">
        <v>92.48999999999999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7" t="n">
        <v>-1</v>
      </c>
      <c r="H55" s="8" t="n"/>
    </row>
    <row r="56" ht="14" customHeight="1">
      <c r="A56" s="30" t="inlineStr">
        <is>
          <t>Total Overheads</t>
        </is>
      </c>
      <c r="B56" s="31" t="n">
        <v>8497.4</v>
      </c>
      <c r="C56" s="31" t="n">
        <v>294078.93</v>
      </c>
      <c r="D56" s="31" t="n">
        <v>0</v>
      </c>
      <c r="E56" s="11" t="n">
        <v>0</v>
      </c>
      <c r="F56" s="31">
        <f>D56+E56</f>
        <v/>
      </c>
      <c r="G56" s="7" t="n">
        <v>33.6081071857274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257628.99</v>
      </c>
      <c r="C58" s="36" t="n">
        <v>54280.96999999991</v>
      </c>
      <c r="D58" s="36" t="n">
        <v>197505.37</v>
      </c>
      <c r="E58" s="11" t="n">
        <v>197505.37</v>
      </c>
      <c r="F58" s="36">
        <f>D58+E58</f>
        <v/>
      </c>
      <c r="G58" s="7" t="n">
        <v>-0.7893056600501368</v>
      </c>
      <c r="H58" s="7" t="n">
        <v>6.277149616154623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Smart Tots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401388.36</v>
      </c>
      <c r="C4" s="5" t="n">
        <v>156861.99</v>
      </c>
      <c r="D4" s="5" t="n">
        <v>305597.3</v>
      </c>
      <c r="E4" s="6" t="n">
        <v>305597.3</v>
      </c>
      <c r="F4" s="5">
        <f>D4+E4</f>
        <v/>
      </c>
      <c r="G4" s="7" t="n">
        <v>-0.6092014476951948</v>
      </c>
      <c r="H4" s="7" t="n">
        <v>2.896384331220074</v>
      </c>
    </row>
    <row r="5" ht="14" customHeight="1">
      <c r="A5" s="4" t="inlineStr">
        <is>
          <t xml:space="preserve">    EEEF Embedded</t>
        </is>
      </c>
      <c r="B5" s="5" t="n">
        <v>196376.5</v>
      </c>
      <c r="C5" s="5" t="n">
        <v>89681</v>
      </c>
      <c r="D5" s="5" t="n">
        <v>0</v>
      </c>
      <c r="E5" s="6" t="n">
        <v>0</v>
      </c>
      <c r="F5" s="5">
        <f>D5+E5</f>
        <v/>
      </c>
      <c r="G5" s="7" t="n">
        <v>-0.5433211203988257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5810.85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603575.71</v>
      </c>
      <c r="C7" s="10" t="n">
        <v>696617.8</v>
      </c>
      <c r="D7" s="10" t="n">
        <v>305597.3</v>
      </c>
      <c r="E7" s="11" t="n">
        <v>305597.3</v>
      </c>
      <c r="F7" s="10">
        <f>D7+E7</f>
        <v/>
      </c>
      <c r="G7" s="7" t="n">
        <v>0.1541514816757621</v>
      </c>
      <c r="H7" s="7" t="n">
        <v>-0.1226256348890311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325154.02</v>
      </c>
      <c r="C11" s="15" t="n">
        <v>417272.08</v>
      </c>
      <c r="D11" s="15" t="n">
        <v>218725.8</v>
      </c>
      <c r="E11" s="6" t="n">
        <v>218725.8</v>
      </c>
      <c r="F11" s="15">
        <f>D11+E11</f>
        <v/>
      </c>
      <c r="G11" s="7" t="n">
        <v>0.283305923758839</v>
      </c>
      <c r="H11" s="7" t="n">
        <v>0.04836058046347126</v>
      </c>
    </row>
    <row r="12" ht="14" customHeight="1">
      <c r="A12" s="14" t="inlineStr">
        <is>
          <t xml:space="preserve">    Nursery NI</t>
        </is>
      </c>
      <c r="B12" s="15" t="n">
        <v>33018.6</v>
      </c>
      <c r="C12" s="15" t="n">
        <v>48333.56</v>
      </c>
      <c r="D12" s="15" t="n">
        <v>25988.82</v>
      </c>
      <c r="E12" s="6" t="n">
        <v>25988.82</v>
      </c>
      <c r="F12" s="15">
        <f>D12+E12</f>
        <v/>
      </c>
      <c r="G12" s="7" t="n">
        <v>0.4638282664922195</v>
      </c>
      <c r="H12" s="7" t="n">
        <v>0.0753944050469281</v>
      </c>
    </row>
    <row r="13" ht="14" customHeight="1">
      <c r="A13" s="14" t="inlineStr">
        <is>
          <t xml:space="preserve">    Nursery Pension</t>
        </is>
      </c>
      <c r="B13" s="15" t="n">
        <v>6371.3</v>
      </c>
      <c r="C13" s="15" t="n">
        <v>3253.25</v>
      </c>
      <c r="D13" s="15" t="n">
        <v>3903.9</v>
      </c>
      <c r="E13" s="6" t="n">
        <v>3903.9</v>
      </c>
      <c r="F13" s="15">
        <f>D13+E13</f>
        <v/>
      </c>
      <c r="G13" s="7" t="n">
        <v>-0.4893899204244032</v>
      </c>
      <c r="H13" s="7" t="n">
        <v>1.4</v>
      </c>
    </row>
    <row r="14" ht="14" customHeight="1">
      <c r="A14" s="14" t="inlineStr">
        <is>
          <t xml:space="preserve">    Uniform</t>
        </is>
      </c>
      <c r="B14" s="15" t="n">
        <v>303.08</v>
      </c>
      <c r="C14" s="15" t="n">
        <v>366.7500000000001</v>
      </c>
      <c r="D14" s="15" t="n">
        <v>440.1</v>
      </c>
      <c r="E14" s="6" t="n">
        <v>440.1</v>
      </c>
      <c r="F14" s="15">
        <f>D14+E14</f>
        <v/>
      </c>
      <c r="G14" s="7" t="n">
        <v>0.2100765474462191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392.96</v>
      </c>
      <c r="C15" s="15" t="n">
        <v>500</v>
      </c>
      <c r="D15" s="15" t="n">
        <v>600</v>
      </c>
      <c r="E15" s="6" t="n">
        <v>600</v>
      </c>
      <c r="F15" s="15">
        <f>D15+E15</f>
        <v/>
      </c>
      <c r="G15" s="7" t="n">
        <v>0.2723941368078177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1286.17</v>
      </c>
      <c r="C16" s="15" t="n">
        <v>750</v>
      </c>
      <c r="D16" s="15" t="n">
        <v>900</v>
      </c>
      <c r="E16" s="6" t="n">
        <v>900</v>
      </c>
      <c r="F16" s="15">
        <f>D16+E16</f>
        <v/>
      </c>
      <c r="G16" s="7" t="n">
        <v>-0.4168733526672213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51</v>
      </c>
      <c r="C18" s="15" t="n">
        <v>315</v>
      </c>
      <c r="D18" s="15" t="n">
        <v>378</v>
      </c>
      <c r="E18" s="6" t="n">
        <v>378</v>
      </c>
      <c r="F18" s="15">
        <f>D18+E18</f>
        <v/>
      </c>
      <c r="G18" s="7" t="n">
        <v>5.176470588235294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366577.13</v>
      </c>
      <c r="C20" s="17" t="n">
        <v>476948.6400000001</v>
      </c>
      <c r="D20" s="17" t="n">
        <v>250936.62</v>
      </c>
      <c r="E20" s="11" t="n">
        <v>250936.62</v>
      </c>
      <c r="F20" s="17">
        <f>D20+E20</f>
        <v/>
      </c>
      <c r="G20" s="7" t="n">
        <v>0.3010867317336465</v>
      </c>
      <c r="H20" s="7" t="n">
        <v>0.05225845701122027</v>
      </c>
    </row>
    <row r="21" ht="14" customHeight="1">
      <c r="A21" s="18" t="inlineStr">
        <is>
          <t xml:space="preserve">    Sal:Rev</t>
        </is>
      </c>
      <c r="B21" s="19" t="n">
        <v>0.6073424160823172</v>
      </c>
      <c r="C21" s="19" t="n">
        <v>0.6846632974351216</v>
      </c>
      <c r="D21" s="19" t="n">
        <v>0.821134938037738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18585.05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2512.01</v>
      </c>
      <c r="C25" s="22" t="n">
        <v>250</v>
      </c>
      <c r="D25" s="22" t="n">
        <v>300</v>
      </c>
      <c r="E25" s="6" t="n">
        <v>300</v>
      </c>
      <c r="F25" s="22">
        <f>D25+E25</f>
        <v/>
      </c>
      <c r="G25" s="7" t="n">
        <v>-0.9004781031922644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2463.89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500</v>
      </c>
      <c r="D27" s="22" t="n">
        <v>600</v>
      </c>
      <c r="E27" s="6" t="n">
        <v>600</v>
      </c>
      <c r="F27" s="22">
        <f>D27+E27</f>
        <v/>
      </c>
      <c r="G27" s="8" t="n"/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1498.27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-0.8331408891588299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1253.59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26312.81</v>
      </c>
      <c r="C30" s="24" t="n">
        <v>16931.56</v>
      </c>
      <c r="D30" s="24" t="n">
        <v>1200</v>
      </c>
      <c r="E30" s="11" t="n">
        <v>1200</v>
      </c>
      <c r="F30" s="24">
        <f>D30+E30</f>
        <v/>
      </c>
      <c r="G30" s="7" t="n">
        <v>-0.3565278660849982</v>
      </c>
      <c r="H30" s="7" t="n">
        <v>-0.8582528721511781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15199.85</v>
      </c>
      <c r="C34" s="27" t="n">
        <v>7515</v>
      </c>
      <c r="D34" s="27" t="n">
        <v>9018</v>
      </c>
      <c r="E34" s="6" t="n">
        <v>9018</v>
      </c>
      <c r="F34" s="27">
        <f>D34+E34</f>
        <v/>
      </c>
      <c r="G34" s="7" t="n">
        <v>-0.5055872261897321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13888.31</v>
      </c>
      <c r="C35" s="27" t="n">
        <v>4200</v>
      </c>
      <c r="D35" s="27" t="n">
        <v>5040</v>
      </c>
      <c r="E35" s="6" t="n">
        <v>5040</v>
      </c>
      <c r="F35" s="27">
        <f>D35+E35</f>
        <v/>
      </c>
      <c r="G35" s="7" t="n">
        <v>-0.697587395442642</v>
      </c>
      <c r="H35" s="7" t="n">
        <v>1.4</v>
      </c>
    </row>
    <row r="36" ht="14" customHeight="1">
      <c r="A36" s="26" t="inlineStr">
        <is>
          <t xml:space="preserve">    Repairs &amp; Maintenance</t>
        </is>
      </c>
      <c r="B36" s="27" t="n">
        <v>3682.04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3559.1</v>
      </c>
      <c r="C37" s="27" t="n">
        <v>1210</v>
      </c>
      <c r="D37" s="27" t="n">
        <v>1452</v>
      </c>
      <c r="E37" s="6" t="n">
        <v>1452</v>
      </c>
      <c r="F37" s="27">
        <f>D37+E37</f>
        <v/>
      </c>
      <c r="G37" s="7" t="n">
        <v>-0.6600264111713636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4172.059999999999</v>
      </c>
      <c r="C38" s="27" t="n">
        <v>1490</v>
      </c>
      <c r="D38" s="27" t="n">
        <v>1788</v>
      </c>
      <c r="E38" s="6" t="n">
        <v>1788</v>
      </c>
      <c r="F38" s="27">
        <f>D38+E38</f>
        <v/>
      </c>
      <c r="G38" s="7" t="n">
        <v>-0.6428622790659769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2046.93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381.79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0.309620471987218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42930.08</v>
      </c>
      <c r="C42" s="29" t="n">
        <v>37459.5</v>
      </c>
      <c r="D42" s="29" t="n">
        <v>17898</v>
      </c>
      <c r="E42" s="11" t="n">
        <v>17898</v>
      </c>
      <c r="F42" s="29">
        <f>D42+E42</f>
        <v/>
      </c>
      <c r="G42" s="7" t="n">
        <v>-0.1274299978010756</v>
      </c>
      <c r="H42" s="7" t="n">
        <v>-0.04440796059744524</v>
      </c>
    </row>
    <row r="43" ht="5" customHeight="1"/>
    <row r="44" ht="14" customHeight="1">
      <c r="A44" s="30" t="inlineStr">
        <is>
          <t>Total Direct Costs</t>
        </is>
      </c>
      <c r="B44" s="31" t="n">
        <v>435820.02</v>
      </c>
      <c r="C44" s="31" t="n">
        <v>531339.7000000001</v>
      </c>
      <c r="D44" s="31" t="n">
        <v>270034.62</v>
      </c>
      <c r="E44" s="11" t="n">
        <v>270034.62</v>
      </c>
      <c r="F44" s="31">
        <f>D44+E44</f>
        <v/>
      </c>
      <c r="G44" s="7" t="n">
        <v>0.2191723087893026</v>
      </c>
      <c r="H44" s="7" t="n">
        <v>0.01642930125492208</v>
      </c>
    </row>
    <row r="45" ht="5" customHeight="1"/>
    <row r="46" ht="14" customHeight="1">
      <c r="A46" s="32" t="inlineStr">
        <is>
          <t>CONTRIBUTION</t>
        </is>
      </c>
      <c r="B46" s="33" t="n">
        <v>167755.6899999999</v>
      </c>
      <c r="C46" s="33" t="n">
        <v>165278.1</v>
      </c>
      <c r="D46" s="33" t="n">
        <v>35562.67999999999</v>
      </c>
      <c r="E46" s="11" t="n">
        <v>35562.67999999999</v>
      </c>
      <c r="F46" s="33">
        <f>D46+E46</f>
        <v/>
      </c>
      <c r="G46" s="7" t="n">
        <v>-0.01476903704428725</v>
      </c>
      <c r="H46" s="7" t="n">
        <v>-0.5696625263722175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2456.79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-0.5624371639415661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562.14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3700</v>
      </c>
      <c r="C56" s="31" t="n">
        <v>420218.66</v>
      </c>
      <c r="D56" s="31" t="n">
        <v>0</v>
      </c>
      <c r="E56" s="11" t="n">
        <v>0</v>
      </c>
      <c r="F56" s="31">
        <f>D56+E56</f>
        <v/>
      </c>
      <c r="G56" s="7" t="n">
        <v>112.5726108108108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164055.6899999999</v>
      </c>
      <c r="C58" s="36" t="n">
        <v>-254940.5600000001</v>
      </c>
      <c r="D58" s="36" t="n">
        <v>35562.67999999999</v>
      </c>
      <c r="E58" s="11" t="n">
        <v>35562.67999999999</v>
      </c>
      <c r="F58" s="36">
        <f>D58+E58</f>
        <v/>
      </c>
      <c r="G58" s="7" t="n">
        <v>-2.553987917151793</v>
      </c>
      <c r="H58" s="7" t="n">
        <v>1.278988011950707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Stepping Stones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521553.27</v>
      </c>
      <c r="C4" s="5" t="n">
        <v>146621.66</v>
      </c>
      <c r="D4" s="5" t="n">
        <v>256157.74</v>
      </c>
      <c r="E4" s="6" t="n">
        <v>256157.74</v>
      </c>
      <c r="F4" s="5">
        <f>D4+E4</f>
        <v/>
      </c>
      <c r="G4" s="7" t="n">
        <v>-0.7188750058071728</v>
      </c>
      <c r="H4" s="7" t="n">
        <v>2.494132313056611</v>
      </c>
    </row>
    <row r="5" ht="14" customHeight="1">
      <c r="A5" s="4" t="inlineStr">
        <is>
          <t xml:space="preserve">    EEEF Embedded</t>
        </is>
      </c>
      <c r="B5" s="5" t="n">
        <v>180958.93</v>
      </c>
      <c r="C5" s="5" t="n">
        <v>72410</v>
      </c>
      <c r="D5" s="5" t="n">
        <v>0</v>
      </c>
      <c r="E5" s="6" t="n">
        <v>0</v>
      </c>
      <c r="F5" s="5">
        <f>D5+E5</f>
        <v/>
      </c>
      <c r="G5" s="7" t="n">
        <v>-0.5998539558119624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2971.91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705484.11</v>
      </c>
      <c r="C7" s="10" t="n">
        <v>667440.89</v>
      </c>
      <c r="D7" s="10" t="n">
        <v>256157.74</v>
      </c>
      <c r="E7" s="11" t="n">
        <v>256157.74</v>
      </c>
      <c r="F7" s="10">
        <f>D7+E7</f>
        <v/>
      </c>
      <c r="G7" s="7" t="n">
        <v>-0.05392498492985189</v>
      </c>
      <c r="H7" s="7" t="n">
        <v>-0.2324181996101558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251687.34</v>
      </c>
      <c r="C11" s="15" t="n">
        <v>292171.12</v>
      </c>
      <c r="D11" s="15" t="n">
        <v>142586.16</v>
      </c>
      <c r="E11" s="6" t="n">
        <v>142586.16</v>
      </c>
      <c r="F11" s="15">
        <f>D11+E11</f>
        <v/>
      </c>
      <c r="G11" s="7" t="n">
        <v>0.1608494888936408</v>
      </c>
      <c r="H11" s="7" t="n">
        <v>-0.02395445518366082</v>
      </c>
    </row>
    <row r="12" ht="14" customHeight="1">
      <c r="A12" s="14" t="inlineStr">
        <is>
          <t xml:space="preserve">    Nursery NI</t>
        </is>
      </c>
      <c r="B12" s="15" t="n">
        <v>25076.08</v>
      </c>
      <c r="C12" s="15" t="n">
        <v>31395.3</v>
      </c>
      <c r="D12" s="15" t="n">
        <v>15029.1</v>
      </c>
      <c r="E12" s="6" t="n">
        <v>15029.1</v>
      </c>
      <c r="F12" s="15">
        <f>D12+E12</f>
        <v/>
      </c>
      <c r="G12" s="7" t="n">
        <v>0.2520019077942006</v>
      </c>
      <c r="H12" s="7" t="n">
        <v>-0.04258917736094263</v>
      </c>
    </row>
    <row r="13" ht="14" customHeight="1">
      <c r="A13" s="14" t="inlineStr">
        <is>
          <t xml:space="preserve">    Nursery Pension</t>
        </is>
      </c>
      <c r="B13" s="15" t="n">
        <v>4141.03</v>
      </c>
      <c r="C13" s="15" t="n">
        <v>5283.4</v>
      </c>
      <c r="D13" s="15" t="n">
        <v>2502</v>
      </c>
      <c r="E13" s="6" t="n">
        <v>2502</v>
      </c>
      <c r="F13" s="15">
        <f>D13+E13</f>
        <v/>
      </c>
      <c r="G13" s="7" t="n">
        <v>0.2758661492430627</v>
      </c>
      <c r="H13" s="7" t="n">
        <v>-0.0528826134685997</v>
      </c>
    </row>
    <row r="14" ht="14" customHeight="1">
      <c r="A14" s="14" t="inlineStr">
        <is>
          <t xml:space="preserve">    Uniform</t>
        </is>
      </c>
      <c r="B14" s="15" t="n">
        <v>574.4400000000001</v>
      </c>
      <c r="C14" s="15" t="n">
        <v>300</v>
      </c>
      <c r="D14" s="15" t="n">
        <v>360</v>
      </c>
      <c r="E14" s="6" t="n">
        <v>360</v>
      </c>
      <c r="F14" s="15">
        <f>D14+E14</f>
        <v/>
      </c>
      <c r="G14" s="7" t="n">
        <v>-0.4777522456653437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870</v>
      </c>
      <c r="C15" s="15" t="n">
        <v>500</v>
      </c>
      <c r="D15" s="15" t="n">
        <v>600</v>
      </c>
      <c r="E15" s="6" t="n">
        <v>600</v>
      </c>
      <c r="F15" s="15">
        <f>D15+E15</f>
        <v/>
      </c>
      <c r="G15" s="7" t="n">
        <v>-0.4252873563218391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1128.27</v>
      </c>
      <c r="C16" s="15" t="n">
        <v>600</v>
      </c>
      <c r="D16" s="15" t="n">
        <v>720</v>
      </c>
      <c r="E16" s="6" t="n">
        <v>720</v>
      </c>
      <c r="F16" s="15">
        <f>D16+E16</f>
        <v/>
      </c>
      <c r="G16" s="7" t="n">
        <v>-0.46821239596905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4169.88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7" t="n">
        <v>-1</v>
      </c>
      <c r="H17" s="8" t="n"/>
    </row>
    <row r="18" ht="14" customHeight="1">
      <c r="A18" s="14" t="inlineStr">
        <is>
          <t xml:space="preserve">    Rewards &amp; Recognition</t>
        </is>
      </c>
      <c r="B18" s="15" t="n">
        <v>91.34999999999999</v>
      </c>
      <c r="C18" s="15" t="n">
        <v>250</v>
      </c>
      <c r="D18" s="15" t="n">
        <v>300</v>
      </c>
      <c r="E18" s="6" t="n">
        <v>300</v>
      </c>
      <c r="F18" s="15">
        <f>D18+E18</f>
        <v/>
      </c>
      <c r="G18" s="7" t="n">
        <v>1.736726874657909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287738.39</v>
      </c>
      <c r="C20" s="17" t="n">
        <v>336452.59</v>
      </c>
      <c r="D20" s="17" t="n">
        <v>162097.26</v>
      </c>
      <c r="E20" s="11" t="n">
        <v>162097.26</v>
      </c>
      <c r="F20" s="17">
        <f>D20+E20</f>
        <v/>
      </c>
      <c r="G20" s="7" t="n">
        <v>0.1693003147755152</v>
      </c>
      <c r="H20" s="7" t="n">
        <v>-0.03643327578485858</v>
      </c>
    </row>
    <row r="21" ht="14" customHeight="1">
      <c r="A21" s="18" t="inlineStr">
        <is>
          <t xml:space="preserve">    Sal:Rev</t>
        </is>
      </c>
      <c r="B21" s="19" t="n">
        <v>0.4078594909813065</v>
      </c>
      <c r="C21" s="19" t="n">
        <v>0.5040934636174298</v>
      </c>
      <c r="D21" s="19" t="n">
        <v>0.6328025067679002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14887.66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3905.61</v>
      </c>
      <c r="C25" s="22" t="n">
        <v>250</v>
      </c>
      <c r="D25" s="22" t="n">
        <v>300</v>
      </c>
      <c r="E25" s="6" t="n">
        <v>300</v>
      </c>
      <c r="F25" s="22">
        <f>D25+E25</f>
        <v/>
      </c>
      <c r="G25" s="7" t="n">
        <v>-0.9359895125217316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1034.32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290.55</v>
      </c>
      <c r="C27" s="22" t="n">
        <v>250</v>
      </c>
      <c r="D27" s="22" t="n">
        <v>300</v>
      </c>
      <c r="E27" s="6" t="n">
        <v>300</v>
      </c>
      <c r="F27" s="22">
        <f>D27+E27</f>
        <v/>
      </c>
      <c r="G27" s="7" t="n">
        <v>-0.1395628979521597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845.78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-0.7044148596561753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2067.55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23031.47</v>
      </c>
      <c r="C30" s="24" t="n">
        <v>14282.07</v>
      </c>
      <c r="D30" s="24" t="n">
        <v>900</v>
      </c>
      <c r="E30" s="11" t="n">
        <v>900</v>
      </c>
      <c r="F30" s="24">
        <f>D30+E30</f>
        <v/>
      </c>
      <c r="G30" s="7" t="n">
        <v>-0.3798889085238589</v>
      </c>
      <c r="H30" s="7" t="n">
        <v>-0.8739678491983305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8" t="n"/>
      <c r="H33" s="8" t="n"/>
    </row>
    <row r="34" ht="14" customHeight="1">
      <c r="A34" s="26" t="inlineStr">
        <is>
          <t xml:space="preserve">    Business Rates</t>
        </is>
      </c>
      <c r="B34" s="27" t="n">
        <v>16591.8</v>
      </c>
      <c r="C34" s="27" t="n">
        <v>7504.8</v>
      </c>
      <c r="D34" s="27" t="n">
        <v>9005.76</v>
      </c>
      <c r="E34" s="6" t="n">
        <v>9005.76</v>
      </c>
      <c r="F34" s="27">
        <f>D34+E34</f>
        <v/>
      </c>
      <c r="G34" s="7" t="n">
        <v>-0.5476801793657109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11880.93</v>
      </c>
      <c r="C35" s="27" t="n">
        <v>10212.2</v>
      </c>
      <c r="D35" s="27" t="n">
        <v>6228</v>
      </c>
      <c r="E35" s="6" t="n">
        <v>6228</v>
      </c>
      <c r="F35" s="27">
        <f>D35+E35</f>
        <v/>
      </c>
      <c r="G35" s="7" t="n">
        <v>-0.1404544930405279</v>
      </c>
      <c r="H35" s="7" t="n">
        <v>0.2197175926832611</v>
      </c>
    </row>
    <row r="36" ht="14" customHeight="1">
      <c r="A36" s="26" t="inlineStr">
        <is>
          <t xml:space="preserve">    Repairs &amp; Maintenance</t>
        </is>
      </c>
      <c r="B36" s="27" t="n">
        <v>1901.08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3009.33</v>
      </c>
      <c r="C37" s="27" t="n">
        <v>1285</v>
      </c>
      <c r="D37" s="27" t="n">
        <v>1542</v>
      </c>
      <c r="E37" s="6" t="n">
        <v>1542</v>
      </c>
      <c r="F37" s="27">
        <f>D37+E37</f>
        <v/>
      </c>
      <c r="G37" s="7" t="n">
        <v>-0.5729946532949195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4100.08</v>
      </c>
      <c r="C38" s="27" t="n">
        <v>1650</v>
      </c>
      <c r="D38" s="27" t="n">
        <v>1980</v>
      </c>
      <c r="E38" s="6" t="n">
        <v>1980</v>
      </c>
      <c r="F38" s="27">
        <f>D38+E38</f>
        <v/>
      </c>
      <c r="G38" s="7" t="n">
        <v>-0.5975688279253087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488.67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343.1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7" t="n">
        <v>0.4573010784027979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38314.99</v>
      </c>
      <c r="C42" s="29" t="n">
        <v>42117.41</v>
      </c>
      <c r="D42" s="29" t="n">
        <v>19355.76</v>
      </c>
      <c r="E42" s="11" t="n">
        <v>19355.76</v>
      </c>
      <c r="F42" s="29">
        <f>D42+E42</f>
        <v/>
      </c>
      <c r="G42" s="7" t="n">
        <v>0.09924105421924959</v>
      </c>
      <c r="H42" s="7" t="n">
        <v>-0.0808665585087022</v>
      </c>
    </row>
    <row r="43" ht="5" customHeight="1"/>
    <row r="44" ht="14" customHeight="1">
      <c r="A44" s="30" t="inlineStr">
        <is>
          <t>Total Direct Costs</t>
        </is>
      </c>
      <c r="B44" s="31" t="n">
        <v>349084.85</v>
      </c>
      <c r="C44" s="31" t="n">
        <v>392852.0699999999</v>
      </c>
      <c r="D44" s="31" t="n">
        <v>182353.02</v>
      </c>
      <c r="E44" s="11" t="n">
        <v>182353.02</v>
      </c>
      <c r="F44" s="31">
        <f>D44+E44</f>
        <v/>
      </c>
      <c r="G44" s="7" t="n">
        <v>0.1253770250986257</v>
      </c>
      <c r="H44" s="7" t="n">
        <v>-0.07164536513706016</v>
      </c>
    </row>
    <row r="45" ht="5" customHeight="1"/>
    <row r="46" ht="14" customHeight="1">
      <c r="A46" s="32" t="inlineStr">
        <is>
          <t>CONTRIBUTION</t>
        </is>
      </c>
      <c r="B46" s="33" t="n">
        <v>356399.26</v>
      </c>
      <c r="C46" s="33" t="n">
        <v>274588.8200000001</v>
      </c>
      <c r="D46" s="33" t="n">
        <v>73804.71999999997</v>
      </c>
      <c r="E46" s="11" t="n">
        <v>73804.71999999997</v>
      </c>
      <c r="F46" s="33">
        <f>D46+E46</f>
        <v/>
      </c>
      <c r="G46" s="7" t="n">
        <v>-0.2295471657264382</v>
      </c>
      <c r="H46" s="7" t="n">
        <v>-0.4624346322621587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-0.5624425069805684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158.8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220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7" t="n">
        <v>-1</v>
      </c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4877.98</v>
      </c>
      <c r="C56" s="31" t="n">
        <v>371190.4300000001</v>
      </c>
      <c r="D56" s="31" t="n">
        <v>0</v>
      </c>
      <c r="E56" s="11" t="n">
        <v>0</v>
      </c>
      <c r="F56" s="31">
        <f>D56+E56</f>
        <v/>
      </c>
      <c r="G56" s="7" t="n">
        <v>75.09511109106639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351521.28</v>
      </c>
      <c r="C58" s="36" t="n">
        <v>-96601.60999999999</v>
      </c>
      <c r="D58" s="36" t="n">
        <v>73804.71999999997</v>
      </c>
      <c r="E58" s="11" t="n">
        <v>73804.71999999997</v>
      </c>
      <c r="F58" s="36">
        <f>D58+E58</f>
        <v/>
      </c>
      <c r="G58" s="7" t="n">
        <v>-1.27481013382746</v>
      </c>
      <c r="H58" s="7" t="n">
        <v>2.528022566083525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Woosehill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428724.28</v>
      </c>
      <c r="C4" s="5" t="n">
        <v>135458.41</v>
      </c>
      <c r="D4" s="5" t="n">
        <v>262317.73</v>
      </c>
      <c r="E4" s="6" t="n">
        <v>262317.73</v>
      </c>
      <c r="F4" s="5">
        <f>D4+E4</f>
        <v/>
      </c>
      <c r="G4" s="7" t="n">
        <v>-0.684043063761166</v>
      </c>
      <c r="H4" s="7" t="n">
        <v>2.873037192744252</v>
      </c>
    </row>
    <row r="5" ht="14" customHeight="1">
      <c r="A5" s="4" t="inlineStr">
        <is>
          <t xml:space="preserve">    EEEF Embedded</t>
        </is>
      </c>
      <c r="B5" s="5" t="n">
        <v>146399.97</v>
      </c>
      <c r="C5" s="5" t="n">
        <v>63230</v>
      </c>
      <c r="D5" s="5" t="n">
        <v>0</v>
      </c>
      <c r="E5" s="6" t="n">
        <v>0</v>
      </c>
      <c r="F5" s="5">
        <f>D5+E5</f>
        <v/>
      </c>
      <c r="G5" s="7" t="n">
        <v>-0.5681010043922823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3087.1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578211.35</v>
      </c>
      <c r="C7" s="10" t="n">
        <v>496549.61</v>
      </c>
      <c r="D7" s="10" t="n">
        <v>262317.73</v>
      </c>
      <c r="E7" s="11" t="n">
        <v>262317.73</v>
      </c>
      <c r="F7" s="10">
        <f>D7+E7</f>
        <v/>
      </c>
      <c r="G7" s="7" t="n">
        <v>-0.1412316447956271</v>
      </c>
      <c r="H7" s="7" t="n">
        <v>0.05656202207066476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267475.88</v>
      </c>
      <c r="C11" s="15" t="n">
        <v>283089.83</v>
      </c>
      <c r="D11" s="15" t="n">
        <v>142476</v>
      </c>
      <c r="E11" s="6" t="n">
        <v>142476</v>
      </c>
      <c r="F11" s="15">
        <f>D11+E11</f>
        <v/>
      </c>
      <c r="G11" s="7" t="n">
        <v>0.05837517012748945</v>
      </c>
      <c r="H11" s="7" t="n">
        <v>0.00657801800933662</v>
      </c>
    </row>
    <row r="12" ht="14" customHeight="1">
      <c r="A12" s="14" t="inlineStr">
        <is>
          <t xml:space="preserve">    Nursery NI</t>
        </is>
      </c>
      <c r="B12" s="15" t="n">
        <v>26873.53</v>
      </c>
      <c r="C12" s="15" t="n">
        <v>32054.18</v>
      </c>
      <c r="D12" s="15" t="n">
        <v>16320</v>
      </c>
      <c r="E12" s="6" t="n">
        <v>16320</v>
      </c>
      <c r="F12" s="15">
        <f>D12+E12</f>
        <v/>
      </c>
      <c r="G12" s="7" t="n">
        <v>0.1927789166514411</v>
      </c>
      <c r="H12" s="7" t="n">
        <v>0.01827593156337176</v>
      </c>
    </row>
    <row r="13" ht="14" customHeight="1">
      <c r="A13" s="14" t="inlineStr">
        <is>
          <t xml:space="preserve">    Nursery Pension</t>
        </is>
      </c>
      <c r="B13" s="15" t="n">
        <v>4061.84</v>
      </c>
      <c r="C13" s="15" t="n">
        <v>4725.389999999999</v>
      </c>
      <c r="D13" s="15" t="n">
        <v>2388</v>
      </c>
      <c r="E13" s="6" t="n">
        <v>2388</v>
      </c>
      <c r="F13" s="15">
        <f>D13+E13</f>
        <v/>
      </c>
      <c r="G13" s="7" t="n">
        <v>0.1633619246449883</v>
      </c>
      <c r="H13" s="7" t="n">
        <v>0.0107102270923671</v>
      </c>
    </row>
    <row r="14" ht="14" customHeight="1">
      <c r="A14" s="14" t="inlineStr">
        <is>
          <t xml:space="preserve">    Uniform</t>
        </is>
      </c>
      <c r="B14" s="15" t="n">
        <v>612.33</v>
      </c>
      <c r="C14" s="15" t="n">
        <v>295</v>
      </c>
      <c r="D14" s="15" t="n">
        <v>354</v>
      </c>
      <c r="E14" s="6" t="n">
        <v>354</v>
      </c>
      <c r="F14" s="15">
        <f>D14+E14</f>
        <v/>
      </c>
      <c r="G14" s="7" t="n">
        <v>-0.5182336321917921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464.61</v>
      </c>
      <c r="C15" s="15" t="n">
        <v>250</v>
      </c>
      <c r="D15" s="15" t="n">
        <v>300</v>
      </c>
      <c r="E15" s="6" t="n">
        <v>300</v>
      </c>
      <c r="F15" s="15">
        <f>D15+E15</f>
        <v/>
      </c>
      <c r="G15" s="7" t="n">
        <v>-0.461914293708702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816.3</v>
      </c>
      <c r="C16" s="15" t="n">
        <v>600</v>
      </c>
      <c r="D16" s="15" t="n">
        <v>720</v>
      </c>
      <c r="E16" s="6" t="n">
        <v>720</v>
      </c>
      <c r="F16" s="15">
        <f>D16+E16</f>
        <v/>
      </c>
      <c r="G16" s="7" t="n">
        <v>-0.264976111723631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0</v>
      </c>
      <c r="C18" s="15" t="n">
        <v>250</v>
      </c>
      <c r="D18" s="15" t="n">
        <v>300</v>
      </c>
      <c r="E18" s="6" t="n">
        <v>300</v>
      </c>
      <c r="F18" s="15">
        <f>D18+E18</f>
        <v/>
      </c>
      <c r="G18" s="8" t="n"/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300304.49</v>
      </c>
      <c r="C20" s="17" t="n">
        <v>322319.42</v>
      </c>
      <c r="D20" s="17" t="n">
        <v>162858</v>
      </c>
      <c r="E20" s="11" t="n">
        <v>162858</v>
      </c>
      <c r="F20" s="17">
        <f>D20+E20</f>
        <v/>
      </c>
      <c r="G20" s="7" t="n">
        <v>0.07330869411909224</v>
      </c>
      <c r="H20" s="7" t="n">
        <v>0.01053793159593057</v>
      </c>
    </row>
    <row r="21" ht="14" customHeight="1">
      <c r="A21" s="18" t="inlineStr">
        <is>
          <t xml:space="preserve">    Sal:Rev</t>
        </is>
      </c>
      <c r="B21" s="19" t="n">
        <v>0.519368030392347</v>
      </c>
      <c r="C21" s="19" t="n">
        <v>0.6491182623222682</v>
      </c>
      <c r="D21" s="19" t="n">
        <v>0.6208425179647598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9818.370000000001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3158.33</v>
      </c>
      <c r="C25" s="22" t="n">
        <v>250</v>
      </c>
      <c r="D25" s="22" t="n">
        <v>300</v>
      </c>
      <c r="E25" s="6" t="n">
        <v>300</v>
      </c>
      <c r="F25" s="22">
        <f>D25+E25</f>
        <v/>
      </c>
      <c r="G25" s="7" t="n">
        <v>-0.9208442436350857</v>
      </c>
      <c r="H25" s="7" t="n">
        <v>1.4</v>
      </c>
    </row>
    <row r="26" ht="14" customHeight="1">
      <c r="A26" s="21" t="inlineStr">
        <is>
          <t xml:space="preserve">    Art Materials</t>
        </is>
      </c>
      <c r="B26" s="22" t="n">
        <v>1387.65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0</v>
      </c>
      <c r="D27" s="22" t="n">
        <v>0</v>
      </c>
      <c r="E27" s="6" t="n">
        <v>0</v>
      </c>
      <c r="F27" s="22">
        <f>D27+E27</f>
        <v/>
      </c>
      <c r="G27" s="8" t="n"/>
      <c r="H27" s="8" t="n"/>
    </row>
    <row r="28" ht="14" customHeight="1">
      <c r="A28" s="21" t="inlineStr">
        <is>
          <t xml:space="preserve">    Nursery Equipment</t>
        </is>
      </c>
      <c r="B28" s="22" t="n">
        <v>1257.61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-0.801210232106933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1386.69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17008.65</v>
      </c>
      <c r="C30" s="24" t="n">
        <v>8884.809999999999</v>
      </c>
      <c r="D30" s="24" t="n">
        <v>600</v>
      </c>
      <c r="E30" s="11" t="n">
        <v>600</v>
      </c>
      <c r="F30" s="24">
        <f>D30+E30</f>
        <v/>
      </c>
      <c r="G30" s="7" t="n">
        <v>-0.4776299118389761</v>
      </c>
      <c r="H30" s="7" t="n">
        <v>-0.864938023435504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5499.98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7" t="n">
        <v>-1</v>
      </c>
      <c r="H33" s="8" t="n"/>
    </row>
    <row r="34" ht="14" customHeight="1">
      <c r="A34" s="26" t="inlineStr">
        <is>
          <t xml:space="preserve">    Business Rates</t>
        </is>
      </c>
      <c r="B34" s="27" t="n">
        <v>22953.95</v>
      </c>
      <c r="C34" s="27" t="n">
        <v>10998.79166666667</v>
      </c>
      <c r="D34" s="27" t="n">
        <v>13198.55</v>
      </c>
      <c r="E34" s="6" t="n">
        <v>13198.55</v>
      </c>
      <c r="F34" s="27">
        <f>D34+E34</f>
        <v/>
      </c>
      <c r="G34" s="7" t="n">
        <v>-0.5208322895768848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18535.1</v>
      </c>
      <c r="C35" s="27" t="n">
        <v>20803.17</v>
      </c>
      <c r="D35" s="27" t="n">
        <v>9930</v>
      </c>
      <c r="E35" s="6" t="n">
        <v>9930</v>
      </c>
      <c r="F35" s="27">
        <f>D35+E35</f>
        <v/>
      </c>
      <c r="G35" s="7" t="n">
        <v>0.1223662132926178</v>
      </c>
      <c r="H35" s="7" t="n">
        <v>-0.04533780188307832</v>
      </c>
    </row>
    <row r="36" ht="14" customHeight="1">
      <c r="A36" s="26" t="inlineStr">
        <is>
          <t xml:space="preserve">    Repairs &amp; Maintenance</t>
        </is>
      </c>
      <c r="B36" s="27" t="n">
        <v>2419.15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3258.92</v>
      </c>
      <c r="C37" s="27" t="n">
        <v>1435</v>
      </c>
      <c r="D37" s="27" t="n">
        <v>1722</v>
      </c>
      <c r="E37" s="6" t="n">
        <v>1722</v>
      </c>
      <c r="F37" s="27">
        <f>D37+E37</f>
        <v/>
      </c>
      <c r="G37" s="7" t="n">
        <v>-0.5596700747486898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3761.46</v>
      </c>
      <c r="C38" s="27" t="n">
        <v>1565</v>
      </c>
      <c r="D38" s="27" t="n">
        <v>1878</v>
      </c>
      <c r="E38" s="6" t="n">
        <v>1878</v>
      </c>
      <c r="F38" s="27">
        <f>D38+E38</f>
        <v/>
      </c>
      <c r="G38" s="7" t="n">
        <v>-0.5839381516751474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511.99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500</v>
      </c>
      <c r="D41" s="27" t="n">
        <v>600</v>
      </c>
      <c r="E41" s="6" t="n">
        <v>600</v>
      </c>
      <c r="F41" s="27">
        <f>D41+E41</f>
        <v/>
      </c>
      <c r="G41" s="8" t="n"/>
      <c r="H41" s="7" t="n">
        <v>1.4</v>
      </c>
    </row>
    <row r="42" ht="14" customHeight="1">
      <c r="A42" s="28" t="inlineStr">
        <is>
          <t>Total Premises &amp; Admin</t>
        </is>
      </c>
      <c r="B42" s="29" t="n">
        <v>56940.55</v>
      </c>
      <c r="C42" s="29" t="n">
        <v>57768.27166666667</v>
      </c>
      <c r="D42" s="29" t="n">
        <v>27328.55</v>
      </c>
      <c r="E42" s="11" t="n">
        <v>27328.55</v>
      </c>
      <c r="F42" s="29">
        <f>D42+E42</f>
        <v/>
      </c>
      <c r="G42" s="7" t="n">
        <v>0.01453659416122016</v>
      </c>
      <c r="H42" s="7" t="n">
        <v>-0.05385606279894766</v>
      </c>
    </row>
    <row r="43" ht="5" customHeight="1"/>
    <row r="44" ht="14" customHeight="1">
      <c r="A44" s="30" t="inlineStr">
        <is>
          <t>Total Direct Costs</t>
        </is>
      </c>
      <c r="B44" s="31" t="n">
        <v>374253.69</v>
      </c>
      <c r="C44" s="31" t="n">
        <v>388972.5016666666</v>
      </c>
      <c r="D44" s="31" t="n">
        <v>190786.55</v>
      </c>
      <c r="E44" s="11" t="n">
        <v>190786.55</v>
      </c>
      <c r="F44" s="31">
        <f>D44+E44</f>
        <v/>
      </c>
      <c r="G44" s="7" t="n">
        <v>0.03932843432129326</v>
      </c>
      <c r="H44" s="7" t="n">
        <v>-0.01902294284290475</v>
      </c>
    </row>
    <row r="45" ht="5" customHeight="1"/>
    <row r="46" ht="14" customHeight="1">
      <c r="A46" s="32" t="inlineStr">
        <is>
          <t>CONTRIBUTION</t>
        </is>
      </c>
      <c r="B46" s="33" t="n">
        <v>203957.66</v>
      </c>
      <c r="C46" s="33" t="n">
        <v>107577.1083333333</v>
      </c>
      <c r="D46" s="33" t="n">
        <v>71531.17999999999</v>
      </c>
      <c r="E46" s="11" t="n">
        <v>71531.17999999999</v>
      </c>
      <c r="F46" s="33">
        <f>D46+E46</f>
        <v/>
      </c>
      <c r="G46" s="7" t="n">
        <v>-0.4725517622955012</v>
      </c>
      <c r="H46" s="7" t="n">
        <v>0.3298587609987966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2456.81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-0.5624407259820662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836.49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8" t="n"/>
      <c r="H54" s="8" t="n"/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8" t="n"/>
      <c r="H55" s="8" t="n"/>
    </row>
    <row r="56" ht="14" customHeight="1">
      <c r="A56" s="30" t="inlineStr">
        <is>
          <t>Total Overheads</t>
        </is>
      </c>
      <c r="B56" s="31" t="n">
        <v>5003.73</v>
      </c>
      <c r="C56" s="31" t="n">
        <v>286818.42</v>
      </c>
      <c r="D56" s="31" t="n">
        <v>0</v>
      </c>
      <c r="E56" s="11" t="n">
        <v>0</v>
      </c>
      <c r="F56" s="31">
        <f>D56+E56</f>
        <v/>
      </c>
      <c r="G56" s="7" t="n">
        <v>56.32092259174657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198953.93</v>
      </c>
      <c r="C58" s="36" t="n">
        <v>-179241.3116666666</v>
      </c>
      <c r="D58" s="36" t="n">
        <v>71531.17999999999</v>
      </c>
      <c r="E58" s="11" t="n">
        <v>71531.17999999999</v>
      </c>
      <c r="F58" s="36">
        <f>D58+E58</f>
        <v/>
      </c>
      <c r="G58" s="7" t="n">
        <v>-1.900918678342602</v>
      </c>
      <c r="H58" s="7" t="n">
        <v>1.798155060737626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Finchampstead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
Forecast</t>
        </is>
      </c>
      <c r="E2" s="2" t="inlineStr">
        <is>
          <t>2027 H2
Jul–Dec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124040.54</v>
      </c>
      <c r="C4" s="5" t="n">
        <v>41504</v>
      </c>
      <c r="D4" s="5" t="n">
        <v>108940.49</v>
      </c>
      <c r="E4" s="6" t="n">
        <v>108940.49</v>
      </c>
      <c r="F4" s="5">
        <f>D4+E4</f>
        <v/>
      </c>
      <c r="G4" s="7" t="n">
        <v>-0.6653997152866312</v>
      </c>
      <c r="H4" s="7" t="n">
        <v>4.249638107170393</v>
      </c>
    </row>
    <row r="5" ht="14" customHeight="1">
      <c r="A5" s="4" t="inlineStr">
        <is>
          <t xml:space="preserve">    EEEF Embedded</t>
        </is>
      </c>
      <c r="B5" s="5" t="n">
        <v>111003.08</v>
      </c>
      <c r="C5" s="5" t="n">
        <v>62622</v>
      </c>
      <c r="D5" s="5" t="n">
        <v>0</v>
      </c>
      <c r="E5" s="6" t="n">
        <v>0</v>
      </c>
      <c r="F5" s="5">
        <f>D5+E5</f>
        <v/>
      </c>
      <c r="G5" s="7" t="n">
        <v>-0.4358534916328448</v>
      </c>
      <c r="H5" s="7" t="n">
        <v>-1</v>
      </c>
    </row>
    <row r="6" ht="14" customHeight="1">
      <c r="A6" s="4" t="inlineStr">
        <is>
          <t xml:space="preserve">    Other Income</t>
        </is>
      </c>
      <c r="B6" s="5" t="n">
        <v>1110.33</v>
      </c>
      <c r="C6" s="5" t="n">
        <v>0</v>
      </c>
      <c r="D6" s="5" t="n">
        <v>0</v>
      </c>
      <c r="E6" s="6" t="n">
        <v>0</v>
      </c>
      <c r="F6" s="5">
        <f>D6+E6</f>
        <v/>
      </c>
      <c r="G6" s="7" t="n">
        <v>-1</v>
      </c>
      <c r="H6" s="8" t="n"/>
    </row>
    <row r="7" ht="14" customHeight="1">
      <c r="A7" s="9" t="inlineStr">
        <is>
          <t>Total Income</t>
        </is>
      </c>
      <c r="B7" s="10" t="n">
        <v>236153.95</v>
      </c>
      <c r="C7" s="10" t="n">
        <v>164833.88</v>
      </c>
      <c r="D7" s="10" t="n">
        <v>108940.49</v>
      </c>
      <c r="E7" s="11" t="n">
        <v>108940.49</v>
      </c>
      <c r="F7" s="10">
        <f>D7+E7</f>
        <v/>
      </c>
      <c r="G7" s="7" t="n">
        <v>-0.302006678270679</v>
      </c>
      <c r="H7" s="7" t="n">
        <v>0.3218215818252898</v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155894.58</v>
      </c>
      <c r="C11" s="15" t="n">
        <v>200334.41</v>
      </c>
      <c r="D11" s="15" t="n">
        <v>104064.36</v>
      </c>
      <c r="E11" s="6" t="n">
        <v>104064.36</v>
      </c>
      <c r="F11" s="15">
        <f>D11+E11</f>
        <v/>
      </c>
      <c r="G11" s="7" t="n">
        <v>0.2850633421636595</v>
      </c>
      <c r="H11" s="7" t="n">
        <v>0.03890649639270671</v>
      </c>
    </row>
    <row r="12" ht="14" customHeight="1">
      <c r="A12" s="14" t="inlineStr">
        <is>
          <t xml:space="preserve">    Nursery NI</t>
        </is>
      </c>
      <c r="B12" s="15" t="n">
        <v>14172.79</v>
      </c>
      <c r="C12" s="15" t="n">
        <v>22483.5</v>
      </c>
      <c r="D12" s="15" t="n">
        <v>11642.16</v>
      </c>
      <c r="E12" s="6" t="n">
        <v>11642.16</v>
      </c>
      <c r="F12" s="15">
        <f>D12+E12</f>
        <v/>
      </c>
      <c r="G12" s="7" t="n">
        <v>0.5863848966928884</v>
      </c>
      <c r="H12" s="7" t="n">
        <v>0.03561811995463338</v>
      </c>
    </row>
    <row r="13" ht="14" customHeight="1">
      <c r="A13" s="14" t="inlineStr">
        <is>
          <t xml:space="preserve">    Nursery Pension</t>
        </is>
      </c>
      <c r="B13" s="15" t="n">
        <v>2558.96</v>
      </c>
      <c r="C13" s="15" t="n">
        <v>3117.3</v>
      </c>
      <c r="D13" s="15" t="n">
        <v>1695.36</v>
      </c>
      <c r="E13" s="6" t="n">
        <v>1695.36</v>
      </c>
      <c r="F13" s="15">
        <f>D13+E13</f>
        <v/>
      </c>
      <c r="G13" s="7" t="n">
        <v>0.2181902022696721</v>
      </c>
      <c r="H13" s="7" t="n">
        <v>0.08771051871812147</v>
      </c>
    </row>
    <row r="14" ht="14" customHeight="1">
      <c r="A14" s="14" t="inlineStr">
        <is>
          <t xml:space="preserve">    Uniform</t>
        </is>
      </c>
      <c r="B14" s="15" t="n">
        <v>462.62</v>
      </c>
      <c r="C14" s="15" t="n">
        <v>170</v>
      </c>
      <c r="D14" s="15" t="n">
        <v>204</v>
      </c>
      <c r="E14" s="6" t="n">
        <v>204</v>
      </c>
      <c r="F14" s="15">
        <f>D14+E14</f>
        <v/>
      </c>
      <c r="G14" s="7" t="n">
        <v>-0.6325277765768882</v>
      </c>
      <c r="H14" s="7" t="n">
        <v>1.4</v>
      </c>
    </row>
    <row r="15" ht="14" customHeight="1">
      <c r="A15" s="14" t="inlineStr">
        <is>
          <t xml:space="preserve">    Training</t>
        </is>
      </c>
      <c r="B15" s="15" t="n">
        <v>915.48</v>
      </c>
      <c r="C15" s="15" t="n">
        <v>250</v>
      </c>
      <c r="D15" s="15" t="n">
        <v>300</v>
      </c>
      <c r="E15" s="6" t="n">
        <v>300</v>
      </c>
      <c r="F15" s="15">
        <f>D15+E15</f>
        <v/>
      </c>
      <c r="G15" s="7" t="n">
        <v>-0.7269192117796129</v>
      </c>
      <c r="H15" s="7" t="n">
        <v>1.4</v>
      </c>
    </row>
    <row r="16" ht="14" customHeight="1">
      <c r="A16" s="14" t="inlineStr">
        <is>
          <t xml:space="preserve">    Staff Welfare</t>
        </is>
      </c>
      <c r="B16" s="15" t="n">
        <v>1327.68</v>
      </c>
      <c r="C16" s="15" t="n">
        <v>350</v>
      </c>
      <c r="D16" s="15" t="n">
        <v>420</v>
      </c>
      <c r="E16" s="6" t="n">
        <v>420</v>
      </c>
      <c r="F16" s="15">
        <f>D16+E16</f>
        <v/>
      </c>
      <c r="G16" s="7" t="n">
        <v>-0.7363822607857315</v>
      </c>
      <c r="H16" s="7" t="n">
        <v>1.4</v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6" t="n">
        <v>0</v>
      </c>
      <c r="F17" s="15">
        <f>D17+E17</f>
        <v/>
      </c>
      <c r="G17" s="8" t="n"/>
      <c r="H17" s="8" t="n"/>
    </row>
    <row r="18" ht="14" customHeight="1">
      <c r="A18" s="14" t="inlineStr">
        <is>
          <t xml:space="preserve">    Rewards &amp; Recognition</t>
        </is>
      </c>
      <c r="B18" s="15" t="n">
        <v>33.95</v>
      </c>
      <c r="C18" s="15" t="n">
        <v>145</v>
      </c>
      <c r="D18" s="15" t="n">
        <v>174</v>
      </c>
      <c r="E18" s="6" t="n">
        <v>174</v>
      </c>
      <c r="F18" s="15">
        <f>D18+E18</f>
        <v/>
      </c>
      <c r="G18" s="7" t="n">
        <v>3.270986745213549</v>
      </c>
      <c r="H18" s="7" t="n">
        <v>1.4</v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6" t="n">
        <v>0</v>
      </c>
      <c r="F19" s="15">
        <f>D19+E19</f>
        <v/>
      </c>
      <c r="G19" s="8" t="n"/>
      <c r="H19" s="8" t="n"/>
    </row>
    <row r="20" ht="14" customHeight="1">
      <c r="A20" s="16" t="inlineStr">
        <is>
          <t>Total Personnel</t>
        </is>
      </c>
      <c r="B20" s="17" t="n">
        <v>175366.06</v>
      </c>
      <c r="C20" s="17" t="n">
        <v>227848.51</v>
      </c>
      <c r="D20" s="17" t="n">
        <v>118499.88</v>
      </c>
      <c r="E20" s="11" t="n">
        <v>118499.88</v>
      </c>
      <c r="F20" s="17">
        <f>D20+E20</f>
        <v/>
      </c>
      <c r="G20" s="7" t="n">
        <v>0.2992737021063255</v>
      </c>
      <c r="H20" s="7" t="n">
        <v>0.04016374739514426</v>
      </c>
    </row>
    <row r="21" ht="14" customHeight="1">
      <c r="A21" s="18" t="inlineStr">
        <is>
          <t xml:space="preserve">    Sal:Rev</t>
        </is>
      </c>
      <c r="B21" s="19" t="n">
        <v>0.7425921099350656</v>
      </c>
      <c r="C21" s="19" t="n">
        <v>1.382291735169978</v>
      </c>
      <c r="D21" s="19" t="n">
        <v>1.087748733276305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7052.34</v>
      </c>
      <c r="C24" s="22" t="n">
        <v>0</v>
      </c>
      <c r="D24" s="22" t="n">
        <v>0</v>
      </c>
      <c r="E24" s="6" t="n">
        <v>0</v>
      </c>
      <c r="F24" s="22">
        <f>D24+E24</f>
        <v/>
      </c>
      <c r="G24" s="7" t="n">
        <v>-1</v>
      </c>
      <c r="H24" s="8" t="n"/>
    </row>
    <row r="25" ht="14" customHeight="1">
      <c r="A25" s="21" t="inlineStr">
        <is>
          <t xml:space="preserve">    Toys and Games</t>
        </is>
      </c>
      <c r="B25" s="22" t="n">
        <v>1264.06</v>
      </c>
      <c r="C25" s="22" t="n">
        <v>280</v>
      </c>
      <c r="D25" s="22" t="n">
        <v>348</v>
      </c>
      <c r="E25" s="6" t="n">
        <v>348</v>
      </c>
      <c r="F25" s="22">
        <f>D25+E25</f>
        <v/>
      </c>
      <c r="G25" s="7" t="n">
        <v>-0.7784915273009193</v>
      </c>
      <c r="H25" s="7" t="n">
        <v>1.485714285714286</v>
      </c>
    </row>
    <row r="26" ht="14" customHeight="1">
      <c r="A26" s="21" t="inlineStr">
        <is>
          <t xml:space="preserve">    Art Materials</t>
        </is>
      </c>
      <c r="B26" s="22" t="n">
        <v>330.01</v>
      </c>
      <c r="C26" s="22" t="n">
        <v>0</v>
      </c>
      <c r="D26" s="22" t="n">
        <v>0</v>
      </c>
      <c r="E26" s="6" t="n">
        <v>0</v>
      </c>
      <c r="F26" s="22">
        <f>D26+E26</f>
        <v/>
      </c>
      <c r="G26" s="7" t="n">
        <v>-1</v>
      </c>
      <c r="H26" s="8" t="n"/>
    </row>
    <row r="27" ht="14" customHeight="1">
      <c r="A27" s="21" t="inlineStr">
        <is>
          <t xml:space="preserve">    Nursery Stationery</t>
        </is>
      </c>
      <c r="B27" s="22" t="n">
        <v>184.38</v>
      </c>
      <c r="C27" s="22" t="n">
        <v>350</v>
      </c>
      <c r="D27" s="22" t="n">
        <v>420</v>
      </c>
      <c r="E27" s="6" t="n">
        <v>420</v>
      </c>
      <c r="F27" s="22">
        <f>D27+E27</f>
        <v/>
      </c>
      <c r="G27" s="7" t="n">
        <v>0.8982536066818527</v>
      </c>
      <c r="H27" s="7" t="n">
        <v>1.4</v>
      </c>
    </row>
    <row r="28" ht="14" customHeight="1">
      <c r="A28" s="21" t="inlineStr">
        <is>
          <t xml:space="preserve">    Nursery Equipment</t>
        </is>
      </c>
      <c r="B28" s="22" t="n">
        <v>659.4300000000001</v>
      </c>
      <c r="C28" s="22" t="n">
        <v>250</v>
      </c>
      <c r="D28" s="22" t="n">
        <v>300</v>
      </c>
      <c r="E28" s="6" t="n">
        <v>300</v>
      </c>
      <c r="F28" s="22">
        <f>D28+E28</f>
        <v/>
      </c>
      <c r="G28" s="7" t="n">
        <v>-0.6208847034560151</v>
      </c>
      <c r="H28" s="7" t="n">
        <v>1.4</v>
      </c>
    </row>
    <row r="29" ht="14" customHeight="1">
      <c r="A29" s="21" t="inlineStr">
        <is>
          <t xml:space="preserve">    Nursery Consumables</t>
        </is>
      </c>
      <c r="B29" s="22" t="n">
        <v>677.01</v>
      </c>
      <c r="C29" s="22" t="n">
        <v>0</v>
      </c>
      <c r="D29" s="22" t="n">
        <v>0</v>
      </c>
      <c r="E29" s="6" t="n">
        <v>0</v>
      </c>
      <c r="F29" s="22">
        <f>D29+E29</f>
        <v/>
      </c>
      <c r="G29" s="7" t="n">
        <v>-1</v>
      </c>
      <c r="H29" s="8" t="n"/>
    </row>
    <row r="30" ht="14" customHeight="1">
      <c r="A30" s="23" t="inlineStr">
        <is>
          <t>Total Childcare Costs</t>
        </is>
      </c>
      <c r="B30" s="24" t="n">
        <v>10167.23</v>
      </c>
      <c r="C30" s="24" t="n">
        <v>5731.79</v>
      </c>
      <c r="D30" s="24" t="n">
        <v>1116</v>
      </c>
      <c r="E30" s="11" t="n">
        <v>1116</v>
      </c>
      <c r="F30" s="24">
        <f>D30+E30</f>
        <v/>
      </c>
      <c r="G30" s="7" t="n">
        <v>-0.436248614421037</v>
      </c>
      <c r="H30" s="7" t="n">
        <v>-0.6105928514478025</v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10800</v>
      </c>
      <c r="C33" s="27" t="n">
        <v>0</v>
      </c>
      <c r="D33" s="27" t="n">
        <v>0</v>
      </c>
      <c r="E33" s="6" t="n">
        <v>0</v>
      </c>
      <c r="F33" s="27">
        <f>D33+E33</f>
        <v/>
      </c>
      <c r="G33" s="7" t="n">
        <v>-1</v>
      </c>
      <c r="H33" s="8" t="n"/>
    </row>
    <row r="34" ht="14" customHeight="1">
      <c r="A34" s="26" t="inlineStr">
        <is>
          <t xml:space="preserve">    Business Rates</t>
        </is>
      </c>
      <c r="B34" s="27" t="n">
        <v>7983.960000000001</v>
      </c>
      <c r="C34" s="27" t="n">
        <v>3825</v>
      </c>
      <c r="D34" s="27" t="n">
        <v>4590</v>
      </c>
      <c r="E34" s="6" t="n">
        <v>4590</v>
      </c>
      <c r="F34" s="27">
        <f>D34+E34</f>
        <v/>
      </c>
      <c r="G34" s="7" t="n">
        <v>-0.5209144334390453</v>
      </c>
      <c r="H34" s="7" t="n">
        <v>1.4</v>
      </c>
    </row>
    <row r="35" ht="14" customHeight="1">
      <c r="A35" s="26" t="inlineStr">
        <is>
          <t xml:space="preserve">    Utilities</t>
        </is>
      </c>
      <c r="B35" s="27" t="n">
        <v>15863.47</v>
      </c>
      <c r="C35" s="27" t="n">
        <v>15566.69</v>
      </c>
      <c r="D35" s="27" t="n">
        <v>8040</v>
      </c>
      <c r="E35" s="6" t="n">
        <v>8040</v>
      </c>
      <c r="F35" s="27">
        <f>D35+E35</f>
        <v/>
      </c>
      <c r="G35" s="7" t="n">
        <v>-0.01870839103928716</v>
      </c>
      <c r="H35" s="7" t="n">
        <v>0.03297489703976886</v>
      </c>
    </row>
    <row r="36" ht="14" customHeight="1">
      <c r="A36" s="26" t="inlineStr">
        <is>
          <t xml:space="preserve">    Repairs &amp; Maintenance</t>
        </is>
      </c>
      <c r="B36" s="27" t="n">
        <v>2133.17</v>
      </c>
      <c r="C36" s="27" t="n">
        <v>0</v>
      </c>
      <c r="D36" s="27" t="n">
        <v>0</v>
      </c>
      <c r="E36" s="6" t="n">
        <v>0</v>
      </c>
      <c r="F36" s="27">
        <f>D36+E36</f>
        <v/>
      </c>
      <c r="G36" s="7" t="n">
        <v>-1</v>
      </c>
      <c r="H36" s="8" t="n"/>
    </row>
    <row r="37" ht="14" customHeight="1">
      <c r="A37" s="26" t="inlineStr">
        <is>
          <t xml:space="preserve">    Cleaning</t>
        </is>
      </c>
      <c r="B37" s="27" t="n">
        <v>1421.15</v>
      </c>
      <c r="C37" s="27" t="n">
        <v>640</v>
      </c>
      <c r="D37" s="27" t="n">
        <v>768</v>
      </c>
      <c r="E37" s="6" t="n">
        <v>768</v>
      </c>
      <c r="F37" s="27">
        <f>D37+E37</f>
        <v/>
      </c>
      <c r="G37" s="7" t="n">
        <v>-0.5496604862259438</v>
      </c>
      <c r="H37" s="7" t="n">
        <v>1.4</v>
      </c>
    </row>
    <row r="38" ht="14" customHeight="1">
      <c r="A38" s="26" t="inlineStr">
        <is>
          <t xml:space="preserve">    Waste Disposal</t>
        </is>
      </c>
      <c r="B38" s="27" t="n">
        <v>5002.1</v>
      </c>
      <c r="C38" s="27" t="n">
        <v>2070</v>
      </c>
      <c r="D38" s="27" t="n">
        <v>2484</v>
      </c>
      <c r="E38" s="6" t="n">
        <v>2484</v>
      </c>
      <c r="F38" s="27">
        <f>D38+E38</f>
        <v/>
      </c>
      <c r="G38" s="7" t="n">
        <v>-0.5861738070010596</v>
      </c>
      <c r="H38" s="7" t="n">
        <v>1.4</v>
      </c>
    </row>
    <row r="39" ht="14" customHeight="1">
      <c r="A39" s="26" t="inlineStr">
        <is>
          <t xml:space="preserve">    Postage/Printing/Stationery</t>
        </is>
      </c>
      <c r="B39" s="27" t="n">
        <v>428.39</v>
      </c>
      <c r="C39" s="27" t="n">
        <v>0</v>
      </c>
      <c r="D39" s="27" t="n">
        <v>0</v>
      </c>
      <c r="E39" s="6" t="n">
        <v>0</v>
      </c>
      <c r="F39" s="27">
        <f>D39+E39</f>
        <v/>
      </c>
      <c r="G39" s="7" t="n">
        <v>-1</v>
      </c>
      <c r="H39" s="8" t="n"/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6" t="n">
        <v>0</v>
      </c>
      <c r="F40" s="27">
        <f>D40+E40</f>
        <v/>
      </c>
      <c r="G40" s="8" t="n"/>
      <c r="H40" s="8" t="n"/>
    </row>
    <row r="41" ht="14" customHeight="1">
      <c r="A41" s="26" t="inlineStr">
        <is>
          <t xml:space="preserve">    Marketing</t>
        </is>
      </c>
      <c r="B41" s="27" t="n">
        <v>412.5</v>
      </c>
      <c r="C41" s="27" t="n">
        <v>690</v>
      </c>
      <c r="D41" s="27" t="n">
        <v>828</v>
      </c>
      <c r="E41" s="6" t="n">
        <v>828</v>
      </c>
      <c r="F41" s="27">
        <f>D41+E41</f>
        <v/>
      </c>
      <c r="G41" s="7" t="n">
        <v>0.6727272727272727</v>
      </c>
      <c r="H41" s="7" t="n">
        <v>1.4</v>
      </c>
    </row>
    <row r="42" ht="14" customHeight="1">
      <c r="A42" s="28" t="inlineStr">
        <is>
          <t>Total Premises &amp; Admin</t>
        </is>
      </c>
      <c r="B42" s="29" t="n">
        <v>44044.74</v>
      </c>
      <c r="C42" s="29" t="n">
        <v>43811.25</v>
      </c>
      <c r="D42" s="29" t="n">
        <v>16710</v>
      </c>
      <c r="E42" s="11" t="n">
        <v>16710</v>
      </c>
      <c r="F42" s="29">
        <f>D42+E42</f>
        <v/>
      </c>
      <c r="G42" s="7" t="n">
        <v>-0.005301200551984141</v>
      </c>
      <c r="H42" s="7" t="n">
        <v>-0.2371822305914577</v>
      </c>
    </row>
    <row r="43" ht="5" customHeight="1"/>
    <row r="44" ht="14" customHeight="1">
      <c r="A44" s="30" t="inlineStr">
        <is>
          <t>Total Direct Costs</t>
        </is>
      </c>
      <c r="B44" s="31" t="n">
        <v>229578.03</v>
      </c>
      <c r="C44" s="31" t="n">
        <v>277391.55</v>
      </c>
      <c r="D44" s="31" t="n">
        <v>136325.88</v>
      </c>
      <c r="E44" s="11" t="n">
        <v>136325.88</v>
      </c>
      <c r="F44" s="31">
        <f>D44+E44</f>
        <v/>
      </c>
      <c r="G44" s="7" t="n">
        <v>0.2082669670089949</v>
      </c>
      <c r="H44" s="7" t="n">
        <v>-0.01708700210947318</v>
      </c>
    </row>
    <row r="45" ht="5" customHeight="1"/>
    <row r="46" ht="14" customHeight="1">
      <c r="A46" s="32" t="inlineStr">
        <is>
          <t>CONTRIBUTION</t>
        </is>
      </c>
      <c r="B46" s="33" t="n">
        <v>6575.920000000013</v>
      </c>
      <c r="C46" s="33" t="n">
        <v>-112557.67</v>
      </c>
      <c r="D46" s="33" t="n">
        <v>-27385.39</v>
      </c>
      <c r="E46" s="11" t="n">
        <v>-27385.39</v>
      </c>
      <c r="F46" s="33">
        <f>D46+E46</f>
        <v/>
      </c>
      <c r="G46" s="7" t="n">
        <v>-18.11664223409041</v>
      </c>
      <c r="H46" s="7" t="n">
        <v>0.5133980651873837</v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6" t="n">
        <v>0</v>
      </c>
      <c r="F49" s="8">
        <f>D49+E49</f>
        <v/>
      </c>
      <c r="G49" s="8" t="n"/>
      <c r="H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6" t="n">
        <v>0</v>
      </c>
      <c r="F50" s="8">
        <f>D50+E50</f>
        <v/>
      </c>
      <c r="G50" s="8" t="n"/>
      <c r="H50" s="8" t="n"/>
    </row>
    <row r="51" ht="14" customHeight="1">
      <c r="A51" s="34" t="inlineStr">
        <is>
          <t xml:space="preserve">    IT Support</t>
        </is>
      </c>
      <c r="B51" s="8" t="n">
        <v>2456.81</v>
      </c>
      <c r="C51" s="8" t="n">
        <v>1075</v>
      </c>
      <c r="D51" s="8" t="n">
        <v>0</v>
      </c>
      <c r="E51" s="6" t="n">
        <v>0</v>
      </c>
      <c r="F51" s="8">
        <f>D51+E51</f>
        <v/>
      </c>
      <c r="G51" s="7" t="n">
        <v>-0.5624407259820662</v>
      </c>
      <c r="H51" s="7" t="n">
        <v>-1</v>
      </c>
    </row>
    <row r="52" ht="14" customHeight="1">
      <c r="A52" s="34" t="inlineStr">
        <is>
          <t xml:space="preserve">    Fees &amp; Subscriptions</t>
        </is>
      </c>
      <c r="B52" s="8" t="n">
        <v>273.61</v>
      </c>
      <c r="C52" s="8" t="n">
        <v>0</v>
      </c>
      <c r="D52" s="8" t="n">
        <v>0</v>
      </c>
      <c r="E52" s="6" t="n">
        <v>0</v>
      </c>
      <c r="F52" s="8">
        <f>D52+E52</f>
        <v/>
      </c>
      <c r="G52" s="7" t="n">
        <v>-1</v>
      </c>
      <c r="H52" s="8" t="n"/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6" t="n">
        <v>0</v>
      </c>
      <c r="F53" s="8">
        <f>D53+E53</f>
        <v/>
      </c>
      <c r="G53" s="8" t="n"/>
      <c r="H53" s="8" t="n"/>
    </row>
    <row r="54" ht="14" customHeight="1">
      <c r="A54" s="34" t="inlineStr">
        <is>
          <t xml:space="preserve">    Professional Fees</t>
        </is>
      </c>
      <c r="B54" s="8" t="n">
        <v>476.5</v>
      </c>
      <c r="C54" s="8" t="n">
        <v>0</v>
      </c>
      <c r="D54" s="8" t="n">
        <v>0</v>
      </c>
      <c r="E54" s="6" t="n">
        <v>0</v>
      </c>
      <c r="F54" s="8">
        <f>D54+E54</f>
        <v/>
      </c>
      <c r="G54" s="7" t="n">
        <v>-1</v>
      </c>
      <c r="H54" s="8" t="n"/>
    </row>
    <row r="55" ht="14" customHeight="1">
      <c r="A55" s="34" t="inlineStr">
        <is>
          <t xml:space="preserve">    Finance Costs</t>
        </is>
      </c>
      <c r="B55" s="8" t="n">
        <v>-78.61</v>
      </c>
      <c r="C55" s="8" t="n">
        <v>0</v>
      </c>
      <c r="D55" s="8" t="n">
        <v>0</v>
      </c>
      <c r="E55" s="6" t="n">
        <v>0</v>
      </c>
      <c r="F55" s="8">
        <f>D55+E55</f>
        <v/>
      </c>
      <c r="G55" s="7" t="n">
        <v>1</v>
      </c>
      <c r="H55" s="8" t="n"/>
    </row>
    <row r="56" ht="14" customHeight="1">
      <c r="A56" s="30" t="inlineStr">
        <is>
          <t>Total Overheads</t>
        </is>
      </c>
      <c r="B56" s="31" t="n">
        <v>4157.22</v>
      </c>
      <c r="C56" s="31" t="n">
        <v>104053.5</v>
      </c>
      <c r="D56" s="31" t="n">
        <v>0</v>
      </c>
      <c r="E56" s="11" t="n">
        <v>0</v>
      </c>
      <c r="F56" s="31">
        <f>D56+E56</f>
        <v/>
      </c>
      <c r="G56" s="7" t="n">
        <v>24.02958707982738</v>
      </c>
      <c r="H56" s="7" t="n">
        <v>-1</v>
      </c>
    </row>
    <row r="57" ht="5" customHeight="1"/>
    <row r="58" ht="14" customHeight="1">
      <c r="A58" s="35" t="inlineStr">
        <is>
          <t>EBITDA</t>
        </is>
      </c>
      <c r="B58" s="36" t="n">
        <v>2418.700000000013</v>
      </c>
      <c r="C58" s="36" t="n">
        <v>-216611.17</v>
      </c>
      <c r="D58" s="36" t="n">
        <v>-27385.39</v>
      </c>
      <c r="E58" s="11" t="n">
        <v>-27385.39</v>
      </c>
      <c r="F58" s="36">
        <f>D58+E58</f>
        <v/>
      </c>
      <c r="G58" s="7" t="n">
        <v>-90.55685698929132</v>
      </c>
      <c r="H58" s="7" t="n">
        <v>0.7471470192418979</v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Abacus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644469.1699999999</v>
      </c>
      <c r="C4" s="5" t="n">
        <v>331336.51</v>
      </c>
      <c r="D4" s="5" t="n">
        <v>658468.28</v>
      </c>
      <c r="E4" s="38" t="n">
        <v>658468.28</v>
      </c>
      <c r="F4" s="5">
        <f>D4+E4</f>
        <v/>
      </c>
      <c r="G4" s="7" t="n">
        <v>-0.4858768651415861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303898.21</v>
      </c>
      <c r="C5" s="5" t="n">
        <v>144566</v>
      </c>
      <c r="D5" s="5" t="n">
        <v>0</v>
      </c>
      <c r="E5" s="38" t="n">
        <v>0</v>
      </c>
      <c r="F5" s="5">
        <f>D5+E5</f>
        <v/>
      </c>
      <c r="G5" s="7" t="n">
        <v>-0.5242946643219781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2440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950807.38</v>
      </c>
      <c r="C7" s="10" t="n">
        <v>1156529.85</v>
      </c>
      <c r="D7" s="10" t="n">
        <v>658468.28</v>
      </c>
      <c r="E7" s="39" t="n">
        <v>658468.28</v>
      </c>
      <c r="F7" s="10">
        <f>D7+E7</f>
        <v/>
      </c>
      <c r="G7" s="7" t="n">
        <v>0.2163660845796128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419832.17</v>
      </c>
      <c r="C11" s="15" t="n">
        <v>503421.1</v>
      </c>
      <c r="D11" s="15" t="n">
        <v>264476.58</v>
      </c>
      <c r="E11" s="38" t="n">
        <v>264476.58</v>
      </c>
      <c r="F11" s="15">
        <f>D11+E11</f>
        <v/>
      </c>
      <c r="G11" s="7" t="n">
        <v>0.1991008216449921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37810.1</v>
      </c>
      <c r="C12" s="15" t="n">
        <v>48170.45</v>
      </c>
      <c r="D12" s="15" t="n">
        <v>25739.52</v>
      </c>
      <c r="E12" s="38" t="n">
        <v>25739.52</v>
      </c>
      <c r="F12" s="15">
        <f>D12+E12</f>
        <v/>
      </c>
      <c r="G12" s="7" t="n">
        <v>0.2740101189893706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7724.320000000001</v>
      </c>
      <c r="C13" s="15" t="n">
        <v>7770.599999999999</v>
      </c>
      <c r="D13" s="15" t="n">
        <v>4237.74</v>
      </c>
      <c r="E13" s="38" t="n">
        <v>4237.74</v>
      </c>
      <c r="F13" s="15">
        <f>D13+E13</f>
        <v/>
      </c>
      <c r="G13" s="7" t="n">
        <v>0.005991465915446127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710.6</v>
      </c>
      <c r="C14" s="15" t="n">
        <v>865</v>
      </c>
      <c r="D14" s="15" t="n">
        <v>1038</v>
      </c>
      <c r="E14" s="38" t="n">
        <v>1038</v>
      </c>
      <c r="F14" s="15">
        <f>D14+E14</f>
        <v/>
      </c>
      <c r="G14" s="7" t="n">
        <v>0.2172811708415423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1648</v>
      </c>
      <c r="C15" s="15" t="n">
        <v>1615</v>
      </c>
      <c r="D15" s="15" t="n">
        <v>1938</v>
      </c>
      <c r="E15" s="38" t="n">
        <v>1938</v>
      </c>
      <c r="F15" s="15">
        <f>D15+E15</f>
        <v/>
      </c>
      <c r="G15" s="7" t="n">
        <v>-0.0200242718446602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2860.2</v>
      </c>
      <c r="C16" s="15" t="n">
        <v>1055</v>
      </c>
      <c r="D16" s="15" t="n">
        <v>1266</v>
      </c>
      <c r="E16" s="38" t="n">
        <v>1266</v>
      </c>
      <c r="F16" s="15">
        <f>D16+E16</f>
        <v/>
      </c>
      <c r="G16" s="7" t="n">
        <v>-0.6311446751975386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644.48</v>
      </c>
      <c r="C18" s="15" t="n">
        <v>605</v>
      </c>
      <c r="D18" s="15" t="n">
        <v>726</v>
      </c>
      <c r="E18" s="38" t="n">
        <v>726</v>
      </c>
      <c r="F18" s="15">
        <f>D18+E18</f>
        <v/>
      </c>
      <c r="G18" s="7" t="n">
        <v>-0.06125868917576964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471229.87</v>
      </c>
      <c r="C20" s="17" t="n">
        <v>569930.9399999999</v>
      </c>
      <c r="D20" s="17" t="n">
        <v>299421.84</v>
      </c>
      <c r="E20" s="39" t="n">
        <v>299421.84</v>
      </c>
      <c r="F20" s="17">
        <f>D20+E20</f>
        <v/>
      </c>
      <c r="G20" s="7" t="n">
        <v>0.2094541884622041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0.4956102360080545</v>
      </c>
      <c r="C21" s="19" t="n">
        <v>0.492793973281364</v>
      </c>
      <c r="D21" s="19" t="n">
        <v>0.4547247742898108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19564.2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6829.97</v>
      </c>
      <c r="C25" s="22" t="n">
        <v>500</v>
      </c>
      <c r="D25" s="22" t="n">
        <v>600</v>
      </c>
      <c r="E25" s="38" t="n">
        <v>600</v>
      </c>
      <c r="F25" s="22">
        <f>D25+E25</f>
        <v/>
      </c>
      <c r="G25" s="7" t="n">
        <v>-0.9267932362806864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2476.97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876.47</v>
      </c>
      <c r="C27" s="22" t="n">
        <v>500</v>
      </c>
      <c r="D27" s="22" t="n">
        <v>600</v>
      </c>
      <c r="E27" s="38" t="n">
        <v>600</v>
      </c>
      <c r="F27" s="22">
        <f>D27+E27</f>
        <v/>
      </c>
      <c r="G27" s="7" t="n">
        <v>-0.4295298184763883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1938.2</v>
      </c>
      <c r="C28" s="22" t="n">
        <v>500</v>
      </c>
      <c r="D28" s="22" t="n">
        <v>600</v>
      </c>
      <c r="E28" s="38" t="n">
        <v>600</v>
      </c>
      <c r="F28" s="22">
        <f>D28+E28</f>
        <v/>
      </c>
      <c r="G28" s="7" t="n">
        <v>-0.7420286864100712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3010.72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34696.53</v>
      </c>
      <c r="C30" s="24" t="n">
        <v>24753.06</v>
      </c>
      <c r="D30" s="24" t="n">
        <v>1800</v>
      </c>
      <c r="E30" s="39" t="n">
        <v>1800</v>
      </c>
      <c r="F30" s="24">
        <f>D30+E30</f>
        <v/>
      </c>
      <c r="G30" s="7" t="n">
        <v>-0.2865839898110849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20459.04</v>
      </c>
      <c r="C34" s="27" t="n">
        <v>9116.25</v>
      </c>
      <c r="D34" s="27" t="n">
        <v>10939.5</v>
      </c>
      <c r="E34" s="38" t="n">
        <v>10939.5</v>
      </c>
      <c r="F34" s="27">
        <f>D34+E34</f>
        <v/>
      </c>
      <c r="G34" s="7" t="n">
        <v>-0.554414576637027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16090.28</v>
      </c>
      <c r="C35" s="27" t="n">
        <v>11151.36</v>
      </c>
      <c r="D35" s="27" t="n">
        <v>8574</v>
      </c>
      <c r="E35" s="38" t="n">
        <v>8574</v>
      </c>
      <c r="F35" s="27">
        <f>D35+E35</f>
        <v/>
      </c>
      <c r="G35" s="7" t="n">
        <v>-0.3069505316253042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7897.56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14889.17</v>
      </c>
      <c r="C37" s="27" t="n">
        <v>2000</v>
      </c>
      <c r="D37" s="27" t="n">
        <v>2400</v>
      </c>
      <c r="E37" s="38" t="n">
        <v>2400</v>
      </c>
      <c r="F37" s="27">
        <f>D37+E37</f>
        <v/>
      </c>
      <c r="G37" s="7" t="n">
        <v>-0.8656741779427597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4863.360000000001</v>
      </c>
      <c r="C38" s="27" t="n">
        <v>2000</v>
      </c>
      <c r="D38" s="27" t="n">
        <v>2400</v>
      </c>
      <c r="E38" s="38" t="n">
        <v>2400</v>
      </c>
      <c r="F38" s="27">
        <f>D38+E38</f>
        <v/>
      </c>
      <c r="G38" s="7" t="n">
        <v>-0.5887616791683117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1009.61</v>
      </c>
      <c r="C39" s="27" t="n">
        <v>530</v>
      </c>
      <c r="D39" s="27" t="n">
        <v>636</v>
      </c>
      <c r="E39" s="38" t="n">
        <v>636</v>
      </c>
      <c r="F39" s="27">
        <f>D39+E39</f>
        <v/>
      </c>
      <c r="G39" s="7" t="n">
        <v>-0.4750448192866553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678.8100000000001</v>
      </c>
      <c r="C41" s="27" t="n">
        <v>530</v>
      </c>
      <c r="D41" s="27" t="n">
        <v>636</v>
      </c>
      <c r="E41" s="38" t="n">
        <v>636</v>
      </c>
      <c r="F41" s="27">
        <f>D41+E41</f>
        <v/>
      </c>
      <c r="G41" s="7" t="n">
        <v>-0.2192218735728702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65887.83</v>
      </c>
      <c r="C42" s="29" t="n">
        <v>57349.37</v>
      </c>
      <c r="D42" s="29" t="n">
        <v>25585.5</v>
      </c>
      <c r="E42" s="39" t="n">
        <v>25585.5</v>
      </c>
      <c r="F42" s="29">
        <f>D42+E42</f>
        <v/>
      </c>
      <c r="G42" s="7" t="n">
        <v>-0.1295908516033993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571814.23</v>
      </c>
      <c r="C44" s="31" t="n">
        <v>652033.37</v>
      </c>
      <c r="D44" s="31" t="n">
        <v>326807.34</v>
      </c>
      <c r="E44" s="39" t="n">
        <v>326807.34</v>
      </c>
      <c r="F44" s="31">
        <f>D44+E44</f>
        <v/>
      </c>
      <c r="G44" s="7" t="n">
        <v>0.1402888137288924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378993.15</v>
      </c>
      <c r="C46" s="33" t="n">
        <v>504496.4800000001</v>
      </c>
      <c r="D46" s="33" t="n">
        <v>331660.9400000001</v>
      </c>
      <c r="E46" s="39" t="n">
        <v>331660.9400000001</v>
      </c>
      <c r="F46" s="33">
        <f>D46+E46</f>
        <v/>
      </c>
      <c r="G46" s="7" t="n">
        <v>0.331149336076391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0</v>
      </c>
      <c r="D51" s="8" t="n">
        <v>0</v>
      </c>
      <c r="E51" s="38" t="n">
        <v>0</v>
      </c>
      <c r="F51" s="8">
        <f>D51+E51</f>
        <v/>
      </c>
      <c r="G51" s="7" t="n">
        <v>-1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136.6</v>
      </c>
      <c r="C52" s="8" t="n">
        <v>25</v>
      </c>
      <c r="D52" s="8" t="n">
        <v>30</v>
      </c>
      <c r="E52" s="38" t="n">
        <v>30</v>
      </c>
      <c r="F52" s="8">
        <f>D52+E52</f>
        <v/>
      </c>
      <c r="G52" s="7" t="n">
        <v>-0.8169838945827232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220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7" t="n">
        <v>-1</v>
      </c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3754.83</v>
      </c>
      <c r="C56" s="31" t="n">
        <v>622923.4300000002</v>
      </c>
      <c r="D56" s="31" t="n">
        <v>30</v>
      </c>
      <c r="E56" s="39" t="n">
        <v>30</v>
      </c>
      <c r="F56" s="31">
        <f>D56+E56</f>
        <v/>
      </c>
      <c r="G56" s="7" t="n">
        <v>164.899236450119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375238.32</v>
      </c>
      <c r="C58" s="36" t="n">
        <v>-118426.9500000001</v>
      </c>
      <c r="D58" s="36" t="n">
        <v>331630.9400000001</v>
      </c>
      <c r="E58" s="39" t="n">
        <v>331630.9400000001</v>
      </c>
      <c r="F58" s="36">
        <f>D58+E58</f>
        <v/>
      </c>
      <c r="G58" s="7" t="n">
        <v>-1.315604626947483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Bees Knees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328920.81</v>
      </c>
      <c r="C4" s="5" t="n">
        <v>88671</v>
      </c>
      <c r="D4" s="5" t="n">
        <v>234036.19</v>
      </c>
      <c r="E4" s="38" t="n">
        <v>234036.19</v>
      </c>
      <c r="F4" s="5">
        <f>D4+E4</f>
        <v/>
      </c>
      <c r="G4" s="7" t="n">
        <v>-0.7304183946281781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184682.79</v>
      </c>
      <c r="C5" s="5" t="n">
        <v>60880.02</v>
      </c>
      <c r="D5" s="5" t="n">
        <v>0</v>
      </c>
      <c r="E5" s="38" t="n">
        <v>0</v>
      </c>
      <c r="F5" s="5">
        <f>D5+E5</f>
        <v/>
      </c>
      <c r="G5" s="7" t="n">
        <v>-0.6703535830274169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4568.76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518172.36</v>
      </c>
      <c r="C7" s="10" t="n">
        <v>448382.15</v>
      </c>
      <c r="D7" s="10" t="n">
        <v>234036.19</v>
      </c>
      <c r="E7" s="39" t="n">
        <v>234036.19</v>
      </c>
      <c r="F7" s="10">
        <f>D7+E7</f>
        <v/>
      </c>
      <c r="G7" s="7" t="n">
        <v>-0.1346853197650295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254723.16</v>
      </c>
      <c r="C11" s="15" t="n">
        <v>277804.71</v>
      </c>
      <c r="D11" s="15" t="n">
        <v>139359.6</v>
      </c>
      <c r="E11" s="38" t="n">
        <v>139359.6</v>
      </c>
      <c r="F11" s="15">
        <f>D11+E11</f>
        <v/>
      </c>
      <c r="G11" s="7" t="n">
        <v>0.09061425745503456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27633.4</v>
      </c>
      <c r="C12" s="15" t="n">
        <v>27982.84</v>
      </c>
      <c r="D12" s="15" t="n">
        <v>13062.6</v>
      </c>
      <c r="E12" s="38" t="n">
        <v>13062.6</v>
      </c>
      <c r="F12" s="15">
        <f>D12+E12</f>
        <v/>
      </c>
      <c r="G12" s="7" t="n">
        <v>0.01264556659694423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4900.1</v>
      </c>
      <c r="C13" s="15" t="n">
        <v>5121.39</v>
      </c>
      <c r="D13" s="15" t="n">
        <v>2482.56</v>
      </c>
      <c r="E13" s="38" t="n">
        <v>2482.56</v>
      </c>
      <c r="F13" s="15">
        <f>D13+E13</f>
        <v/>
      </c>
      <c r="G13" s="7" t="n">
        <v>0.04516030285096222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838.3</v>
      </c>
      <c r="C14" s="15" t="n">
        <v>250</v>
      </c>
      <c r="D14" s="15" t="n">
        <v>300</v>
      </c>
      <c r="E14" s="38" t="n">
        <v>300</v>
      </c>
      <c r="F14" s="15">
        <f>D14+E14</f>
        <v/>
      </c>
      <c r="G14" s="7" t="n">
        <v>-0.7017774066563283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1354.6</v>
      </c>
      <c r="C15" s="15" t="n">
        <v>0</v>
      </c>
      <c r="D15" s="15" t="n">
        <v>0</v>
      </c>
      <c r="E15" s="38" t="n">
        <v>0</v>
      </c>
      <c r="F15" s="15">
        <f>D15+E15</f>
        <v/>
      </c>
      <c r="G15" s="7" t="n">
        <v>-1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2314.25</v>
      </c>
      <c r="C16" s="15" t="n">
        <v>400</v>
      </c>
      <c r="D16" s="15" t="n">
        <v>480</v>
      </c>
      <c r="E16" s="38" t="n">
        <v>480</v>
      </c>
      <c r="F16" s="15">
        <f>D16+E16</f>
        <v/>
      </c>
      <c r="G16" s="7" t="n">
        <v>-0.8271578265096684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3861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7" t="n">
        <v>-1</v>
      </c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175.09</v>
      </c>
      <c r="C18" s="15" t="n">
        <v>165</v>
      </c>
      <c r="D18" s="15" t="n">
        <v>198</v>
      </c>
      <c r="E18" s="38" t="n">
        <v>198</v>
      </c>
      <c r="F18" s="15">
        <f>D18+E18</f>
        <v/>
      </c>
      <c r="G18" s="7" t="n">
        <v>-0.05762750585413218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475.44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7" t="n">
        <v>-1</v>
      </c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296275.34</v>
      </c>
      <c r="C20" s="17" t="n">
        <v>315344.03</v>
      </c>
      <c r="D20" s="17" t="n">
        <v>155882.76</v>
      </c>
      <c r="E20" s="39" t="n">
        <v>155882.76</v>
      </c>
      <c r="F20" s="17">
        <f>D20+E20</f>
        <v/>
      </c>
      <c r="G20" s="7" t="n">
        <v>0.06436138086956546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0.5717698643748579</v>
      </c>
      <c r="C21" s="19" t="n">
        <v>0.7032930057541319</v>
      </c>
      <c r="D21" s="19" t="n">
        <v>0.6660626290318604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12751.05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1682.97</v>
      </c>
      <c r="C25" s="22" t="n">
        <v>250</v>
      </c>
      <c r="D25" s="22" t="n">
        <v>300</v>
      </c>
      <c r="E25" s="38" t="n">
        <v>300</v>
      </c>
      <c r="F25" s="22">
        <f>D25+E25</f>
        <v/>
      </c>
      <c r="G25" s="7" t="n">
        <v>-0.8514530859135933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716.27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668.8199999999999</v>
      </c>
      <c r="C27" s="22" t="n">
        <v>250</v>
      </c>
      <c r="D27" s="22" t="n">
        <v>300</v>
      </c>
      <c r="E27" s="38" t="n">
        <v>300</v>
      </c>
      <c r="F27" s="22">
        <f>D27+E27</f>
        <v/>
      </c>
      <c r="G27" s="7" t="n">
        <v>-0.6262073502586645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1579.12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-0.8416839758853032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1720.45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19118.68</v>
      </c>
      <c r="C30" s="24" t="n">
        <v>12195.94</v>
      </c>
      <c r="D30" s="24" t="n">
        <v>900</v>
      </c>
      <c r="E30" s="39" t="n">
        <v>900</v>
      </c>
      <c r="F30" s="24">
        <f>D30+E30</f>
        <v/>
      </c>
      <c r="G30" s="7" t="n">
        <v>-0.3620929896833882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12724.56</v>
      </c>
      <c r="C34" s="27" t="n">
        <v>5893.333333333335</v>
      </c>
      <c r="D34" s="27" t="n">
        <v>7072.000000000002</v>
      </c>
      <c r="E34" s="38" t="n">
        <v>7072.000000000002</v>
      </c>
      <c r="F34" s="27">
        <f>D34+E34</f>
        <v/>
      </c>
      <c r="G34" s="7" t="n">
        <v>-0.5368536646191826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9870.799999999999</v>
      </c>
      <c r="C35" s="27" t="n">
        <v>6152.78</v>
      </c>
      <c r="D35" s="27" t="n">
        <v>4848</v>
      </c>
      <c r="E35" s="38" t="n">
        <v>4848</v>
      </c>
      <c r="F35" s="27">
        <f>D35+E35</f>
        <v/>
      </c>
      <c r="G35" s="7" t="n">
        <v>-0.3766685577663411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16386.79</v>
      </c>
      <c r="C36" s="27" t="n">
        <v>4000</v>
      </c>
      <c r="D36" s="27" t="n">
        <v>0</v>
      </c>
      <c r="E36" s="38" t="n">
        <v>0</v>
      </c>
      <c r="F36" s="27">
        <f>D36+E36</f>
        <v/>
      </c>
      <c r="G36" s="7" t="n">
        <v>-0.7559009421613385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3308.02</v>
      </c>
      <c r="C37" s="27" t="n">
        <v>1550</v>
      </c>
      <c r="D37" s="27" t="n">
        <v>1860</v>
      </c>
      <c r="E37" s="38" t="n">
        <v>1860</v>
      </c>
      <c r="F37" s="27">
        <f>D37+E37</f>
        <v/>
      </c>
      <c r="G37" s="7" t="n">
        <v>-0.5314417687922081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4964.78</v>
      </c>
      <c r="C38" s="27" t="n">
        <v>1925</v>
      </c>
      <c r="D38" s="27" t="n">
        <v>2310</v>
      </c>
      <c r="E38" s="38" t="n">
        <v>2310</v>
      </c>
      <c r="F38" s="27">
        <f>D38+E38</f>
        <v/>
      </c>
      <c r="G38" s="7" t="n">
        <v>-0.6122688215792039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722.87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505.41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-0.01070418076413214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48483.23</v>
      </c>
      <c r="C42" s="29" t="n">
        <v>38668.14333333334</v>
      </c>
      <c r="D42" s="29" t="n">
        <v>16690</v>
      </c>
      <c r="E42" s="39" t="n">
        <v>16690</v>
      </c>
      <c r="F42" s="29">
        <f>D42+E42</f>
        <v/>
      </c>
      <c r="G42" s="7" t="n">
        <v>-0.2024429202977331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363877.25</v>
      </c>
      <c r="C44" s="31" t="n">
        <v>366208.1133333334</v>
      </c>
      <c r="D44" s="31" t="n">
        <v>173472.76</v>
      </c>
      <c r="E44" s="39" t="n">
        <v>173472.76</v>
      </c>
      <c r="F44" s="31">
        <f>D44+E44</f>
        <v/>
      </c>
      <c r="G44" s="7" t="n">
        <v>0.006405630836589537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154295.11</v>
      </c>
      <c r="C46" s="33" t="n">
        <v>82174.03666666662</v>
      </c>
      <c r="D46" s="33" t="n">
        <v>60563.42999999999</v>
      </c>
      <c r="E46" s="39" t="n">
        <v>60563.42999999999</v>
      </c>
      <c r="F46" s="33">
        <f>D46+E46</f>
        <v/>
      </c>
      <c r="G46" s="7" t="n">
        <v>-0.4674229360433611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2600.82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-0.5866688198337447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91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3461.76</v>
      </c>
      <c r="C56" s="31" t="n">
        <v>283860.53</v>
      </c>
      <c r="D56" s="31" t="n">
        <v>0</v>
      </c>
      <c r="E56" s="39" t="n">
        <v>0</v>
      </c>
      <c r="F56" s="31">
        <f>D56+E56</f>
        <v/>
      </c>
      <c r="G56" s="7" t="n">
        <v>80.99890518117951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150833.35</v>
      </c>
      <c r="C58" s="36" t="n">
        <v>-201686.4933333334</v>
      </c>
      <c r="D58" s="36" t="n">
        <v>60563.42999999999</v>
      </c>
      <c r="E58" s="39" t="n">
        <v>60563.42999999999</v>
      </c>
      <c r="F58" s="36">
        <f>D58+E58</f>
        <v/>
      </c>
      <c r="G58" s="7" t="n">
        <v>-2.337147874348302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Bramley Wood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1382224.82</v>
      </c>
      <c r="C4" s="5" t="n">
        <v>437627.68</v>
      </c>
      <c r="D4" s="5" t="n">
        <v>877897.65</v>
      </c>
      <c r="E4" s="38" t="n">
        <v>877897.65</v>
      </c>
      <c r="F4" s="5">
        <f>D4+E4</f>
        <v/>
      </c>
      <c r="G4" s="7" t="n">
        <v>-0.6833889294507098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627012.6899999999</v>
      </c>
      <c r="C5" s="5" t="n">
        <v>244457</v>
      </c>
      <c r="D5" s="5" t="n">
        <v>0</v>
      </c>
      <c r="E5" s="38" t="n">
        <v>0</v>
      </c>
      <c r="F5" s="5">
        <f>D5+E5</f>
        <v/>
      </c>
      <c r="G5" s="7" t="n">
        <v>-0.6101243182175468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14751.66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2023989.17</v>
      </c>
      <c r="C7" s="10" t="n">
        <v>1917721.88</v>
      </c>
      <c r="D7" s="10" t="n">
        <v>877897.65</v>
      </c>
      <c r="E7" s="39" t="n">
        <v>877897.65</v>
      </c>
      <c r="F7" s="10">
        <f>D7+E7</f>
        <v/>
      </c>
      <c r="G7" s="7" t="n">
        <v>-0.05250388271593372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829621.37</v>
      </c>
      <c r="C11" s="15" t="n">
        <v>788737.52</v>
      </c>
      <c r="D11" s="15" t="n">
        <v>402259.8</v>
      </c>
      <c r="E11" s="38" t="n">
        <v>402259.8</v>
      </c>
      <c r="F11" s="15">
        <f>D11+E11</f>
        <v/>
      </c>
      <c r="G11" s="7" t="n">
        <v>-0.04928013124830666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78501.84</v>
      </c>
      <c r="C12" s="15" t="n">
        <v>76209.17</v>
      </c>
      <c r="D12" s="15" t="n">
        <v>39102.48</v>
      </c>
      <c r="E12" s="38" t="n">
        <v>39102.48</v>
      </c>
      <c r="F12" s="15">
        <f>D12+E12</f>
        <v/>
      </c>
      <c r="G12" s="7" t="n">
        <v>-0.02920530270373278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14260.34</v>
      </c>
      <c r="C13" s="15" t="n">
        <v>12966.6</v>
      </c>
      <c r="D13" s="15" t="n">
        <v>6525.900000000001</v>
      </c>
      <c r="E13" s="38" t="n">
        <v>6525.900000000001</v>
      </c>
      <c r="F13" s="15">
        <f>D13+E13</f>
        <v/>
      </c>
      <c r="G13" s="7" t="n">
        <v>-0.09072294208973979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1747.69</v>
      </c>
      <c r="C14" s="15" t="n">
        <v>880</v>
      </c>
      <c r="D14" s="15" t="n">
        <v>1056</v>
      </c>
      <c r="E14" s="38" t="n">
        <v>1056</v>
      </c>
      <c r="F14" s="15">
        <f>D14+E14</f>
        <v/>
      </c>
      <c r="G14" s="7" t="n">
        <v>-0.496478208377916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1535.28</v>
      </c>
      <c r="C15" s="15" t="n">
        <v>2500</v>
      </c>
      <c r="D15" s="15" t="n">
        <v>3000</v>
      </c>
      <c r="E15" s="38" t="n">
        <v>3000</v>
      </c>
      <c r="F15" s="15">
        <f>D15+E15</f>
        <v/>
      </c>
      <c r="G15" s="7" t="n">
        <v>0.628367463915377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3063.15</v>
      </c>
      <c r="C16" s="15" t="n">
        <v>1800</v>
      </c>
      <c r="D16" s="15" t="n">
        <v>2160</v>
      </c>
      <c r="E16" s="38" t="n">
        <v>2160</v>
      </c>
      <c r="F16" s="15">
        <f>D16+E16</f>
        <v/>
      </c>
      <c r="G16" s="7" t="n">
        <v>-0.4123696195093287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64.8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7" t="n">
        <v>-1</v>
      </c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149.12</v>
      </c>
      <c r="C18" s="15" t="n">
        <v>750</v>
      </c>
      <c r="D18" s="15" t="n">
        <v>900</v>
      </c>
      <c r="E18" s="38" t="n">
        <v>900</v>
      </c>
      <c r="F18" s="15">
        <f>D18+E18</f>
        <v/>
      </c>
      <c r="G18" s="7" t="n">
        <v>4.02950643776824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928943.59</v>
      </c>
      <c r="C20" s="17" t="n">
        <v>887428.4300000001</v>
      </c>
      <c r="D20" s="17" t="n">
        <v>455004.18</v>
      </c>
      <c r="E20" s="39" t="n">
        <v>455004.18</v>
      </c>
      <c r="F20" s="17">
        <f>D20+E20</f>
        <v/>
      </c>
      <c r="G20" s="7" t="n">
        <v>-0.04469072228594625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0.4589666801428587</v>
      </c>
      <c r="C21" s="19" t="n">
        <v>0.4627513714345274</v>
      </c>
      <c r="D21" s="19" t="n">
        <v>0.5182884132335928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55127.88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5621.59</v>
      </c>
      <c r="C25" s="22" t="n">
        <v>500</v>
      </c>
      <c r="D25" s="22" t="n">
        <v>600</v>
      </c>
      <c r="E25" s="38" t="n">
        <v>600</v>
      </c>
      <c r="F25" s="22">
        <f>D25+E25</f>
        <v/>
      </c>
      <c r="G25" s="7" t="n">
        <v>-0.9110571920043974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2918.59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573.1799999999999</v>
      </c>
      <c r="C27" s="22" t="n">
        <v>1390</v>
      </c>
      <c r="D27" s="22" t="n">
        <v>1668</v>
      </c>
      <c r="E27" s="38" t="n">
        <v>1668</v>
      </c>
      <c r="F27" s="22">
        <f>D27+E27</f>
        <v/>
      </c>
      <c r="G27" s="7" t="n">
        <v>1.425067169126627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2463.73</v>
      </c>
      <c r="C28" s="22" t="n">
        <v>500</v>
      </c>
      <c r="D28" s="22" t="n">
        <v>600</v>
      </c>
      <c r="E28" s="38" t="n">
        <v>600</v>
      </c>
      <c r="F28" s="22">
        <f>D28+E28</f>
        <v/>
      </c>
      <c r="G28" s="7" t="n">
        <v>-0.7970556838614621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9381.190000000001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76086.16</v>
      </c>
      <c r="C30" s="24" t="n">
        <v>46849.2</v>
      </c>
      <c r="D30" s="24" t="n">
        <v>2868</v>
      </c>
      <c r="E30" s="39" t="n">
        <v>2868</v>
      </c>
      <c r="F30" s="24">
        <f>D30+E30</f>
        <v/>
      </c>
      <c r="G30" s="7" t="n">
        <v>-0.3842612112373657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36757.92</v>
      </c>
      <c r="C34" s="27" t="n">
        <v>15618.75</v>
      </c>
      <c r="D34" s="27" t="n">
        <v>18742.5</v>
      </c>
      <c r="E34" s="38" t="n">
        <v>18742.5</v>
      </c>
      <c r="F34" s="27">
        <f>D34+E34</f>
        <v/>
      </c>
      <c r="G34" s="7" t="n">
        <v>-0.5750915721020122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35114.95</v>
      </c>
      <c r="C35" s="27" t="n">
        <v>25692.03</v>
      </c>
      <c r="D35" s="27" t="n">
        <v>18828</v>
      </c>
      <c r="E35" s="38" t="n">
        <v>18828</v>
      </c>
      <c r="F35" s="27">
        <f>D35+E35</f>
        <v/>
      </c>
      <c r="G35" s="7" t="n">
        <v>-0.2683449641819225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11201.75</v>
      </c>
      <c r="C36" s="27" t="n">
        <v>1500</v>
      </c>
      <c r="D36" s="27" t="n">
        <v>0</v>
      </c>
      <c r="E36" s="38" t="n">
        <v>0</v>
      </c>
      <c r="F36" s="27">
        <f>D36+E36</f>
        <v/>
      </c>
      <c r="G36" s="7" t="n">
        <v>-0.8660923516414846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50742.12</v>
      </c>
      <c r="C37" s="27" t="n">
        <v>21500</v>
      </c>
      <c r="D37" s="27" t="n">
        <v>25800</v>
      </c>
      <c r="E37" s="38" t="n">
        <v>25800</v>
      </c>
      <c r="F37" s="27">
        <f>D37+E37</f>
        <v/>
      </c>
      <c r="G37" s="7" t="n">
        <v>-0.5762888897822953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9001.83</v>
      </c>
      <c r="C38" s="27" t="n">
        <v>3730</v>
      </c>
      <c r="D38" s="27" t="n">
        <v>4476</v>
      </c>
      <c r="E38" s="38" t="n">
        <v>4476</v>
      </c>
      <c r="F38" s="27">
        <f>D38+E38</f>
        <v/>
      </c>
      <c r="G38" s="7" t="n">
        <v>-0.585639808794434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1119.1</v>
      </c>
      <c r="C39" s="27" t="n">
        <v>750</v>
      </c>
      <c r="D39" s="27" t="n">
        <v>900</v>
      </c>
      <c r="E39" s="38" t="n">
        <v>900</v>
      </c>
      <c r="F39" s="27">
        <f>D39+E39</f>
        <v/>
      </c>
      <c r="G39" s="7" t="n">
        <v>-0.3298186042355464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895.02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-0.4413532658488079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144832.69</v>
      </c>
      <c r="C42" s="29" t="n">
        <v>141671.02</v>
      </c>
      <c r="D42" s="29" t="n">
        <v>69346.5</v>
      </c>
      <c r="E42" s="39" t="n">
        <v>69346.5</v>
      </c>
      <c r="F42" s="29">
        <f>D42+E42</f>
        <v/>
      </c>
      <c r="G42" s="7" t="n">
        <v>-0.02182980927855433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1149862.44</v>
      </c>
      <c r="C44" s="31" t="n">
        <v>1075948.65</v>
      </c>
      <c r="D44" s="31" t="n">
        <v>527218.6799999999</v>
      </c>
      <c r="E44" s="39" t="n">
        <v>527218.6799999999</v>
      </c>
      <c r="F44" s="31">
        <f>D44+E44</f>
        <v/>
      </c>
      <c r="G44" s="7" t="n">
        <v>-0.06428054994126084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874126.73</v>
      </c>
      <c r="C46" s="33" t="n">
        <v>841773.23</v>
      </c>
      <c r="D46" s="33" t="n">
        <v>350678.9700000001</v>
      </c>
      <c r="E46" s="39" t="n">
        <v>350678.9700000001</v>
      </c>
      <c r="F46" s="33">
        <f>D46+E46</f>
        <v/>
      </c>
      <c r="G46" s="7" t="n">
        <v>-0.03701236776045048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2538.3</v>
      </c>
      <c r="C51" s="8" t="n">
        <v>1074</v>
      </c>
      <c r="D51" s="8" t="n">
        <v>0</v>
      </c>
      <c r="E51" s="38" t="n">
        <v>0</v>
      </c>
      <c r="F51" s="8">
        <f>D51+E51</f>
        <v/>
      </c>
      <c r="G51" s="7" t="n">
        <v>-0.5768821652286964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151</v>
      </c>
      <c r="C52" s="8" t="n">
        <v>18</v>
      </c>
      <c r="D52" s="8" t="n">
        <v>21.6</v>
      </c>
      <c r="E52" s="38" t="n">
        <v>21.6</v>
      </c>
      <c r="F52" s="8">
        <f>D52+E52</f>
        <v/>
      </c>
      <c r="G52" s="7" t="n">
        <v>-0.8807947019867549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7167.25</v>
      </c>
      <c r="C56" s="31" t="n">
        <v>1204543.88</v>
      </c>
      <c r="D56" s="31" t="n">
        <v>21.6</v>
      </c>
      <c r="E56" s="39" t="n">
        <v>21.6</v>
      </c>
      <c r="F56" s="31">
        <f>D56+E56</f>
        <v/>
      </c>
      <c r="G56" s="7" t="n">
        <v>167.0622107502878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866959.48</v>
      </c>
      <c r="C58" s="36" t="n">
        <v>-362770.6499999999</v>
      </c>
      <c r="D58" s="36" t="n">
        <v>350657.3700000001</v>
      </c>
      <c r="E58" s="39" t="n">
        <v>350657.3700000001</v>
      </c>
      <c r="F58" s="36">
        <f>D58+E58</f>
        <v/>
      </c>
      <c r="G58" s="7" t="n">
        <v>-1.418440144399828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Cedars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275376.16</v>
      </c>
      <c r="C4" s="5" t="n">
        <v>77794</v>
      </c>
      <c r="D4" s="5" t="n">
        <v>181095.29</v>
      </c>
      <c r="E4" s="38" t="n">
        <v>181095.29</v>
      </c>
      <c r="F4" s="5">
        <f>D4+E4</f>
        <v/>
      </c>
      <c r="G4" s="7" t="n">
        <v>-0.7174991473481219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122664.63</v>
      </c>
      <c r="C5" s="5" t="n">
        <v>34990</v>
      </c>
      <c r="D5" s="5" t="n">
        <v>0</v>
      </c>
      <c r="E5" s="38" t="n">
        <v>0</v>
      </c>
      <c r="F5" s="5">
        <f>D5+E5</f>
        <v/>
      </c>
      <c r="G5" s="7" t="n">
        <v>-0.7147506987140466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1900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399940.79</v>
      </c>
      <c r="C7" s="10" t="n">
        <v>356835.57</v>
      </c>
      <c r="D7" s="10" t="n">
        <v>181095.29</v>
      </c>
      <c r="E7" s="39" t="n">
        <v>181095.29</v>
      </c>
      <c r="F7" s="10">
        <f>D7+E7</f>
        <v/>
      </c>
      <c r="G7" s="7" t="n">
        <v>-0.1077790039870651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215324.2</v>
      </c>
      <c r="C11" s="15" t="n">
        <v>256406.32</v>
      </c>
      <c r="D11" s="15" t="n">
        <v>135062.88</v>
      </c>
      <c r="E11" s="38" t="n">
        <v>135062.88</v>
      </c>
      <c r="F11" s="15">
        <f>D11+E11</f>
        <v/>
      </c>
      <c r="G11" s="7" t="n">
        <v>0.1907919314224783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20793.88</v>
      </c>
      <c r="C12" s="15" t="n">
        <v>30640.2</v>
      </c>
      <c r="D12" s="15" t="n">
        <v>16582.62</v>
      </c>
      <c r="E12" s="38" t="n">
        <v>16582.62</v>
      </c>
      <c r="F12" s="15">
        <f>D12+E12</f>
        <v/>
      </c>
      <c r="G12" s="7" t="n">
        <v>0.4735200934121002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3086.35</v>
      </c>
      <c r="C13" s="15" t="n">
        <v>5172.370000000001</v>
      </c>
      <c r="D13" s="15" t="n">
        <v>2869.32</v>
      </c>
      <c r="E13" s="38" t="n">
        <v>2869.32</v>
      </c>
      <c r="F13" s="15">
        <f>D13+E13</f>
        <v/>
      </c>
      <c r="G13" s="7" t="n">
        <v>0.6758857550180637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1087.26</v>
      </c>
      <c r="C14" s="15" t="n">
        <v>34.95</v>
      </c>
      <c r="D14" s="15" t="n">
        <v>41.94</v>
      </c>
      <c r="E14" s="38" t="n">
        <v>41.94</v>
      </c>
      <c r="F14" s="15">
        <f>D14+E14</f>
        <v/>
      </c>
      <c r="G14" s="7" t="n">
        <v>-0.9678549748910104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2026.49</v>
      </c>
      <c r="C15" s="15" t="n">
        <v>500</v>
      </c>
      <c r="D15" s="15" t="n">
        <v>600</v>
      </c>
      <c r="E15" s="38" t="n">
        <v>600</v>
      </c>
      <c r="F15" s="15">
        <f>D15+E15</f>
        <v/>
      </c>
      <c r="G15" s="7" t="n">
        <v>-0.7532679657930708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1180.39</v>
      </c>
      <c r="C16" s="15" t="n">
        <v>750</v>
      </c>
      <c r="D16" s="15" t="n">
        <v>900</v>
      </c>
      <c r="E16" s="38" t="n">
        <v>900</v>
      </c>
      <c r="F16" s="15">
        <f>D16+E16</f>
        <v/>
      </c>
      <c r="G16" s="7" t="n">
        <v>-0.3646167792000948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8690.4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7" t="n">
        <v>-1</v>
      </c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32.99</v>
      </c>
      <c r="C18" s="15" t="n">
        <v>210</v>
      </c>
      <c r="D18" s="15" t="n">
        <v>252</v>
      </c>
      <c r="E18" s="38" t="n">
        <v>252</v>
      </c>
      <c r="F18" s="15">
        <f>D18+E18</f>
        <v/>
      </c>
      <c r="G18" s="7" t="n">
        <v>5.365565322825098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252221.96</v>
      </c>
      <c r="C20" s="17" t="n">
        <v>295909.49</v>
      </c>
      <c r="D20" s="17" t="n">
        <v>156308.76</v>
      </c>
      <c r="E20" s="39" t="n">
        <v>156308.76</v>
      </c>
      <c r="F20" s="17">
        <f>D20+E20</f>
        <v/>
      </c>
      <c r="G20" s="7" t="n">
        <v>0.1732106514436729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0.630648251707459</v>
      </c>
      <c r="C21" s="19" t="n">
        <v>0.8292600706818549</v>
      </c>
      <c r="D21" s="19" t="n">
        <v>0.8631299024949793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13794.68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3868.7</v>
      </c>
      <c r="C25" s="22" t="n">
        <v>500</v>
      </c>
      <c r="D25" s="22" t="n">
        <v>600</v>
      </c>
      <c r="E25" s="38" t="n">
        <v>600</v>
      </c>
      <c r="F25" s="22">
        <f>D25+E25</f>
        <v/>
      </c>
      <c r="G25" s="7" t="n">
        <v>-0.8707576188383694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1397.39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525.39</v>
      </c>
      <c r="C27" s="22" t="n">
        <v>500</v>
      </c>
      <c r="D27" s="22" t="n">
        <v>600</v>
      </c>
      <c r="E27" s="38" t="n">
        <v>600</v>
      </c>
      <c r="F27" s="22">
        <f>D27+E27</f>
        <v/>
      </c>
      <c r="G27" s="7" t="n">
        <v>-0.04832600544357522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1833.05</v>
      </c>
      <c r="C28" s="22" t="n">
        <v>500</v>
      </c>
      <c r="D28" s="22" t="n">
        <v>600</v>
      </c>
      <c r="E28" s="38" t="n">
        <v>600</v>
      </c>
      <c r="F28" s="22">
        <f>D28+E28</f>
        <v/>
      </c>
      <c r="G28" s="7" t="n">
        <v>-0.7272305719974905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1721.56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23140.77</v>
      </c>
      <c r="C30" s="24" t="n">
        <v>12778.04</v>
      </c>
      <c r="D30" s="24" t="n">
        <v>1800</v>
      </c>
      <c r="E30" s="39" t="n">
        <v>1800</v>
      </c>
      <c r="F30" s="24">
        <f>D30+E30</f>
        <v/>
      </c>
      <c r="G30" s="7" t="n">
        <v>-0.4478126700191913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9231.48</v>
      </c>
      <c r="C34" s="27" t="n">
        <v>3683.35</v>
      </c>
      <c r="D34" s="27" t="n">
        <v>4420.02</v>
      </c>
      <c r="E34" s="38" t="n">
        <v>4420.02</v>
      </c>
      <c r="F34" s="27">
        <f>D34+E34</f>
        <v/>
      </c>
      <c r="G34" s="7" t="n">
        <v>-0.601001139578919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4552.360000000001</v>
      </c>
      <c r="C35" s="27" t="n">
        <v>3831.12</v>
      </c>
      <c r="D35" s="27" t="n">
        <v>2688</v>
      </c>
      <c r="E35" s="38" t="n">
        <v>2688</v>
      </c>
      <c r="F35" s="27">
        <f>D35+E35</f>
        <v/>
      </c>
      <c r="G35" s="7" t="n">
        <v>-0.1584321099385815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2200.08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2659.78</v>
      </c>
      <c r="C37" s="27" t="n">
        <v>1050</v>
      </c>
      <c r="D37" s="27" t="n">
        <v>1260</v>
      </c>
      <c r="E37" s="38" t="n">
        <v>1260</v>
      </c>
      <c r="F37" s="27">
        <f>D37+E37</f>
        <v/>
      </c>
      <c r="G37" s="7" t="n">
        <v>-0.6052305077863583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3679.91</v>
      </c>
      <c r="C38" s="27" t="n">
        <v>1500</v>
      </c>
      <c r="D38" s="27" t="n">
        <v>1800</v>
      </c>
      <c r="E38" s="38" t="n">
        <v>1800</v>
      </c>
      <c r="F38" s="27">
        <f>D38+E38</f>
        <v/>
      </c>
      <c r="G38" s="7" t="n">
        <v>-0.5923813354130943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980.9100000000001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317.73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0.5736631731344222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23622.25</v>
      </c>
      <c r="C42" s="29" t="n">
        <v>24785.19</v>
      </c>
      <c r="D42" s="29" t="n">
        <v>10768.02</v>
      </c>
      <c r="E42" s="39" t="n">
        <v>10768.02</v>
      </c>
      <c r="F42" s="29">
        <f>D42+E42</f>
        <v/>
      </c>
      <c r="G42" s="7" t="n">
        <v>0.04923070410312321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298984.98</v>
      </c>
      <c r="C44" s="31" t="n">
        <v>333472.72</v>
      </c>
      <c r="D44" s="31" t="n">
        <v>168876.78</v>
      </c>
      <c r="E44" s="39" t="n">
        <v>168876.78</v>
      </c>
      <c r="F44" s="31">
        <f>D44+E44</f>
        <v/>
      </c>
      <c r="G44" s="7" t="n">
        <v>0.1153494065153373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100955.81</v>
      </c>
      <c r="C46" s="33" t="n">
        <v>23362.85000000003</v>
      </c>
      <c r="D46" s="33" t="n">
        <v>12218.51000000001</v>
      </c>
      <c r="E46" s="39" t="n">
        <v>12218.51000000001</v>
      </c>
      <c r="F46" s="33">
        <f>D46+E46</f>
        <v/>
      </c>
      <c r="G46" s="7" t="n">
        <v>-0.7685834029760146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-0.5624425069805684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10.8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8404.139999999999</v>
      </c>
      <c r="C56" s="31" t="n">
        <v>251407.64</v>
      </c>
      <c r="D56" s="31" t="n">
        <v>0</v>
      </c>
      <c r="E56" s="39" t="n">
        <v>0</v>
      </c>
      <c r="F56" s="31">
        <f>D56+E56</f>
        <v/>
      </c>
      <c r="G56" s="7" t="n">
        <v>28.91473726044545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92551.67</v>
      </c>
      <c r="C58" s="36" t="n">
        <v>-228044.7899999999</v>
      </c>
      <c r="D58" s="36" t="n">
        <v>12218.51000000001</v>
      </c>
      <c r="E58" s="39" t="n">
        <v>12218.51000000001</v>
      </c>
      <c r="F58" s="36">
        <f>D58+E58</f>
        <v/>
      </c>
      <c r="G58" s="7" t="n">
        <v>-3.463972719238885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Boot Farm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382980.7</v>
      </c>
      <c r="C4" s="5" t="n">
        <v>121447.29</v>
      </c>
      <c r="D4" s="5" t="n">
        <v>215894.05</v>
      </c>
      <c r="E4" s="38" t="n">
        <v>215894.05</v>
      </c>
      <c r="F4" s="5">
        <f>D4+E4</f>
        <v/>
      </c>
      <c r="G4" s="7" t="n">
        <v>-0.6828892683103874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151099.37</v>
      </c>
      <c r="C5" s="5" t="n">
        <v>62652</v>
      </c>
      <c r="D5" s="5" t="n">
        <v>0</v>
      </c>
      <c r="E5" s="38" t="n">
        <v>0</v>
      </c>
      <c r="F5" s="5">
        <f>D5+E5</f>
        <v/>
      </c>
      <c r="G5" s="7" t="n">
        <v>-0.5853589594715054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3943.27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538023.34</v>
      </c>
      <c r="C7" s="10" t="n">
        <v>575328.41</v>
      </c>
      <c r="D7" s="10" t="n">
        <v>215894.05</v>
      </c>
      <c r="E7" s="39" t="n">
        <v>215894.05</v>
      </c>
      <c r="F7" s="10">
        <f>D7+E7</f>
        <v/>
      </c>
      <c r="G7" s="7" t="n">
        <v>0.06933727075855123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237110.13</v>
      </c>
      <c r="C11" s="15" t="n">
        <v>288163.6</v>
      </c>
      <c r="D11" s="15" t="n">
        <v>144270</v>
      </c>
      <c r="E11" s="38" t="n">
        <v>144270</v>
      </c>
      <c r="F11" s="15">
        <f>D11+E11</f>
        <v/>
      </c>
      <c r="G11" s="7" t="n">
        <v>0.2153154316941245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25894.51</v>
      </c>
      <c r="C12" s="15" t="n">
        <v>32166.74</v>
      </c>
      <c r="D12" s="15" t="n">
        <v>16278</v>
      </c>
      <c r="E12" s="38" t="n">
        <v>16278</v>
      </c>
      <c r="F12" s="15">
        <f>D12+E12</f>
        <v/>
      </c>
      <c r="G12" s="7" t="n">
        <v>0.2422223861351305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4264.93</v>
      </c>
      <c r="C13" s="15" t="n">
        <v>5342.6</v>
      </c>
      <c r="D13" s="15" t="n">
        <v>2718</v>
      </c>
      <c r="E13" s="38" t="n">
        <v>2718</v>
      </c>
      <c r="F13" s="15">
        <f>D13+E13</f>
        <v/>
      </c>
      <c r="G13" s="7" t="n">
        <v>0.2526817556208426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596.46</v>
      </c>
      <c r="C14" s="15" t="n">
        <v>245</v>
      </c>
      <c r="D14" s="15" t="n">
        <v>294</v>
      </c>
      <c r="E14" s="38" t="n">
        <v>294</v>
      </c>
      <c r="F14" s="15">
        <f>D14+E14</f>
        <v/>
      </c>
      <c r="G14" s="7" t="n">
        <v>-0.5892432015558462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1610.97</v>
      </c>
      <c r="C15" s="15" t="n">
        <v>500</v>
      </c>
      <c r="D15" s="15" t="n">
        <v>600</v>
      </c>
      <c r="E15" s="38" t="n">
        <v>600</v>
      </c>
      <c r="F15" s="15">
        <f>D15+E15</f>
        <v/>
      </c>
      <c r="G15" s="7" t="n">
        <v>-0.6896279881065445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1067.53</v>
      </c>
      <c r="C16" s="15" t="n">
        <v>500</v>
      </c>
      <c r="D16" s="15" t="n">
        <v>600</v>
      </c>
      <c r="E16" s="38" t="n">
        <v>600</v>
      </c>
      <c r="F16" s="15">
        <f>D16+E16</f>
        <v/>
      </c>
      <c r="G16" s="7" t="n">
        <v>-0.531629087707137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285.98</v>
      </c>
      <c r="C18" s="15" t="n">
        <v>210</v>
      </c>
      <c r="D18" s="15" t="n">
        <v>252</v>
      </c>
      <c r="E18" s="38" t="n">
        <v>252</v>
      </c>
      <c r="F18" s="15">
        <f>D18+E18</f>
        <v/>
      </c>
      <c r="G18" s="7" t="n">
        <v>-0.265682914889153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270830.51</v>
      </c>
      <c r="C20" s="17" t="n">
        <v>328953.65</v>
      </c>
      <c r="D20" s="17" t="n">
        <v>165012</v>
      </c>
      <c r="E20" s="39" t="n">
        <v>165012</v>
      </c>
      <c r="F20" s="17">
        <f>D20+E20</f>
        <v/>
      </c>
      <c r="G20" s="7" t="n">
        <v>0.2146107541576465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0.5033805968343307</v>
      </c>
      <c r="C21" s="19" t="n">
        <v>0.5717667410166656</v>
      </c>
      <c r="D21" s="19" t="n">
        <v>0.7643193501627303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12724.03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4055.42</v>
      </c>
      <c r="C25" s="22" t="n">
        <v>280</v>
      </c>
      <c r="D25" s="22" t="n">
        <v>348</v>
      </c>
      <c r="E25" s="38" t="n">
        <v>348</v>
      </c>
      <c r="F25" s="22">
        <f>D25+E25</f>
        <v/>
      </c>
      <c r="G25" s="7" t="n">
        <v>-0.9309565963574673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1104.07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722.35</v>
      </c>
      <c r="C27" s="22" t="n">
        <v>500</v>
      </c>
      <c r="D27" s="22" t="n">
        <v>600</v>
      </c>
      <c r="E27" s="38" t="n">
        <v>600</v>
      </c>
      <c r="F27" s="22">
        <f>D27+E27</f>
        <v/>
      </c>
      <c r="G27" s="7" t="n">
        <v>-0.3078147712327819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2750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-0.9090909090909091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1315.22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22671.09</v>
      </c>
      <c r="C30" s="24" t="n">
        <v>12538.67</v>
      </c>
      <c r="D30" s="24" t="n">
        <v>1296</v>
      </c>
      <c r="E30" s="39" t="n">
        <v>1296</v>
      </c>
      <c r="F30" s="24">
        <f>D30+E30</f>
        <v/>
      </c>
      <c r="G30" s="7" t="n">
        <v>-0.446931312080716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48000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7" t="n">
        <v>-1</v>
      </c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3858.41</v>
      </c>
      <c r="C34" s="27" t="n">
        <v>2835</v>
      </c>
      <c r="D34" s="27" t="n">
        <v>3402</v>
      </c>
      <c r="E34" s="38" t="n">
        <v>3402</v>
      </c>
      <c r="F34" s="27">
        <f>D34+E34</f>
        <v/>
      </c>
      <c r="G34" s="7" t="n">
        <v>-0.2652413818127157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4248.03</v>
      </c>
      <c r="C35" s="27" t="n">
        <v>3955.45</v>
      </c>
      <c r="D35" s="27" t="n">
        <v>2220</v>
      </c>
      <c r="E35" s="38" t="n">
        <v>2220</v>
      </c>
      <c r="F35" s="27">
        <f>D35+E35</f>
        <v/>
      </c>
      <c r="G35" s="7" t="n">
        <v>-0.06887427819483383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2804.04</v>
      </c>
      <c r="C36" s="27" t="n">
        <v>2500</v>
      </c>
      <c r="D36" s="27" t="n">
        <v>0</v>
      </c>
      <c r="E36" s="38" t="n">
        <v>0</v>
      </c>
      <c r="F36" s="27">
        <f>D36+E36</f>
        <v/>
      </c>
      <c r="G36" s="7" t="n">
        <v>-0.1084292663442748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2716.23</v>
      </c>
      <c r="C37" s="27" t="n">
        <v>1200</v>
      </c>
      <c r="D37" s="27" t="n">
        <v>1440</v>
      </c>
      <c r="E37" s="38" t="n">
        <v>1440</v>
      </c>
      <c r="F37" s="27">
        <f>D37+E37</f>
        <v/>
      </c>
      <c r="G37" s="7" t="n">
        <v>-0.5582111971372086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4618.53</v>
      </c>
      <c r="C38" s="27" t="n">
        <v>1975</v>
      </c>
      <c r="D38" s="27" t="n">
        <v>2370</v>
      </c>
      <c r="E38" s="38" t="n">
        <v>2370</v>
      </c>
      <c r="F38" s="27">
        <f>D38+E38</f>
        <v/>
      </c>
      <c r="G38" s="7" t="n">
        <v>-0.572374759934438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771.58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922.03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7" t="n">
        <v>-1</v>
      </c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8" t="n"/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67938.85000000001</v>
      </c>
      <c r="C42" s="29" t="n">
        <v>28137.95</v>
      </c>
      <c r="D42" s="29" t="n">
        <v>10032</v>
      </c>
      <c r="E42" s="39" t="n">
        <v>10032</v>
      </c>
      <c r="F42" s="29">
        <f>D42+E42</f>
        <v/>
      </c>
      <c r="G42" s="7" t="n">
        <v>-0.5858341729363981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361440.4500000001</v>
      </c>
      <c r="C44" s="31" t="n">
        <v>369630.27</v>
      </c>
      <c r="D44" s="31" t="n">
        <v>176340</v>
      </c>
      <c r="E44" s="39" t="n">
        <v>176340</v>
      </c>
      <c r="F44" s="31">
        <f>D44+E44</f>
        <v/>
      </c>
      <c r="G44" s="7" t="n">
        <v>0.02265883633112992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176582.8899999999</v>
      </c>
      <c r="C46" s="33" t="n">
        <v>205698.14</v>
      </c>
      <c r="D46" s="33" t="n">
        <v>39554.04999999999</v>
      </c>
      <c r="E46" s="39" t="n">
        <v>39554.04999999999</v>
      </c>
      <c r="F46" s="33">
        <f>D46+E46</f>
        <v/>
      </c>
      <c r="G46" s="7" t="n">
        <v>0.1648814899337084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2566.8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-0.581190587501948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341.79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2196.5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7" t="n">
        <v>-1</v>
      </c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170.35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7" t="n">
        <v>-1</v>
      </c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7541.79</v>
      </c>
      <c r="C56" s="31" t="n">
        <v>172103.85</v>
      </c>
      <c r="D56" s="31" t="n">
        <v>0</v>
      </c>
      <c r="E56" s="39" t="n">
        <v>0</v>
      </c>
      <c r="F56" s="31">
        <f>D56+E56</f>
        <v/>
      </c>
      <c r="G56" s="7" t="n">
        <v>21.82002681061127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169041.0999999999</v>
      </c>
      <c r="C58" s="36" t="n">
        <v>33594.29000000001</v>
      </c>
      <c r="D58" s="36" t="n">
        <v>39554.04999999999</v>
      </c>
      <c r="E58" s="39" t="n">
        <v>39554.04999999999</v>
      </c>
      <c r="F58" s="36">
        <f>D58+E58</f>
        <v/>
      </c>
      <c r="G58" s="7" t="n">
        <v>-0.8012655502123446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Hazebrouck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553511.23</v>
      </c>
      <c r="C4" s="5" t="n">
        <v>168543</v>
      </c>
      <c r="D4" s="5" t="n">
        <v>335426.7</v>
      </c>
      <c r="E4" s="38" t="n">
        <v>335426.7</v>
      </c>
      <c r="F4" s="5">
        <f>D4+E4</f>
        <v/>
      </c>
      <c r="G4" s="7" t="n">
        <v>-0.6955021129381602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219552.43</v>
      </c>
      <c r="C5" s="5" t="n">
        <v>89145.08</v>
      </c>
      <c r="D5" s="5" t="n">
        <v>0</v>
      </c>
      <c r="E5" s="38" t="n">
        <v>0</v>
      </c>
      <c r="F5" s="5">
        <f>D5+E5</f>
        <v/>
      </c>
      <c r="G5" s="7" t="n">
        <v>-0.5939690578692297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4883.04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777946.7</v>
      </c>
      <c r="C7" s="10" t="n">
        <v>711503.98</v>
      </c>
      <c r="D7" s="10" t="n">
        <v>335426.7</v>
      </c>
      <c r="E7" s="39" t="n">
        <v>335426.7</v>
      </c>
      <c r="F7" s="10">
        <f>D7+E7</f>
        <v/>
      </c>
      <c r="G7" s="7" t="n">
        <v>-0.08540780493059483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338039.33</v>
      </c>
      <c r="C11" s="15" t="n">
        <v>307176.85</v>
      </c>
      <c r="D11" s="15" t="n">
        <v>152316.78</v>
      </c>
      <c r="E11" s="38" t="n">
        <v>152316.78</v>
      </c>
      <c r="F11" s="15">
        <f>D11+E11</f>
        <v/>
      </c>
      <c r="G11" s="7" t="n">
        <v>-0.09129848884743672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36228.96</v>
      </c>
      <c r="C12" s="15" t="n">
        <v>32662.55</v>
      </c>
      <c r="D12" s="15" t="n">
        <v>16251.96</v>
      </c>
      <c r="E12" s="38" t="n">
        <v>16251.96</v>
      </c>
      <c r="F12" s="15">
        <f>D12+E12</f>
        <v/>
      </c>
      <c r="G12" s="7" t="n">
        <v>-0.09844086057121154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7155.89</v>
      </c>
      <c r="C13" s="15" t="n">
        <v>6142.18</v>
      </c>
      <c r="D13" s="15" t="n">
        <v>3083.28</v>
      </c>
      <c r="E13" s="38" t="n">
        <v>3083.28</v>
      </c>
      <c r="F13" s="15">
        <f>D13+E13</f>
        <v/>
      </c>
      <c r="G13" s="7" t="n">
        <v>-0.1416609254753776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632.8299999999999</v>
      </c>
      <c r="C14" s="15" t="n">
        <v>250</v>
      </c>
      <c r="D14" s="15" t="n">
        <v>300</v>
      </c>
      <c r="E14" s="38" t="n">
        <v>300</v>
      </c>
      <c r="F14" s="15">
        <f>D14+E14</f>
        <v/>
      </c>
      <c r="G14" s="7" t="n">
        <v>-0.6049491964666656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1492.8</v>
      </c>
      <c r="C15" s="15" t="n">
        <v>0</v>
      </c>
      <c r="D15" s="15" t="n">
        <v>0</v>
      </c>
      <c r="E15" s="38" t="n">
        <v>0</v>
      </c>
      <c r="F15" s="15">
        <f>D15+E15</f>
        <v/>
      </c>
      <c r="G15" s="7" t="n">
        <v>-1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1813.07</v>
      </c>
      <c r="C16" s="15" t="n">
        <v>663.45</v>
      </c>
      <c r="D16" s="15" t="n">
        <v>796.14</v>
      </c>
      <c r="E16" s="38" t="n">
        <v>796.14</v>
      </c>
      <c r="F16" s="15">
        <f>D16+E16</f>
        <v/>
      </c>
      <c r="G16" s="7" t="n">
        <v>-0.6340736982024963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97.51000000000001</v>
      </c>
      <c r="C18" s="15" t="n">
        <v>210</v>
      </c>
      <c r="D18" s="15" t="n">
        <v>252</v>
      </c>
      <c r="E18" s="38" t="n">
        <v>252</v>
      </c>
      <c r="F18" s="15">
        <f>D18+E18</f>
        <v/>
      </c>
      <c r="G18" s="7" t="n">
        <v>1.153625269203159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385460.39</v>
      </c>
      <c r="C20" s="17" t="n">
        <v>348371.33</v>
      </c>
      <c r="D20" s="17" t="n">
        <v>173000.16</v>
      </c>
      <c r="E20" s="39" t="n">
        <v>173000.16</v>
      </c>
      <c r="F20" s="17">
        <f>D20+E20</f>
        <v/>
      </c>
      <c r="G20" s="7" t="n">
        <v>-0.09622015896367472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0.4954843178845029</v>
      </c>
      <c r="C21" s="19" t="n">
        <v>0.4896266778437416</v>
      </c>
      <c r="D21" s="19" t="n">
        <v>0.5157614465395868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24108.89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3826.52</v>
      </c>
      <c r="C25" s="22" t="n">
        <v>265</v>
      </c>
      <c r="D25" s="22" t="n">
        <v>318</v>
      </c>
      <c r="E25" s="38" t="n">
        <v>318</v>
      </c>
      <c r="F25" s="22">
        <f>D25+E25</f>
        <v/>
      </c>
      <c r="G25" s="7" t="n">
        <v>-0.9307464746035562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1183.76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443.89</v>
      </c>
      <c r="C27" s="22" t="n">
        <v>490</v>
      </c>
      <c r="D27" s="22" t="n">
        <v>588</v>
      </c>
      <c r="E27" s="38" t="n">
        <v>588</v>
      </c>
      <c r="F27" s="22">
        <f>D27+E27</f>
        <v/>
      </c>
      <c r="G27" s="7" t="n">
        <v>0.1038770866656154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1765.55</v>
      </c>
      <c r="C28" s="22" t="n">
        <v>265</v>
      </c>
      <c r="D28" s="22" t="n">
        <v>318</v>
      </c>
      <c r="E28" s="38" t="n">
        <v>318</v>
      </c>
      <c r="F28" s="22">
        <f>D28+E28</f>
        <v/>
      </c>
      <c r="G28" s="7" t="n">
        <v>-0.849905128713432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2117.05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33445.66</v>
      </c>
      <c r="C30" s="24" t="n">
        <v>20738.77</v>
      </c>
      <c r="D30" s="24" t="n">
        <v>1224</v>
      </c>
      <c r="E30" s="39" t="n">
        <v>1224</v>
      </c>
      <c r="F30" s="24">
        <f>D30+E30</f>
        <v/>
      </c>
      <c r="G30" s="7" t="n">
        <v>-0.3799264239366184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55749.98</v>
      </c>
      <c r="C33" s="27" t="n">
        <v>55750.83</v>
      </c>
      <c r="D33" s="27" t="n">
        <v>0</v>
      </c>
      <c r="E33" s="38" t="n">
        <v>0</v>
      </c>
      <c r="F33" s="27">
        <f>D33+E33</f>
        <v/>
      </c>
      <c r="G33" s="7" t="n">
        <v>1.52466422410523e-05</v>
      </c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46707.42</v>
      </c>
      <c r="C34" s="27" t="n">
        <v>15414.6</v>
      </c>
      <c r="D34" s="27" t="n">
        <v>18497.52</v>
      </c>
      <c r="E34" s="38" t="n">
        <v>18497.52</v>
      </c>
      <c r="F34" s="27">
        <f>D34+E34</f>
        <v/>
      </c>
      <c r="G34" s="7" t="n">
        <v>-0.669975348670511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3600</v>
      </c>
      <c r="C35" s="27" t="n">
        <v>3600</v>
      </c>
      <c r="D35" s="27" t="n">
        <v>1800</v>
      </c>
      <c r="E35" s="38" t="n">
        <v>1800</v>
      </c>
      <c r="F35" s="27">
        <f>D35+E35</f>
        <v/>
      </c>
      <c r="G35" s="7" t="n">
        <v>0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4688.01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12813.91</v>
      </c>
      <c r="C37" s="27" t="n">
        <v>5535</v>
      </c>
      <c r="D37" s="27" t="n">
        <v>6642</v>
      </c>
      <c r="E37" s="38" t="n">
        <v>6642</v>
      </c>
      <c r="F37" s="27">
        <f>D37+E37</f>
        <v/>
      </c>
      <c r="G37" s="7" t="n">
        <v>-0.5680475358419093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5049.23</v>
      </c>
      <c r="C38" s="27" t="n">
        <v>2115</v>
      </c>
      <c r="D38" s="27" t="n">
        <v>2538</v>
      </c>
      <c r="E38" s="38" t="n">
        <v>2538</v>
      </c>
      <c r="F38" s="27">
        <f>D38+E38</f>
        <v/>
      </c>
      <c r="G38" s="7" t="n">
        <v>-0.5811242506283136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809.51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767.5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-0.3485342019543974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130185.56</v>
      </c>
      <c r="C42" s="29" t="n">
        <v>122317.04</v>
      </c>
      <c r="D42" s="29" t="n">
        <v>30077.52</v>
      </c>
      <c r="E42" s="39" t="n">
        <v>30077.52</v>
      </c>
      <c r="F42" s="29">
        <f>D42+E42</f>
        <v/>
      </c>
      <c r="G42" s="7" t="n">
        <v>-0.06044080464838028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549091.61</v>
      </c>
      <c r="C44" s="31" t="n">
        <v>491427.14</v>
      </c>
      <c r="D44" s="31" t="n">
        <v>204301.68</v>
      </c>
      <c r="E44" s="39" t="n">
        <v>204301.68</v>
      </c>
      <c r="F44" s="31">
        <f>D44+E44</f>
        <v/>
      </c>
      <c r="G44" s="7" t="n">
        <v>-0.1050179404489534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228855.09</v>
      </c>
      <c r="C46" s="33" t="n">
        <v>220076.84</v>
      </c>
      <c r="D46" s="33" t="n">
        <v>131125.02</v>
      </c>
      <c r="E46" s="39" t="n">
        <v>131125.02</v>
      </c>
      <c r="F46" s="33">
        <f>D46+E46</f>
        <v/>
      </c>
      <c r="G46" s="7" t="n">
        <v>-0.03835724169385964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-0.5624425069805684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118.6</v>
      </c>
      <c r="C52" s="8" t="n">
        <v>25</v>
      </c>
      <c r="D52" s="8" t="n">
        <v>30</v>
      </c>
      <c r="E52" s="38" t="n">
        <v>30</v>
      </c>
      <c r="F52" s="8">
        <f>D52+E52</f>
        <v/>
      </c>
      <c r="G52" s="7" t="n">
        <v>-0.7892074198988196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4119.15</v>
      </c>
      <c r="C56" s="31" t="n">
        <v>434629.1</v>
      </c>
      <c r="D56" s="31" t="n">
        <v>630</v>
      </c>
      <c r="E56" s="39" t="n">
        <v>630</v>
      </c>
      <c r="F56" s="31">
        <f>D56+E56</f>
        <v/>
      </c>
      <c r="G56" s="7" t="n">
        <v>104.5142687204884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224735.94</v>
      </c>
      <c r="C58" s="36" t="n">
        <v>-214552.26</v>
      </c>
      <c r="D58" s="36" t="n">
        <v>130495.02</v>
      </c>
      <c r="E58" s="39" t="n">
        <v>130495.02</v>
      </c>
      <c r="F58" s="36">
        <f>D58+E58</f>
        <v/>
      </c>
      <c r="G58" s="7" t="n">
        <v>-1.9546860195125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Our Den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4732.76</v>
      </c>
      <c r="C4" s="5" t="n">
        <v>13101</v>
      </c>
      <c r="D4" s="5" t="n">
        <v>159105.54</v>
      </c>
      <c r="E4" s="38" t="n">
        <v>159105.54</v>
      </c>
      <c r="F4" s="5">
        <f>D4+E4</f>
        <v/>
      </c>
      <c r="G4" s="7" t="n">
        <v>1.768152198717028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13583.66</v>
      </c>
      <c r="C5" s="5" t="n">
        <v>84896</v>
      </c>
      <c r="D5" s="5" t="n">
        <v>0</v>
      </c>
      <c r="E5" s="38" t="n">
        <v>0</v>
      </c>
      <c r="F5" s="5">
        <f>D5+E5</f>
        <v/>
      </c>
      <c r="G5" s="7" t="n">
        <v>5.249861966509762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0</v>
      </c>
      <c r="C6" s="5" t="n">
        <v>0</v>
      </c>
      <c r="D6" s="5" t="n">
        <v>0</v>
      </c>
      <c r="E6" s="38" t="n">
        <v>0</v>
      </c>
      <c r="F6" s="5">
        <f>D6+E6</f>
        <v/>
      </c>
      <c r="G6" s="8" t="n"/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18316.42</v>
      </c>
      <c r="C7" s="10" t="n">
        <v>97997</v>
      </c>
      <c r="D7" s="10" t="n">
        <v>159105.54</v>
      </c>
      <c r="E7" s="39" t="n">
        <v>159105.54</v>
      </c>
      <c r="F7" s="10">
        <f>D7+E7</f>
        <v/>
      </c>
      <c r="G7" s="7" t="n">
        <v>4.350226736447406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26719.1</v>
      </c>
      <c r="C11" s="15" t="n">
        <v>45570</v>
      </c>
      <c r="D11" s="15" t="n">
        <v>54684</v>
      </c>
      <c r="E11" s="38" t="n">
        <v>54684</v>
      </c>
      <c r="F11" s="15">
        <f>D11+E11</f>
        <v/>
      </c>
      <c r="G11" s="7" t="n">
        <v>0.705521518314614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2944.49</v>
      </c>
      <c r="C12" s="15" t="n">
        <v>4355</v>
      </c>
      <c r="D12" s="15" t="n">
        <v>5226</v>
      </c>
      <c r="E12" s="38" t="n">
        <v>5226</v>
      </c>
      <c r="F12" s="15">
        <f>D12+E12</f>
        <v/>
      </c>
      <c r="G12" s="7" t="n">
        <v>0.4790337206103603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282.6</v>
      </c>
      <c r="C13" s="15" t="n">
        <v>719.95</v>
      </c>
      <c r="D13" s="15" t="n">
        <v>863.9400000000001</v>
      </c>
      <c r="E13" s="38" t="n">
        <v>863.9400000000001</v>
      </c>
      <c r="F13" s="15">
        <f>D13+E13</f>
        <v/>
      </c>
      <c r="G13" s="7" t="n">
        <v>1.547593772116065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0</v>
      </c>
      <c r="C14" s="15" t="n">
        <v>100</v>
      </c>
      <c r="D14" s="15" t="n">
        <v>120</v>
      </c>
      <c r="E14" s="38" t="n">
        <v>120</v>
      </c>
      <c r="F14" s="15">
        <f>D14+E14</f>
        <v/>
      </c>
      <c r="G14" s="8" t="n"/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114</v>
      </c>
      <c r="C15" s="15" t="n">
        <v>500</v>
      </c>
      <c r="D15" s="15" t="n">
        <v>600</v>
      </c>
      <c r="E15" s="38" t="n">
        <v>600</v>
      </c>
      <c r="F15" s="15">
        <f>D15+E15</f>
        <v/>
      </c>
      <c r="G15" s="7" t="n">
        <v>3.385964912280702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61.57</v>
      </c>
      <c r="C16" s="15" t="n">
        <v>200</v>
      </c>
      <c r="D16" s="15" t="n">
        <v>240</v>
      </c>
      <c r="E16" s="38" t="n">
        <v>240</v>
      </c>
      <c r="F16" s="15">
        <f>D16+E16</f>
        <v/>
      </c>
      <c r="G16" s="7" t="n">
        <v>2.24833522819555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0</v>
      </c>
      <c r="C18" s="15" t="n">
        <v>85</v>
      </c>
      <c r="D18" s="15" t="n">
        <v>102</v>
      </c>
      <c r="E18" s="38" t="n">
        <v>102</v>
      </c>
      <c r="F18" s="15">
        <f>D18+E18</f>
        <v/>
      </c>
      <c r="G18" s="8" t="n"/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30121.76</v>
      </c>
      <c r="C20" s="17" t="n">
        <v>51529.95</v>
      </c>
      <c r="D20" s="17" t="n">
        <v>61835.94</v>
      </c>
      <c r="E20" s="39" t="n">
        <v>61835.94</v>
      </c>
      <c r="F20" s="17">
        <f>D20+E20</f>
        <v/>
      </c>
      <c r="G20" s="7" t="n">
        <v>0.7107217506546762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1.644522237424126</v>
      </c>
      <c r="C21" s="19" t="n">
        <v>0.5258319132218333</v>
      </c>
      <c r="D21" s="19" t="n">
        <v>0.3886473092011755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125.31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3685.39</v>
      </c>
      <c r="C25" s="22" t="n">
        <v>280</v>
      </c>
      <c r="D25" s="22" t="n">
        <v>348</v>
      </c>
      <c r="E25" s="38" t="n">
        <v>348</v>
      </c>
      <c r="F25" s="22">
        <f>D25+E25</f>
        <v/>
      </c>
      <c r="G25" s="7" t="n">
        <v>-0.9240243230702857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260.22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250</v>
      </c>
      <c r="D27" s="22" t="n">
        <v>300</v>
      </c>
      <c r="E27" s="38" t="n">
        <v>300</v>
      </c>
      <c r="F27" s="22">
        <f>D27+E27</f>
        <v/>
      </c>
      <c r="G27" s="8" t="n"/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546.12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-0.5422251519812495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30.93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4647.97</v>
      </c>
      <c r="C30" s="24" t="n">
        <v>810</v>
      </c>
      <c r="D30" s="24" t="n">
        <v>996</v>
      </c>
      <c r="E30" s="39" t="n">
        <v>996</v>
      </c>
      <c r="F30" s="24">
        <f>D30+E30</f>
        <v/>
      </c>
      <c r="G30" s="7" t="n">
        <v>-0.8257303726142811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4226.02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7" t="n">
        <v>-1</v>
      </c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4041.95</v>
      </c>
      <c r="C34" s="27" t="n">
        <v>2295</v>
      </c>
      <c r="D34" s="27" t="n">
        <v>2754</v>
      </c>
      <c r="E34" s="38" t="n">
        <v>2754</v>
      </c>
      <c r="F34" s="27">
        <f>D34+E34</f>
        <v/>
      </c>
      <c r="G34" s="7" t="n">
        <v>-0.4322047526565148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335.92</v>
      </c>
      <c r="C35" s="27" t="n">
        <v>1300</v>
      </c>
      <c r="D35" s="27" t="n">
        <v>1560</v>
      </c>
      <c r="E35" s="38" t="n">
        <v>1560</v>
      </c>
      <c r="F35" s="27">
        <f>D35+E35</f>
        <v/>
      </c>
      <c r="G35" s="7" t="n">
        <v>2.869969040247678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12602.62</v>
      </c>
      <c r="C36" s="27" t="n">
        <v>2500</v>
      </c>
      <c r="D36" s="27" t="n">
        <v>0</v>
      </c>
      <c r="E36" s="38" t="n">
        <v>0</v>
      </c>
      <c r="F36" s="27">
        <f>D36+E36</f>
        <v/>
      </c>
      <c r="G36" s="7" t="n">
        <v>-0.8016285502538362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157.02</v>
      </c>
      <c r="C37" s="27" t="n">
        <v>800</v>
      </c>
      <c r="D37" s="27" t="n">
        <v>960</v>
      </c>
      <c r="E37" s="38" t="n">
        <v>960</v>
      </c>
      <c r="F37" s="27">
        <f>D37+E37</f>
        <v/>
      </c>
      <c r="G37" s="7" t="n">
        <v>4.094892370398675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1258.12</v>
      </c>
      <c r="C38" s="27" t="n">
        <v>1000</v>
      </c>
      <c r="D38" s="27" t="n">
        <v>1200</v>
      </c>
      <c r="E38" s="38" t="n">
        <v>1200</v>
      </c>
      <c r="F38" s="27">
        <f>D38+E38</f>
        <v/>
      </c>
      <c r="G38" s="7" t="n">
        <v>-0.2051632594665055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378.34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30</v>
      </c>
      <c r="C40" s="27" t="n">
        <v>50</v>
      </c>
      <c r="D40" s="27" t="n">
        <v>60</v>
      </c>
      <c r="E40" s="38" t="n">
        <v>60</v>
      </c>
      <c r="F40" s="27">
        <f>D40+E40</f>
        <v/>
      </c>
      <c r="G40" s="7" t="n">
        <v>0.6666666666666666</v>
      </c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348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0.4367816091954023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23377.99</v>
      </c>
      <c r="C42" s="29" t="n">
        <v>8445</v>
      </c>
      <c r="D42" s="29" t="n">
        <v>7134</v>
      </c>
      <c r="E42" s="39" t="n">
        <v>7134</v>
      </c>
      <c r="F42" s="29">
        <f>D42+E42</f>
        <v/>
      </c>
      <c r="G42" s="7" t="n">
        <v>-0.6387627849956306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58147.72</v>
      </c>
      <c r="C44" s="31" t="n">
        <v>60784.95</v>
      </c>
      <c r="D44" s="31" t="n">
        <v>69965.94</v>
      </c>
      <c r="E44" s="39" t="n">
        <v>69965.94</v>
      </c>
      <c r="F44" s="31">
        <f>D44+E44</f>
        <v/>
      </c>
      <c r="G44" s="7" t="n">
        <v>0.04535397088656264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-39831.3</v>
      </c>
      <c r="C46" s="33" t="n">
        <v>37212.05</v>
      </c>
      <c r="D46" s="33" t="n">
        <v>89139.60000000001</v>
      </c>
      <c r="E46" s="39" t="n">
        <v>89139.60000000001</v>
      </c>
      <c r="F46" s="33">
        <f>D46+E46</f>
        <v/>
      </c>
      <c r="G46" s="7" t="n">
        <v>1.934241413160002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1503.6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-0.285049215216813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260.22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2002.19</v>
      </c>
      <c r="C56" s="31" t="n">
        <v>1075</v>
      </c>
      <c r="D56" s="31" t="n">
        <v>0</v>
      </c>
      <c r="E56" s="39" t="n">
        <v>0</v>
      </c>
      <c r="F56" s="31">
        <f>D56+E56</f>
        <v/>
      </c>
      <c r="G56" s="7" t="n">
        <v>-0.4630879187289917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-41833.49000000001</v>
      </c>
      <c r="C58" s="36" t="n">
        <v>36137.05</v>
      </c>
      <c r="D58" s="36" t="n">
        <v>89139.60000000001</v>
      </c>
      <c r="E58" s="39" t="n">
        <v>89139.60000000001</v>
      </c>
      <c r="F58" s="36">
        <f>D58+E58</f>
        <v/>
      </c>
      <c r="G58" s="7" t="n">
        <v>1.863830629478918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Happitots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564094.37</v>
      </c>
      <c r="C4" s="5" t="n">
        <v>197594.86</v>
      </c>
      <c r="D4" s="5" t="n">
        <v>416271.21</v>
      </c>
      <c r="E4" s="38" t="n">
        <v>416271.21</v>
      </c>
      <c r="F4" s="5">
        <f>D4+E4</f>
        <v/>
      </c>
      <c r="G4" s="7" t="n">
        <v>-0.6497131144918181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198734.1</v>
      </c>
      <c r="C5" s="5" t="n">
        <v>76610.64</v>
      </c>
      <c r="D5" s="5" t="n">
        <v>0</v>
      </c>
      <c r="E5" s="38" t="n">
        <v>0</v>
      </c>
      <c r="F5" s="5">
        <f>D5+E5</f>
        <v/>
      </c>
      <c r="G5" s="7" t="n">
        <v>-0.6145068209230323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5239.07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768067.54</v>
      </c>
      <c r="C7" s="10" t="n">
        <v>732510.97</v>
      </c>
      <c r="D7" s="10" t="n">
        <v>416271.21</v>
      </c>
      <c r="E7" s="39" t="n">
        <v>416271.21</v>
      </c>
      <c r="F7" s="10">
        <f>D7+E7</f>
        <v/>
      </c>
      <c r="G7" s="7" t="n">
        <v>-0.04629354600768582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383591.67</v>
      </c>
      <c r="C11" s="15" t="n">
        <v>419859.53</v>
      </c>
      <c r="D11" s="15" t="n">
        <v>200900.16</v>
      </c>
      <c r="E11" s="38" t="n">
        <v>200900.16</v>
      </c>
      <c r="F11" s="15">
        <f>D11+E11</f>
        <v/>
      </c>
      <c r="G11" s="7" t="n">
        <v>0.0945480906819483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41589.41</v>
      </c>
      <c r="C12" s="15" t="n">
        <v>47756.1</v>
      </c>
      <c r="D12" s="15" t="n">
        <v>23639.94</v>
      </c>
      <c r="E12" s="38" t="n">
        <v>23639.94</v>
      </c>
      <c r="F12" s="15">
        <f>D12+E12</f>
        <v/>
      </c>
      <c r="G12" s="7" t="n">
        <v>0.1482754864760042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8089.93</v>
      </c>
      <c r="C13" s="15" t="n">
        <v>3738.95</v>
      </c>
      <c r="D13" s="15" t="n">
        <v>4486.74</v>
      </c>
      <c r="E13" s="38" t="n">
        <v>4486.74</v>
      </c>
      <c r="F13" s="15">
        <f>D13+E13</f>
        <v/>
      </c>
      <c r="G13" s="7" t="n">
        <v>-0.5378266561020923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799.3099999999999</v>
      </c>
      <c r="C14" s="15" t="n">
        <v>415</v>
      </c>
      <c r="D14" s="15" t="n">
        <v>498</v>
      </c>
      <c r="E14" s="38" t="n">
        <v>498</v>
      </c>
      <c r="F14" s="15">
        <f>D14+E14</f>
        <v/>
      </c>
      <c r="G14" s="7" t="n">
        <v>-0.4808021918905055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265.2</v>
      </c>
      <c r="C15" s="15" t="n">
        <v>500</v>
      </c>
      <c r="D15" s="15" t="n">
        <v>600</v>
      </c>
      <c r="E15" s="38" t="n">
        <v>600</v>
      </c>
      <c r="F15" s="15">
        <f>D15+E15</f>
        <v/>
      </c>
      <c r="G15" s="7" t="n">
        <v>0.885369532428356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2222.99</v>
      </c>
      <c r="C16" s="15" t="n">
        <v>850</v>
      </c>
      <c r="D16" s="15" t="n">
        <v>1020</v>
      </c>
      <c r="E16" s="38" t="n">
        <v>1020</v>
      </c>
      <c r="F16" s="15">
        <f>D16+E16</f>
        <v/>
      </c>
      <c r="G16" s="7" t="n">
        <v>-0.6176321081066491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193.4</v>
      </c>
      <c r="C18" s="15" t="n">
        <v>355</v>
      </c>
      <c r="D18" s="15" t="n">
        <v>426</v>
      </c>
      <c r="E18" s="38" t="n">
        <v>426</v>
      </c>
      <c r="F18" s="15">
        <f>D18+E18</f>
        <v/>
      </c>
      <c r="G18" s="7" t="n">
        <v>0.8355739400206824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217.33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7" t="n">
        <v>-1</v>
      </c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436969.24</v>
      </c>
      <c r="C20" s="17" t="n">
        <v>481446.05</v>
      </c>
      <c r="D20" s="17" t="n">
        <v>231570.84</v>
      </c>
      <c r="E20" s="39" t="n">
        <v>231570.84</v>
      </c>
      <c r="F20" s="17">
        <f>D20+E20</f>
        <v/>
      </c>
      <c r="G20" s="7" t="n">
        <v>0.1017847617832321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0.5689203321884947</v>
      </c>
      <c r="C21" s="19" t="n">
        <v>0.6572543889684</v>
      </c>
      <c r="D21" s="19" t="n">
        <v>0.5562979962030044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15726.64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3448.4</v>
      </c>
      <c r="C25" s="22" t="n">
        <v>500</v>
      </c>
      <c r="D25" s="22" t="n">
        <v>600</v>
      </c>
      <c r="E25" s="38" t="n">
        <v>600</v>
      </c>
      <c r="F25" s="22">
        <f>D25+E25</f>
        <v/>
      </c>
      <c r="G25" s="7" t="n">
        <v>-0.8550052198120868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890.91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500</v>
      </c>
      <c r="D27" s="22" t="n">
        <v>600</v>
      </c>
      <c r="E27" s="38" t="n">
        <v>600</v>
      </c>
      <c r="F27" s="22">
        <f>D27+E27</f>
        <v/>
      </c>
      <c r="G27" s="8" t="n"/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1011.8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-0.7529155959675825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1280.73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22358.48</v>
      </c>
      <c r="C30" s="24" t="n">
        <v>16055.54</v>
      </c>
      <c r="D30" s="24" t="n">
        <v>1500</v>
      </c>
      <c r="E30" s="39" t="n">
        <v>1500</v>
      </c>
      <c r="F30" s="24">
        <f>D30+E30</f>
        <v/>
      </c>
      <c r="G30" s="7" t="n">
        <v>-0.2819037787899714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22205.16</v>
      </c>
      <c r="C34" s="27" t="n">
        <v>10640.15</v>
      </c>
      <c r="D34" s="27" t="n">
        <v>12768.18</v>
      </c>
      <c r="E34" s="38" t="n">
        <v>12768.18</v>
      </c>
      <c r="F34" s="27">
        <f>D34+E34</f>
        <v/>
      </c>
      <c r="G34" s="7" t="n">
        <v>-0.5208253396958183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17668.51</v>
      </c>
      <c r="C35" s="27" t="n">
        <v>8125</v>
      </c>
      <c r="D35" s="27" t="n">
        <v>9750</v>
      </c>
      <c r="E35" s="38" t="n">
        <v>9750</v>
      </c>
      <c r="F35" s="27">
        <f>D35+E35</f>
        <v/>
      </c>
      <c r="G35" s="7" t="n">
        <v>-0.5401423209993372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10245.4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2602.62</v>
      </c>
      <c r="C37" s="27" t="n">
        <v>1105</v>
      </c>
      <c r="D37" s="27" t="n">
        <v>1326</v>
      </c>
      <c r="E37" s="38" t="n">
        <v>1326</v>
      </c>
      <c r="F37" s="27">
        <f>D37+E37</f>
        <v/>
      </c>
      <c r="G37" s="7" t="n">
        <v>-0.5754278381016052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4615.09</v>
      </c>
      <c r="C38" s="27" t="n">
        <v>1945</v>
      </c>
      <c r="D38" s="27" t="n">
        <v>2334</v>
      </c>
      <c r="E38" s="38" t="n">
        <v>2334</v>
      </c>
      <c r="F38" s="27">
        <f>D38+E38</f>
        <v/>
      </c>
      <c r="G38" s="7" t="n">
        <v>-0.578556431185524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2024.55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29.98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15.67778519012675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59391.31</v>
      </c>
      <c r="C42" s="29" t="n">
        <v>65036.78000000001</v>
      </c>
      <c r="D42" s="29" t="n">
        <v>26778.18</v>
      </c>
      <c r="E42" s="39" t="n">
        <v>26778.18</v>
      </c>
      <c r="F42" s="29">
        <f>D42+E42</f>
        <v/>
      </c>
      <c r="G42" s="7" t="n">
        <v>0.0950554887575305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518719.03</v>
      </c>
      <c r="C44" s="31" t="n">
        <v>562538.37</v>
      </c>
      <c r="D44" s="31" t="n">
        <v>259849.02</v>
      </c>
      <c r="E44" s="39" t="n">
        <v>259849.02</v>
      </c>
      <c r="F44" s="31">
        <f>D44+E44</f>
        <v/>
      </c>
      <c r="G44" s="7" t="n">
        <v>0.08447606019004167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249348.5100000001</v>
      </c>
      <c r="C46" s="33" t="n">
        <v>169972.6</v>
      </c>
      <c r="D46" s="33" t="n">
        <v>156422.19</v>
      </c>
      <c r="E46" s="39" t="n">
        <v>156422.19</v>
      </c>
      <c r="F46" s="33">
        <f>D46+E46</f>
        <v/>
      </c>
      <c r="G46" s="7" t="n">
        <v>-0.3183332035952413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2456.79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-0.5624371639415661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838.4999999999999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4829.28</v>
      </c>
      <c r="C56" s="31" t="n">
        <v>411244.38</v>
      </c>
      <c r="D56" s="31" t="n">
        <v>0</v>
      </c>
      <c r="E56" s="39" t="n">
        <v>0</v>
      </c>
      <c r="F56" s="31">
        <f>D56+E56</f>
        <v/>
      </c>
      <c r="G56" s="7" t="n">
        <v>84.15645810555611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244519.2300000001</v>
      </c>
      <c r="C58" s="36" t="n">
        <v>-241271.78</v>
      </c>
      <c r="D58" s="36" t="n">
        <v>156422.19</v>
      </c>
      <c r="E58" s="39" t="n">
        <v>156422.19</v>
      </c>
      <c r="F58" s="36">
        <f>D58+E58</f>
        <v/>
      </c>
      <c r="G58" s="7" t="n">
        <v>-1.986719040461562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Kingsclere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289268.29</v>
      </c>
      <c r="C4" s="5" t="n">
        <v>137253</v>
      </c>
      <c r="D4" s="5" t="n">
        <v>251172.36</v>
      </c>
      <c r="E4" s="38" t="n">
        <v>251172.36</v>
      </c>
      <c r="F4" s="5">
        <f>D4+E4</f>
        <v/>
      </c>
      <c r="G4" s="7" t="n">
        <v>-0.5255166060545384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105464.16</v>
      </c>
      <c r="C5" s="5" t="n">
        <v>50467</v>
      </c>
      <c r="D5" s="5" t="n">
        <v>0</v>
      </c>
      <c r="E5" s="38" t="n">
        <v>0</v>
      </c>
      <c r="F5" s="5">
        <f>D5+E5</f>
        <v/>
      </c>
      <c r="G5" s="7" t="n">
        <v>-0.5214772487639403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1724.64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396457.09</v>
      </c>
      <c r="C7" s="10" t="n">
        <v>430684.08</v>
      </c>
      <c r="D7" s="10" t="n">
        <v>251172.36</v>
      </c>
      <c r="E7" s="39" t="n">
        <v>251172.36</v>
      </c>
      <c r="F7" s="10">
        <f>D7+E7</f>
        <v/>
      </c>
      <c r="G7" s="7" t="n">
        <v>0.08633214252770709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189377.79</v>
      </c>
      <c r="C11" s="15" t="n">
        <v>200726.78</v>
      </c>
      <c r="D11" s="15" t="n">
        <v>97387.79999999999</v>
      </c>
      <c r="E11" s="38" t="n">
        <v>97387.79999999999</v>
      </c>
      <c r="F11" s="15">
        <f>D11+E11</f>
        <v/>
      </c>
      <c r="G11" s="7" t="n">
        <v>0.05992777716964587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17401.55</v>
      </c>
      <c r="C12" s="15" t="n">
        <v>21065.29</v>
      </c>
      <c r="D12" s="15" t="n">
        <v>9649.860000000001</v>
      </c>
      <c r="E12" s="38" t="n">
        <v>9649.860000000001</v>
      </c>
      <c r="F12" s="15">
        <f>D12+E12</f>
        <v/>
      </c>
      <c r="G12" s="7" t="n">
        <v>0.2105410150245238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3171.11</v>
      </c>
      <c r="C13" s="15" t="n">
        <v>3590.44</v>
      </c>
      <c r="D13" s="15" t="n">
        <v>1818.54</v>
      </c>
      <c r="E13" s="38" t="n">
        <v>1818.54</v>
      </c>
      <c r="F13" s="15">
        <f>D13+E13</f>
        <v/>
      </c>
      <c r="G13" s="7" t="n">
        <v>0.1322344541816586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559.6899999999999</v>
      </c>
      <c r="C14" s="15" t="n">
        <v>250</v>
      </c>
      <c r="D14" s="15" t="n">
        <v>300</v>
      </c>
      <c r="E14" s="38" t="n">
        <v>300</v>
      </c>
      <c r="F14" s="15">
        <f>D14+E14</f>
        <v/>
      </c>
      <c r="G14" s="7" t="n">
        <v>-0.5533241615894513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753.5999999999999</v>
      </c>
      <c r="C15" s="15" t="n">
        <v>250</v>
      </c>
      <c r="D15" s="15" t="n">
        <v>300</v>
      </c>
      <c r="E15" s="38" t="n">
        <v>300</v>
      </c>
      <c r="F15" s="15">
        <f>D15+E15</f>
        <v/>
      </c>
      <c r="G15" s="7" t="n">
        <v>-0.6682590233545647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1949.26</v>
      </c>
      <c r="C16" s="15" t="n">
        <v>400</v>
      </c>
      <c r="D16" s="15" t="n">
        <v>480</v>
      </c>
      <c r="E16" s="38" t="n">
        <v>480</v>
      </c>
      <c r="F16" s="15">
        <f>D16+E16</f>
        <v/>
      </c>
      <c r="G16" s="7" t="n">
        <v>-0.7947939217959636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141.6</v>
      </c>
      <c r="C18" s="15" t="n">
        <v>165</v>
      </c>
      <c r="D18" s="15" t="n">
        <v>198</v>
      </c>
      <c r="E18" s="38" t="n">
        <v>198</v>
      </c>
      <c r="F18" s="15">
        <f>D18+E18</f>
        <v/>
      </c>
      <c r="G18" s="7" t="n">
        <v>0.1652542372881357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1893.95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7" t="n">
        <v>-1</v>
      </c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215248.55</v>
      </c>
      <c r="C20" s="17" t="n">
        <v>228466.6</v>
      </c>
      <c r="D20" s="17" t="n">
        <v>110134.2</v>
      </c>
      <c r="E20" s="39" t="n">
        <v>110134.2</v>
      </c>
      <c r="F20" s="17">
        <f>D20+E20</f>
        <v/>
      </c>
      <c r="G20" s="7" t="n">
        <v>0.06140831146133165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0.5429302575973607</v>
      </c>
      <c r="C21" s="19" t="n">
        <v>0.5304737523615919</v>
      </c>
      <c r="D21" s="19" t="n">
        <v>0.4384805716679973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11779.6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1534.96</v>
      </c>
      <c r="C25" s="22" t="n">
        <v>250</v>
      </c>
      <c r="D25" s="22" t="n">
        <v>300</v>
      </c>
      <c r="E25" s="38" t="n">
        <v>300</v>
      </c>
      <c r="F25" s="22">
        <f>D25+E25</f>
        <v/>
      </c>
      <c r="G25" s="7" t="n">
        <v>-0.8371293063011414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938.9300000000001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205.17</v>
      </c>
      <c r="C27" s="22" t="n">
        <v>375</v>
      </c>
      <c r="D27" s="22" t="n">
        <v>450</v>
      </c>
      <c r="E27" s="38" t="n">
        <v>450</v>
      </c>
      <c r="F27" s="22">
        <f>D27+E27</f>
        <v/>
      </c>
      <c r="G27" s="7" t="n">
        <v>0.8277525954086853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1331.58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-0.8122531128433891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1074.61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16864.85</v>
      </c>
      <c r="C30" s="24" t="n">
        <v>12152.91</v>
      </c>
      <c r="D30" s="24" t="n">
        <v>1050</v>
      </c>
      <c r="E30" s="39" t="n">
        <v>1050</v>
      </c>
      <c r="F30" s="24">
        <f>D30+E30</f>
        <v/>
      </c>
      <c r="G30" s="7" t="n">
        <v>-0.2793941244659752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9106.799999999999</v>
      </c>
      <c r="C34" s="27" t="n">
        <v>3410</v>
      </c>
      <c r="D34" s="27" t="n">
        <v>4092</v>
      </c>
      <c r="E34" s="38" t="n">
        <v>4092</v>
      </c>
      <c r="F34" s="27">
        <f>D34+E34</f>
        <v/>
      </c>
      <c r="G34" s="7" t="n">
        <v>-0.6255545306803707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8664.93</v>
      </c>
      <c r="C35" s="27" t="n">
        <v>5940.09</v>
      </c>
      <c r="D35" s="27" t="n">
        <v>4530</v>
      </c>
      <c r="E35" s="38" t="n">
        <v>4530</v>
      </c>
      <c r="F35" s="27">
        <f>D35+E35</f>
        <v/>
      </c>
      <c r="G35" s="7" t="n">
        <v>-0.3144676298596757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2534.7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2056.4</v>
      </c>
      <c r="C37" s="27" t="n">
        <v>925</v>
      </c>
      <c r="D37" s="27" t="n">
        <v>1110</v>
      </c>
      <c r="E37" s="38" t="n">
        <v>1110</v>
      </c>
      <c r="F37" s="27">
        <f>D37+E37</f>
        <v/>
      </c>
      <c r="G37" s="7" t="n">
        <v>-0.5501847889515659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4923.29</v>
      </c>
      <c r="C38" s="27" t="n">
        <v>2110</v>
      </c>
      <c r="D38" s="27" t="n">
        <v>2532</v>
      </c>
      <c r="E38" s="38" t="n">
        <v>2532</v>
      </c>
      <c r="F38" s="27">
        <f>D38+E38</f>
        <v/>
      </c>
      <c r="G38" s="7" t="n">
        <v>-0.5714247992704066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438.99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461.2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0.08412836079791837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28186.31</v>
      </c>
      <c r="C42" s="29" t="n">
        <v>27522.45</v>
      </c>
      <c r="D42" s="29" t="n">
        <v>12864</v>
      </c>
      <c r="E42" s="39" t="n">
        <v>12864</v>
      </c>
      <c r="F42" s="29">
        <f>D42+E42</f>
        <v/>
      </c>
      <c r="G42" s="7" t="n">
        <v>-0.02355256860511364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260299.71</v>
      </c>
      <c r="C44" s="31" t="n">
        <v>268141.96</v>
      </c>
      <c r="D44" s="31" t="n">
        <v>124048.2</v>
      </c>
      <c r="E44" s="39" t="n">
        <v>124048.2</v>
      </c>
      <c r="F44" s="31">
        <f>D44+E44</f>
        <v/>
      </c>
      <c r="G44" s="7" t="n">
        <v>0.0301277707916003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136157.38</v>
      </c>
      <c r="C46" s="33" t="n">
        <v>162542.1199999999</v>
      </c>
      <c r="D46" s="33" t="n">
        <v>127124.16</v>
      </c>
      <c r="E46" s="39" t="n">
        <v>127124.16</v>
      </c>
      <c r="F46" s="33">
        <f>D46+E46</f>
        <v/>
      </c>
      <c r="G46" s="7" t="n">
        <v>0.1937811964360651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-0.5624425069805684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90.99999999999999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3562.38</v>
      </c>
      <c r="C56" s="31" t="n">
        <v>202452.68</v>
      </c>
      <c r="D56" s="31" t="n">
        <v>0</v>
      </c>
      <c r="E56" s="39" t="n">
        <v>0</v>
      </c>
      <c r="F56" s="31">
        <f>D56+E56</f>
        <v/>
      </c>
      <c r="G56" s="7" t="n">
        <v>55.83073675464156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132595</v>
      </c>
      <c r="C58" s="36" t="n">
        <v>-39910.56000000006</v>
      </c>
      <c r="D58" s="36" t="n">
        <v>127124.16</v>
      </c>
      <c r="E58" s="39" t="n">
        <v>127124.16</v>
      </c>
      <c r="F58" s="36">
        <f>D58+E58</f>
        <v/>
      </c>
      <c r="G58" s="7" t="n">
        <v>-1.300995965157058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Lower Earley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328572.82</v>
      </c>
      <c r="C4" s="5" t="n">
        <v>80745</v>
      </c>
      <c r="D4" s="5" t="n">
        <v>199098.78</v>
      </c>
      <c r="E4" s="38" t="n">
        <v>199098.78</v>
      </c>
      <c r="F4" s="5">
        <f>D4+E4</f>
        <v/>
      </c>
      <c r="G4" s="7" t="n">
        <v>-0.754255388501094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133870.06</v>
      </c>
      <c r="C5" s="5" t="n">
        <v>45148</v>
      </c>
      <c r="D5" s="5" t="n">
        <v>0</v>
      </c>
      <c r="E5" s="38" t="n">
        <v>0</v>
      </c>
      <c r="F5" s="5">
        <f>D5+E5</f>
        <v/>
      </c>
      <c r="G5" s="7" t="n">
        <v>-0.6627475927029539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2075.37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464518.25</v>
      </c>
      <c r="C7" s="10" t="n">
        <v>378951.54</v>
      </c>
      <c r="D7" s="10" t="n">
        <v>199098.78</v>
      </c>
      <c r="E7" s="39" t="n">
        <v>199098.78</v>
      </c>
      <c r="F7" s="10">
        <f>D7+E7</f>
        <v/>
      </c>
      <c r="G7" s="7" t="n">
        <v>-0.1842052707294062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252492.76</v>
      </c>
      <c r="C11" s="15" t="n">
        <v>283601.57</v>
      </c>
      <c r="D11" s="15" t="n">
        <v>145956</v>
      </c>
      <c r="E11" s="38" t="n">
        <v>145956</v>
      </c>
      <c r="F11" s="15">
        <f>D11+E11</f>
        <v/>
      </c>
      <c r="G11" s="7" t="n">
        <v>0.1232067406606035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26816.5</v>
      </c>
      <c r="C12" s="15" t="n">
        <v>31885.91</v>
      </c>
      <c r="D12" s="15" t="n">
        <v>16380</v>
      </c>
      <c r="E12" s="38" t="n">
        <v>16380</v>
      </c>
      <c r="F12" s="15">
        <f>D12+E12</f>
        <v/>
      </c>
      <c r="G12" s="7" t="n">
        <v>0.1890407025525329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5148.71</v>
      </c>
      <c r="C13" s="15" t="n">
        <v>5617.4</v>
      </c>
      <c r="D13" s="15" t="n">
        <v>2871</v>
      </c>
      <c r="E13" s="38" t="n">
        <v>2871</v>
      </c>
      <c r="F13" s="15">
        <f>D13+E13</f>
        <v/>
      </c>
      <c r="G13" s="7" t="n">
        <v>0.09103056882209322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1260.42</v>
      </c>
      <c r="C14" s="15" t="n">
        <v>195</v>
      </c>
      <c r="D14" s="15" t="n">
        <v>234</v>
      </c>
      <c r="E14" s="38" t="n">
        <v>234</v>
      </c>
      <c r="F14" s="15">
        <f>D14+E14</f>
        <v/>
      </c>
      <c r="G14" s="7" t="n">
        <v>-0.8452896653496453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567.59</v>
      </c>
      <c r="C15" s="15" t="n">
        <v>250</v>
      </c>
      <c r="D15" s="15" t="n">
        <v>300</v>
      </c>
      <c r="E15" s="38" t="n">
        <v>300</v>
      </c>
      <c r="F15" s="15">
        <f>D15+E15</f>
        <v/>
      </c>
      <c r="G15" s="7" t="n">
        <v>-0.5595412181328071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1766.9</v>
      </c>
      <c r="C16" s="15" t="n">
        <v>400</v>
      </c>
      <c r="D16" s="15" t="n">
        <v>480</v>
      </c>
      <c r="E16" s="38" t="n">
        <v>480</v>
      </c>
      <c r="F16" s="15">
        <f>D16+E16</f>
        <v/>
      </c>
      <c r="G16" s="7" t="n">
        <v>-0.7736148055917144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64.5</v>
      </c>
      <c r="C18" s="15" t="n">
        <v>165</v>
      </c>
      <c r="D18" s="15" t="n">
        <v>198</v>
      </c>
      <c r="E18" s="38" t="n">
        <v>198</v>
      </c>
      <c r="F18" s="15">
        <f>D18+E18</f>
        <v/>
      </c>
      <c r="G18" s="7" t="n">
        <v>1.558139534883721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288117.38</v>
      </c>
      <c r="C20" s="17" t="n">
        <v>323080.24</v>
      </c>
      <c r="D20" s="17" t="n">
        <v>166419</v>
      </c>
      <c r="E20" s="39" t="n">
        <v>166419</v>
      </c>
      <c r="F20" s="17">
        <f>D20+E20</f>
        <v/>
      </c>
      <c r="G20" s="7" t="n">
        <v>0.1213493611527357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0.6202498610119194</v>
      </c>
      <c r="C21" s="19" t="n">
        <v>0.8525634702526871</v>
      </c>
      <c r="D21" s="19" t="n">
        <v>0.8358614753942741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14312.85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1322.14</v>
      </c>
      <c r="C25" s="22" t="n">
        <v>280</v>
      </c>
      <c r="D25" s="22" t="n">
        <v>348</v>
      </c>
      <c r="E25" s="38" t="n">
        <v>348</v>
      </c>
      <c r="F25" s="22">
        <f>D25+E25</f>
        <v/>
      </c>
      <c r="G25" s="7" t="n">
        <v>-0.7882221247371685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917.85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500</v>
      </c>
      <c r="D27" s="22" t="n">
        <v>600</v>
      </c>
      <c r="E27" s="38" t="n">
        <v>600</v>
      </c>
      <c r="F27" s="22">
        <f>D27+E27</f>
        <v/>
      </c>
      <c r="G27" s="8" t="n"/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1267.66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-0.802786236056987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810.67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18631.17</v>
      </c>
      <c r="C30" s="24" t="n">
        <v>15251.76</v>
      </c>
      <c r="D30" s="24" t="n">
        <v>1296</v>
      </c>
      <c r="E30" s="39" t="n">
        <v>1296</v>
      </c>
      <c r="F30" s="24">
        <f>D30+E30</f>
        <v/>
      </c>
      <c r="G30" s="7" t="n">
        <v>-0.1813847439532782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6500.02</v>
      </c>
      <c r="C33" s="27" t="n">
        <v>-0.009999999999990905</v>
      </c>
      <c r="D33" s="27" t="n">
        <v>0</v>
      </c>
      <c r="E33" s="38" t="n">
        <v>0</v>
      </c>
      <c r="F33" s="27">
        <f>D33+E33</f>
        <v/>
      </c>
      <c r="G33" s="7" t="n">
        <v>-1.000001538456805</v>
      </c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5114.76</v>
      </c>
      <c r="C34" s="27" t="n">
        <v>0</v>
      </c>
      <c r="D34" s="27" t="n">
        <v>0</v>
      </c>
      <c r="E34" s="38" t="n">
        <v>0</v>
      </c>
      <c r="F34" s="27">
        <f>D34+E34</f>
        <v/>
      </c>
      <c r="G34" s="7" t="n">
        <v>-1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21442.52</v>
      </c>
      <c r="C35" s="27" t="n">
        <v>9805.389999999999</v>
      </c>
      <c r="D35" s="27" t="n">
        <v>0</v>
      </c>
      <c r="E35" s="38" t="n">
        <v>0</v>
      </c>
      <c r="F35" s="27">
        <f>D35+E35</f>
        <v/>
      </c>
      <c r="G35" s="7" t="n">
        <v>-0.5427127968167921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1373.7</v>
      </c>
      <c r="C36" s="27" t="n">
        <v>7000</v>
      </c>
      <c r="D36" s="27" t="n">
        <v>0</v>
      </c>
      <c r="E36" s="38" t="n">
        <v>0</v>
      </c>
      <c r="F36" s="27">
        <f>D36+E36</f>
        <v/>
      </c>
      <c r="G36" s="7" t="n">
        <v>4.09572686903982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2233.61</v>
      </c>
      <c r="C37" s="27" t="n">
        <v>1000</v>
      </c>
      <c r="D37" s="27" t="n">
        <v>1200</v>
      </c>
      <c r="E37" s="38" t="n">
        <v>1200</v>
      </c>
      <c r="F37" s="27">
        <f>D37+E37</f>
        <v/>
      </c>
      <c r="G37" s="7" t="n">
        <v>-0.5522942680235136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5095.7</v>
      </c>
      <c r="C38" s="27" t="n">
        <v>2130</v>
      </c>
      <c r="D38" s="27" t="n">
        <v>2556</v>
      </c>
      <c r="E38" s="38" t="n">
        <v>2556</v>
      </c>
      <c r="F38" s="27">
        <f>D38+E38</f>
        <v/>
      </c>
      <c r="G38" s="7" t="n">
        <v>-0.5820005102341189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721.77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20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7" t="n">
        <v>-1</v>
      </c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8" t="n"/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42502.08</v>
      </c>
      <c r="C42" s="29" t="n">
        <v>33819.09</v>
      </c>
      <c r="D42" s="29" t="n">
        <v>4356</v>
      </c>
      <c r="E42" s="39" t="n">
        <v>4356</v>
      </c>
      <c r="F42" s="29">
        <f>D42+E42</f>
        <v/>
      </c>
      <c r="G42" s="7" t="n">
        <v>-0.2042956485894339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349250.63</v>
      </c>
      <c r="C44" s="31" t="n">
        <v>372151.09</v>
      </c>
      <c r="D44" s="31" t="n">
        <v>172071</v>
      </c>
      <c r="E44" s="39" t="n">
        <v>172071</v>
      </c>
      <c r="F44" s="31">
        <f>D44+E44</f>
        <v/>
      </c>
      <c r="G44" s="7" t="n">
        <v>0.06557027542083449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115267.62</v>
      </c>
      <c r="C46" s="33" t="n">
        <v>6800.45000000007</v>
      </c>
      <c r="D46" s="33" t="n">
        <v>27027.78</v>
      </c>
      <c r="E46" s="39" t="n">
        <v>27027.78</v>
      </c>
      <c r="F46" s="33">
        <f>D46+E46</f>
        <v/>
      </c>
      <c r="G46" s="7" t="n">
        <v>-0.9410029460138062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2456.81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-0.5624407259820662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1061.59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4188.13</v>
      </c>
      <c r="C56" s="31" t="n">
        <v>191160.8</v>
      </c>
      <c r="D56" s="31" t="n">
        <v>0</v>
      </c>
      <c r="E56" s="39" t="n">
        <v>0</v>
      </c>
      <c r="F56" s="31">
        <f>D56+E56</f>
        <v/>
      </c>
      <c r="G56" s="7" t="n">
        <v>44.64347334013031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111079.49</v>
      </c>
      <c r="C58" s="36" t="n">
        <v>-184360.3499999999</v>
      </c>
      <c r="D58" s="36" t="n">
        <v>27027.78</v>
      </c>
      <c r="E58" s="39" t="n">
        <v>27027.78</v>
      </c>
      <c r="F58" s="36">
        <f>D58+E58</f>
        <v/>
      </c>
      <c r="G58" s="7" t="n">
        <v>-2.659715488430852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Merrydale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884185.91</v>
      </c>
      <c r="C4" s="5" t="n">
        <v>257836</v>
      </c>
      <c r="D4" s="5" t="n">
        <v>502707.62</v>
      </c>
      <c r="E4" s="38" t="n">
        <v>502707.62</v>
      </c>
      <c r="F4" s="5">
        <f>D4+E4</f>
        <v/>
      </c>
      <c r="G4" s="7" t="n">
        <v>-0.708391643562834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353900.67</v>
      </c>
      <c r="C5" s="5" t="n">
        <v>119603</v>
      </c>
      <c r="D5" s="5" t="n">
        <v>0</v>
      </c>
      <c r="E5" s="38" t="n">
        <v>0</v>
      </c>
      <c r="F5" s="5">
        <f>D5+E5</f>
        <v/>
      </c>
      <c r="G5" s="7" t="n">
        <v>-0.6620435898016243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7996.690000000001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1246083.27</v>
      </c>
      <c r="C7" s="10" t="n">
        <v>1044659.75</v>
      </c>
      <c r="D7" s="10" t="n">
        <v>502707.62</v>
      </c>
      <c r="E7" s="39" t="n">
        <v>502707.62</v>
      </c>
      <c r="F7" s="10">
        <f>D7+E7</f>
        <v/>
      </c>
      <c r="G7" s="7" t="n">
        <v>-0.1616453128369182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425745.89</v>
      </c>
      <c r="C11" s="15" t="n">
        <v>444526.51</v>
      </c>
      <c r="D11" s="15" t="n">
        <v>232986.84</v>
      </c>
      <c r="E11" s="38" t="n">
        <v>232986.84</v>
      </c>
      <c r="F11" s="15">
        <f>D11+E11</f>
        <v/>
      </c>
      <c r="G11" s="7" t="n">
        <v>0.0441122755172105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40259.87</v>
      </c>
      <c r="C12" s="15" t="n">
        <v>39125.94</v>
      </c>
      <c r="D12" s="15" t="n">
        <v>20857.68</v>
      </c>
      <c r="E12" s="38" t="n">
        <v>20857.68</v>
      </c>
      <c r="F12" s="15">
        <f>D12+E12</f>
        <v/>
      </c>
      <c r="G12" s="7" t="n">
        <v>-0.02816526729967087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6096.28</v>
      </c>
      <c r="C13" s="15" t="n">
        <v>5572.809999999999</v>
      </c>
      <c r="D13" s="15" t="n">
        <v>3143.1</v>
      </c>
      <c r="E13" s="38" t="n">
        <v>3143.1</v>
      </c>
      <c r="F13" s="15">
        <f>D13+E13</f>
        <v/>
      </c>
      <c r="G13" s="7" t="n">
        <v>-0.08586711896435208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1533.14</v>
      </c>
      <c r="C14" s="15" t="n">
        <v>440</v>
      </c>
      <c r="D14" s="15" t="n">
        <v>528</v>
      </c>
      <c r="E14" s="38" t="n">
        <v>528</v>
      </c>
      <c r="F14" s="15">
        <f>D14+E14</f>
        <v/>
      </c>
      <c r="G14" s="7" t="n">
        <v>-0.7130072922238021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414.6800000000001</v>
      </c>
      <c r="C15" s="15" t="n">
        <v>250</v>
      </c>
      <c r="D15" s="15" t="n">
        <v>300</v>
      </c>
      <c r="E15" s="38" t="n">
        <v>300</v>
      </c>
      <c r="F15" s="15">
        <f>D15+E15</f>
        <v/>
      </c>
      <c r="G15" s="7" t="n">
        <v>-0.3971254943570947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2567.99</v>
      </c>
      <c r="C16" s="15" t="n">
        <v>900</v>
      </c>
      <c r="D16" s="15" t="n">
        <v>1080</v>
      </c>
      <c r="E16" s="38" t="n">
        <v>1080</v>
      </c>
      <c r="F16" s="15">
        <f>D16+E16</f>
        <v/>
      </c>
      <c r="G16" s="7" t="n">
        <v>-0.6495313455270464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3352.38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7" t="n">
        <v>-1</v>
      </c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133.26</v>
      </c>
      <c r="C18" s="15" t="n">
        <v>375</v>
      </c>
      <c r="D18" s="15" t="n">
        <v>450</v>
      </c>
      <c r="E18" s="38" t="n">
        <v>450</v>
      </c>
      <c r="F18" s="15">
        <f>D18+E18</f>
        <v/>
      </c>
      <c r="G18" s="7" t="n">
        <v>1.814047726249437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8074.62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7" t="n">
        <v>-1</v>
      </c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488178.11</v>
      </c>
      <c r="C20" s="17" t="n">
        <v>500033.34</v>
      </c>
      <c r="D20" s="17" t="n">
        <v>259345.62</v>
      </c>
      <c r="E20" s="39" t="n">
        <v>259345.62</v>
      </c>
      <c r="F20" s="17">
        <f>D20+E20</f>
        <v/>
      </c>
      <c r="G20" s="7" t="n">
        <v>0.02428464070214042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0.391770054018942</v>
      </c>
      <c r="C21" s="19" t="n">
        <v>0.4786566535180474</v>
      </c>
      <c r="D21" s="19" t="n">
        <v>0.5158975310539354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30094.26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3249.93</v>
      </c>
      <c r="C25" s="22" t="n">
        <v>250</v>
      </c>
      <c r="D25" s="22" t="n">
        <v>300</v>
      </c>
      <c r="E25" s="38" t="n">
        <v>300</v>
      </c>
      <c r="F25" s="22">
        <f>D25+E25</f>
        <v/>
      </c>
      <c r="G25" s="7" t="n">
        <v>-0.9230752662365036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1378.49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621.74</v>
      </c>
      <c r="C27" s="22" t="n">
        <v>450</v>
      </c>
      <c r="D27" s="22" t="n">
        <v>540</v>
      </c>
      <c r="E27" s="38" t="n">
        <v>540</v>
      </c>
      <c r="F27" s="22">
        <f>D27+E27</f>
        <v/>
      </c>
      <c r="G27" s="7" t="n">
        <v>-0.2762247884967993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1205.94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-0.7926928371229083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3514.21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40064.57</v>
      </c>
      <c r="C30" s="24" t="n">
        <v>19883.5</v>
      </c>
      <c r="D30" s="24" t="n">
        <v>1140</v>
      </c>
      <c r="E30" s="39" t="n">
        <v>1140</v>
      </c>
      <c r="F30" s="24">
        <f>D30+E30</f>
        <v/>
      </c>
      <c r="G30" s="7" t="n">
        <v>-0.5037136302723328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37587</v>
      </c>
      <c r="C34" s="27" t="n">
        <v>15110</v>
      </c>
      <c r="D34" s="27" t="n">
        <v>18132</v>
      </c>
      <c r="E34" s="38" t="n">
        <v>18132</v>
      </c>
      <c r="F34" s="27">
        <f>D34+E34</f>
        <v/>
      </c>
      <c r="G34" s="7" t="n">
        <v>-0.5979993082714768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11901.85</v>
      </c>
      <c r="C35" s="27" t="n">
        <v>9734.27</v>
      </c>
      <c r="D35" s="27" t="n">
        <v>5976</v>
      </c>
      <c r="E35" s="38" t="n">
        <v>5976</v>
      </c>
      <c r="F35" s="27">
        <f>D35+E35</f>
        <v/>
      </c>
      <c r="G35" s="7" t="n">
        <v>-0.1821212668618744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3381.98</v>
      </c>
      <c r="C36" s="27" t="n">
        <v>3500</v>
      </c>
      <c r="D36" s="27" t="n">
        <v>0</v>
      </c>
      <c r="E36" s="38" t="n">
        <v>0</v>
      </c>
      <c r="F36" s="27">
        <f>D36+E36</f>
        <v/>
      </c>
      <c r="G36" s="7" t="n">
        <v>0.03489671730761269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7852.45</v>
      </c>
      <c r="C37" s="27" t="n">
        <v>1665</v>
      </c>
      <c r="D37" s="27" t="n">
        <v>1998</v>
      </c>
      <c r="E37" s="38" t="n">
        <v>1998</v>
      </c>
      <c r="F37" s="27">
        <f>D37+E37</f>
        <v/>
      </c>
      <c r="G37" s="7" t="n">
        <v>-0.7879642659297417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5636.84</v>
      </c>
      <c r="C38" s="27" t="n">
        <v>2370</v>
      </c>
      <c r="D38" s="27" t="n">
        <v>2844</v>
      </c>
      <c r="E38" s="38" t="n">
        <v>2844</v>
      </c>
      <c r="F38" s="27">
        <f>D38+E38</f>
        <v/>
      </c>
      <c r="G38" s="7" t="n">
        <v>-0.5795516636981004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1000.56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621.6900000000001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-0.1957406424423749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67982.37</v>
      </c>
      <c r="C42" s="29" t="n">
        <v>73880.07999999999</v>
      </c>
      <c r="D42" s="29" t="n">
        <v>29550</v>
      </c>
      <c r="E42" s="39" t="n">
        <v>29550</v>
      </c>
      <c r="F42" s="29">
        <f>D42+E42</f>
        <v/>
      </c>
      <c r="G42" s="7" t="n">
        <v>0.0867535215380104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596225.0499999999</v>
      </c>
      <c r="C44" s="31" t="n">
        <v>593796.9199999999</v>
      </c>
      <c r="D44" s="31" t="n">
        <v>290035.62</v>
      </c>
      <c r="E44" s="39" t="n">
        <v>290035.62</v>
      </c>
      <c r="F44" s="31">
        <f>D44+E44</f>
        <v/>
      </c>
      <c r="G44" s="7" t="n">
        <v>-0.004072505843221456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649858.2200000001</v>
      </c>
      <c r="C46" s="33" t="n">
        <v>450862.8300000001</v>
      </c>
      <c r="D46" s="33" t="n">
        <v>212672</v>
      </c>
      <c r="E46" s="39" t="n">
        <v>212672</v>
      </c>
      <c r="F46" s="33">
        <f>D46+E46</f>
        <v/>
      </c>
      <c r="G46" s="7" t="n">
        <v>-0.3062135460870218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-0.5624425069805684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167.8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6371.97</v>
      </c>
      <c r="C56" s="31" t="n">
        <v>602367.09</v>
      </c>
      <c r="D56" s="31" t="n">
        <v>0</v>
      </c>
      <c r="E56" s="39" t="n">
        <v>0</v>
      </c>
      <c r="F56" s="31">
        <f>D56+E56</f>
        <v/>
      </c>
      <c r="G56" s="7" t="n">
        <v>93.53388669438179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643486.2500000001</v>
      </c>
      <c r="C58" s="36" t="n">
        <v>-151504.2599999999</v>
      </c>
      <c r="D58" s="36" t="n">
        <v>212672</v>
      </c>
      <c r="E58" s="39" t="n">
        <v>212672</v>
      </c>
      <c r="F58" s="36">
        <f>D58+E58</f>
        <v/>
      </c>
      <c r="G58" s="7" t="n">
        <v>-1.235442886308759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Northumberland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195198.38</v>
      </c>
      <c r="C4" s="5" t="n">
        <v>75802.87</v>
      </c>
      <c r="D4" s="5" t="n">
        <v>211309.68</v>
      </c>
      <c r="E4" s="38" t="n">
        <v>211309.68</v>
      </c>
      <c r="F4" s="5">
        <f>D4+E4</f>
        <v/>
      </c>
      <c r="G4" s="7" t="n">
        <v>-0.6116624021162471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125324.42</v>
      </c>
      <c r="C5" s="5" t="n">
        <v>70605</v>
      </c>
      <c r="D5" s="5" t="n">
        <v>0</v>
      </c>
      <c r="E5" s="38" t="n">
        <v>0</v>
      </c>
      <c r="F5" s="5">
        <f>D5+E5</f>
        <v/>
      </c>
      <c r="G5" s="7" t="n">
        <v>-0.4366221682893087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1570.68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322093.48</v>
      </c>
      <c r="C7" s="10" t="n">
        <v>308134.33</v>
      </c>
      <c r="D7" s="10" t="n">
        <v>211309.68</v>
      </c>
      <c r="E7" s="39" t="n">
        <v>211309.68</v>
      </c>
      <c r="F7" s="10">
        <f>D7+E7</f>
        <v/>
      </c>
      <c r="G7" s="7" t="n">
        <v>-0.04333881579968655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198244.87</v>
      </c>
      <c r="C11" s="15" t="n">
        <v>227677.38</v>
      </c>
      <c r="D11" s="15" t="n">
        <v>123043.5</v>
      </c>
      <c r="E11" s="38" t="n">
        <v>123043.5</v>
      </c>
      <c r="F11" s="15">
        <f>D11+E11</f>
        <v/>
      </c>
      <c r="G11" s="7" t="n">
        <v>0.1484654306565411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18991.29</v>
      </c>
      <c r="C12" s="15" t="n">
        <v>23462.5</v>
      </c>
      <c r="D12" s="15" t="n">
        <v>12570.3</v>
      </c>
      <c r="E12" s="38" t="n">
        <v>12570.3</v>
      </c>
      <c r="F12" s="15">
        <f>D12+E12</f>
        <v/>
      </c>
      <c r="G12" s="7" t="n">
        <v>0.2354347703605179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3715.91</v>
      </c>
      <c r="C13" s="15" t="n">
        <v>1726.75</v>
      </c>
      <c r="D13" s="15" t="n">
        <v>2072.1</v>
      </c>
      <c r="E13" s="38" t="n">
        <v>2072.1</v>
      </c>
      <c r="F13" s="15">
        <f>D13+E13</f>
        <v/>
      </c>
      <c r="G13" s="7" t="n">
        <v>-0.535308982187405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441.62</v>
      </c>
      <c r="C14" s="15" t="n">
        <v>170</v>
      </c>
      <c r="D14" s="15" t="n">
        <v>204</v>
      </c>
      <c r="E14" s="38" t="n">
        <v>204</v>
      </c>
      <c r="F14" s="15">
        <f>D14+E14</f>
        <v/>
      </c>
      <c r="G14" s="7" t="n">
        <v>-0.6150536660477334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241.3</v>
      </c>
      <c r="C15" s="15" t="n">
        <v>500</v>
      </c>
      <c r="D15" s="15" t="n">
        <v>600</v>
      </c>
      <c r="E15" s="38" t="n">
        <v>600</v>
      </c>
      <c r="F15" s="15">
        <f>D15+E15</f>
        <v/>
      </c>
      <c r="G15" s="7" t="n">
        <v>1.072109407376709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3556.46</v>
      </c>
      <c r="C16" s="15" t="n">
        <v>350</v>
      </c>
      <c r="D16" s="15" t="n">
        <v>420</v>
      </c>
      <c r="E16" s="38" t="n">
        <v>420</v>
      </c>
      <c r="F16" s="15">
        <f>D16+E16</f>
        <v/>
      </c>
      <c r="G16" s="7" t="n">
        <v>-0.9015875336711224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484.45</v>
      </c>
      <c r="C18" s="15" t="n">
        <v>145</v>
      </c>
      <c r="D18" s="15" t="n">
        <v>174</v>
      </c>
      <c r="E18" s="38" t="n">
        <v>174</v>
      </c>
      <c r="F18" s="15">
        <f>D18+E18</f>
        <v/>
      </c>
      <c r="G18" s="7" t="n">
        <v>-0.7006915058313551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662.49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7" t="n">
        <v>-1</v>
      </c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226338.39</v>
      </c>
      <c r="C20" s="17" t="n">
        <v>259033.85</v>
      </c>
      <c r="D20" s="17" t="n">
        <v>139083.9</v>
      </c>
      <c r="E20" s="39" t="n">
        <v>139083.9</v>
      </c>
      <c r="F20" s="17">
        <f>D20+E20</f>
        <v/>
      </c>
      <c r="G20" s="7" t="n">
        <v>0.1444538860597179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0.7027102504527568</v>
      </c>
      <c r="C21" s="19" t="n">
        <v>0.8406523544455434</v>
      </c>
      <c r="D21" s="19" t="n">
        <v>0.6581993782774175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13264.85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1309.67</v>
      </c>
      <c r="C25" s="22" t="n">
        <v>250</v>
      </c>
      <c r="D25" s="22" t="n">
        <v>300</v>
      </c>
      <c r="E25" s="38" t="n">
        <v>300</v>
      </c>
      <c r="F25" s="22">
        <f>D25+E25</f>
        <v/>
      </c>
      <c r="G25" s="7" t="n">
        <v>-0.8091122191086304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467.13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500</v>
      </c>
      <c r="D27" s="22" t="n">
        <v>600</v>
      </c>
      <c r="E27" s="38" t="n">
        <v>600</v>
      </c>
      <c r="F27" s="22">
        <f>D27+E27</f>
        <v/>
      </c>
      <c r="G27" s="8" t="n"/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1203.27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-0.7922328321989246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1926.94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18171.86</v>
      </c>
      <c r="C30" s="24" t="n">
        <v>8431.870000000001</v>
      </c>
      <c r="D30" s="24" t="n">
        <v>1200</v>
      </c>
      <c r="E30" s="39" t="n">
        <v>1200</v>
      </c>
      <c r="F30" s="24">
        <f>D30+E30</f>
        <v/>
      </c>
      <c r="G30" s="7" t="n">
        <v>-0.5359930133734246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13223.52</v>
      </c>
      <c r="C34" s="27" t="n">
        <v>6335</v>
      </c>
      <c r="D34" s="27" t="n">
        <v>7602</v>
      </c>
      <c r="E34" s="38" t="n">
        <v>7602</v>
      </c>
      <c r="F34" s="27">
        <f>D34+E34</f>
        <v/>
      </c>
      <c r="G34" s="7" t="n">
        <v>-0.5209293743269569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17007.45</v>
      </c>
      <c r="C35" s="27" t="n">
        <v>11500</v>
      </c>
      <c r="D35" s="27" t="n">
        <v>13800</v>
      </c>
      <c r="E35" s="38" t="n">
        <v>13800</v>
      </c>
      <c r="F35" s="27">
        <f>D35+E35</f>
        <v/>
      </c>
      <c r="G35" s="7" t="n">
        <v>-0.3238257351925186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2151.59</v>
      </c>
      <c r="C36" s="27" t="n">
        <v>2000</v>
      </c>
      <c r="D36" s="27" t="n">
        <v>0</v>
      </c>
      <c r="E36" s="38" t="n">
        <v>0</v>
      </c>
      <c r="F36" s="27">
        <f>D36+E36</f>
        <v/>
      </c>
      <c r="G36" s="7" t="n">
        <v>-0.07045487290794256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1751</v>
      </c>
      <c r="C37" s="27" t="n">
        <v>825</v>
      </c>
      <c r="D37" s="27" t="n">
        <v>990</v>
      </c>
      <c r="E37" s="38" t="n">
        <v>990</v>
      </c>
      <c r="F37" s="27">
        <f>D37+E37</f>
        <v/>
      </c>
      <c r="G37" s="7" t="n">
        <v>-0.5288406624785836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4565.99</v>
      </c>
      <c r="C38" s="27" t="n">
        <v>1850</v>
      </c>
      <c r="D38" s="27" t="n">
        <v>2220</v>
      </c>
      <c r="E38" s="38" t="n">
        <v>2220</v>
      </c>
      <c r="F38" s="27">
        <f>D38+E38</f>
        <v/>
      </c>
      <c r="G38" s="7" t="n">
        <v>-0.5948304748805845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3205.86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8" t="n"/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41905.41</v>
      </c>
      <c r="C42" s="29" t="n">
        <v>56278.44</v>
      </c>
      <c r="D42" s="29" t="n">
        <v>25212</v>
      </c>
      <c r="E42" s="39" t="n">
        <v>25212</v>
      </c>
      <c r="F42" s="29">
        <f>D42+E42</f>
        <v/>
      </c>
      <c r="G42" s="7" t="n">
        <v>0.3429874567508109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286415.66</v>
      </c>
      <c r="C44" s="31" t="n">
        <v>323744.16</v>
      </c>
      <c r="D44" s="31" t="n">
        <v>165495.9</v>
      </c>
      <c r="E44" s="39" t="n">
        <v>165495.9</v>
      </c>
      <c r="F44" s="31">
        <f>D44+E44</f>
        <v/>
      </c>
      <c r="G44" s="7" t="n">
        <v>0.1303298150666762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35677.81999999995</v>
      </c>
      <c r="C46" s="33" t="n">
        <v>-15609.83000000007</v>
      </c>
      <c r="D46" s="33" t="n">
        <v>45813.77999999997</v>
      </c>
      <c r="E46" s="39" t="n">
        <v>45813.77999999997</v>
      </c>
      <c r="F46" s="33">
        <f>D46+E46</f>
        <v/>
      </c>
      <c r="G46" s="7" t="n">
        <v>-1.437521967429627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2456.79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-0.5624371639415661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818.5500000000001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4400.690000000001</v>
      </c>
      <c r="C56" s="31" t="n">
        <v>134324.67</v>
      </c>
      <c r="D56" s="31" t="n">
        <v>0</v>
      </c>
      <c r="E56" s="39" t="n">
        <v>0</v>
      </c>
      <c r="F56" s="31">
        <f>D56+E56</f>
        <v/>
      </c>
      <c r="G56" s="7" t="n">
        <v>29.52354744369632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31277.12999999995</v>
      </c>
      <c r="C58" s="36" t="n">
        <v>-149934.5000000001</v>
      </c>
      <c r="D58" s="36" t="n">
        <v>45813.77999999997</v>
      </c>
      <c r="E58" s="39" t="n">
        <v>45813.77999999997</v>
      </c>
      <c r="F58" s="36">
        <f>D58+E58</f>
        <v/>
      </c>
      <c r="G58" s="7" t="n">
        <v>-5.793742264715474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Saltway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547505.1899999999</v>
      </c>
      <c r="C4" s="5" t="n">
        <v>259395</v>
      </c>
      <c r="D4" s="5" t="n">
        <v>539039.17</v>
      </c>
      <c r="E4" s="38" t="n">
        <v>539039.17</v>
      </c>
      <c r="F4" s="5">
        <f>D4+E4</f>
        <v/>
      </c>
      <c r="G4" s="7" t="n">
        <v>-0.526223669222204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266727.8</v>
      </c>
      <c r="C5" s="5" t="n">
        <v>139647</v>
      </c>
      <c r="D5" s="5" t="n">
        <v>0</v>
      </c>
      <c r="E5" s="38" t="n">
        <v>0</v>
      </c>
      <c r="F5" s="5">
        <f>D5+E5</f>
        <v/>
      </c>
      <c r="G5" s="7" t="n">
        <v>-0.4764437752645206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8352.040000000001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822585.03</v>
      </c>
      <c r="C7" s="10" t="n">
        <v>1027383.23</v>
      </c>
      <c r="D7" s="10" t="n">
        <v>539039.17</v>
      </c>
      <c r="E7" s="39" t="n">
        <v>539039.17</v>
      </c>
      <c r="F7" s="10">
        <f>D7+E7</f>
        <v/>
      </c>
      <c r="G7" s="7" t="n">
        <v>0.248969033632912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415783.21</v>
      </c>
      <c r="C11" s="15" t="n">
        <v>532058.37</v>
      </c>
      <c r="D11" s="15" t="n">
        <v>282918.42</v>
      </c>
      <c r="E11" s="38" t="n">
        <v>282918.42</v>
      </c>
      <c r="F11" s="15">
        <f>D11+E11</f>
        <v/>
      </c>
      <c r="G11" s="7" t="n">
        <v>0.2796533318408888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42288.58</v>
      </c>
      <c r="C12" s="15" t="n">
        <v>54593.03</v>
      </c>
      <c r="D12" s="15" t="n">
        <v>28882.98</v>
      </c>
      <c r="E12" s="38" t="n">
        <v>28882.98</v>
      </c>
      <c r="F12" s="15">
        <f>D12+E12</f>
        <v/>
      </c>
      <c r="G12" s="7" t="n">
        <v>0.2909638961629829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7783.48</v>
      </c>
      <c r="C13" s="15" t="n">
        <v>4217</v>
      </c>
      <c r="D13" s="15" t="n">
        <v>5060.4</v>
      </c>
      <c r="E13" s="38" t="n">
        <v>5060.4</v>
      </c>
      <c r="F13" s="15">
        <f>D13+E13</f>
        <v/>
      </c>
      <c r="G13" s="7" t="n">
        <v>-0.4582114940874776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1044.66</v>
      </c>
      <c r="C14" s="15" t="n">
        <v>245</v>
      </c>
      <c r="D14" s="15" t="n">
        <v>294</v>
      </c>
      <c r="E14" s="38" t="n">
        <v>294</v>
      </c>
      <c r="F14" s="15">
        <f>D14+E14</f>
        <v/>
      </c>
      <c r="G14" s="7" t="n">
        <v>-0.7654739341029617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397.2</v>
      </c>
      <c r="C15" s="15" t="n">
        <v>500</v>
      </c>
      <c r="D15" s="15" t="n">
        <v>600</v>
      </c>
      <c r="E15" s="38" t="n">
        <v>600</v>
      </c>
      <c r="F15" s="15">
        <f>D15+E15</f>
        <v/>
      </c>
      <c r="G15" s="7" t="n">
        <v>0.2588116817724069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2171.64</v>
      </c>
      <c r="C16" s="15" t="n">
        <v>500</v>
      </c>
      <c r="D16" s="15" t="n">
        <v>600</v>
      </c>
      <c r="E16" s="38" t="n">
        <v>600</v>
      </c>
      <c r="F16" s="15">
        <f>D16+E16</f>
        <v/>
      </c>
      <c r="G16" s="7" t="n">
        <v>-0.7697592602825514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81.26000000000001</v>
      </c>
      <c r="C18" s="15" t="n">
        <v>210</v>
      </c>
      <c r="D18" s="15" t="n">
        <v>252</v>
      </c>
      <c r="E18" s="38" t="n">
        <v>252</v>
      </c>
      <c r="F18" s="15">
        <f>D18+E18</f>
        <v/>
      </c>
      <c r="G18" s="7" t="n">
        <v>1.584297317253261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469550.03</v>
      </c>
      <c r="C20" s="17" t="n">
        <v>602295.87</v>
      </c>
      <c r="D20" s="17" t="n">
        <v>318607.8</v>
      </c>
      <c r="E20" s="39" t="n">
        <v>318607.8</v>
      </c>
      <c r="F20" s="17">
        <f>D20+E20</f>
        <v/>
      </c>
      <c r="G20" s="7" t="n">
        <v>0.2827086178654913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0.5708224838470498</v>
      </c>
      <c r="C21" s="19" t="n">
        <v>0.5862426526078297</v>
      </c>
      <c r="D21" s="19" t="n">
        <v>0.5910661371788622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25818.53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1292.74</v>
      </c>
      <c r="C25" s="22" t="n">
        <v>250</v>
      </c>
      <c r="D25" s="22" t="n">
        <v>300</v>
      </c>
      <c r="E25" s="38" t="n">
        <v>300</v>
      </c>
      <c r="F25" s="22">
        <f>D25+E25</f>
        <v/>
      </c>
      <c r="G25" s="7" t="n">
        <v>-0.8066123118337795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2480.45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613.5</v>
      </c>
      <c r="C27" s="22" t="n">
        <v>500</v>
      </c>
      <c r="D27" s="22" t="n">
        <v>600</v>
      </c>
      <c r="E27" s="38" t="n">
        <v>600</v>
      </c>
      <c r="F27" s="22">
        <f>D27+E27</f>
        <v/>
      </c>
      <c r="G27" s="7" t="n">
        <v>-0.1850040749796251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1209.08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-0.7932312171237635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1343.26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32757.56</v>
      </c>
      <c r="C30" s="24" t="n">
        <v>22076.67</v>
      </c>
      <c r="D30" s="24" t="n">
        <v>1200</v>
      </c>
      <c r="E30" s="39" t="n">
        <v>1200</v>
      </c>
      <c r="F30" s="24">
        <f>D30+E30</f>
        <v/>
      </c>
      <c r="G30" s="7" t="n">
        <v>-0.3260587784926594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9563.68</v>
      </c>
      <c r="C34" s="27" t="n">
        <v>4365</v>
      </c>
      <c r="D34" s="27" t="n">
        <v>5238</v>
      </c>
      <c r="E34" s="38" t="n">
        <v>5238</v>
      </c>
      <c r="F34" s="27">
        <f>D34+E34</f>
        <v/>
      </c>
      <c r="G34" s="7" t="n">
        <v>-0.5435857326886722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11430.24</v>
      </c>
      <c r="C35" s="27" t="n">
        <v>4750</v>
      </c>
      <c r="D35" s="27" t="n">
        <v>5700</v>
      </c>
      <c r="E35" s="38" t="n">
        <v>5700</v>
      </c>
      <c r="F35" s="27">
        <f>D35+E35</f>
        <v/>
      </c>
      <c r="G35" s="7" t="n">
        <v>-0.5844356723918308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7621.82</v>
      </c>
      <c r="C36" s="27" t="n">
        <v>4000</v>
      </c>
      <c r="D36" s="27" t="n">
        <v>0</v>
      </c>
      <c r="E36" s="38" t="n">
        <v>0</v>
      </c>
      <c r="F36" s="27">
        <f>D36+E36</f>
        <v/>
      </c>
      <c r="G36" s="7" t="n">
        <v>-0.4751909648876515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14299.4</v>
      </c>
      <c r="C37" s="27" t="n">
        <v>6160</v>
      </c>
      <c r="D37" s="27" t="n">
        <v>7392</v>
      </c>
      <c r="E37" s="38" t="n">
        <v>7392</v>
      </c>
      <c r="F37" s="27">
        <f>D37+E37</f>
        <v/>
      </c>
      <c r="G37" s="7" t="n">
        <v>-0.5692126942389191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5024.26</v>
      </c>
      <c r="C38" s="27" t="n">
        <v>2065</v>
      </c>
      <c r="D38" s="27" t="n">
        <v>2478</v>
      </c>
      <c r="E38" s="38" t="n">
        <v>2478</v>
      </c>
      <c r="F38" s="27">
        <f>D38+E38</f>
        <v/>
      </c>
      <c r="G38" s="7" t="n">
        <v>-0.5889942001409163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3765.08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2446.57</v>
      </c>
      <c r="C40" s="27" t="n">
        <v>765</v>
      </c>
      <c r="D40" s="27" t="n">
        <v>918</v>
      </c>
      <c r="E40" s="38" t="n">
        <v>918</v>
      </c>
      <c r="F40" s="27">
        <f>D40+E40</f>
        <v/>
      </c>
      <c r="G40" s="7" t="n">
        <v>-0.6873173463256722</v>
      </c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0</v>
      </c>
      <c r="D41" s="27" t="n">
        <v>0</v>
      </c>
      <c r="E41" s="38" t="n">
        <v>0</v>
      </c>
      <c r="F41" s="27">
        <f>D41+E41</f>
        <v/>
      </c>
      <c r="G41" s="8" t="n"/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54151.05</v>
      </c>
      <c r="C42" s="29" t="n">
        <v>54650.79</v>
      </c>
      <c r="D42" s="29" t="n">
        <v>21726</v>
      </c>
      <c r="E42" s="39" t="n">
        <v>21726</v>
      </c>
      <c r="F42" s="29">
        <f>D42+E42</f>
        <v/>
      </c>
      <c r="G42" s="7" t="n">
        <v>0.009228629915763368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556458.64</v>
      </c>
      <c r="C44" s="31" t="n">
        <v>679023.3300000001</v>
      </c>
      <c r="D44" s="31" t="n">
        <v>341533.8</v>
      </c>
      <c r="E44" s="39" t="n">
        <v>341533.8</v>
      </c>
      <c r="F44" s="31">
        <f>D44+E44</f>
        <v/>
      </c>
      <c r="G44" s="7" t="n">
        <v>0.2202584005165237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266126.39</v>
      </c>
      <c r="C46" s="33" t="n">
        <v>348359.8999999999</v>
      </c>
      <c r="D46" s="33" t="n">
        <v>197505.37</v>
      </c>
      <c r="E46" s="39" t="n">
        <v>197505.37</v>
      </c>
      <c r="F46" s="33">
        <f>D46+E46</f>
        <v/>
      </c>
      <c r="G46" s="7" t="n">
        <v>0.3090017115551745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2486.69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-0.5676984264222722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411.86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4202.900000000001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7" t="n">
        <v>-1</v>
      </c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92.48999999999999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7" t="n">
        <v>-1</v>
      </c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8497.4</v>
      </c>
      <c r="C56" s="31" t="n">
        <v>294078.93</v>
      </c>
      <c r="D56" s="31" t="n">
        <v>0</v>
      </c>
      <c r="E56" s="39" t="n">
        <v>0</v>
      </c>
      <c r="F56" s="31">
        <f>D56+E56</f>
        <v/>
      </c>
      <c r="G56" s="7" t="n">
        <v>33.6081071857274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257628.99</v>
      </c>
      <c r="C58" s="36" t="n">
        <v>54280.96999999991</v>
      </c>
      <c r="D58" s="36" t="n">
        <v>197505.37</v>
      </c>
      <c r="E58" s="39" t="n">
        <v>197505.37</v>
      </c>
      <c r="F58" s="36">
        <f>D58+E58</f>
        <v/>
      </c>
      <c r="G58" s="7" t="n">
        <v>-0.7893056600501368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Smart Tots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401388.36</v>
      </c>
      <c r="C4" s="5" t="n">
        <v>156861.99</v>
      </c>
      <c r="D4" s="5" t="n">
        <v>305597.3</v>
      </c>
      <c r="E4" s="38" t="n">
        <v>305597.3</v>
      </c>
      <c r="F4" s="5">
        <f>D4+E4</f>
        <v/>
      </c>
      <c r="G4" s="7" t="n">
        <v>-0.6092014476951948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196376.5</v>
      </c>
      <c r="C5" s="5" t="n">
        <v>89681</v>
      </c>
      <c r="D5" s="5" t="n">
        <v>0</v>
      </c>
      <c r="E5" s="38" t="n">
        <v>0</v>
      </c>
      <c r="F5" s="5">
        <f>D5+E5</f>
        <v/>
      </c>
      <c r="G5" s="7" t="n">
        <v>-0.5433211203988257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5810.85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603575.71</v>
      </c>
      <c r="C7" s="10" t="n">
        <v>696617.8</v>
      </c>
      <c r="D7" s="10" t="n">
        <v>305597.3</v>
      </c>
      <c r="E7" s="39" t="n">
        <v>305597.3</v>
      </c>
      <c r="F7" s="10">
        <f>D7+E7</f>
        <v/>
      </c>
      <c r="G7" s="7" t="n">
        <v>0.1541514816757621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325154.02</v>
      </c>
      <c r="C11" s="15" t="n">
        <v>417272.08</v>
      </c>
      <c r="D11" s="15" t="n">
        <v>218725.8</v>
      </c>
      <c r="E11" s="38" t="n">
        <v>218725.8</v>
      </c>
      <c r="F11" s="15">
        <f>D11+E11</f>
        <v/>
      </c>
      <c r="G11" s="7" t="n">
        <v>0.283305923758839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33018.6</v>
      </c>
      <c r="C12" s="15" t="n">
        <v>48333.56</v>
      </c>
      <c r="D12" s="15" t="n">
        <v>25988.82</v>
      </c>
      <c r="E12" s="38" t="n">
        <v>25988.82</v>
      </c>
      <c r="F12" s="15">
        <f>D12+E12</f>
        <v/>
      </c>
      <c r="G12" s="7" t="n">
        <v>0.4638282664922195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6371.3</v>
      </c>
      <c r="C13" s="15" t="n">
        <v>3253.25</v>
      </c>
      <c r="D13" s="15" t="n">
        <v>3903.9</v>
      </c>
      <c r="E13" s="38" t="n">
        <v>3903.9</v>
      </c>
      <c r="F13" s="15">
        <f>D13+E13</f>
        <v/>
      </c>
      <c r="G13" s="7" t="n">
        <v>-0.4893899204244032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303.08</v>
      </c>
      <c r="C14" s="15" t="n">
        <v>366.7500000000001</v>
      </c>
      <c r="D14" s="15" t="n">
        <v>440.1</v>
      </c>
      <c r="E14" s="38" t="n">
        <v>440.1</v>
      </c>
      <c r="F14" s="15">
        <f>D14+E14</f>
        <v/>
      </c>
      <c r="G14" s="7" t="n">
        <v>0.2100765474462191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392.96</v>
      </c>
      <c r="C15" s="15" t="n">
        <v>500</v>
      </c>
      <c r="D15" s="15" t="n">
        <v>600</v>
      </c>
      <c r="E15" s="38" t="n">
        <v>600</v>
      </c>
      <c r="F15" s="15">
        <f>D15+E15</f>
        <v/>
      </c>
      <c r="G15" s="7" t="n">
        <v>0.2723941368078177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1286.17</v>
      </c>
      <c r="C16" s="15" t="n">
        <v>750</v>
      </c>
      <c r="D16" s="15" t="n">
        <v>900</v>
      </c>
      <c r="E16" s="38" t="n">
        <v>900</v>
      </c>
      <c r="F16" s="15">
        <f>D16+E16</f>
        <v/>
      </c>
      <c r="G16" s="7" t="n">
        <v>-0.4168733526672213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51</v>
      </c>
      <c r="C18" s="15" t="n">
        <v>315</v>
      </c>
      <c r="D18" s="15" t="n">
        <v>378</v>
      </c>
      <c r="E18" s="38" t="n">
        <v>378</v>
      </c>
      <c r="F18" s="15">
        <f>D18+E18</f>
        <v/>
      </c>
      <c r="G18" s="7" t="n">
        <v>5.176470588235294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366577.13</v>
      </c>
      <c r="C20" s="17" t="n">
        <v>476948.6400000001</v>
      </c>
      <c r="D20" s="17" t="n">
        <v>250936.62</v>
      </c>
      <c r="E20" s="39" t="n">
        <v>250936.62</v>
      </c>
      <c r="F20" s="17">
        <f>D20+E20</f>
        <v/>
      </c>
      <c r="G20" s="7" t="n">
        <v>0.3010867317336465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0.6073424160823172</v>
      </c>
      <c r="C21" s="19" t="n">
        <v>0.6846632974351216</v>
      </c>
      <c r="D21" s="19" t="n">
        <v>0.821134938037738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18585.05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2512.01</v>
      </c>
      <c r="C25" s="22" t="n">
        <v>250</v>
      </c>
      <c r="D25" s="22" t="n">
        <v>300</v>
      </c>
      <c r="E25" s="38" t="n">
        <v>300</v>
      </c>
      <c r="F25" s="22">
        <f>D25+E25</f>
        <v/>
      </c>
      <c r="G25" s="7" t="n">
        <v>-0.9004781031922644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2463.89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500</v>
      </c>
      <c r="D27" s="22" t="n">
        <v>600</v>
      </c>
      <c r="E27" s="38" t="n">
        <v>600</v>
      </c>
      <c r="F27" s="22">
        <f>D27+E27</f>
        <v/>
      </c>
      <c r="G27" s="8" t="n"/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1498.27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-0.8331408891588299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1253.59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26312.81</v>
      </c>
      <c r="C30" s="24" t="n">
        <v>16931.56</v>
      </c>
      <c r="D30" s="24" t="n">
        <v>1200</v>
      </c>
      <c r="E30" s="39" t="n">
        <v>1200</v>
      </c>
      <c r="F30" s="24">
        <f>D30+E30</f>
        <v/>
      </c>
      <c r="G30" s="7" t="n">
        <v>-0.3565278660849982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15199.85</v>
      </c>
      <c r="C34" s="27" t="n">
        <v>7515</v>
      </c>
      <c r="D34" s="27" t="n">
        <v>9018</v>
      </c>
      <c r="E34" s="38" t="n">
        <v>9018</v>
      </c>
      <c r="F34" s="27">
        <f>D34+E34</f>
        <v/>
      </c>
      <c r="G34" s="7" t="n">
        <v>-0.5055872261897321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13888.31</v>
      </c>
      <c r="C35" s="27" t="n">
        <v>4200</v>
      </c>
      <c r="D35" s="27" t="n">
        <v>5040</v>
      </c>
      <c r="E35" s="38" t="n">
        <v>5040</v>
      </c>
      <c r="F35" s="27">
        <f>D35+E35</f>
        <v/>
      </c>
      <c r="G35" s="7" t="n">
        <v>-0.697587395442642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3682.04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3559.1</v>
      </c>
      <c r="C37" s="27" t="n">
        <v>1210</v>
      </c>
      <c r="D37" s="27" t="n">
        <v>1452</v>
      </c>
      <c r="E37" s="38" t="n">
        <v>1452</v>
      </c>
      <c r="F37" s="27">
        <f>D37+E37</f>
        <v/>
      </c>
      <c r="G37" s="7" t="n">
        <v>-0.6600264111713636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4172.059999999999</v>
      </c>
      <c r="C38" s="27" t="n">
        <v>1490</v>
      </c>
      <c r="D38" s="27" t="n">
        <v>1788</v>
      </c>
      <c r="E38" s="38" t="n">
        <v>1788</v>
      </c>
      <c r="F38" s="27">
        <f>D38+E38</f>
        <v/>
      </c>
      <c r="G38" s="7" t="n">
        <v>-0.6428622790659769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2046.93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381.79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0.309620471987218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42930.08</v>
      </c>
      <c r="C42" s="29" t="n">
        <v>37459.5</v>
      </c>
      <c r="D42" s="29" t="n">
        <v>17898</v>
      </c>
      <c r="E42" s="39" t="n">
        <v>17898</v>
      </c>
      <c r="F42" s="29">
        <f>D42+E42</f>
        <v/>
      </c>
      <c r="G42" s="7" t="n">
        <v>-0.1274299978010756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435820.02</v>
      </c>
      <c r="C44" s="31" t="n">
        <v>531339.7000000001</v>
      </c>
      <c r="D44" s="31" t="n">
        <v>270034.62</v>
      </c>
      <c r="E44" s="39" t="n">
        <v>270034.62</v>
      </c>
      <c r="F44" s="31">
        <f>D44+E44</f>
        <v/>
      </c>
      <c r="G44" s="7" t="n">
        <v>0.2191723087893026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167755.6899999999</v>
      </c>
      <c r="C46" s="33" t="n">
        <v>165278.1</v>
      </c>
      <c r="D46" s="33" t="n">
        <v>35562.67999999999</v>
      </c>
      <c r="E46" s="39" t="n">
        <v>35562.67999999999</v>
      </c>
      <c r="F46" s="33">
        <f>D46+E46</f>
        <v/>
      </c>
      <c r="G46" s="7" t="n">
        <v>-0.01476903704428725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2456.79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-0.5624371639415661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562.14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3700</v>
      </c>
      <c r="C56" s="31" t="n">
        <v>420218.66</v>
      </c>
      <c r="D56" s="31" t="n">
        <v>0</v>
      </c>
      <c r="E56" s="39" t="n">
        <v>0</v>
      </c>
      <c r="F56" s="31">
        <f>D56+E56</f>
        <v/>
      </c>
      <c r="G56" s="7" t="n">
        <v>112.5726108108108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164055.6899999999</v>
      </c>
      <c r="C58" s="36" t="n">
        <v>-254940.5600000001</v>
      </c>
      <c r="D58" s="36" t="n">
        <v>35562.67999999999</v>
      </c>
      <c r="E58" s="39" t="n">
        <v>35562.67999999999</v>
      </c>
      <c r="F58" s="36">
        <f>D58+E58</f>
        <v/>
      </c>
      <c r="G58" s="7" t="n">
        <v>-2.553987917151793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Stepping Stones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521553.27</v>
      </c>
      <c r="C4" s="5" t="n">
        <v>146621.66</v>
      </c>
      <c r="D4" s="5" t="n">
        <v>256157.74</v>
      </c>
      <c r="E4" s="38" t="n">
        <v>256157.74</v>
      </c>
      <c r="F4" s="5">
        <f>D4+E4</f>
        <v/>
      </c>
      <c r="G4" s="7" t="n">
        <v>-0.7188750058071728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180958.93</v>
      </c>
      <c r="C5" s="5" t="n">
        <v>72410</v>
      </c>
      <c r="D5" s="5" t="n">
        <v>0</v>
      </c>
      <c r="E5" s="38" t="n">
        <v>0</v>
      </c>
      <c r="F5" s="5">
        <f>D5+E5</f>
        <v/>
      </c>
      <c r="G5" s="7" t="n">
        <v>-0.5998539558119624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2971.91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705484.11</v>
      </c>
      <c r="C7" s="10" t="n">
        <v>667440.89</v>
      </c>
      <c r="D7" s="10" t="n">
        <v>256157.74</v>
      </c>
      <c r="E7" s="39" t="n">
        <v>256157.74</v>
      </c>
      <c r="F7" s="10">
        <f>D7+E7</f>
        <v/>
      </c>
      <c r="G7" s="7" t="n">
        <v>-0.05392498492985189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251687.34</v>
      </c>
      <c r="C11" s="15" t="n">
        <v>292171.12</v>
      </c>
      <c r="D11" s="15" t="n">
        <v>142586.16</v>
      </c>
      <c r="E11" s="38" t="n">
        <v>142586.16</v>
      </c>
      <c r="F11" s="15">
        <f>D11+E11</f>
        <v/>
      </c>
      <c r="G11" s="7" t="n">
        <v>0.1608494888936408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25076.08</v>
      </c>
      <c r="C12" s="15" t="n">
        <v>31395.3</v>
      </c>
      <c r="D12" s="15" t="n">
        <v>15029.1</v>
      </c>
      <c r="E12" s="38" t="n">
        <v>15029.1</v>
      </c>
      <c r="F12" s="15">
        <f>D12+E12</f>
        <v/>
      </c>
      <c r="G12" s="7" t="n">
        <v>0.2520019077942006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4141.03</v>
      </c>
      <c r="C13" s="15" t="n">
        <v>5283.4</v>
      </c>
      <c r="D13" s="15" t="n">
        <v>2502</v>
      </c>
      <c r="E13" s="38" t="n">
        <v>2502</v>
      </c>
      <c r="F13" s="15">
        <f>D13+E13</f>
        <v/>
      </c>
      <c r="G13" s="7" t="n">
        <v>0.2758661492430627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574.4400000000001</v>
      </c>
      <c r="C14" s="15" t="n">
        <v>300</v>
      </c>
      <c r="D14" s="15" t="n">
        <v>360</v>
      </c>
      <c r="E14" s="38" t="n">
        <v>360</v>
      </c>
      <c r="F14" s="15">
        <f>D14+E14</f>
        <v/>
      </c>
      <c r="G14" s="7" t="n">
        <v>-0.4777522456653437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870</v>
      </c>
      <c r="C15" s="15" t="n">
        <v>500</v>
      </c>
      <c r="D15" s="15" t="n">
        <v>600</v>
      </c>
      <c r="E15" s="38" t="n">
        <v>600</v>
      </c>
      <c r="F15" s="15">
        <f>D15+E15</f>
        <v/>
      </c>
      <c r="G15" s="7" t="n">
        <v>-0.4252873563218391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1128.27</v>
      </c>
      <c r="C16" s="15" t="n">
        <v>600</v>
      </c>
      <c r="D16" s="15" t="n">
        <v>720</v>
      </c>
      <c r="E16" s="38" t="n">
        <v>720</v>
      </c>
      <c r="F16" s="15">
        <f>D16+E16</f>
        <v/>
      </c>
      <c r="G16" s="7" t="n">
        <v>-0.46821239596905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4169.88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7" t="n">
        <v>-1</v>
      </c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91.34999999999999</v>
      </c>
      <c r="C18" s="15" t="n">
        <v>250</v>
      </c>
      <c r="D18" s="15" t="n">
        <v>300</v>
      </c>
      <c r="E18" s="38" t="n">
        <v>300</v>
      </c>
      <c r="F18" s="15">
        <f>D18+E18</f>
        <v/>
      </c>
      <c r="G18" s="7" t="n">
        <v>1.736726874657909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287738.39</v>
      </c>
      <c r="C20" s="17" t="n">
        <v>336452.59</v>
      </c>
      <c r="D20" s="17" t="n">
        <v>162097.26</v>
      </c>
      <c r="E20" s="39" t="n">
        <v>162097.26</v>
      </c>
      <c r="F20" s="17">
        <f>D20+E20</f>
        <v/>
      </c>
      <c r="G20" s="7" t="n">
        <v>0.1693003147755152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0.4078594909813065</v>
      </c>
      <c r="C21" s="19" t="n">
        <v>0.5040934636174298</v>
      </c>
      <c r="D21" s="19" t="n">
        <v>0.6328025067679002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14887.66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3905.61</v>
      </c>
      <c r="C25" s="22" t="n">
        <v>250</v>
      </c>
      <c r="D25" s="22" t="n">
        <v>300</v>
      </c>
      <c r="E25" s="38" t="n">
        <v>300</v>
      </c>
      <c r="F25" s="22">
        <f>D25+E25</f>
        <v/>
      </c>
      <c r="G25" s="7" t="n">
        <v>-0.9359895125217316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1034.32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290.55</v>
      </c>
      <c r="C27" s="22" t="n">
        <v>250</v>
      </c>
      <c r="D27" s="22" t="n">
        <v>300</v>
      </c>
      <c r="E27" s="38" t="n">
        <v>300</v>
      </c>
      <c r="F27" s="22">
        <f>D27+E27</f>
        <v/>
      </c>
      <c r="G27" s="7" t="n">
        <v>-0.1395628979521597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845.78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-0.7044148596561753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2067.55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23031.47</v>
      </c>
      <c r="C30" s="24" t="n">
        <v>14282.07</v>
      </c>
      <c r="D30" s="24" t="n">
        <v>900</v>
      </c>
      <c r="E30" s="39" t="n">
        <v>900</v>
      </c>
      <c r="F30" s="24">
        <f>D30+E30</f>
        <v/>
      </c>
      <c r="G30" s="7" t="n">
        <v>-0.3798889085238589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8" t="n"/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16591.8</v>
      </c>
      <c r="C34" s="27" t="n">
        <v>7504.8</v>
      </c>
      <c r="D34" s="27" t="n">
        <v>9005.76</v>
      </c>
      <c r="E34" s="38" t="n">
        <v>9005.76</v>
      </c>
      <c r="F34" s="27">
        <f>D34+E34</f>
        <v/>
      </c>
      <c r="G34" s="7" t="n">
        <v>-0.5476801793657109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11880.93</v>
      </c>
      <c r="C35" s="27" t="n">
        <v>10212.2</v>
      </c>
      <c r="D35" s="27" t="n">
        <v>6228</v>
      </c>
      <c r="E35" s="38" t="n">
        <v>6228</v>
      </c>
      <c r="F35" s="27">
        <f>D35+E35</f>
        <v/>
      </c>
      <c r="G35" s="7" t="n">
        <v>-0.1404544930405279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1901.08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3009.33</v>
      </c>
      <c r="C37" s="27" t="n">
        <v>1285</v>
      </c>
      <c r="D37" s="27" t="n">
        <v>1542</v>
      </c>
      <c r="E37" s="38" t="n">
        <v>1542</v>
      </c>
      <c r="F37" s="27">
        <f>D37+E37</f>
        <v/>
      </c>
      <c r="G37" s="7" t="n">
        <v>-0.5729946532949195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4100.08</v>
      </c>
      <c r="C38" s="27" t="n">
        <v>1650</v>
      </c>
      <c r="D38" s="27" t="n">
        <v>1980</v>
      </c>
      <c r="E38" s="38" t="n">
        <v>1980</v>
      </c>
      <c r="F38" s="27">
        <f>D38+E38</f>
        <v/>
      </c>
      <c r="G38" s="7" t="n">
        <v>-0.5975688279253087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488.67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343.1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7" t="n">
        <v>0.4573010784027979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38314.99</v>
      </c>
      <c r="C42" s="29" t="n">
        <v>42117.41</v>
      </c>
      <c r="D42" s="29" t="n">
        <v>19355.76</v>
      </c>
      <c r="E42" s="39" t="n">
        <v>19355.76</v>
      </c>
      <c r="F42" s="29">
        <f>D42+E42</f>
        <v/>
      </c>
      <c r="G42" s="7" t="n">
        <v>0.09924105421924959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349084.85</v>
      </c>
      <c r="C44" s="31" t="n">
        <v>392852.0699999999</v>
      </c>
      <c r="D44" s="31" t="n">
        <v>182353.02</v>
      </c>
      <c r="E44" s="39" t="n">
        <v>182353.02</v>
      </c>
      <c r="F44" s="31">
        <f>D44+E44</f>
        <v/>
      </c>
      <c r="G44" s="7" t="n">
        <v>0.1253770250986257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356399.26</v>
      </c>
      <c r="C46" s="33" t="n">
        <v>274588.8200000001</v>
      </c>
      <c r="D46" s="33" t="n">
        <v>73804.71999999997</v>
      </c>
      <c r="E46" s="39" t="n">
        <v>73804.71999999997</v>
      </c>
      <c r="F46" s="33">
        <f>D46+E46</f>
        <v/>
      </c>
      <c r="G46" s="7" t="n">
        <v>-0.2295471657264382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2456.82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-0.5624425069805684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158.8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220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7" t="n">
        <v>-1</v>
      </c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4877.98</v>
      </c>
      <c r="C56" s="31" t="n">
        <v>371190.4300000001</v>
      </c>
      <c r="D56" s="31" t="n">
        <v>0</v>
      </c>
      <c r="E56" s="39" t="n">
        <v>0</v>
      </c>
      <c r="F56" s="31">
        <f>D56+E56</f>
        <v/>
      </c>
      <c r="G56" s="7" t="n">
        <v>75.09511109106639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351521.28</v>
      </c>
      <c r="C58" s="36" t="n">
        <v>-96601.60999999999</v>
      </c>
      <c r="D58" s="36" t="n">
        <v>73804.71999999997</v>
      </c>
      <c r="E58" s="39" t="n">
        <v>73804.71999999997</v>
      </c>
      <c r="F58" s="36">
        <f>D58+E58</f>
        <v/>
      </c>
      <c r="G58" s="7" t="n">
        <v>-1.27481013382746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Woosehill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428724.28</v>
      </c>
      <c r="C4" s="5" t="n">
        <v>135458.41</v>
      </c>
      <c r="D4" s="5" t="n">
        <v>262317.73</v>
      </c>
      <c r="E4" s="38" t="n">
        <v>262317.73</v>
      </c>
      <c r="F4" s="5">
        <f>D4+E4</f>
        <v/>
      </c>
      <c r="G4" s="7" t="n">
        <v>-0.684043063761166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146399.97</v>
      </c>
      <c r="C5" s="5" t="n">
        <v>63230</v>
      </c>
      <c r="D5" s="5" t="n">
        <v>0</v>
      </c>
      <c r="E5" s="38" t="n">
        <v>0</v>
      </c>
      <c r="F5" s="5">
        <f>D5+E5</f>
        <v/>
      </c>
      <c r="G5" s="7" t="n">
        <v>-0.5681010043922823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3087.1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578211.35</v>
      </c>
      <c r="C7" s="10" t="n">
        <v>496549.61</v>
      </c>
      <c r="D7" s="10" t="n">
        <v>262317.73</v>
      </c>
      <c r="E7" s="39" t="n">
        <v>262317.73</v>
      </c>
      <c r="F7" s="10">
        <f>D7+E7</f>
        <v/>
      </c>
      <c r="G7" s="7" t="n">
        <v>-0.1412316447956271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267475.88</v>
      </c>
      <c r="C11" s="15" t="n">
        <v>283089.83</v>
      </c>
      <c r="D11" s="15" t="n">
        <v>142476</v>
      </c>
      <c r="E11" s="38" t="n">
        <v>142476</v>
      </c>
      <c r="F11" s="15">
        <f>D11+E11</f>
        <v/>
      </c>
      <c r="G11" s="7" t="n">
        <v>0.05837517012748945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26873.53</v>
      </c>
      <c r="C12" s="15" t="n">
        <v>32054.18</v>
      </c>
      <c r="D12" s="15" t="n">
        <v>16320</v>
      </c>
      <c r="E12" s="38" t="n">
        <v>16320</v>
      </c>
      <c r="F12" s="15">
        <f>D12+E12</f>
        <v/>
      </c>
      <c r="G12" s="7" t="n">
        <v>0.1927789166514411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4061.84</v>
      </c>
      <c r="C13" s="15" t="n">
        <v>4725.389999999999</v>
      </c>
      <c r="D13" s="15" t="n">
        <v>2388</v>
      </c>
      <c r="E13" s="38" t="n">
        <v>2388</v>
      </c>
      <c r="F13" s="15">
        <f>D13+E13</f>
        <v/>
      </c>
      <c r="G13" s="7" t="n">
        <v>0.1633619246449883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612.33</v>
      </c>
      <c r="C14" s="15" t="n">
        <v>295</v>
      </c>
      <c r="D14" s="15" t="n">
        <v>354</v>
      </c>
      <c r="E14" s="38" t="n">
        <v>354</v>
      </c>
      <c r="F14" s="15">
        <f>D14+E14</f>
        <v/>
      </c>
      <c r="G14" s="7" t="n">
        <v>-0.5182336321917921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464.61</v>
      </c>
      <c r="C15" s="15" t="n">
        <v>250</v>
      </c>
      <c r="D15" s="15" t="n">
        <v>300</v>
      </c>
      <c r="E15" s="38" t="n">
        <v>300</v>
      </c>
      <c r="F15" s="15">
        <f>D15+E15</f>
        <v/>
      </c>
      <c r="G15" s="7" t="n">
        <v>-0.461914293708702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816.3</v>
      </c>
      <c r="C16" s="15" t="n">
        <v>600</v>
      </c>
      <c r="D16" s="15" t="n">
        <v>720</v>
      </c>
      <c r="E16" s="38" t="n">
        <v>720</v>
      </c>
      <c r="F16" s="15">
        <f>D16+E16</f>
        <v/>
      </c>
      <c r="G16" s="7" t="n">
        <v>-0.264976111723631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0</v>
      </c>
      <c r="C18" s="15" t="n">
        <v>250</v>
      </c>
      <c r="D18" s="15" t="n">
        <v>300</v>
      </c>
      <c r="E18" s="38" t="n">
        <v>300</v>
      </c>
      <c r="F18" s="15">
        <f>D18+E18</f>
        <v/>
      </c>
      <c r="G18" s="8" t="n"/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300304.49</v>
      </c>
      <c r="C20" s="17" t="n">
        <v>322319.42</v>
      </c>
      <c r="D20" s="17" t="n">
        <v>162858</v>
      </c>
      <c r="E20" s="39" t="n">
        <v>162858</v>
      </c>
      <c r="F20" s="17">
        <f>D20+E20</f>
        <v/>
      </c>
      <c r="G20" s="7" t="n">
        <v>0.07330869411909224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0.519368030392347</v>
      </c>
      <c r="C21" s="19" t="n">
        <v>0.6491182623222682</v>
      </c>
      <c r="D21" s="19" t="n">
        <v>0.6208425179647598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9818.370000000001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3158.33</v>
      </c>
      <c r="C25" s="22" t="n">
        <v>250</v>
      </c>
      <c r="D25" s="22" t="n">
        <v>300</v>
      </c>
      <c r="E25" s="38" t="n">
        <v>300</v>
      </c>
      <c r="F25" s="22">
        <f>D25+E25</f>
        <v/>
      </c>
      <c r="G25" s="7" t="n">
        <v>-0.9208442436350857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1387.65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0</v>
      </c>
      <c r="C27" s="22" t="n">
        <v>0</v>
      </c>
      <c r="D27" s="22" t="n">
        <v>0</v>
      </c>
      <c r="E27" s="38" t="n">
        <v>0</v>
      </c>
      <c r="F27" s="22">
        <f>D27+E27</f>
        <v/>
      </c>
      <c r="G27" s="8" t="n"/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1257.61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-0.801210232106933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1386.69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17008.65</v>
      </c>
      <c r="C30" s="24" t="n">
        <v>8884.809999999999</v>
      </c>
      <c r="D30" s="24" t="n">
        <v>600</v>
      </c>
      <c r="E30" s="39" t="n">
        <v>600</v>
      </c>
      <c r="F30" s="24">
        <f>D30+E30</f>
        <v/>
      </c>
      <c r="G30" s="7" t="n">
        <v>-0.4776299118389761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5499.98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7" t="n">
        <v>-1</v>
      </c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22953.95</v>
      </c>
      <c r="C34" s="27" t="n">
        <v>10998.79166666667</v>
      </c>
      <c r="D34" s="27" t="n">
        <v>13198.55</v>
      </c>
      <c r="E34" s="38" t="n">
        <v>13198.55</v>
      </c>
      <c r="F34" s="27">
        <f>D34+E34</f>
        <v/>
      </c>
      <c r="G34" s="7" t="n">
        <v>-0.5208322895768848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18535.1</v>
      </c>
      <c r="C35" s="27" t="n">
        <v>20803.17</v>
      </c>
      <c r="D35" s="27" t="n">
        <v>9930</v>
      </c>
      <c r="E35" s="38" t="n">
        <v>9930</v>
      </c>
      <c r="F35" s="27">
        <f>D35+E35</f>
        <v/>
      </c>
      <c r="G35" s="7" t="n">
        <v>0.1223662132926178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2419.15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3258.92</v>
      </c>
      <c r="C37" s="27" t="n">
        <v>1435</v>
      </c>
      <c r="D37" s="27" t="n">
        <v>1722</v>
      </c>
      <c r="E37" s="38" t="n">
        <v>1722</v>
      </c>
      <c r="F37" s="27">
        <f>D37+E37</f>
        <v/>
      </c>
      <c r="G37" s="7" t="n">
        <v>-0.5596700747486898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3761.46</v>
      </c>
      <c r="C38" s="27" t="n">
        <v>1565</v>
      </c>
      <c r="D38" s="27" t="n">
        <v>1878</v>
      </c>
      <c r="E38" s="38" t="n">
        <v>1878</v>
      </c>
      <c r="F38" s="27">
        <f>D38+E38</f>
        <v/>
      </c>
      <c r="G38" s="7" t="n">
        <v>-0.5839381516751474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511.99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0</v>
      </c>
      <c r="C41" s="27" t="n">
        <v>500</v>
      </c>
      <c r="D41" s="27" t="n">
        <v>600</v>
      </c>
      <c r="E41" s="38" t="n">
        <v>600</v>
      </c>
      <c r="F41" s="27">
        <f>D41+E41</f>
        <v/>
      </c>
      <c r="G41" s="8" t="n"/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56940.55</v>
      </c>
      <c r="C42" s="29" t="n">
        <v>57768.27166666667</v>
      </c>
      <c r="D42" s="29" t="n">
        <v>27328.55</v>
      </c>
      <c r="E42" s="39" t="n">
        <v>27328.55</v>
      </c>
      <c r="F42" s="29">
        <f>D42+E42</f>
        <v/>
      </c>
      <c r="G42" s="7" t="n">
        <v>0.01453659416122016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374253.69</v>
      </c>
      <c r="C44" s="31" t="n">
        <v>388972.5016666666</v>
      </c>
      <c r="D44" s="31" t="n">
        <v>190786.55</v>
      </c>
      <c r="E44" s="39" t="n">
        <v>190786.55</v>
      </c>
      <c r="F44" s="31">
        <f>D44+E44</f>
        <v/>
      </c>
      <c r="G44" s="7" t="n">
        <v>0.03932843432129326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203957.66</v>
      </c>
      <c r="C46" s="33" t="n">
        <v>107577.1083333333</v>
      </c>
      <c r="D46" s="33" t="n">
        <v>71531.17999999999</v>
      </c>
      <c r="E46" s="39" t="n">
        <v>71531.17999999999</v>
      </c>
      <c r="F46" s="33">
        <f>D46+E46</f>
        <v/>
      </c>
      <c r="G46" s="7" t="n">
        <v>-0.4725517622955012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2456.81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-0.5624407259820662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836.49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0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8" t="n"/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0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8" t="n"/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5003.73</v>
      </c>
      <c r="C56" s="31" t="n">
        <v>286818.42</v>
      </c>
      <c r="D56" s="31" t="n">
        <v>0</v>
      </c>
      <c r="E56" s="39" t="n">
        <v>0</v>
      </c>
      <c r="F56" s="31">
        <f>D56+E56</f>
        <v/>
      </c>
      <c r="G56" s="7" t="n">
        <v>56.32092259174657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198953.93</v>
      </c>
      <c r="C58" s="36" t="n">
        <v>-179241.3116666666</v>
      </c>
      <c r="D58" s="36" t="n">
        <v>71531.17999999999</v>
      </c>
      <c r="E58" s="39" t="n">
        <v>71531.17999999999</v>
      </c>
      <c r="F58" s="36">
        <f>D58+E58</f>
        <v/>
      </c>
      <c r="G58" s="7" t="n">
        <v>-1.900918678342602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Finchampstead — 2027 Plan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H1
Jan–Jun
Forecast</t>
        </is>
      </c>
      <c r="E2" s="37" t="inlineStr">
        <is>
          <t>2027 H2
Jul–Dec
Plan</t>
        </is>
      </c>
      <c r="F2" s="37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124040.54</v>
      </c>
      <c r="C4" s="5" t="n">
        <v>41504</v>
      </c>
      <c r="D4" s="5" t="n">
        <v>108940.49</v>
      </c>
      <c r="E4" s="38" t="n">
        <v>108940.49</v>
      </c>
      <c r="F4" s="5">
        <f>D4+E4</f>
        <v/>
      </c>
      <c r="G4" s="7" t="n">
        <v>-0.6653997152866312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111003.08</v>
      </c>
      <c r="C5" s="5" t="n">
        <v>62622</v>
      </c>
      <c r="D5" s="5" t="n">
        <v>0</v>
      </c>
      <c r="E5" s="38" t="n">
        <v>0</v>
      </c>
      <c r="F5" s="5">
        <f>D5+E5</f>
        <v/>
      </c>
      <c r="G5" s="7" t="n">
        <v>-0.4358534916328448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1110.33</v>
      </c>
      <c r="C6" s="5" t="n">
        <v>0</v>
      </c>
      <c r="D6" s="5" t="n">
        <v>0</v>
      </c>
      <c r="E6" s="38" t="n">
        <v>0</v>
      </c>
      <c r="F6" s="5">
        <f>D6+E6</f>
        <v/>
      </c>
      <c r="G6" s="7" t="n">
        <v>-1</v>
      </c>
      <c r="H6" s="7">
        <f>IF(C6&lt;&gt;0,(F6-C6)/ABS(C6),0)</f>
        <v/>
      </c>
    </row>
    <row r="7" ht="14" customHeight="1">
      <c r="A7" s="9" t="inlineStr">
        <is>
          <t>Total Income</t>
        </is>
      </c>
      <c r="B7" s="10" t="n">
        <v>236153.95</v>
      </c>
      <c r="C7" s="10" t="n">
        <v>164833.88</v>
      </c>
      <c r="D7" s="10" t="n">
        <v>108940.49</v>
      </c>
      <c r="E7" s="39" t="n">
        <v>108940.49</v>
      </c>
      <c r="F7" s="10">
        <f>D7+E7</f>
        <v/>
      </c>
      <c r="G7" s="7" t="n">
        <v>-0.302006678270679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155894.58</v>
      </c>
      <c r="C11" s="15" t="n">
        <v>200334.41</v>
      </c>
      <c r="D11" s="15" t="n">
        <v>104064.36</v>
      </c>
      <c r="E11" s="38" t="n">
        <v>104064.36</v>
      </c>
      <c r="F11" s="15">
        <f>D11+E11</f>
        <v/>
      </c>
      <c r="G11" s="7" t="n">
        <v>0.2850633421636595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14172.79</v>
      </c>
      <c r="C12" s="15" t="n">
        <v>22483.5</v>
      </c>
      <c r="D12" s="15" t="n">
        <v>11642.16</v>
      </c>
      <c r="E12" s="38" t="n">
        <v>11642.16</v>
      </c>
      <c r="F12" s="15">
        <f>D12+E12</f>
        <v/>
      </c>
      <c r="G12" s="7" t="n">
        <v>0.5863848966928884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2558.96</v>
      </c>
      <c r="C13" s="15" t="n">
        <v>3117.3</v>
      </c>
      <c r="D13" s="15" t="n">
        <v>1695.36</v>
      </c>
      <c r="E13" s="38" t="n">
        <v>1695.36</v>
      </c>
      <c r="F13" s="15">
        <f>D13+E13</f>
        <v/>
      </c>
      <c r="G13" s="7" t="n">
        <v>0.2181902022696721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462.62</v>
      </c>
      <c r="C14" s="15" t="n">
        <v>170</v>
      </c>
      <c r="D14" s="15" t="n">
        <v>204</v>
      </c>
      <c r="E14" s="38" t="n">
        <v>204</v>
      </c>
      <c r="F14" s="15">
        <f>D14+E14</f>
        <v/>
      </c>
      <c r="G14" s="7" t="n">
        <v>-0.6325277765768882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915.48</v>
      </c>
      <c r="C15" s="15" t="n">
        <v>250</v>
      </c>
      <c r="D15" s="15" t="n">
        <v>300</v>
      </c>
      <c r="E15" s="38" t="n">
        <v>300</v>
      </c>
      <c r="F15" s="15">
        <f>D15+E15</f>
        <v/>
      </c>
      <c r="G15" s="7" t="n">
        <v>-0.7269192117796129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1327.68</v>
      </c>
      <c r="C16" s="15" t="n">
        <v>350</v>
      </c>
      <c r="D16" s="15" t="n">
        <v>420</v>
      </c>
      <c r="E16" s="38" t="n">
        <v>420</v>
      </c>
      <c r="F16" s="15">
        <f>D16+E16</f>
        <v/>
      </c>
      <c r="G16" s="7" t="n">
        <v>-0.7363822607857315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0</v>
      </c>
      <c r="C17" s="15" t="n">
        <v>0</v>
      </c>
      <c r="D17" s="15" t="n">
        <v>0</v>
      </c>
      <c r="E17" s="38" t="n">
        <v>0</v>
      </c>
      <c r="F17" s="15">
        <f>D17+E17</f>
        <v/>
      </c>
      <c r="G17" s="8" t="n"/>
      <c r="H17" s="7">
        <f>IF(C17&lt;&gt;0,(F17-C17)/ABS(C17),0)</f>
        <v/>
      </c>
    </row>
    <row r="18" ht="14" customHeight="1">
      <c r="A18" s="14" t="inlineStr">
        <is>
          <t xml:space="preserve">    Rewards &amp; Recognition</t>
        </is>
      </c>
      <c r="B18" s="15" t="n">
        <v>33.95</v>
      </c>
      <c r="C18" s="15" t="n">
        <v>145</v>
      </c>
      <c r="D18" s="15" t="n">
        <v>174</v>
      </c>
      <c r="E18" s="38" t="n">
        <v>174</v>
      </c>
      <c r="F18" s="15">
        <f>D18+E18</f>
        <v/>
      </c>
      <c r="G18" s="7" t="n">
        <v>3.270986745213549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0</v>
      </c>
      <c r="C19" s="15" t="n">
        <v>0</v>
      </c>
      <c r="D19" s="15" t="n">
        <v>0</v>
      </c>
      <c r="E19" s="38" t="n">
        <v>0</v>
      </c>
      <c r="F19" s="15">
        <f>D19+E19</f>
        <v/>
      </c>
      <c r="G19" s="8" t="n"/>
      <c r="H19" s="7">
        <f>IF(C19&lt;&gt;0,(F19-C19)/ABS(C19),0)</f>
        <v/>
      </c>
    </row>
    <row r="20" ht="14" customHeight="1">
      <c r="A20" s="16" t="inlineStr">
        <is>
          <t>Total Personnel</t>
        </is>
      </c>
      <c r="B20" s="17" t="n">
        <v>175366.06</v>
      </c>
      <c r="C20" s="17" t="n">
        <v>227848.51</v>
      </c>
      <c r="D20" s="17" t="n">
        <v>118499.88</v>
      </c>
      <c r="E20" s="39" t="n">
        <v>118499.88</v>
      </c>
      <c r="F20" s="17">
        <f>D20+E20</f>
        <v/>
      </c>
      <c r="G20" s="7" t="n">
        <v>0.2992737021063255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0.7425921099350656</v>
      </c>
      <c r="C21" s="19" t="n">
        <v>1.382291735169978</v>
      </c>
      <c r="D21" s="19" t="n">
        <v>1.087748733276305</v>
      </c>
      <c r="E21" s="40">
        <f>IF(F7&gt;0,F20/F7,0)</f>
        <v/>
      </c>
      <c r="F21" s="40">
        <f>IF(F7&gt;0,F20/F7,0)</f>
        <v/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7052.34</v>
      </c>
      <c r="C24" s="22" t="n">
        <v>0</v>
      </c>
      <c r="D24" s="22" t="n">
        <v>0</v>
      </c>
      <c r="E24" s="38" t="n">
        <v>0</v>
      </c>
      <c r="F24" s="22">
        <f>D24+E24</f>
        <v/>
      </c>
      <c r="G24" s="7" t="n">
        <v>-1</v>
      </c>
      <c r="H24" s="7">
        <f>IF(C24&lt;&gt;0,(F24-C24)/ABS(C24),0)</f>
        <v/>
      </c>
    </row>
    <row r="25" ht="14" customHeight="1">
      <c r="A25" s="21" t="inlineStr">
        <is>
          <t xml:space="preserve">    Toys and Games</t>
        </is>
      </c>
      <c r="B25" s="22" t="n">
        <v>1264.06</v>
      </c>
      <c r="C25" s="22" t="n">
        <v>280</v>
      </c>
      <c r="D25" s="22" t="n">
        <v>348</v>
      </c>
      <c r="E25" s="38" t="n">
        <v>348</v>
      </c>
      <c r="F25" s="22">
        <f>D25+E25</f>
        <v/>
      </c>
      <c r="G25" s="7" t="n">
        <v>-0.7784915273009193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330.01</v>
      </c>
      <c r="C26" s="22" t="n">
        <v>0</v>
      </c>
      <c r="D26" s="22" t="n">
        <v>0</v>
      </c>
      <c r="E26" s="38" t="n">
        <v>0</v>
      </c>
      <c r="F26" s="22">
        <f>D26+E26</f>
        <v/>
      </c>
      <c r="G26" s="7" t="n">
        <v>-1</v>
      </c>
      <c r="H26" s="7">
        <f>IF(C26&lt;&gt;0,(F26-C26)/ABS(C26),0)</f>
        <v/>
      </c>
    </row>
    <row r="27" ht="14" customHeight="1">
      <c r="A27" s="21" t="inlineStr">
        <is>
          <t xml:space="preserve">    Nursery Stationery</t>
        </is>
      </c>
      <c r="B27" s="22" t="n">
        <v>184.38</v>
      </c>
      <c r="C27" s="22" t="n">
        <v>350</v>
      </c>
      <c r="D27" s="22" t="n">
        <v>420</v>
      </c>
      <c r="E27" s="38" t="n">
        <v>420</v>
      </c>
      <c r="F27" s="22">
        <f>D27+E27</f>
        <v/>
      </c>
      <c r="G27" s="7" t="n">
        <v>0.8982536066818527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659.4300000000001</v>
      </c>
      <c r="C28" s="22" t="n">
        <v>250</v>
      </c>
      <c r="D28" s="22" t="n">
        <v>300</v>
      </c>
      <c r="E28" s="38" t="n">
        <v>300</v>
      </c>
      <c r="F28" s="22">
        <f>D28+E28</f>
        <v/>
      </c>
      <c r="G28" s="7" t="n">
        <v>-0.6208847034560151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677.01</v>
      </c>
      <c r="C29" s="22" t="n">
        <v>0</v>
      </c>
      <c r="D29" s="22" t="n">
        <v>0</v>
      </c>
      <c r="E29" s="38" t="n">
        <v>0</v>
      </c>
      <c r="F29" s="22">
        <f>D29+E29</f>
        <v/>
      </c>
      <c r="G29" s="7" t="n">
        <v>-1</v>
      </c>
      <c r="H29" s="7">
        <f>IF(C29&lt;&gt;0,(F29-C29)/ABS(C29),0)</f>
        <v/>
      </c>
    </row>
    <row r="30" ht="14" customHeight="1">
      <c r="A30" s="23" t="inlineStr">
        <is>
          <t>Total Childcare Costs</t>
        </is>
      </c>
      <c r="B30" s="24" t="n">
        <v>10167.23</v>
      </c>
      <c r="C30" s="24" t="n">
        <v>5731.79</v>
      </c>
      <c r="D30" s="24" t="n">
        <v>1116</v>
      </c>
      <c r="E30" s="39" t="n">
        <v>1116</v>
      </c>
      <c r="F30" s="24">
        <f>D30+E30</f>
        <v/>
      </c>
      <c r="G30" s="7" t="n">
        <v>-0.436248614421037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10800</v>
      </c>
      <c r="C33" s="27" t="n">
        <v>0</v>
      </c>
      <c r="D33" s="27" t="n">
        <v>0</v>
      </c>
      <c r="E33" s="38" t="n">
        <v>0</v>
      </c>
      <c r="F33" s="27">
        <f>D33+E33</f>
        <v/>
      </c>
      <c r="G33" s="7" t="n">
        <v>-1</v>
      </c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7983.960000000001</v>
      </c>
      <c r="C34" s="27" t="n">
        <v>3825</v>
      </c>
      <c r="D34" s="27" t="n">
        <v>4590</v>
      </c>
      <c r="E34" s="38" t="n">
        <v>4590</v>
      </c>
      <c r="F34" s="27">
        <f>D34+E34</f>
        <v/>
      </c>
      <c r="G34" s="7" t="n">
        <v>-0.5209144334390453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15863.47</v>
      </c>
      <c r="C35" s="27" t="n">
        <v>15566.69</v>
      </c>
      <c r="D35" s="27" t="n">
        <v>8040</v>
      </c>
      <c r="E35" s="38" t="n">
        <v>8040</v>
      </c>
      <c r="F35" s="27">
        <f>D35+E35</f>
        <v/>
      </c>
      <c r="G35" s="7" t="n">
        <v>-0.01870839103928716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2133.17</v>
      </c>
      <c r="C36" s="27" t="n">
        <v>0</v>
      </c>
      <c r="D36" s="27" t="n">
        <v>0</v>
      </c>
      <c r="E36" s="38" t="n">
        <v>0</v>
      </c>
      <c r="F36" s="27">
        <f>D36+E36</f>
        <v/>
      </c>
      <c r="G36" s="7" t="n">
        <v>-1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1421.15</v>
      </c>
      <c r="C37" s="27" t="n">
        <v>640</v>
      </c>
      <c r="D37" s="27" t="n">
        <v>768</v>
      </c>
      <c r="E37" s="38" t="n">
        <v>768</v>
      </c>
      <c r="F37" s="27">
        <f>D37+E37</f>
        <v/>
      </c>
      <c r="G37" s="7" t="n">
        <v>-0.5496604862259438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5002.1</v>
      </c>
      <c r="C38" s="27" t="n">
        <v>2070</v>
      </c>
      <c r="D38" s="27" t="n">
        <v>2484</v>
      </c>
      <c r="E38" s="38" t="n">
        <v>2484</v>
      </c>
      <c r="F38" s="27">
        <f>D38+E38</f>
        <v/>
      </c>
      <c r="G38" s="7" t="n">
        <v>-0.5861738070010596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428.39</v>
      </c>
      <c r="C39" s="27" t="n">
        <v>0</v>
      </c>
      <c r="D39" s="27" t="n">
        <v>0</v>
      </c>
      <c r="E39" s="38" t="n">
        <v>0</v>
      </c>
      <c r="F39" s="27">
        <f>D39+E39</f>
        <v/>
      </c>
      <c r="G39" s="7" t="n">
        <v>-1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0</v>
      </c>
      <c r="C40" s="27" t="n">
        <v>0</v>
      </c>
      <c r="D40" s="27" t="n">
        <v>0</v>
      </c>
      <c r="E40" s="38" t="n">
        <v>0</v>
      </c>
      <c r="F40" s="27">
        <f>D40+E40</f>
        <v/>
      </c>
      <c r="G40" s="8" t="n"/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412.5</v>
      </c>
      <c r="C41" s="27" t="n">
        <v>690</v>
      </c>
      <c r="D41" s="27" t="n">
        <v>828</v>
      </c>
      <c r="E41" s="38" t="n">
        <v>828</v>
      </c>
      <c r="F41" s="27">
        <f>D41+E41</f>
        <v/>
      </c>
      <c r="G41" s="7" t="n">
        <v>0.6727272727272727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44044.74</v>
      </c>
      <c r="C42" s="29" t="n">
        <v>43811.25</v>
      </c>
      <c r="D42" s="29" t="n">
        <v>16710</v>
      </c>
      <c r="E42" s="39" t="n">
        <v>16710</v>
      </c>
      <c r="F42" s="29">
        <f>D42+E42</f>
        <v/>
      </c>
      <c r="G42" s="7" t="n">
        <v>-0.005301200551984141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229578.03</v>
      </c>
      <c r="C44" s="31" t="n">
        <v>277391.55</v>
      </c>
      <c r="D44" s="31" t="n">
        <v>136325.88</v>
      </c>
      <c r="E44" s="39" t="n">
        <v>136325.88</v>
      </c>
      <c r="F44" s="31">
        <f>D44+E44</f>
        <v/>
      </c>
      <c r="G44" s="7" t="n">
        <v>0.2082669670089949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6575.920000000013</v>
      </c>
      <c r="C46" s="33" t="n">
        <v>-112557.67</v>
      </c>
      <c r="D46" s="33" t="n">
        <v>-27385.39</v>
      </c>
      <c r="E46" s="39" t="n">
        <v>-27385.39</v>
      </c>
      <c r="F46" s="33">
        <f>D46+E46</f>
        <v/>
      </c>
      <c r="G46" s="7" t="n">
        <v>-18.11664223409041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 t="n">
        <v>0</v>
      </c>
      <c r="E49" s="38" t="n">
        <v>0</v>
      </c>
      <c r="F49" s="8">
        <f>D49+E49</f>
        <v/>
      </c>
      <c r="G49" s="8" t="n"/>
      <c r="H49" s="7">
        <f>IF(C49&lt;&gt;0,(F49-C49)/ABS(C49),0)</f>
        <v/>
      </c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 t="n">
        <v>0</v>
      </c>
      <c r="E50" s="38" t="n">
        <v>0</v>
      </c>
      <c r="F50" s="8">
        <f>D50+E50</f>
        <v/>
      </c>
      <c r="G50" s="8" t="n"/>
      <c r="H50" s="7">
        <f>IF(C50&lt;&gt;0,(F50-C50)/ABS(C50),0)</f>
        <v/>
      </c>
    </row>
    <row r="51" ht="14" customHeight="1">
      <c r="A51" s="34" t="inlineStr">
        <is>
          <t xml:space="preserve">    IT Support</t>
        </is>
      </c>
      <c r="B51" s="8" t="n">
        <v>2456.81</v>
      </c>
      <c r="C51" s="8" t="n">
        <v>1075</v>
      </c>
      <c r="D51" s="8" t="n">
        <v>0</v>
      </c>
      <c r="E51" s="38" t="n">
        <v>0</v>
      </c>
      <c r="F51" s="8">
        <f>D51+E51</f>
        <v/>
      </c>
      <c r="G51" s="7" t="n">
        <v>-0.5624407259820662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273.61</v>
      </c>
      <c r="C52" s="8" t="n">
        <v>0</v>
      </c>
      <c r="D52" s="8" t="n">
        <v>0</v>
      </c>
      <c r="E52" s="38" t="n">
        <v>0</v>
      </c>
      <c r="F52" s="8">
        <f>D52+E52</f>
        <v/>
      </c>
      <c r="G52" s="7" t="n">
        <v>-1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 t="n">
        <v>0</v>
      </c>
      <c r="E53" s="38" t="n">
        <v>0</v>
      </c>
      <c r="F53" s="8">
        <f>D53+E53</f>
        <v/>
      </c>
      <c r="G53" s="8" t="n"/>
      <c r="H53" s="7">
        <f>IF(C53&lt;&gt;0,(F53-C53)/ABS(C53),0)</f>
        <v/>
      </c>
    </row>
    <row r="54" ht="14" customHeight="1">
      <c r="A54" s="34" t="inlineStr">
        <is>
          <t xml:space="preserve">    Professional Fees</t>
        </is>
      </c>
      <c r="B54" s="8" t="n">
        <v>476.5</v>
      </c>
      <c r="C54" s="8" t="n">
        <v>0</v>
      </c>
      <c r="D54" s="8" t="n">
        <v>0</v>
      </c>
      <c r="E54" s="38" t="n">
        <v>0</v>
      </c>
      <c r="F54" s="8">
        <f>D54+E54</f>
        <v/>
      </c>
      <c r="G54" s="7" t="n">
        <v>-1</v>
      </c>
      <c r="H54" s="7">
        <f>IF(C54&lt;&gt;0,(F54-C54)/ABS(C54),0)</f>
        <v/>
      </c>
    </row>
    <row r="55" ht="14" customHeight="1">
      <c r="A55" s="34" t="inlineStr">
        <is>
          <t xml:space="preserve">    Finance Costs</t>
        </is>
      </c>
      <c r="B55" s="8" t="n">
        <v>-78.61</v>
      </c>
      <c r="C55" s="8" t="n">
        <v>0</v>
      </c>
      <c r="D55" s="8" t="n">
        <v>0</v>
      </c>
      <c r="E55" s="38" t="n">
        <v>0</v>
      </c>
      <c r="F55" s="8">
        <f>D55+E55</f>
        <v/>
      </c>
      <c r="G55" s="7" t="n">
        <v>1</v>
      </c>
      <c r="H55" s="7">
        <f>IF(C55&lt;&gt;0,(F55-C55)/ABS(C55),0)</f>
        <v/>
      </c>
    </row>
    <row r="56" ht="14" customHeight="1">
      <c r="A56" s="30" t="inlineStr">
        <is>
          <t>Total Overheads</t>
        </is>
      </c>
      <c r="B56" s="31" t="n">
        <v>4157.22</v>
      </c>
      <c r="C56" s="31" t="n">
        <v>104053.5</v>
      </c>
      <c r="D56" s="31" t="n">
        <v>0</v>
      </c>
      <c r="E56" s="39" t="n">
        <v>0</v>
      </c>
      <c r="F56" s="31">
        <f>D56+E56</f>
        <v/>
      </c>
      <c r="G56" s="7" t="n">
        <v>24.02958707982738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2418.700000000013</v>
      </c>
      <c r="C58" s="36" t="n">
        <v>-216611.17</v>
      </c>
      <c r="D58" s="36" t="n">
        <v>-27385.39</v>
      </c>
      <c r="E58" s="39" t="n">
        <v>-27385.39</v>
      </c>
      <c r="F58" s="36">
        <f>D58+E58</f>
        <v/>
      </c>
      <c r="G58" s="7" t="n">
        <v>-90.55685698929132</v>
      </c>
      <c r="H58" s="7">
        <f>IF(C58&lt;&gt;0,(F58-C58)/ABS(C58),0)</f>
        <v/>
      </c>
    </row>
  </sheetData>
  <mergeCells count="7">
    <mergeCell ref="A9:H9"/>
    <mergeCell ref="A48:H48"/>
    <mergeCell ref="A3:H3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8" customHeight="1">
      <c r="A1" s="1" t="inlineStr">
        <is>
          <t>Complete Childcare Group — Performance: 2025 Actual | 2026 Actual/Forecast | 2027 Forecast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2" t="inlineStr">
        <is>
          <t>2027 H1
Jan–Jun</t>
        </is>
      </c>
      <c r="E2" s="2" t="inlineStr">
        <is>
          <t>2027 H2
Projected</t>
        </is>
      </c>
      <c r="F2" s="2" t="inlineStr">
        <is>
          <t>2027
Full Year</t>
        </is>
      </c>
      <c r="G2" s="2" t="inlineStr">
        <is>
          <t>25→26
Change</t>
        </is>
      </c>
      <c r="H2" s="2" t="inlineStr">
        <is>
          <t>26→27
Change</t>
        </is>
      </c>
    </row>
    <row r="3" ht="14" customHeight="1">
      <c r="A3" s="9" t="inlineStr">
        <is>
          <t>INCOME</t>
        </is>
      </c>
    </row>
    <row r="4" ht="14" customHeight="1">
      <c r="A4" s="4" t="inlineStr">
        <is>
          <t xml:space="preserve">    Fee Income Regular</t>
        </is>
      </c>
      <c r="B4" s="5" t="n">
        <v>7856747.06</v>
      </c>
      <c r="C4" s="5" t="n">
        <v>2727593.27</v>
      </c>
      <c r="D4" s="5">
        <f>'ABA'!D4+'BK'!D4+'BW'!D4+'CED'!D4+'HAB'!D4+'HB'!D4+'OD'!D4+'HDN'!D4+'KIN'!D4+'LE'!D4+'MER'!D4+'NDN'!D4+'SALT'!D4+'SDN'!D4+'SST'!D4+'WH'!D4+'FH'!D4</f>
        <v/>
      </c>
      <c r="E4" s="6">
        <f>'ABA'!D4+'BK'!D4+'BW'!D4+'CED'!D4+'HAB'!D4+'HB'!D4+'OD'!D4+'HDN'!D4+'KIN'!D4+'LE'!D4+'MER'!D4+'NDN'!D4+'SALT'!D4+'SDN'!D4+'SST'!D4+'WH'!D4+'FH'!D4</f>
        <v/>
      </c>
      <c r="F4" s="5">
        <f>D4+E4</f>
        <v/>
      </c>
      <c r="G4" s="7" t="n">
        <v>-0.6528342774471346</v>
      </c>
      <c r="H4" s="7">
        <f>IF(C4&lt;&gt;0,(F4-C4)/ABS(C4),0)</f>
        <v/>
      </c>
    </row>
    <row r="5" ht="14" customHeight="1">
      <c r="A5" s="4" t="inlineStr">
        <is>
          <t xml:space="preserve">    EEEF Embedded</t>
        </is>
      </c>
      <c r="B5" s="5" t="n">
        <v>3441253.47</v>
      </c>
      <c r="C5" s="5" t="n">
        <v>1511609.74</v>
      </c>
      <c r="D5" s="5">
        <f>'ABA'!D5+'BK'!D5+'BW'!D5+'CED'!D5+'HAB'!D5+'HB'!D5+'OD'!D5+'HDN'!D5+'KIN'!D5+'LE'!D5+'MER'!D5+'NDN'!D5+'SALT'!D5+'SDN'!D5+'SST'!D5+'WH'!D5+'FH'!D5</f>
        <v/>
      </c>
      <c r="E5" s="6">
        <f>'ABA'!D5+'BK'!D5+'BW'!D5+'CED'!D5+'HAB'!D5+'HB'!D5+'OD'!D5+'HDN'!D5+'KIN'!D5+'LE'!D5+'MER'!D5+'NDN'!D5+'SALT'!D5+'SDN'!D5+'SST'!D5+'WH'!D5+'FH'!D5</f>
        <v/>
      </c>
      <c r="F5" s="5">
        <f>D5+E5</f>
        <v/>
      </c>
      <c r="G5" s="7" t="n">
        <v>-0.5607386223718068</v>
      </c>
      <c r="H5" s="7">
        <f>IF(C5&lt;&gt;0,(F5-C5)/ABS(C5),0)</f>
        <v/>
      </c>
    </row>
    <row r="6" ht="14" customHeight="1">
      <c r="A6" s="4" t="inlineStr">
        <is>
          <t xml:space="preserve">    Other Income</t>
        </is>
      </c>
      <c r="B6" s="5" t="n">
        <v>72425.41</v>
      </c>
      <c r="C6" s="5" t="n">
        <v>0</v>
      </c>
      <c r="D6" s="5">
        <f>'ABA'!D6+'BK'!D6+'BW'!D6+'CED'!D6+'HAB'!D6+'HB'!D6+'OD'!D6+'HDN'!D6+'KIN'!D6+'LE'!D6+'MER'!D6+'NDN'!D6+'SALT'!D6+'SDN'!D6+'SST'!D6+'WH'!D6+'FH'!D6</f>
        <v/>
      </c>
      <c r="E6" s="6">
        <f>'ABA'!D6+'BK'!D6+'BW'!D6+'CED'!D6+'HAB'!D6+'HB'!D6+'OD'!D6+'HDN'!D6+'KIN'!D6+'LE'!D6+'MER'!D6+'NDN'!D6+'SALT'!D6+'SDN'!D6+'SST'!D6+'WH'!D6+'FH'!D6</f>
        <v/>
      </c>
      <c r="F6" s="5">
        <f>D6+E6</f>
        <v/>
      </c>
      <c r="G6" s="7" t="n">
        <v>-1</v>
      </c>
    </row>
    <row r="7" ht="14" customHeight="1">
      <c r="A7" s="9" t="inlineStr">
        <is>
          <t>Total Income</t>
        </is>
      </c>
      <c r="B7" s="10" t="n">
        <v>11370425.94</v>
      </c>
      <c r="C7" s="10" t="n">
        <v>11212064.92</v>
      </c>
      <c r="D7" s="10">
        <f>'ABA'!D7+'BK'!D7+'BW'!D7+'CED'!D7+'HAB'!D7+'HB'!D7+'OD'!D7+'HDN'!D7+'KIN'!D7+'LE'!D7+'MER'!D7+'NDN'!D7+'SALT'!D7+'SDN'!D7+'SST'!D7+'WH'!D7+'FH'!D7</f>
        <v/>
      </c>
      <c r="E7" s="11">
        <f>'ABA'!D7+'BK'!D7+'BW'!D7+'CED'!D7+'HAB'!D7+'HB'!D7+'OD'!D7+'HDN'!D7+'KIN'!D7+'LE'!D7+'MER'!D7+'NDN'!D7+'SALT'!D7+'SDN'!D7+'SST'!D7+'WH'!D7+'FH'!D7</f>
        <v/>
      </c>
      <c r="F7" s="10">
        <f>D7+E7</f>
        <v/>
      </c>
      <c r="G7" s="7" t="n">
        <v>-0.01392744835027698</v>
      </c>
      <c r="H7" s="7">
        <f>IF(C7&lt;&gt;0,(F7-C7)/ABS(C7),0)</f>
        <v/>
      </c>
    </row>
    <row r="8" ht="5" customHeight="1"/>
    <row r="9" ht="14" customHeight="1">
      <c r="A9" s="30" t="inlineStr">
        <is>
          <t>DIRECT COSTS</t>
        </is>
      </c>
    </row>
    <row r="10" ht="14" customHeight="1">
      <c r="A10" s="16" t="inlineStr">
        <is>
          <t>Personnel</t>
        </is>
      </c>
    </row>
    <row r="11" ht="14" customHeight="1">
      <c r="A11" s="14" t="inlineStr">
        <is>
          <t xml:space="preserve">    Nursery Salaries</t>
        </is>
      </c>
      <c r="B11" s="15" t="n">
        <v>5186817.47</v>
      </c>
      <c r="C11" s="15" t="n">
        <v>5768597.68</v>
      </c>
      <c r="D11" s="15">
        <f>'ABA'!D11+'BK'!D11+'BW'!D11+'CED'!D11+'HAB'!D11+'HB'!D11+'OD'!D11+'HDN'!D11+'KIN'!D11+'LE'!D11+'MER'!D11+'NDN'!D11+'SALT'!D11+'SDN'!D11+'SST'!D11+'WH'!D11+'FH'!D11</f>
        <v/>
      </c>
      <c r="E11" s="6">
        <f>'ABA'!D11+'BK'!D11+'BW'!D11+'CED'!D11+'HAB'!D11+'HB'!D11+'OD'!D11+'HDN'!D11+'KIN'!D11+'LE'!D11+'MER'!D11+'NDN'!D11+'SALT'!D11+'SDN'!D11+'SST'!D11+'WH'!D11+'FH'!D11</f>
        <v/>
      </c>
      <c r="F11" s="15">
        <f>D11+E11</f>
        <v/>
      </c>
      <c r="G11" s="7" t="n">
        <v>0.1121651597275121</v>
      </c>
      <c r="H11" s="7">
        <f>IF(C11&lt;&gt;0,(F11-C11)/ABS(C11),0)</f>
        <v/>
      </c>
    </row>
    <row r="12" ht="14" customHeight="1">
      <c r="A12" s="14" t="inlineStr">
        <is>
          <t xml:space="preserve">    Nursery NI</t>
        </is>
      </c>
      <c r="B12" s="15" t="n">
        <v>516295.38</v>
      </c>
      <c r="C12" s="15" t="n">
        <v>604342.26</v>
      </c>
      <c r="D12" s="15">
        <f>'ABA'!D12+'BK'!D12+'BW'!D12+'CED'!D12+'HAB'!D12+'HB'!D12+'OD'!D12+'HDN'!D12+'KIN'!D12+'LE'!D12+'MER'!D12+'NDN'!D12+'SALT'!D12+'SDN'!D12+'SST'!D12+'WH'!D12+'FH'!D12</f>
        <v/>
      </c>
      <c r="E12" s="6">
        <f>'ABA'!D12+'BK'!D12+'BW'!D12+'CED'!D12+'HAB'!D12+'HB'!D12+'OD'!D12+'HDN'!D12+'KIN'!D12+'LE'!D12+'MER'!D12+'NDN'!D12+'SALT'!D12+'SDN'!D12+'SST'!D12+'WH'!D12+'FH'!D12</f>
        <v/>
      </c>
      <c r="F12" s="15">
        <f>D12+E12</f>
        <v/>
      </c>
      <c r="G12" s="7" t="n">
        <v>0.1705358665033958</v>
      </c>
      <c r="H12" s="7">
        <f>IF(C12&lt;&gt;0,(F12-C12)/ABS(C12),0)</f>
        <v/>
      </c>
    </row>
    <row r="13" ht="14" customHeight="1">
      <c r="A13" s="14" t="inlineStr">
        <is>
          <t xml:space="preserve">    Nursery Pension</t>
        </is>
      </c>
      <c r="B13" s="15" t="n">
        <v>92813.08</v>
      </c>
      <c r="C13" s="15" t="n">
        <v>84078.38</v>
      </c>
      <c r="D13" s="15">
        <f>'ABA'!D13+'BK'!D13+'BW'!D13+'CED'!D13+'HAB'!D13+'HB'!D13+'OD'!D13+'HDN'!D13+'KIN'!D13+'LE'!D13+'MER'!D13+'NDN'!D13+'SALT'!D13+'SDN'!D13+'SST'!D13+'WH'!D13+'FH'!D13</f>
        <v/>
      </c>
      <c r="E13" s="6">
        <f>'ABA'!D13+'BK'!D13+'BW'!D13+'CED'!D13+'HAB'!D13+'HB'!D13+'OD'!D13+'HDN'!D13+'KIN'!D13+'LE'!D13+'MER'!D13+'NDN'!D13+'SALT'!D13+'SDN'!D13+'SST'!D13+'WH'!D13+'FH'!D13</f>
        <v/>
      </c>
      <c r="F13" s="15">
        <f>D13+E13</f>
        <v/>
      </c>
      <c r="G13" s="7" t="n">
        <v>-0.09411065767885299</v>
      </c>
      <c r="H13" s="7">
        <f>IF(C13&lt;&gt;0,(F13-C13)/ABS(C13),0)</f>
        <v/>
      </c>
    </row>
    <row r="14" ht="14" customHeight="1">
      <c r="A14" s="14" t="inlineStr">
        <is>
          <t xml:space="preserve">    Uniform</t>
        </is>
      </c>
      <c r="B14" s="15" t="n">
        <v>13204.45</v>
      </c>
      <c r="C14" s="15" t="n">
        <v>5471.7</v>
      </c>
      <c r="D14" s="15">
        <f>'ABA'!D14+'BK'!D14+'BW'!D14+'CED'!D14+'HAB'!D14+'HB'!D14+'OD'!D14+'HDN'!D14+'KIN'!D14+'LE'!D14+'MER'!D14+'NDN'!D14+'SALT'!D14+'SDN'!D14+'SST'!D14+'WH'!D14+'FH'!D14</f>
        <v/>
      </c>
      <c r="E14" s="6">
        <f>'ABA'!D14+'BK'!D14+'BW'!D14+'CED'!D14+'HAB'!D14+'HB'!D14+'OD'!D14+'HDN'!D14+'KIN'!D14+'LE'!D14+'MER'!D14+'NDN'!D14+'SALT'!D14+'SDN'!D14+'SST'!D14+'WH'!D14+'FH'!D14</f>
        <v/>
      </c>
      <c r="F14" s="15">
        <f>D14+E14</f>
        <v/>
      </c>
      <c r="G14" s="7" t="n">
        <v>-0.5856169700366164</v>
      </c>
      <c r="H14" s="7">
        <f>IF(C14&lt;&gt;0,(F14-C14)/ABS(C14),0)</f>
        <v/>
      </c>
    </row>
    <row r="15" ht="14" customHeight="1">
      <c r="A15" s="14" t="inlineStr">
        <is>
          <t xml:space="preserve">    Training</t>
        </is>
      </c>
      <c r="B15" s="15" t="n">
        <v>15064.76</v>
      </c>
      <c r="C15" s="15" t="n">
        <v>9365</v>
      </c>
      <c r="D15" s="15">
        <f>'ABA'!D15+'BK'!D15+'BW'!D15+'CED'!D15+'HAB'!D15+'HB'!D15+'OD'!D15+'HDN'!D15+'KIN'!D15+'LE'!D15+'MER'!D15+'NDN'!D15+'SALT'!D15+'SDN'!D15+'SST'!D15+'WH'!D15+'FH'!D15</f>
        <v/>
      </c>
      <c r="E15" s="6">
        <f>'ABA'!D15+'BK'!D15+'BW'!D15+'CED'!D15+'HAB'!D15+'HB'!D15+'OD'!D15+'HDN'!D15+'KIN'!D15+'LE'!D15+'MER'!D15+'NDN'!D15+'SALT'!D15+'SDN'!D15+'SST'!D15+'WH'!D15+'FH'!D15</f>
        <v/>
      </c>
      <c r="F15" s="15">
        <f>D15+E15</f>
        <v/>
      </c>
      <c r="G15" s="7" t="n">
        <v>-0.3783505346251783</v>
      </c>
      <c r="H15" s="7">
        <f>IF(C15&lt;&gt;0,(F15-C15)/ABS(C15),0)</f>
        <v/>
      </c>
    </row>
    <row r="16" ht="14" customHeight="1">
      <c r="A16" s="14" t="inlineStr">
        <is>
          <t xml:space="preserve">    Staff Welfare</t>
        </is>
      </c>
      <c r="B16" s="15" t="n">
        <v>31153.82</v>
      </c>
      <c r="C16" s="15" t="n">
        <v>11068.45</v>
      </c>
      <c r="D16" s="15">
        <f>'ABA'!D16+'BK'!D16+'BW'!D16+'CED'!D16+'HAB'!D16+'HB'!D16+'OD'!D16+'HDN'!D16+'KIN'!D16+'LE'!D16+'MER'!D16+'NDN'!D16+'SALT'!D16+'SDN'!D16+'SST'!D16+'WH'!D16+'FH'!D16</f>
        <v/>
      </c>
      <c r="E16" s="6">
        <f>'ABA'!D16+'BK'!D16+'BW'!D16+'CED'!D16+'HAB'!D16+'HB'!D16+'OD'!D16+'HDN'!D16+'KIN'!D16+'LE'!D16+'MER'!D16+'NDN'!D16+'SALT'!D16+'SDN'!D16+'SST'!D16+'WH'!D16+'FH'!D16</f>
        <v/>
      </c>
      <c r="F16" s="15">
        <f>D16+E16</f>
        <v/>
      </c>
      <c r="G16" s="7" t="n">
        <v>-0.6447161214900773</v>
      </c>
      <c r="H16" s="7">
        <f>IF(C16&lt;&gt;0,(F16-C16)/ABS(C16),0)</f>
        <v/>
      </c>
    </row>
    <row r="17" ht="14" customHeight="1">
      <c r="A17" s="14" t="inlineStr">
        <is>
          <t xml:space="preserve">    Recruitment</t>
        </is>
      </c>
      <c r="B17" s="15" t="n">
        <v>20138.46</v>
      </c>
      <c r="C17" s="15" t="n">
        <v>0</v>
      </c>
      <c r="D17" s="15">
        <f>'ABA'!D17+'BK'!D17+'BW'!D17+'CED'!D17+'HAB'!D17+'HB'!D17+'OD'!D17+'HDN'!D17+'KIN'!D17+'LE'!D17+'MER'!D17+'NDN'!D17+'SALT'!D17+'SDN'!D17+'SST'!D17+'WH'!D17+'FH'!D17</f>
        <v/>
      </c>
      <c r="E17" s="6">
        <f>'ABA'!D17+'BK'!D17+'BW'!D17+'CED'!D17+'HAB'!D17+'HB'!D17+'OD'!D17+'HDN'!D17+'KIN'!D17+'LE'!D17+'MER'!D17+'NDN'!D17+'SALT'!D17+'SDN'!D17+'SST'!D17+'WH'!D17+'FH'!D17</f>
        <v/>
      </c>
      <c r="F17" s="15">
        <f>D17+E17</f>
        <v/>
      </c>
      <c r="G17" s="7" t="n">
        <v>-1</v>
      </c>
    </row>
    <row r="18" ht="14" customHeight="1">
      <c r="A18" s="14" t="inlineStr">
        <is>
          <t xml:space="preserve">    Rewards &amp; Recognition</t>
        </is>
      </c>
      <c r="B18" s="15" t="n">
        <v>2659.94</v>
      </c>
      <c r="C18" s="15" t="n">
        <v>4610</v>
      </c>
      <c r="D18" s="15">
        <f>'ABA'!D18+'BK'!D18+'BW'!D18+'CED'!D18+'HAB'!D18+'HB'!D18+'OD'!D18+'HDN'!D18+'KIN'!D18+'LE'!D18+'MER'!D18+'NDN'!D18+'SALT'!D18+'SDN'!D18+'SST'!D18+'WH'!D18+'FH'!D18</f>
        <v/>
      </c>
      <c r="E18" s="6">
        <f>'ABA'!D18+'BK'!D18+'BW'!D18+'CED'!D18+'HAB'!D18+'HB'!D18+'OD'!D18+'HDN'!D18+'KIN'!D18+'LE'!D18+'MER'!D18+'NDN'!D18+'SALT'!D18+'SDN'!D18+'SST'!D18+'WH'!D18+'FH'!D18</f>
        <v/>
      </c>
      <c r="F18" s="15">
        <f>D18+E18</f>
        <v/>
      </c>
      <c r="G18" s="7" t="n">
        <v>0.7331217997398437</v>
      </c>
      <c r="H18" s="7">
        <f>IF(C18&lt;&gt;0,(F18-C18)/ABS(C18),0)</f>
        <v/>
      </c>
    </row>
    <row r="19" ht="14" customHeight="1">
      <c r="A19" s="14" t="inlineStr">
        <is>
          <t xml:space="preserve">    Temps</t>
        </is>
      </c>
      <c r="B19" s="15" t="n">
        <v>11323.83</v>
      </c>
      <c r="C19" s="15" t="n">
        <v>0</v>
      </c>
      <c r="D19" s="15">
        <f>'ABA'!D19+'BK'!D19+'BW'!D19+'CED'!D19+'HAB'!D19+'HB'!D19+'OD'!D19+'HDN'!D19+'KIN'!D19+'LE'!D19+'MER'!D19+'NDN'!D19+'SALT'!D19+'SDN'!D19+'SST'!D19+'WH'!D19+'FH'!D19</f>
        <v/>
      </c>
      <c r="E19" s="6">
        <f>'ABA'!D19+'BK'!D19+'BW'!D19+'CED'!D19+'HAB'!D19+'HB'!D19+'OD'!D19+'HDN'!D19+'KIN'!D19+'LE'!D19+'MER'!D19+'NDN'!D19+'SALT'!D19+'SDN'!D19+'SST'!D19+'WH'!D19+'FH'!D19</f>
        <v/>
      </c>
      <c r="F19" s="15">
        <f>D19+E19</f>
        <v/>
      </c>
      <c r="G19" s="7" t="n">
        <v>-1</v>
      </c>
    </row>
    <row r="20" ht="14" customHeight="1">
      <c r="A20" s="16" t="inlineStr">
        <is>
          <t>Total Personnel</t>
        </is>
      </c>
      <c r="B20" s="17" t="n">
        <v>5889471.19</v>
      </c>
      <c r="C20" s="17" t="n">
        <v>6555392.93</v>
      </c>
      <c r="D20" s="17">
        <f>'ABA'!D20+'BK'!D20+'BW'!D20+'CED'!D20+'HAB'!D20+'HB'!D20+'OD'!D20+'HDN'!D20+'KIN'!D20+'LE'!D20+'MER'!D20+'NDN'!D20+'SALT'!D20+'SDN'!D20+'SST'!D20+'WH'!D20+'FH'!D20</f>
        <v/>
      </c>
      <c r="E20" s="11">
        <f>'ABA'!D20+'BK'!D20+'BW'!D20+'CED'!D20+'HAB'!D20+'HB'!D20+'OD'!D20+'HDN'!D20+'KIN'!D20+'LE'!D20+'MER'!D20+'NDN'!D20+'SALT'!D20+'SDN'!D20+'SST'!D20+'WH'!D20+'FH'!D20</f>
        <v/>
      </c>
      <c r="F20" s="17">
        <f>D20+E20</f>
        <v/>
      </c>
      <c r="G20" s="7" t="n">
        <v>0.1130698696906265</v>
      </c>
      <c r="H20" s="7">
        <f>IF(C20&lt;&gt;0,(F20-C20)/ABS(C20),0)</f>
        <v/>
      </c>
    </row>
    <row r="21" ht="14" customHeight="1">
      <c r="A21" s="18" t="inlineStr">
        <is>
          <t xml:space="preserve">    Sal:Rev</t>
        </is>
      </c>
      <c r="B21" s="19" t="n">
        <v>0.5179639901862815</v>
      </c>
      <c r="C21" s="19" t="n">
        <v>0.5846731156815314</v>
      </c>
    </row>
    <row r="22" ht="5" customHeight="1"/>
    <row r="23" ht="14" customHeight="1">
      <c r="A23" s="23" t="inlineStr">
        <is>
          <t>Childcare</t>
        </is>
      </c>
    </row>
    <row r="24" ht="14" customHeight="1">
      <c r="A24" s="21" t="inlineStr">
        <is>
          <t xml:space="preserve">    Catering Costs</t>
        </is>
      </c>
      <c r="B24" s="22" t="n">
        <v>299536.19</v>
      </c>
      <c r="C24" s="22" t="n">
        <v>0</v>
      </c>
      <c r="D24" s="22">
        <f>'ABA'!D24+'BK'!D24+'BW'!D24+'CED'!D24+'HAB'!D24+'HB'!D24+'OD'!D24+'HDN'!D24+'KIN'!D24+'LE'!D24+'MER'!D24+'NDN'!D24+'SALT'!D24+'SDN'!D24+'SST'!D24+'WH'!D24+'FH'!D24</f>
        <v/>
      </c>
      <c r="E24" s="6">
        <f>'ABA'!D24+'BK'!D24+'BW'!D24+'CED'!D24+'HAB'!D24+'HB'!D24+'OD'!D24+'HDN'!D24+'KIN'!D24+'LE'!D24+'MER'!D24+'NDN'!D24+'SALT'!D24+'SDN'!D24+'SST'!D24+'WH'!D24+'FH'!D24</f>
        <v/>
      </c>
      <c r="F24" s="22">
        <f>D24+E24</f>
        <v/>
      </c>
      <c r="G24" s="7" t="n">
        <v>-1</v>
      </c>
    </row>
    <row r="25" ht="14" customHeight="1">
      <c r="A25" s="21" t="inlineStr">
        <is>
          <t xml:space="preserve">    Toys and Games</t>
        </is>
      </c>
      <c r="B25" s="22" t="n">
        <v>52568.41</v>
      </c>
      <c r="C25" s="22" t="n">
        <v>5385</v>
      </c>
      <c r="D25" s="22">
        <f>'ABA'!D25+'BK'!D25+'BW'!D25+'CED'!D25+'HAB'!D25+'HB'!D25+'OD'!D25+'HDN'!D25+'KIN'!D25+'LE'!D25+'MER'!D25+'NDN'!D25+'SALT'!D25+'SDN'!D25+'SST'!D25+'WH'!D25+'FH'!D25</f>
        <v/>
      </c>
      <c r="E25" s="6">
        <f>'ABA'!D25+'BK'!D25+'BW'!D25+'CED'!D25+'HAB'!D25+'HB'!D25+'OD'!D25+'HDN'!D25+'KIN'!D25+'LE'!D25+'MER'!D25+'NDN'!D25+'SALT'!D25+'SDN'!D25+'SST'!D25+'WH'!D25+'FH'!D25</f>
        <v/>
      </c>
      <c r="F25" s="22">
        <f>D25+E25</f>
        <v/>
      </c>
      <c r="G25" s="7" t="n">
        <v>-0.897562052951573</v>
      </c>
      <c r="H25" s="7">
        <f>IF(C25&lt;&gt;0,(F25-C25)/ABS(C25),0)</f>
        <v/>
      </c>
    </row>
    <row r="26" ht="14" customHeight="1">
      <c r="A26" s="21" t="inlineStr">
        <is>
          <t xml:space="preserve">    Art Materials</t>
        </is>
      </c>
      <c r="B26" s="22" t="n">
        <v>22346.9</v>
      </c>
      <c r="C26" s="22" t="n">
        <v>0</v>
      </c>
      <c r="D26" s="22">
        <f>'ABA'!D26+'BK'!D26+'BW'!D26+'CED'!D26+'HAB'!D26+'HB'!D26+'OD'!D26+'HDN'!D26+'KIN'!D26+'LE'!D26+'MER'!D26+'NDN'!D26+'SALT'!D26+'SDN'!D26+'SST'!D26+'WH'!D26+'FH'!D26</f>
        <v/>
      </c>
      <c r="E26" s="6">
        <f>'ABA'!D26+'BK'!D26+'BW'!D26+'CED'!D26+'HAB'!D26+'HB'!D26+'OD'!D26+'HDN'!D26+'KIN'!D26+'LE'!D26+'MER'!D26+'NDN'!D26+'SALT'!D26+'SDN'!D26+'SST'!D26+'WH'!D26+'FH'!D26</f>
        <v/>
      </c>
      <c r="F26" s="22">
        <f>D26+E26</f>
        <v/>
      </c>
      <c r="G26" s="7" t="n">
        <v>-1</v>
      </c>
    </row>
    <row r="27" ht="14" customHeight="1">
      <c r="A27" s="21" t="inlineStr">
        <is>
          <t xml:space="preserve">    Nursery Stationery</t>
        </is>
      </c>
      <c r="B27" s="22" t="n">
        <v>5725.44</v>
      </c>
      <c r="C27" s="22" t="n">
        <v>7805</v>
      </c>
      <c r="D27" s="22">
        <f>'ABA'!D27+'BK'!D27+'BW'!D27+'CED'!D27+'HAB'!D27+'HB'!D27+'OD'!D27+'HDN'!D27+'KIN'!D27+'LE'!D27+'MER'!D27+'NDN'!D27+'SALT'!D27+'SDN'!D27+'SST'!D27+'WH'!D27+'FH'!D27</f>
        <v/>
      </c>
      <c r="E27" s="6">
        <f>'ABA'!D27+'BK'!D27+'BW'!D27+'CED'!D27+'HAB'!D27+'HB'!D27+'OD'!D27+'HDN'!D27+'KIN'!D27+'LE'!D27+'MER'!D27+'NDN'!D27+'SALT'!D27+'SDN'!D27+'SST'!D27+'WH'!D27+'FH'!D27</f>
        <v/>
      </c>
      <c r="F27" s="22">
        <f>D27+E27</f>
        <v/>
      </c>
      <c r="G27" s="7" t="n">
        <v>0.363214006259781</v>
      </c>
      <c r="H27" s="7">
        <f>IF(C27&lt;&gt;0,(F27-C27)/ABS(C27),0)</f>
        <v/>
      </c>
    </row>
    <row r="28" ht="14" customHeight="1">
      <c r="A28" s="21" t="inlineStr">
        <is>
          <t xml:space="preserve">    Nursery Equipment</t>
        </is>
      </c>
      <c r="B28" s="22" t="n">
        <v>24366.19</v>
      </c>
      <c r="C28" s="22" t="n">
        <v>5015</v>
      </c>
      <c r="D28" s="22">
        <f>'ABA'!D28+'BK'!D28+'BW'!D28+'CED'!D28+'HAB'!D28+'HB'!D28+'OD'!D28+'HDN'!D28+'KIN'!D28+'LE'!D28+'MER'!D28+'NDN'!D28+'SALT'!D28+'SDN'!D28+'SST'!D28+'WH'!D28+'FH'!D28</f>
        <v/>
      </c>
      <c r="E28" s="6">
        <f>'ABA'!D28+'BK'!D28+'BW'!D28+'CED'!D28+'HAB'!D28+'HB'!D28+'OD'!D28+'HDN'!D28+'KIN'!D28+'LE'!D28+'MER'!D28+'NDN'!D28+'SALT'!D28+'SDN'!D28+'SST'!D28+'WH'!D28+'FH'!D28</f>
        <v/>
      </c>
      <c r="F28" s="22">
        <f>D28+E28</f>
        <v/>
      </c>
      <c r="G28" s="7" t="n">
        <v>-0.7941820202501909</v>
      </c>
      <c r="H28" s="7">
        <f>IF(C28&lt;&gt;0,(F28-C28)/ABS(C28),0)</f>
        <v/>
      </c>
    </row>
    <row r="29" ht="14" customHeight="1">
      <c r="A29" s="21" t="inlineStr">
        <is>
          <t xml:space="preserve">    Nursery Consumables</t>
        </is>
      </c>
      <c r="B29" s="22" t="n">
        <v>34632.38</v>
      </c>
      <c r="C29" s="22" t="n">
        <v>0</v>
      </c>
      <c r="D29" s="22">
        <f>'ABA'!D29+'BK'!D29+'BW'!D29+'CED'!D29+'HAB'!D29+'HB'!D29+'OD'!D29+'HDN'!D29+'KIN'!D29+'LE'!D29+'MER'!D29+'NDN'!D29+'SALT'!D29+'SDN'!D29+'SST'!D29+'WH'!D29+'FH'!D29</f>
        <v/>
      </c>
      <c r="E29" s="6">
        <f>'ABA'!D29+'BK'!D29+'BW'!D29+'CED'!D29+'HAB'!D29+'HB'!D29+'OD'!D29+'HDN'!D29+'KIN'!D29+'LE'!D29+'MER'!D29+'NDN'!D29+'SALT'!D29+'SDN'!D29+'SST'!D29+'WH'!D29+'FH'!D29</f>
        <v/>
      </c>
      <c r="F29" s="22">
        <f>D29+E29</f>
        <v/>
      </c>
      <c r="G29" s="7" t="n">
        <v>-1</v>
      </c>
    </row>
    <row r="30" ht="14" customHeight="1">
      <c r="A30" s="23" t="inlineStr">
        <is>
          <t>Total Childcare Costs</t>
        </is>
      </c>
      <c r="B30" s="24" t="n">
        <v>439175.51</v>
      </c>
      <c r="C30" s="24" t="n">
        <v>270346.16</v>
      </c>
      <c r="D30" s="24">
        <f>'ABA'!D30+'BK'!D30+'BW'!D30+'CED'!D30+'HAB'!D30+'HB'!D30+'OD'!D30+'HDN'!D30+'KIN'!D30+'LE'!D30+'MER'!D30+'NDN'!D30+'SALT'!D30+'SDN'!D30+'SST'!D30+'WH'!D30+'FH'!D30</f>
        <v/>
      </c>
      <c r="E30" s="11">
        <f>'ABA'!D30+'BK'!D30+'BW'!D30+'CED'!D30+'HAB'!D30+'HB'!D30+'OD'!D30+'HDN'!D30+'KIN'!D30+'LE'!D30+'MER'!D30+'NDN'!D30+'SALT'!D30+'SDN'!D30+'SST'!D30+'WH'!D30+'FH'!D30</f>
        <v/>
      </c>
      <c r="F30" s="24">
        <f>D30+E30</f>
        <v/>
      </c>
      <c r="G30" s="7" t="n">
        <v>-0.3844234165060799</v>
      </c>
      <c r="H30" s="7">
        <f>IF(C30&lt;&gt;0,(F30-C30)/ABS(C30),0)</f>
        <v/>
      </c>
    </row>
    <row r="31" ht="5" customHeight="1"/>
    <row r="32" ht="14" customHeight="1">
      <c r="A32" s="28" t="inlineStr">
        <is>
          <t>Premises &amp; Admin</t>
        </is>
      </c>
    </row>
    <row r="33" ht="14" customHeight="1">
      <c r="A33" s="26" t="inlineStr">
        <is>
          <t xml:space="preserve">    Rent</t>
        </is>
      </c>
      <c r="B33" s="27" t="n">
        <v>130776</v>
      </c>
      <c r="C33" s="27" t="n">
        <v>55750.82</v>
      </c>
      <c r="D33" s="27">
        <f>'ABA'!D33+'BK'!D33+'BW'!D33+'CED'!D33+'HAB'!D33+'HB'!D33+'OD'!D33+'HDN'!D33+'KIN'!D33+'LE'!D33+'MER'!D33+'NDN'!D33+'SALT'!D33+'SDN'!D33+'SST'!D33+'WH'!D33+'FH'!D33</f>
        <v/>
      </c>
      <c r="E33" s="6">
        <f>'ABA'!D33+'BK'!D33+'BW'!D33+'CED'!D33+'HAB'!D33+'HB'!D33+'OD'!D33+'HDN'!D33+'KIN'!D33+'LE'!D33+'MER'!D33+'NDN'!D33+'SALT'!D33+'SDN'!D33+'SST'!D33+'WH'!D33+'FH'!D33</f>
        <v/>
      </c>
      <c r="F33" s="27">
        <f>D33+E33</f>
        <v/>
      </c>
      <c r="G33" s="7" t="n">
        <v>-0.5736922676943781</v>
      </c>
      <c r="H33" s="7">
        <f>IF(C33&lt;&gt;0,(F33-C33)/ABS(C33),0)</f>
        <v/>
      </c>
    </row>
    <row r="34" ht="14" customHeight="1">
      <c r="A34" s="26" t="inlineStr">
        <is>
          <t xml:space="preserve">    Business Rates</t>
        </is>
      </c>
      <c r="B34" s="27" t="n">
        <v>293311.26</v>
      </c>
      <c r="C34" s="27" t="n">
        <v>124560.025</v>
      </c>
      <c r="D34" s="27">
        <f>'ABA'!D34+'BK'!D34+'BW'!D34+'CED'!D34+'HAB'!D34+'HB'!D34+'OD'!D34+'HDN'!D34+'KIN'!D34+'LE'!D34+'MER'!D34+'NDN'!D34+'SALT'!D34+'SDN'!D34+'SST'!D34+'WH'!D34+'FH'!D34</f>
        <v/>
      </c>
      <c r="E34" s="6">
        <f>'ABA'!D34+'BK'!D34+'BW'!D34+'CED'!D34+'HAB'!D34+'HB'!D34+'OD'!D34+'HDN'!D34+'KIN'!D34+'LE'!D34+'MER'!D34+'NDN'!D34+'SALT'!D34+'SDN'!D34+'SST'!D34+'WH'!D34+'FH'!D34</f>
        <v/>
      </c>
      <c r="F34" s="27">
        <f>D34+E34</f>
        <v/>
      </c>
      <c r="G34" s="7" t="n">
        <v>-0.5753315948388752</v>
      </c>
      <c r="H34" s="7">
        <f>IF(C34&lt;&gt;0,(F34-C34)/ABS(C34),0)</f>
        <v/>
      </c>
    </row>
    <row r="35" ht="14" customHeight="1">
      <c r="A35" s="26" t="inlineStr">
        <is>
          <t xml:space="preserve">    Utilities</t>
        </is>
      </c>
      <c r="B35" s="27" t="n">
        <v>222095.65</v>
      </c>
      <c r="C35" s="27" t="n">
        <v>156319.55</v>
      </c>
      <c r="D35" s="27">
        <f>'ABA'!D35+'BK'!D35+'BW'!D35+'CED'!D35+'HAB'!D35+'HB'!D35+'OD'!D35+'HDN'!D35+'KIN'!D35+'LE'!D35+'MER'!D35+'NDN'!D35+'SALT'!D35+'SDN'!D35+'SST'!D35+'WH'!D35+'FH'!D35</f>
        <v/>
      </c>
      <c r="E35" s="6">
        <f>'ABA'!D35+'BK'!D35+'BW'!D35+'CED'!D35+'HAB'!D35+'HB'!D35+'OD'!D35+'HDN'!D35+'KIN'!D35+'LE'!D35+'MER'!D35+'NDN'!D35+'SALT'!D35+'SDN'!D35+'SST'!D35+'WH'!D35+'FH'!D35</f>
        <v/>
      </c>
      <c r="F35" s="27">
        <f>D35+E35</f>
        <v/>
      </c>
      <c r="G35" s="7" t="n">
        <v>-0.2961611359790253</v>
      </c>
      <c r="H35" s="7">
        <f>IF(C35&lt;&gt;0,(F35-C35)/ABS(C35),0)</f>
        <v/>
      </c>
    </row>
    <row r="36" ht="14" customHeight="1">
      <c r="A36" s="26" t="inlineStr">
        <is>
          <t xml:space="preserve">    Repairs &amp; Maintenance</t>
        </is>
      </c>
      <c r="B36" s="27" t="n">
        <v>95225.48</v>
      </c>
      <c r="C36" s="27" t="n">
        <v>27000</v>
      </c>
      <c r="D36" s="27">
        <f>'ABA'!D36+'BK'!D36+'BW'!D36+'CED'!D36+'HAB'!D36+'HB'!D36+'OD'!D36+'HDN'!D36+'KIN'!D36+'LE'!D36+'MER'!D36+'NDN'!D36+'SALT'!D36+'SDN'!D36+'SST'!D36+'WH'!D36+'FH'!D36</f>
        <v/>
      </c>
      <c r="E36" s="6">
        <f>'ABA'!D36+'BK'!D36+'BW'!D36+'CED'!D36+'HAB'!D36+'HB'!D36+'OD'!D36+'HDN'!D36+'KIN'!D36+'LE'!D36+'MER'!D36+'NDN'!D36+'SALT'!D36+'SDN'!D36+'SST'!D36+'WH'!D36+'FH'!D36</f>
        <v/>
      </c>
      <c r="F36" s="27">
        <f>D36+E36</f>
        <v/>
      </c>
      <c r="G36" s="7" t="n">
        <v>-0.7164624426151488</v>
      </c>
      <c r="H36" s="7">
        <f>IF(C36&lt;&gt;0,(F36-C36)/ABS(C36),0)</f>
        <v/>
      </c>
    </row>
    <row r="37" ht="14" customHeight="1">
      <c r="A37" s="26" t="inlineStr">
        <is>
          <t xml:space="preserve">    Cleaning</t>
        </is>
      </c>
      <c r="B37" s="27" t="n">
        <v>129330.23</v>
      </c>
      <c r="C37" s="27" t="n">
        <v>49885</v>
      </c>
      <c r="D37" s="27">
        <f>'ABA'!D37+'BK'!D37+'BW'!D37+'CED'!D37+'HAB'!D37+'HB'!D37+'OD'!D37+'HDN'!D37+'KIN'!D37+'LE'!D37+'MER'!D37+'NDN'!D37+'SALT'!D37+'SDN'!D37+'SST'!D37+'WH'!D37+'FH'!D37</f>
        <v/>
      </c>
      <c r="E37" s="6">
        <f>'ABA'!D37+'BK'!D37+'BW'!D37+'CED'!D37+'HAB'!D37+'HB'!D37+'OD'!D37+'HDN'!D37+'KIN'!D37+'LE'!D37+'MER'!D37+'NDN'!D37+'SALT'!D37+'SDN'!D37+'SST'!D37+'WH'!D37+'FH'!D37</f>
        <v/>
      </c>
      <c r="F37" s="27">
        <f>D37+E37</f>
        <v/>
      </c>
      <c r="G37" s="7" t="n">
        <v>-0.6142819818692041</v>
      </c>
      <c r="H37" s="7">
        <f>IF(C37&lt;&gt;0,(F37-C37)/ABS(C37),0)</f>
        <v/>
      </c>
    </row>
    <row r="38" ht="14" customHeight="1">
      <c r="A38" s="26" t="inlineStr">
        <is>
          <t xml:space="preserve">    Waste Disposal</t>
        </is>
      </c>
      <c r="B38" s="27" t="n">
        <v>80332.63</v>
      </c>
      <c r="C38" s="27" t="n">
        <v>33490</v>
      </c>
      <c r="D38" s="27">
        <f>'ABA'!D38+'BK'!D38+'BW'!D38+'CED'!D38+'HAB'!D38+'HB'!D38+'OD'!D38+'HDN'!D38+'KIN'!D38+'LE'!D38+'MER'!D38+'NDN'!D38+'SALT'!D38+'SDN'!D38+'SST'!D38+'WH'!D38+'FH'!D38</f>
        <v/>
      </c>
      <c r="E38" s="6">
        <f>'ABA'!D38+'BK'!D38+'BW'!D38+'CED'!D38+'HAB'!D38+'HB'!D38+'OD'!D38+'HDN'!D38+'KIN'!D38+'LE'!D38+'MER'!D38+'NDN'!D38+'SALT'!D38+'SDN'!D38+'SST'!D38+'WH'!D38+'FH'!D38</f>
        <v/>
      </c>
      <c r="F38" s="27">
        <f>D38+E38</f>
        <v/>
      </c>
      <c r="G38" s="7" t="n">
        <v>-0.5831083832310732</v>
      </c>
      <c r="H38" s="7">
        <f>IF(C38&lt;&gt;0,(F38-C38)/ABS(C38),0)</f>
        <v/>
      </c>
    </row>
    <row r="39" ht="14" customHeight="1">
      <c r="A39" s="26" t="inlineStr">
        <is>
          <t xml:space="preserve">    Postage/Printing/Stationery</t>
        </is>
      </c>
      <c r="B39" s="27" t="n">
        <v>20424.71</v>
      </c>
      <c r="C39" s="27" t="n">
        <v>1280</v>
      </c>
      <c r="D39" s="27">
        <f>'ABA'!D39+'BK'!D39+'BW'!D39+'CED'!D39+'HAB'!D39+'HB'!D39+'OD'!D39+'HDN'!D39+'KIN'!D39+'LE'!D39+'MER'!D39+'NDN'!D39+'SALT'!D39+'SDN'!D39+'SST'!D39+'WH'!D39+'FH'!D39</f>
        <v/>
      </c>
      <c r="E39" s="6">
        <f>'ABA'!D39+'BK'!D39+'BW'!D39+'CED'!D39+'HAB'!D39+'HB'!D39+'OD'!D39+'HDN'!D39+'KIN'!D39+'LE'!D39+'MER'!D39+'NDN'!D39+'SALT'!D39+'SDN'!D39+'SST'!D39+'WH'!D39+'FH'!D39</f>
        <v/>
      </c>
      <c r="F39" s="27">
        <f>D39+E39</f>
        <v/>
      </c>
      <c r="G39" s="7" t="n">
        <v>-0.9373308115513023</v>
      </c>
      <c r="H39" s="7">
        <f>IF(C39&lt;&gt;0,(F39-C39)/ABS(C39),0)</f>
        <v/>
      </c>
    </row>
    <row r="40" ht="14" customHeight="1">
      <c r="A40" s="26" t="inlineStr">
        <is>
          <t xml:space="preserve">    Telephone</t>
        </is>
      </c>
      <c r="B40" s="27" t="n">
        <v>3418.599999999999</v>
      </c>
      <c r="C40" s="27" t="n">
        <v>815</v>
      </c>
      <c r="D40" s="27">
        <f>'ABA'!D40+'BK'!D40+'BW'!D40+'CED'!D40+'HAB'!D40+'HB'!D40+'OD'!D40+'HDN'!D40+'KIN'!D40+'LE'!D40+'MER'!D40+'NDN'!D40+'SALT'!D40+'SDN'!D40+'SST'!D40+'WH'!D40+'FH'!D40</f>
        <v/>
      </c>
      <c r="E40" s="6">
        <f>'ABA'!D40+'BK'!D40+'BW'!D40+'CED'!D40+'HAB'!D40+'HB'!D40+'OD'!D40+'HDN'!D40+'KIN'!D40+'LE'!D40+'MER'!D40+'NDN'!D40+'SALT'!D40+'SDN'!D40+'SST'!D40+'WH'!D40+'FH'!D40</f>
        <v/>
      </c>
      <c r="F40" s="27">
        <f>D40+E40</f>
        <v/>
      </c>
      <c r="G40" s="7" t="n">
        <v>-0.7615983150997484</v>
      </c>
      <c r="H40" s="7">
        <f>IF(C40&lt;&gt;0,(F40-C40)/ABS(C40),0)</f>
        <v/>
      </c>
    </row>
    <row r="41" ht="14" customHeight="1">
      <c r="A41" s="26" t="inlineStr">
        <is>
          <t xml:space="preserve">    Marketing</t>
        </is>
      </c>
      <c r="B41" s="27" t="n">
        <v>5762.73</v>
      </c>
      <c r="C41" s="27" t="n">
        <v>8220</v>
      </c>
      <c r="D41" s="27">
        <f>'ABA'!D41+'BK'!D41+'BW'!D41+'CED'!D41+'HAB'!D41+'HB'!D41+'OD'!D41+'HDN'!D41+'KIN'!D41+'LE'!D41+'MER'!D41+'NDN'!D41+'SALT'!D41+'SDN'!D41+'SST'!D41+'WH'!D41+'FH'!D41</f>
        <v/>
      </c>
      <c r="E41" s="6">
        <f>'ABA'!D41+'BK'!D41+'BW'!D41+'CED'!D41+'HAB'!D41+'HB'!D41+'OD'!D41+'HDN'!D41+'KIN'!D41+'LE'!D41+'MER'!D41+'NDN'!D41+'SALT'!D41+'SDN'!D41+'SST'!D41+'WH'!D41+'FH'!D41</f>
        <v/>
      </c>
      <c r="F41" s="27">
        <f>D41+E41</f>
        <v/>
      </c>
      <c r="G41" s="7" t="n">
        <v>0.4264072757182792</v>
      </c>
      <c r="H41" s="7">
        <f>IF(C41&lt;&gt;0,(F41-C41)/ABS(C41),0)</f>
        <v/>
      </c>
    </row>
    <row r="42" ht="14" customHeight="1">
      <c r="A42" s="28" t="inlineStr">
        <is>
          <t>Total Premises &amp; Admin</t>
        </is>
      </c>
      <c r="B42" s="29" t="n">
        <v>980677.29</v>
      </c>
      <c r="C42" s="29" t="n">
        <v>913717.775</v>
      </c>
      <c r="D42" s="29">
        <f>'ABA'!D42+'BK'!D42+'BW'!D42+'CED'!D42+'HAB'!D42+'HB'!D42+'OD'!D42+'HDN'!D42+'KIN'!D42+'LE'!D42+'MER'!D42+'NDN'!D42+'SALT'!D42+'SDN'!D42+'SST'!D42+'WH'!D42+'FH'!D42</f>
        <v/>
      </c>
      <c r="E42" s="11">
        <f>'ABA'!D42+'BK'!D42+'BW'!D42+'CED'!D42+'HAB'!D42+'HB'!D42+'OD'!D42+'HDN'!D42+'KIN'!D42+'LE'!D42+'MER'!D42+'NDN'!D42+'SALT'!D42+'SDN'!D42+'SST'!D42+'WH'!D42+'FH'!D42</f>
        <v/>
      </c>
      <c r="F42" s="29">
        <f>D42+E42</f>
        <v/>
      </c>
      <c r="G42" s="7" t="n">
        <v>-0.06827884736680301</v>
      </c>
      <c r="H42" s="7">
        <f>IF(C42&lt;&gt;0,(F42-C42)/ABS(C42),0)</f>
        <v/>
      </c>
    </row>
    <row r="43" ht="5" customHeight="1"/>
    <row r="44" ht="14" customHeight="1">
      <c r="A44" s="30" t="inlineStr">
        <is>
          <t>Total Direct Costs</t>
        </is>
      </c>
      <c r="B44" s="31" t="n">
        <v>7309323.99</v>
      </c>
      <c r="C44" s="31" t="n">
        <v>7739456.865</v>
      </c>
      <c r="D44" s="31">
        <f>'ABA'!D44+'BK'!D44+'BW'!D44+'CED'!D44+'HAB'!D44+'HB'!D44+'OD'!D44+'HDN'!D44+'KIN'!D44+'LE'!D44+'MER'!D44+'NDN'!D44+'SALT'!D44+'SDN'!D44+'SST'!D44+'WH'!D44+'FH'!D44</f>
        <v/>
      </c>
      <c r="E44" s="11">
        <f>'ABA'!D44+'BK'!D44+'BW'!D44+'CED'!D44+'HAB'!D44+'HB'!D44+'OD'!D44+'HDN'!D44+'KIN'!D44+'LE'!D44+'MER'!D44+'NDN'!D44+'SALT'!D44+'SDN'!D44+'SST'!D44+'WH'!D44+'FH'!D44</f>
        <v/>
      </c>
      <c r="F44" s="31">
        <f>D44+E44</f>
        <v/>
      </c>
      <c r="G44" s="7" t="n">
        <v>0.05884714859930569</v>
      </c>
      <c r="H44" s="7">
        <f>IF(C44&lt;&gt;0,(F44-C44)/ABS(C44),0)</f>
        <v/>
      </c>
    </row>
    <row r="45" ht="5" customHeight="1"/>
    <row r="46" ht="14" customHeight="1">
      <c r="A46" s="32" t="inlineStr">
        <is>
          <t>CONTRIBUTION</t>
        </is>
      </c>
      <c r="B46" s="33" t="n">
        <v>4061101.95</v>
      </c>
      <c r="C46" s="33" t="n">
        <v>3472608.055</v>
      </c>
      <c r="D46" s="33">
        <f>'ABA'!D46+'BK'!D46+'BW'!D46+'CED'!D46+'HAB'!D46+'HB'!D46+'OD'!D46+'HDN'!D46+'KIN'!D46+'LE'!D46+'MER'!D46+'NDN'!D46+'SALT'!D46+'SDN'!D46+'SST'!D46+'WH'!D46+'FH'!D46</f>
        <v/>
      </c>
      <c r="E46" s="11">
        <f>'ABA'!D46+'BK'!D46+'BW'!D46+'CED'!D46+'HAB'!D46+'HB'!D46+'OD'!D46+'HDN'!D46+'KIN'!D46+'LE'!D46+'MER'!D46+'NDN'!D46+'SALT'!D46+'SDN'!D46+'SST'!D46+'WH'!D46+'FH'!D46</f>
        <v/>
      </c>
      <c r="F46" s="33">
        <f>D46+E46</f>
        <v/>
      </c>
      <c r="G46" s="7" t="n">
        <v>-0.1449099043179646</v>
      </c>
      <c r="H46" s="7">
        <f>IF(C46&lt;&gt;0,(F46-C46)/ABS(C46),0)</f>
        <v/>
      </c>
    </row>
    <row r="47" ht="5" customHeight="1"/>
    <row r="48" ht="14" customHeight="1">
      <c r="A48" s="30" t="inlineStr">
        <is>
          <t>OVERHEADS</t>
        </is>
      </c>
    </row>
    <row r="49" ht="14" customHeight="1">
      <c r="A49" s="34" t="inlineStr">
        <is>
          <t xml:space="preserve">    HO Salaries</t>
        </is>
      </c>
      <c r="B49" s="8" t="n">
        <v>0</v>
      </c>
      <c r="C49" s="8" t="n">
        <v>0</v>
      </c>
      <c r="D49" s="8">
        <f>'ABA'!D49+'BK'!D49+'BW'!D49+'CED'!D49+'HAB'!D49+'HB'!D49+'OD'!D49+'HDN'!D49+'KIN'!D49+'LE'!D49+'MER'!D49+'NDN'!D49+'SALT'!D49+'SDN'!D49+'SST'!D49+'WH'!D49+'FH'!D49</f>
        <v/>
      </c>
      <c r="E49" s="6">
        <f>'ABA'!D49+'BK'!D49+'BW'!D49+'CED'!D49+'HAB'!D49+'HB'!D49+'OD'!D49+'HDN'!D49+'KIN'!D49+'LE'!D49+'MER'!D49+'NDN'!D49+'SALT'!D49+'SDN'!D49+'SST'!D49+'WH'!D49+'FH'!D49</f>
        <v/>
      </c>
      <c r="F49" s="8">
        <f>D49+E49</f>
        <v/>
      </c>
      <c r="G49" s="8" t="n"/>
    </row>
    <row r="50" ht="14" customHeight="1">
      <c r="A50" s="34" t="inlineStr">
        <is>
          <t xml:space="preserve">    HO NI</t>
        </is>
      </c>
      <c r="B50" s="8" t="n">
        <v>0</v>
      </c>
      <c r="C50" s="8" t="n">
        <v>0</v>
      </c>
      <c r="D50" s="8">
        <f>'ABA'!D50+'BK'!D50+'BW'!D50+'CED'!D50+'HAB'!D50+'HB'!D50+'OD'!D50+'HDN'!D50+'KIN'!D50+'LE'!D50+'MER'!D50+'NDN'!D50+'SALT'!D50+'SDN'!D50+'SST'!D50+'WH'!D50+'FH'!D50</f>
        <v/>
      </c>
      <c r="E50" s="6">
        <f>'ABA'!D50+'BK'!D50+'BW'!D50+'CED'!D50+'HAB'!D50+'HB'!D50+'OD'!D50+'HDN'!D50+'KIN'!D50+'LE'!D50+'MER'!D50+'NDN'!D50+'SALT'!D50+'SDN'!D50+'SST'!D50+'WH'!D50+'FH'!D50</f>
        <v/>
      </c>
      <c r="F50" s="8">
        <f>D50+E50</f>
        <v/>
      </c>
      <c r="G50" s="8" t="n"/>
    </row>
    <row r="51" ht="14" customHeight="1">
      <c r="A51" s="34" t="inlineStr">
        <is>
          <t xml:space="preserve">    IT Support</t>
        </is>
      </c>
      <c r="B51" s="8" t="n">
        <v>41177.93</v>
      </c>
      <c r="C51" s="8" t="n">
        <v>17199</v>
      </c>
      <c r="D51" s="8">
        <f>'ABA'!D51+'BK'!D51+'BW'!D51+'CED'!D51+'HAB'!D51+'HB'!D51+'OD'!D51+'HDN'!D51+'KIN'!D51+'LE'!D51+'MER'!D51+'NDN'!D51+'SALT'!D51+'SDN'!D51+'SST'!D51+'WH'!D51+'FH'!D51</f>
        <v/>
      </c>
      <c r="E51" s="6">
        <f>'ABA'!D51+'BK'!D51+'BW'!D51+'CED'!D51+'HAB'!D51+'HB'!D51+'OD'!D51+'HDN'!D51+'KIN'!D51+'LE'!D51+'MER'!D51+'NDN'!D51+'SALT'!D51+'SDN'!D51+'SST'!D51+'WH'!D51+'FH'!D51</f>
        <v/>
      </c>
      <c r="F51" s="8">
        <f>D51+E51</f>
        <v/>
      </c>
      <c r="G51" s="7" t="n">
        <v>-0.5823248036023181</v>
      </c>
      <c r="H51" s="7">
        <f>IF(C51&lt;&gt;0,(F51-C51)/ABS(C51),0)</f>
        <v/>
      </c>
    </row>
    <row r="52" ht="14" customHeight="1">
      <c r="A52" s="34" t="inlineStr">
        <is>
          <t xml:space="preserve">    Fees &amp; Subscriptions</t>
        </is>
      </c>
      <c r="B52" s="8" t="n">
        <v>6330.349999999999</v>
      </c>
      <c r="C52" s="8" t="n">
        <v>68</v>
      </c>
      <c r="D52" s="8">
        <f>'ABA'!D52+'BK'!D52+'BW'!D52+'CED'!D52+'HAB'!D52+'HB'!D52+'OD'!D52+'HDN'!D52+'KIN'!D52+'LE'!D52+'MER'!D52+'NDN'!D52+'SALT'!D52+'SDN'!D52+'SST'!D52+'WH'!D52+'FH'!D52</f>
        <v/>
      </c>
      <c r="E52" s="6">
        <f>'ABA'!D52+'BK'!D52+'BW'!D52+'CED'!D52+'HAB'!D52+'HB'!D52+'OD'!D52+'HDN'!D52+'KIN'!D52+'LE'!D52+'MER'!D52+'NDN'!D52+'SALT'!D52+'SDN'!D52+'SST'!D52+'WH'!D52+'FH'!D52</f>
        <v/>
      </c>
      <c r="F52" s="8">
        <f>D52+E52</f>
        <v/>
      </c>
      <c r="G52" s="7" t="n">
        <v>-0.9892580978934814</v>
      </c>
      <c r="H52" s="7">
        <f>IF(C52&lt;&gt;0,(F52-C52)/ABS(C52),0)</f>
        <v/>
      </c>
    </row>
    <row r="53" ht="14" customHeight="1">
      <c r="A53" s="34" t="inlineStr">
        <is>
          <t xml:space="preserve">    Audit</t>
        </is>
      </c>
      <c r="B53" s="8" t="n">
        <v>0</v>
      </c>
      <c r="C53" s="8" t="n">
        <v>0</v>
      </c>
      <c r="D53" s="8">
        <f>'ABA'!D53+'BK'!D53+'BW'!D53+'CED'!D53+'HAB'!D53+'HB'!D53+'OD'!D53+'HDN'!D53+'KIN'!D53+'LE'!D53+'MER'!D53+'NDN'!D53+'SALT'!D53+'SDN'!D53+'SST'!D53+'WH'!D53+'FH'!D53</f>
        <v/>
      </c>
      <c r="E53" s="6">
        <f>'ABA'!D53+'BK'!D53+'BW'!D53+'CED'!D53+'HAB'!D53+'HB'!D53+'OD'!D53+'HDN'!D53+'KIN'!D53+'LE'!D53+'MER'!D53+'NDN'!D53+'SALT'!D53+'SDN'!D53+'SST'!D53+'WH'!D53+'FH'!D53</f>
        <v/>
      </c>
      <c r="F53" s="8">
        <f>D53+E53</f>
        <v/>
      </c>
      <c r="G53" s="8" t="n"/>
    </row>
    <row r="54" ht="14" customHeight="1">
      <c r="A54" s="34" t="inlineStr">
        <is>
          <t xml:space="preserve">    Professional Fees</t>
        </is>
      </c>
      <c r="B54" s="8" t="n">
        <v>7315.900000000001</v>
      </c>
      <c r="C54" s="8" t="n">
        <v>0</v>
      </c>
      <c r="D54" s="8">
        <f>'ABA'!D54+'BK'!D54+'BW'!D54+'CED'!D54+'HAB'!D54+'HB'!D54+'OD'!D54+'HDN'!D54+'KIN'!D54+'LE'!D54+'MER'!D54+'NDN'!D54+'SALT'!D54+'SDN'!D54+'SST'!D54+'WH'!D54+'FH'!D54</f>
        <v/>
      </c>
      <c r="E54" s="6">
        <f>'ABA'!D54+'BK'!D54+'BW'!D54+'CED'!D54+'HAB'!D54+'HB'!D54+'OD'!D54+'HDN'!D54+'KIN'!D54+'LE'!D54+'MER'!D54+'NDN'!D54+'SALT'!D54+'SDN'!D54+'SST'!D54+'WH'!D54+'FH'!D54</f>
        <v/>
      </c>
      <c r="F54" s="8">
        <f>D54+E54</f>
        <v/>
      </c>
      <c r="G54" s="7" t="n">
        <v>-1</v>
      </c>
    </row>
    <row r="55" ht="14" customHeight="1">
      <c r="A55" s="34" t="inlineStr">
        <is>
          <t xml:space="preserve">    Finance Costs</t>
        </is>
      </c>
      <c r="B55" s="8" t="n">
        <v>184.23</v>
      </c>
      <c r="C55" s="8" t="n">
        <v>0</v>
      </c>
      <c r="D55" s="8">
        <f>'ABA'!D55+'BK'!D55+'BW'!D55+'CED'!D55+'HAB'!D55+'HB'!D55+'OD'!D55+'HDN'!D55+'KIN'!D55+'LE'!D55+'MER'!D55+'NDN'!D55+'SALT'!D55+'SDN'!D55+'SST'!D55+'WH'!D55+'FH'!D55</f>
        <v/>
      </c>
      <c r="E55" s="6">
        <f>'ABA'!D55+'BK'!D55+'BW'!D55+'CED'!D55+'HAB'!D55+'HB'!D55+'OD'!D55+'HDN'!D55+'KIN'!D55+'LE'!D55+'MER'!D55+'NDN'!D55+'SALT'!D55+'SDN'!D55+'SST'!D55+'WH'!D55+'FH'!D55</f>
        <v/>
      </c>
      <c r="F55" s="8">
        <f>D55+E55</f>
        <v/>
      </c>
      <c r="G55" s="7" t="n">
        <v>-1</v>
      </c>
    </row>
    <row r="56" ht="14" customHeight="1">
      <c r="A56" s="30" t="inlineStr">
        <is>
          <t>Total Overheads</t>
        </is>
      </c>
      <c r="B56" s="31" t="n">
        <v>-2242309.81</v>
      </c>
      <c r="C56" s="31" t="n">
        <v>3776867.564642857</v>
      </c>
      <c r="D56" s="31">
        <f>'ABA'!D56+'BK'!D56+'BW'!D56+'CED'!D56+'HAB'!D56+'HB'!D56+'OD'!D56+'HDN'!D56+'KIN'!D56+'LE'!D56+'MER'!D56+'NDN'!D56+'SALT'!D56+'SDN'!D56+'SST'!D56+'WH'!D56+'FH'!D56</f>
        <v/>
      </c>
      <c r="E56" s="11">
        <f>'ABA'!D56+'BK'!D56+'BW'!D56+'CED'!D56+'HAB'!D56+'HB'!D56+'OD'!D56+'HDN'!D56+'KIN'!D56+'LE'!D56+'MER'!D56+'NDN'!D56+'SALT'!D56+'SDN'!D56+'SST'!D56+'WH'!D56+'FH'!D56</f>
        <v/>
      </c>
      <c r="F56" s="31">
        <f>D56+E56</f>
        <v/>
      </c>
      <c r="G56" s="7" t="n">
        <v>2.684364733097635</v>
      </c>
      <c r="H56" s="7">
        <f>IF(C56&lt;&gt;0,(F56-C56)/ABS(C56),0)</f>
        <v/>
      </c>
    </row>
    <row r="57" ht="5" customHeight="1"/>
    <row r="58" ht="14" customHeight="1">
      <c r="A58" s="35" t="inlineStr">
        <is>
          <t>EBITDA</t>
        </is>
      </c>
      <c r="B58" s="36" t="n">
        <v>1818792.14</v>
      </c>
      <c r="C58" s="36" t="n">
        <v>7249475.619642857</v>
      </c>
      <c r="D58" s="36">
        <f>'ABA'!D58+'BK'!D58+'BW'!D58+'CED'!D58+'HAB'!D58+'HB'!D58+'OD'!D58+'HDN'!D58+'KIN'!D58+'LE'!D58+'MER'!D58+'NDN'!D58+'SALT'!D58+'SDN'!D58+'SST'!D58+'WH'!D58+'FH'!D58</f>
        <v/>
      </c>
      <c r="E58" s="11">
        <f>'ABA'!D58+'BK'!D58+'BW'!D58+'CED'!D58+'HAB'!D58+'HB'!D58+'OD'!D58+'HDN'!D58+'KIN'!D58+'LE'!D58+'MER'!D58+'NDN'!D58+'SALT'!D58+'SDN'!D58+'SST'!D58+'WH'!D58+'FH'!D58</f>
        <v/>
      </c>
      <c r="F58" s="36">
        <f>D58+E58</f>
        <v/>
      </c>
      <c r="G58" s="7" t="n">
        <v>2.985873624702852</v>
      </c>
      <c r="H58" s="7">
        <f>IF(C58&lt;&gt;0,(F58-C58)/ABS(C58),0)</f>
        <v/>
      </c>
    </row>
    <row r="59" ht="15" customHeight="1">
      <c r="A59" s="30" t="inlineStr">
        <is>
          <t>HEAD OFFICE OVERHEAD (KNL HO + CCL HO + YBHN HO + YBN HO)</t>
        </is>
      </c>
    </row>
    <row r="60">
      <c r="A60" s="41" t="inlineStr">
        <is>
          <t>HO Overhead — Total</t>
        </is>
      </c>
      <c r="B60" s="42" t="n">
        <v>-2328349.7</v>
      </c>
      <c r="C60" s="42" t="n">
        <v>-2211585.425357143</v>
      </c>
      <c r="D60" s="42" t="n">
        <v>-1164174.85</v>
      </c>
      <c r="E60" s="11" t="n">
        <v>-1164174.85</v>
      </c>
      <c r="F60" s="42">
        <f>D60+E60</f>
        <v/>
      </c>
    </row>
  </sheetData>
  <mergeCells count="8">
    <mergeCell ref="A9:H9"/>
    <mergeCell ref="A48:H48"/>
    <mergeCell ref="A3:H3"/>
    <mergeCell ref="A59:H59"/>
    <mergeCell ref="A10:H10"/>
    <mergeCell ref="A1:H1"/>
    <mergeCell ref="A23:H23"/>
    <mergeCell ref="A32:H3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30" customWidth="1" min="7" max="7"/>
  </cols>
  <sheetData>
    <row r="1" ht="18" customHeight="1">
      <c r="A1" s="1" t="inlineStr">
        <is>
          <t>Complete Childcare Group — 2027 Plan: What Each Setting Must Deliver for £1.3m Group EBITDA</t>
        </is>
      </c>
    </row>
    <row r="2" ht="28" customHeight="1">
      <c r="A2" s="2" t="inlineStr">
        <is>
          <t>P&amp;L Line</t>
        </is>
      </c>
      <c r="B2" s="2" t="inlineStr">
        <is>
          <t>2025
Full Year
Actual</t>
        </is>
      </c>
      <c r="C2" s="2" t="inlineStr">
        <is>
          <t>2026
Full Year
Actual/Fcst</t>
        </is>
      </c>
      <c r="D2" s="37" t="inlineStr">
        <is>
          <t>2027 Plan
(Target)</t>
        </is>
      </c>
      <c r="E2" s="2" t="inlineStr">
        <is>
          <t>vs 2025</t>
        </is>
      </c>
      <c r="F2" s="2" t="inlineStr">
        <is>
          <t>vs 2026</t>
        </is>
      </c>
      <c r="G2" s="2" t="inlineStr">
        <is>
          <t>Commentary</t>
        </is>
      </c>
    </row>
    <row r="3" ht="14" customHeight="1">
      <c r="A3" s="9" t="inlineStr">
        <is>
          <t>INCOME</t>
        </is>
      </c>
    </row>
    <row r="4" ht="14" customHeight="1">
      <c r="A4" s="43" t="inlineStr">
        <is>
          <t>Total Revenue</t>
        </is>
      </c>
      <c r="B4" s="44" t="n">
        <v>11370425.94</v>
      </c>
      <c r="C4" s="44" t="n">
        <v>11212064.92</v>
      </c>
      <c r="D4" s="45" t="n">
        <v>26612555.64431185</v>
      </c>
      <c r="E4" s="46" t="n">
        <v>1.340506484518895</v>
      </c>
      <c r="F4" s="46" t="n">
        <v>1.373564177000132</v>
      </c>
      <c r="G4" s="47" t="inlineStr">
        <is>
          <t>Required to deliver £1.3m EBITDA at 55% sal:rev</t>
        </is>
      </c>
    </row>
    <row r="5" ht="14" customHeight="1">
      <c r="A5" s="48" t="inlineStr">
        <is>
          <t xml:space="preserve">      Revenue per setting avg</t>
        </is>
      </c>
      <c r="B5" s="49" t="n">
        <v>668848.5847058824</v>
      </c>
      <c r="C5" s="49" t="n">
        <v>659533.2305882353</v>
      </c>
      <c r="D5" s="50" t="n">
        <v>1565444.449665403</v>
      </c>
      <c r="E5" s="46" t="n">
        <v>1.340506484518895</v>
      </c>
      <c r="F5" s="46" t="n">
        <v>1.373564177000132</v>
      </c>
      <c r="G5" s="47" t="inlineStr">
        <is>
          <t>17 settings — average</t>
        </is>
      </c>
    </row>
    <row r="7" ht="14" customHeight="1">
      <c r="A7" s="16" t="inlineStr">
        <is>
          <t>PERSONNEL</t>
        </is>
      </c>
    </row>
    <row r="8" ht="14" customHeight="1">
      <c r="A8" s="51" t="inlineStr">
        <is>
          <t xml:space="preserve">    Nursery Salaries</t>
        </is>
      </c>
      <c r="B8" s="52" t="n">
        <v>5186817.47</v>
      </c>
      <c r="C8" s="52" t="n">
        <v>5768597.68</v>
      </c>
      <c r="D8" s="50" t="n">
        <v>12880476.93184694</v>
      </c>
      <c r="E8" s="46" t="n">
        <v>1.483310239148812</v>
      </c>
      <c r="F8" s="46" t="n">
        <v>1.232861025566778</v>
      </c>
      <c r="G8" s="47" t="inlineStr">
        <is>
          <t>88% of total personnel (excl NI/pension/other)</t>
        </is>
      </c>
    </row>
    <row r="9" ht="14" customHeight="1">
      <c r="A9" s="51" t="inlineStr">
        <is>
          <t xml:space="preserve">    Nursery NI</t>
        </is>
      </c>
      <c r="B9" s="52" t="n">
        <v>516295.38</v>
      </c>
      <c r="C9" s="52" t="n">
        <v>604342.26</v>
      </c>
      <c r="D9" s="50" t="n">
        <v>1288047.693184694</v>
      </c>
      <c r="E9" s="46" t="n">
        <v>1.494788338382369</v>
      </c>
      <c r="F9" s="46" t="n">
        <v>1.131321567988136</v>
      </c>
      <c r="G9" s="47" t="inlineStr">
        <is>
          <t>NI at 15% rate (post Apr 2025 increase)</t>
        </is>
      </c>
    </row>
    <row r="10" ht="14" customHeight="1">
      <c r="A10" s="53" t="inlineStr">
        <is>
          <t>Total Personnel</t>
        </is>
      </c>
      <c r="B10" s="54" t="n">
        <v>5889471.19</v>
      </c>
      <c r="C10" s="54" t="n">
        <v>6555392.93</v>
      </c>
      <c r="D10" s="45" t="n">
        <v>14636905.60437152</v>
      </c>
      <c r="E10" s="46" t="n">
        <v>1.485266526003927</v>
      </c>
      <c r="F10" s="46" t="n">
        <v>1.232803702336043</v>
      </c>
      <c r="G10" s="47" t="inlineStr">
        <is>
          <t>Target: 55% of revenue</t>
        </is>
      </c>
    </row>
    <row r="11" ht="14" customHeight="1">
      <c r="A11" s="51" t="inlineStr">
        <is>
          <t>Sal:Rev</t>
        </is>
      </c>
      <c r="B11" s="55" t="n">
        <v>0.5179639901862815</v>
      </c>
      <c r="C11" s="55" t="n">
        <v>0.5846731156815314</v>
      </c>
      <c r="D11" s="56" t="n">
        <v>0.55</v>
      </c>
      <c r="E11" s="46" t="n">
        <v>0.06184987840988151</v>
      </c>
      <c r="F11" s="46" t="n">
        <v>-0.05930342058077045</v>
      </c>
      <c r="G11" s="47" t="inlineStr">
        <is>
          <t>Target sal:rev 55%</t>
        </is>
      </c>
    </row>
    <row r="13" ht="14" customHeight="1">
      <c r="A13" s="23" t="inlineStr">
        <is>
          <t>CHILDCARE COSTS</t>
        </is>
      </c>
    </row>
    <row r="14" ht="14" customHeight="1">
      <c r="A14" s="57" t="inlineStr">
        <is>
          <t>Total Childcare</t>
        </is>
      </c>
      <c r="B14" s="58" t="n">
        <v>439175.51</v>
      </c>
      <c r="C14" s="58" t="n">
        <v>270346.16</v>
      </c>
      <c r="D14" s="45" t="n">
        <v>283863.468</v>
      </c>
      <c r="E14" s="46" t="n">
        <v>-0.3536445873313838</v>
      </c>
      <c r="F14" s="46" t="n">
        <v>0.05000000000000007</v>
      </c>
      <c r="G14" s="47" t="inlineStr">
        <is>
          <t>Catering +5% (food inflation), consumables per child</t>
        </is>
      </c>
    </row>
    <row r="16" ht="14" customHeight="1">
      <c r="A16" s="28" t="inlineStr">
        <is>
          <t>PREMISES &amp; ADMIN</t>
        </is>
      </c>
    </row>
    <row r="17" ht="14" customHeight="1">
      <c r="A17" s="59" t="inlineStr">
        <is>
          <t xml:space="preserve">    Utilities</t>
        </is>
      </c>
      <c r="B17" s="60" t="n">
        <v>222095.65</v>
      </c>
      <c r="C17" s="60" t="n">
        <v>156319.55</v>
      </c>
      <c r="D17" s="50" t="n">
        <v>168825.114</v>
      </c>
      <c r="E17" s="46" t="n">
        <v>-0.2398540268573472</v>
      </c>
      <c r="F17" s="46" t="n">
        <v>0.08000000000000008</v>
      </c>
      <c r="G17" s="47" t="inlineStr">
        <is>
          <t>+8% energy price increase (Ofgem Oct 2026 uplift)</t>
        </is>
      </c>
    </row>
    <row r="18" ht="14" customHeight="1">
      <c r="A18" s="61" t="inlineStr">
        <is>
          <t>Total Premises</t>
        </is>
      </c>
      <c r="B18" s="62" t="n">
        <v>980677.29</v>
      </c>
      <c r="C18" s="62" t="n">
        <v>913717.775</v>
      </c>
      <c r="D18" s="45" t="n">
        <v>941129.30825</v>
      </c>
      <c r="E18" s="46" t="n">
        <v>-0.04032721278780712</v>
      </c>
      <c r="F18" s="46" t="n">
        <v>0.02999999999999997</v>
      </c>
      <c r="G18" s="47" t="inlineStr">
        <is>
          <t>+3% general premises inflation</t>
        </is>
      </c>
    </row>
    <row r="20" ht="14" customHeight="1">
      <c r="A20" s="63" t="inlineStr">
        <is>
          <t>CONTRIBUTION</t>
        </is>
      </c>
      <c r="B20" s="45" t="n">
        <v>4061101.95</v>
      </c>
      <c r="C20" s="45" t="n">
        <v>3472608.055</v>
      </c>
      <c r="D20" s="45" t="n">
        <v>3577932.988117857</v>
      </c>
      <c r="E20" s="46" t="n">
        <v>-0.1189748417623799</v>
      </c>
      <c r="F20" s="46" t="n">
        <v>0.03033021044981052</v>
      </c>
      <c r="G20" s="47" t="inlineStr">
        <is>
          <t>Required contribution to deliver £1.3m EBITDA after HO overhead</t>
        </is>
      </c>
    </row>
    <row r="22" ht="14" customHeight="1">
      <c r="A22" s="30" t="inlineStr">
        <is>
          <t>HEAD OFFICE OVERHEAD</t>
        </is>
      </c>
    </row>
    <row r="23" ht="14" customHeight="1">
      <c r="A23" s="64" t="inlineStr">
        <is>
          <t>Total HO Overhead</t>
        </is>
      </c>
      <c r="B23" s="65" t="n">
        <v>-2328349.7</v>
      </c>
      <c r="C23" s="65" t="n">
        <v>-2211585.425357143</v>
      </c>
      <c r="D23" s="45" t="n">
        <v>-2277932.988117857</v>
      </c>
      <c r="E23" s="46" t="n">
        <v>0.02165341051739022</v>
      </c>
      <c r="F23" s="46" t="n">
        <v>-0.03000000000000007</v>
      </c>
      <c r="G23" s="47" t="inlineStr">
        <is>
          <t>2027 estimated at +3% on 2026</t>
        </is>
      </c>
    </row>
    <row r="25" ht="14" customHeight="1">
      <c r="A25" s="66" t="inlineStr">
        <is>
          <t>GROUP EBITDA</t>
        </is>
      </c>
      <c r="B25" s="67" t="n">
        <v>1732752.25</v>
      </c>
      <c r="C25" s="67" t="n">
        <v>1261022.629642857</v>
      </c>
      <c r="D25" s="45" t="n">
        <v>1300000</v>
      </c>
      <c r="E25" s="46" t="n">
        <v>-0.2497484853936851</v>
      </c>
      <c r="F25" s="46" t="n">
        <v>0.03090933456775618</v>
      </c>
      <c r="G25" s="47" t="inlineStr">
        <is>
          <t>£1.3m target — requires £38,977 uplift from 2026</t>
        </is>
      </c>
    </row>
    <row r="27" ht="5" customHeight="1"/>
    <row r="28" ht="15" customHeight="1">
      <c r="A28" s="32" t="inlineStr">
        <is>
          <t>PER-NURSERY CONTRIBUTION TARGETS — to deliver group £1.3m EBITDA</t>
        </is>
      </c>
    </row>
    <row r="29" ht="24" customHeight="1">
      <c r="A29" s="2" t="inlineStr">
        <is>
          <t>Setting</t>
        </is>
      </c>
      <c r="B29" s="2" t="inlineStr">
        <is>
          <t>2025 Contribution</t>
        </is>
      </c>
      <c r="C29" s="2" t="inlineStr">
        <is>
          <t>2026 Contribution</t>
        </is>
      </c>
      <c r="D29" s="2" t="inlineStr">
        <is>
          <t>2027 Target Contribution</t>
        </is>
      </c>
      <c r="E29" s="2" t="inlineStr">
        <is>
          <t>Uplift needed</t>
        </is>
      </c>
      <c r="F29" s="2" t="inlineStr">
        <is>
          <t>Revenue target (55% sal:rev)</t>
        </is>
      </c>
      <c r="G29" s="2" t="inlineStr">
        <is>
          <t>Priority</t>
        </is>
      </c>
    </row>
    <row r="30" ht="13" customHeight="1">
      <c r="A30" s="68" t="inlineStr">
        <is>
          <t>Abacus</t>
        </is>
      </c>
      <c r="B30" s="69" t="n">
        <v>378993.15</v>
      </c>
      <c r="C30" s="69" t="n">
        <v>504496.4800000001</v>
      </c>
      <c r="D30" s="70" t="n">
        <v>299190.6467004271</v>
      </c>
      <c r="E30" s="71" t="n">
        <v>-205305.833299573</v>
      </c>
      <c r="F30" s="72" t="n">
        <v>831085.1297234085</v>
      </c>
      <c r="G30" s="47" t="inlineStr">
        <is>
          <t>MEDIUM</t>
        </is>
      </c>
    </row>
    <row r="31" ht="13" customHeight="1">
      <c r="A31" s="73" t="inlineStr">
        <is>
          <t>Bees Knees</t>
        </is>
      </c>
      <c r="B31" s="74" t="n">
        <v>154295.11</v>
      </c>
      <c r="C31" s="74" t="n">
        <v>82174.03666666662</v>
      </c>
      <c r="D31" s="70" t="n">
        <v>163053.344717083</v>
      </c>
      <c r="E31" s="75" t="n">
        <v>80879.30805041635</v>
      </c>
      <c r="F31" s="76" t="n">
        <v>452925.9575474527</v>
      </c>
      <c r="G31" s="77" t="inlineStr">
        <is>
          <t>HIGH — significant growth needed</t>
        </is>
      </c>
    </row>
    <row r="32" ht="13" customHeight="1">
      <c r="A32" s="68" t="inlineStr">
        <is>
          <t>Bramley Wood</t>
        </is>
      </c>
      <c r="B32" s="69" t="n">
        <v>874126.73</v>
      </c>
      <c r="C32" s="69" t="n">
        <v>841773.23</v>
      </c>
      <c r="D32" s="70" t="n">
        <v>636888.8603777566</v>
      </c>
      <c r="E32" s="71" t="n">
        <v>-204884.3696222433</v>
      </c>
      <c r="F32" s="72" t="n">
        <v>1769135.723271546</v>
      </c>
      <c r="G32" s="47" t="inlineStr">
        <is>
          <t>MEDIUM</t>
        </is>
      </c>
    </row>
    <row r="33" ht="13" customHeight="1">
      <c r="A33" s="73" t="inlineStr">
        <is>
          <t>Cedars</t>
        </is>
      </c>
      <c r="B33" s="74" t="n">
        <v>100955.81</v>
      </c>
      <c r="C33" s="74" t="n">
        <v>23362.85000000003</v>
      </c>
      <c r="D33" s="70" t="n">
        <v>125849.4055883114</v>
      </c>
      <c r="E33" s="75" t="n">
        <v>102486.5555883113</v>
      </c>
      <c r="F33" s="76" t="n">
        <v>349581.6821897538</v>
      </c>
      <c r="G33" s="77" t="inlineStr">
        <is>
          <t>HIGH — significant growth needed</t>
        </is>
      </c>
    </row>
    <row r="34" ht="13" customHeight="1">
      <c r="A34" s="68" t="inlineStr">
        <is>
          <t>Boot Farm</t>
        </is>
      </c>
      <c r="B34" s="69" t="n">
        <v>176582.8899999999</v>
      </c>
      <c r="C34" s="69" t="n">
        <v>205698.14</v>
      </c>
      <c r="D34" s="70" t="n">
        <v>169299.8544400483</v>
      </c>
      <c r="E34" s="71" t="n">
        <v>-36398.28555995168</v>
      </c>
      <c r="F34" s="72" t="n">
        <v>470277.3734445787</v>
      </c>
      <c r="G34" s="47" t="inlineStr">
        <is>
          <t>MEDIUM</t>
        </is>
      </c>
    </row>
    <row r="35" ht="13" customHeight="1">
      <c r="A35" s="68" t="inlineStr">
        <is>
          <t>Hazebrouck</t>
        </is>
      </c>
      <c r="B35" s="69" t="n">
        <v>228855.09</v>
      </c>
      <c r="C35" s="69" t="n">
        <v>220076.84</v>
      </c>
      <c r="D35" s="70" t="n">
        <v>244796.5604468311</v>
      </c>
      <c r="E35" s="78" t="n">
        <v>24719.72044683114</v>
      </c>
      <c r="F35" s="72" t="n">
        <v>679990.445685642</v>
      </c>
      <c r="G35" s="47" t="inlineStr">
        <is>
          <t>MEDIUM</t>
        </is>
      </c>
    </row>
    <row r="36" ht="13" customHeight="1">
      <c r="A36" s="68" t="inlineStr">
        <is>
          <t>Our Den</t>
        </is>
      </c>
      <c r="B36" s="69" t="n">
        <v>-39831.3</v>
      </c>
      <c r="C36" s="69" t="n">
        <v>37212.05</v>
      </c>
      <c r="D36" s="70" t="n">
        <v>5763.62958503397</v>
      </c>
      <c r="E36" s="71" t="n">
        <v>-31448.42041496603</v>
      </c>
      <c r="F36" s="72" t="n">
        <v>16010.08218064992</v>
      </c>
      <c r="G36" s="47" t="inlineStr">
        <is>
          <t>MEDIUM</t>
        </is>
      </c>
    </row>
    <row r="37" ht="13" customHeight="1">
      <c r="A37" s="73" t="inlineStr">
        <is>
          <t>Happitots</t>
        </is>
      </c>
      <c r="B37" s="74" t="n">
        <v>249348.5100000001</v>
      </c>
      <c r="C37" s="74" t="n">
        <v>169972.6</v>
      </c>
      <c r="D37" s="70" t="n">
        <v>241687.8842507576</v>
      </c>
      <c r="E37" s="75" t="n">
        <v>71715.28425075766</v>
      </c>
      <c r="F37" s="76" t="n">
        <v>671355.2340298824</v>
      </c>
      <c r="G37" s="77" t="inlineStr">
        <is>
          <t>HIGH — significant growth needed</t>
        </is>
      </c>
    </row>
    <row r="38" ht="13" customHeight="1">
      <c r="A38" s="68" t="inlineStr">
        <is>
          <t>Kingsclere</t>
        </is>
      </c>
      <c r="B38" s="69" t="n">
        <v>136157.38</v>
      </c>
      <c r="C38" s="69" t="n">
        <v>162542.1199999999</v>
      </c>
      <c r="D38" s="70" t="n">
        <v>124753.1893852879</v>
      </c>
      <c r="E38" s="71" t="n">
        <v>-37788.93061471202</v>
      </c>
      <c r="F38" s="72" t="n">
        <v>346536.6371813553</v>
      </c>
      <c r="G38" s="47" t="inlineStr">
        <is>
          <t>MEDIUM</t>
        </is>
      </c>
    </row>
    <row r="39" ht="13" customHeight="1">
      <c r="A39" s="73" t="inlineStr">
        <is>
          <t>Lower Earley</t>
        </is>
      </c>
      <c r="B39" s="74" t="n">
        <v>115267.62</v>
      </c>
      <c r="C39" s="74" t="n">
        <v>6800.45000000007</v>
      </c>
      <c r="D39" s="70" t="n">
        <v>146170.0009329446</v>
      </c>
      <c r="E39" s="75" t="n">
        <v>139369.5509329446</v>
      </c>
      <c r="F39" s="76" t="n">
        <v>406027.7803692907</v>
      </c>
      <c r="G39" s="77" t="inlineStr">
        <is>
          <t>HIGH — significant growth needed</t>
        </is>
      </c>
    </row>
    <row r="40" ht="13" customHeight="1">
      <c r="A40" s="68" t="inlineStr">
        <is>
          <t>Merrydale</t>
        </is>
      </c>
      <c r="B40" s="69" t="n">
        <v>649858.2200000001</v>
      </c>
      <c r="C40" s="69" t="n">
        <v>450862.8300000001</v>
      </c>
      <c r="D40" s="70" t="n">
        <v>392105.1384707204</v>
      </c>
      <c r="E40" s="71" t="n">
        <v>-58757.69152927969</v>
      </c>
      <c r="F40" s="72" t="n">
        <v>1089180.940196445</v>
      </c>
      <c r="G40" s="47" t="inlineStr">
        <is>
          <t>MEDIUM</t>
        </is>
      </c>
    </row>
    <row r="41" ht="13" customHeight="1">
      <c r="A41" s="79" t="inlineStr">
        <is>
          <t>Northumberland</t>
        </is>
      </c>
      <c r="B41" s="52" t="n">
        <v>35677.81999999995</v>
      </c>
      <c r="C41" s="52" t="n">
        <v>-15609.83000000007</v>
      </c>
      <c r="D41" s="70" t="n">
        <v>101353.1853099321</v>
      </c>
      <c r="E41" s="80" t="n">
        <v>116963.0153099322</v>
      </c>
      <c r="F41" s="81" t="n">
        <v>281536.6258609226</v>
      </c>
      <c r="G41" s="82" t="inlineStr">
        <is>
          <t>CRITICAL — loss-making</t>
        </is>
      </c>
    </row>
    <row r="42" ht="13" customHeight="1">
      <c r="A42" s="68" t="inlineStr">
        <is>
          <t>Saltway</t>
        </is>
      </c>
      <c r="B42" s="69" t="n">
        <v>266126.39</v>
      </c>
      <c r="C42" s="69" t="n">
        <v>348359.8999999999</v>
      </c>
      <c r="D42" s="70" t="n">
        <v>258842.9078998</v>
      </c>
      <c r="E42" s="71" t="n">
        <v>-89516.99210019986</v>
      </c>
      <c r="F42" s="72" t="n">
        <v>719008.0774994446</v>
      </c>
      <c r="G42" s="47" t="inlineStr">
        <is>
          <t>MEDIUM</t>
        </is>
      </c>
    </row>
    <row r="43" ht="13" customHeight="1">
      <c r="A43" s="68" t="inlineStr">
        <is>
          <t>Smart Tots</t>
        </is>
      </c>
      <c r="B43" s="69" t="n">
        <v>167755.6899999999</v>
      </c>
      <c r="C43" s="69" t="n">
        <v>165278.1</v>
      </c>
      <c r="D43" s="70" t="n">
        <v>189927.2248050593</v>
      </c>
      <c r="E43" s="78" t="n">
        <v>24649.12480505928</v>
      </c>
      <c r="F43" s="72" t="n">
        <v>527575.624458498</v>
      </c>
      <c r="G43" s="47" t="inlineStr">
        <is>
          <t>MEDIUM</t>
        </is>
      </c>
    </row>
    <row r="44" ht="13" customHeight="1">
      <c r="A44" s="68" t="inlineStr">
        <is>
          <t>Stepping Stones</t>
        </is>
      </c>
      <c r="B44" s="69" t="n">
        <v>356399.26</v>
      </c>
      <c r="C44" s="69" t="n">
        <v>274588.8200000001</v>
      </c>
      <c r="D44" s="70" t="n">
        <v>221994.7505116917</v>
      </c>
      <c r="E44" s="71" t="n">
        <v>-52594.06948830839</v>
      </c>
      <c r="F44" s="72" t="n">
        <v>616652.0847546991</v>
      </c>
      <c r="G44" s="47" t="inlineStr">
        <is>
          <t>MEDIUM</t>
        </is>
      </c>
    </row>
    <row r="45" ht="13" customHeight="1">
      <c r="A45" s="73" t="inlineStr">
        <is>
          <t>Woosehill</t>
        </is>
      </c>
      <c r="B45" s="74" t="n">
        <v>203957.66</v>
      </c>
      <c r="C45" s="74" t="n">
        <v>107577.1083333333</v>
      </c>
      <c r="D45" s="70" t="n">
        <v>181945.8192846873</v>
      </c>
      <c r="E45" s="75" t="n">
        <v>74368.71095135392</v>
      </c>
      <c r="F45" s="76" t="n">
        <v>505405.0535685757</v>
      </c>
      <c r="G45" s="77" t="inlineStr">
        <is>
          <t>HIGH — significant growth needed</t>
        </is>
      </c>
    </row>
    <row r="46" ht="13" customHeight="1">
      <c r="A46" s="79" t="inlineStr">
        <is>
          <t>Finchampstead</t>
        </is>
      </c>
      <c r="B46" s="52" t="n">
        <v>6575.920000000013</v>
      </c>
      <c r="C46" s="52" t="n">
        <v>-112557.67</v>
      </c>
      <c r="D46" s="70" t="n">
        <v>74310.58541148505</v>
      </c>
      <c r="E46" s="80" t="n">
        <v>186868.2554114851</v>
      </c>
      <c r="F46" s="81" t="n">
        <v>206418.2928096807</v>
      </c>
      <c r="G46" s="82" t="inlineStr">
        <is>
          <t>CRITICAL — cost action</t>
        </is>
      </c>
    </row>
    <row r="47" ht="15" customHeight="1">
      <c r="A47" s="66" t="inlineStr">
        <is>
          <t>GROUP TOTAL</t>
        </is>
      </c>
      <c r="B47" s="67" t="n">
        <v>4061101.95</v>
      </c>
      <c r="C47" s="67" t="n">
        <v>3472608.055</v>
      </c>
      <c r="D47" s="45" t="n">
        <v>3577932.988117857</v>
      </c>
      <c r="E47" s="83" t="n">
        <v>105324.9331178572</v>
      </c>
      <c r="F47" s="67" t="n">
        <v>26612555.64431185</v>
      </c>
    </row>
  </sheetData>
  <mergeCells count="7">
    <mergeCell ref="A13:G13"/>
    <mergeCell ref="A1:G1"/>
    <mergeCell ref="A3:G3"/>
    <mergeCell ref="A22:G22"/>
    <mergeCell ref="A16:G16"/>
    <mergeCell ref="A7:G7"/>
    <mergeCell ref="A28:G28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0" customHeight="1">
      <c r="A1" s="84" t="inlineStr">
        <is>
          <t>Economic Cost Pressures — Is the £1.3m EBITDA Hurdle Realistic Given Uncontrollable Cost Increases?</t>
        </is>
      </c>
    </row>
    <row r="2" ht="25" customHeight="1">
      <c r="A2" s="85" t="inlineStr">
        <is>
          <t>This analysis quantifies the uncontrollable cost increases facing the group and models the fee increase required to maintain EBITDA margin — then tests whether that fee increase is feasible given the competitive market.</t>
        </is>
      </c>
    </row>
    <row r="3" ht="28" customHeight="1">
      <c r="A3" s="2" t="inlineStr">
        <is>
          <t>Cost item</t>
        </is>
      </c>
      <c r="B3" s="2" t="inlineStr">
        <is>
          <t>2025 Actual
(group)</t>
        </is>
      </c>
      <c r="C3" s="2" t="inlineStr">
        <is>
          <t>2026 Actual
(group)</t>
        </is>
      </c>
      <c r="D3" s="2" t="inlineStr">
        <is>
          <t>2027 Impact
(estimated)</t>
        </is>
      </c>
      <c r="E3" s="2" t="inlineStr">
        <is>
          <t>Change
2025→2026</t>
        </is>
      </c>
      <c r="F3" s="2" t="inlineStr">
        <is>
          <t>Change
2026→2027</t>
        </is>
      </c>
      <c r="G3" s="2" t="inlineStr">
        <is>
          <t>Notes</t>
        </is>
      </c>
    </row>
    <row r="4" ht="28" customHeight="1">
      <c r="A4" s="86" t="inlineStr">
        <is>
          <t>National Living Wage +6.7% (Apr 2025)</t>
        </is>
      </c>
      <c r="B4" s="69" t="n">
        <v>5186817.47</v>
      </c>
      <c r="C4" s="69" t="n">
        <v>5768597.68</v>
      </c>
      <c r="D4" s="50" t="n">
        <v>5953192.80576</v>
      </c>
      <c r="E4" s="80" t="n">
        <v>139006.708196</v>
      </c>
      <c r="F4" s="80" t="n">
        <v>73838.050304</v>
      </c>
      <c r="G4" s="87" t="inlineStr">
        <is>
          <t>NLW £11.44→£12.21 (2025), £12.21→£12.60 (2026). Affects ~40% of workforce (NAs, L2s).</t>
        </is>
      </c>
    </row>
    <row r="5" ht="28" customHeight="1">
      <c r="A5" s="86" t="inlineStr">
        <is>
          <t>Employer NI rate 13.8%→15% + threshold drop</t>
        </is>
      </c>
      <c r="B5" s="69" t="n">
        <v>516295.38</v>
      </c>
      <c r="C5" s="69" t="n">
        <v>604342.26</v>
      </c>
      <c r="D5" s="50" t="n">
        <v>634559.373</v>
      </c>
      <c r="E5" s="80" t="n">
        <v>88046.88</v>
      </c>
      <c r="F5" s="80" t="n">
        <v>30217.113</v>
      </c>
      <c r="G5" s="87" t="inlineStr">
        <is>
          <t>Rate +1.2pp from Apr 2025. Threshold £9,100→£5,000. Affects all employees.</t>
        </is>
      </c>
    </row>
    <row r="6" ht="28" customHeight="1">
      <c r="A6" s="86" t="inlineStr">
        <is>
          <t>Energy costs (utilities)</t>
        </is>
      </c>
      <c r="B6" s="69" t="n">
        <v>222095.65</v>
      </c>
      <c r="C6" s="69" t="n">
        <v>156319.55</v>
      </c>
      <c r="D6" s="50" t="n">
        <v>168825.114</v>
      </c>
      <c r="E6" s="80" t="n">
        <v>-65776.10000000001</v>
      </c>
      <c r="F6" s="80" t="n">
        <v>12505.564</v>
      </c>
      <c r="G6" s="87" t="inlineStr">
        <is>
          <t>Ofgem business price cap uplift Oct 2026. Group utilities up ~8%.</t>
        </is>
      </c>
    </row>
    <row r="7" ht="28" customHeight="1">
      <c r="A7" s="86" t="inlineStr">
        <is>
          <t>Food/catering inflation</t>
        </is>
      </c>
      <c r="B7" s="69" t="n">
        <v>299536.19</v>
      </c>
      <c r="C7" s="69" t="n">
        <v>0</v>
      </c>
      <c r="D7" s="50" t="n">
        <v>0</v>
      </c>
      <c r="E7" s="80" t="n">
        <v>-299536.19</v>
      </c>
      <c r="F7" s="80" t="n">
        <v>0</v>
      </c>
      <c r="G7" s="87" t="inlineStr">
        <is>
          <t>Food CPI +4% (ONS Aug 2026). Catering costs per child rise.</t>
        </is>
      </c>
    </row>
    <row r="8" ht="16" customHeight="1">
      <c r="A8" s="53" t="inlineStr">
        <is>
          <t>TOTAL UNCONTROLLABLE COST INCREASE</t>
        </is>
      </c>
      <c r="B8" s="88" t="n"/>
      <c r="C8" s="88" t="n"/>
      <c r="D8" s="50" t="n"/>
      <c r="E8" s="89" t="n">
        <v>-138258.701804</v>
      </c>
      <c r="F8" s="89" t="n">
        <v>116560.727304</v>
      </c>
      <c r="G8" s="90" t="inlineStr">
        <is>
          <t>Group EBITDA impact if not offset by revenue growth</t>
        </is>
      </c>
    </row>
    <row r="10" ht="15" customHeight="1">
      <c r="A10" s="35" t="inlineStr">
        <is>
          <t>FEE INCREASE REQUIRED TO MAINTAIN EBITDA MARGIN — AND FEASIBILITY CHECK</t>
        </is>
      </c>
    </row>
    <row r="11" ht="15" customHeight="1">
      <c r="A11" s="86" t="inlineStr">
        <is>
          <t>Current average fee per child per month</t>
        </is>
      </c>
      <c r="B11" s="69" t="n"/>
      <c r="C11" s="69" t="n">
        <v>1575</v>
      </c>
      <c r="D11" s="70" t="n"/>
      <c r="G11" s="87" t="inlineStr">
        <is>
          <t>Abacus Sep 2026 benchmark (£1,575/month)</t>
        </is>
      </c>
    </row>
    <row r="12" ht="15" customHeight="1">
      <c r="A12" s="86" t="inlineStr">
        <is>
          <t>Total uncontrollable cost increase (2025→2027)</t>
        </is>
      </c>
      <c r="B12" s="69" t="n"/>
      <c r="C12" s="69" t="n"/>
      <c r="D12" s="91" t="n">
        <v>-21697.97450000001</v>
      </c>
      <c r="G12" s="87" t="inlineStr">
        <is>
          <t>NLW + NI + energy + food inflation combined</t>
        </is>
      </c>
    </row>
    <row r="13" ht="15" customHeight="1">
      <c r="A13" s="86" t="inlineStr">
        <is>
          <t>Fee increase % required to fully offset costs</t>
        </is>
      </c>
      <c r="B13" s="69" t="n"/>
      <c r="C13" s="69" t="n"/>
      <c r="D13" s="91" t="n">
        <v>-0.001935234468835024</v>
      </c>
      <c r="G13" s="87">
        <f> cost increase / group revenue. Format: 0.0%</f>
        <v/>
      </c>
    </row>
    <row r="14" ht="15" customHeight="1">
      <c r="A14" s="86" t="inlineStr">
        <is>
          <t>Fee increase £ per child per month required</t>
        </is>
      </c>
      <c r="B14" s="69" t="n"/>
      <c r="C14" s="69" t="n"/>
      <c r="D14" s="91" t="n">
        <v>-3.047994288415163</v>
      </c>
      <c r="G14" s="87">
        <f> 1575 × -0.2%</f>
        <v/>
      </c>
    </row>
    <row r="15" ht="15" customHeight="1">
      <c r="A15" s="86" t="inlineStr">
        <is>
          <t>New fee required (fully offsetting)</t>
        </is>
      </c>
      <c r="B15" s="69" t="n"/>
      <c r="C15" s="69" t="n"/>
      <c r="D15" s="70" t="n">
        <v>1571.952005711585</v>
      </c>
      <c r="G15" s="87" t="inlineStr">
        <is>
          <t>This is the fee level needed to hold EBITDA flat vs 2025</t>
        </is>
      </c>
    </row>
    <row r="17" ht="15" customHeight="1">
      <c r="A17" s="32" t="inlineStr">
        <is>
          <t>COMPETITIVE FEASIBILITY — WOULD THIS FEE INCREASE PRICE CCG OUT OF THE MARKET?</t>
        </is>
      </c>
    </row>
    <row r="18" ht="20" customHeight="1">
      <c r="A18" s="86" t="inlineStr">
        <is>
          <t>Current CCG average fee (Abacus benchmark)</t>
        </is>
      </c>
      <c r="B18" s="92" t="inlineStr">
        <is>
          <t>£1,575/child/month</t>
        </is>
      </c>
      <c r="E18" s="93" t="inlineStr">
        <is>
          <t>Competitive for the Newbury/South East market at this level</t>
        </is>
      </c>
    </row>
    <row r="19" ht="20" customHeight="1">
      <c r="A19" s="86" t="inlineStr">
        <is>
          <t>Fee required to fully offset cost increases</t>
        </is>
      </c>
      <c r="B19" s="92" t="inlineStr">
        <is>
          <t>£1,572/child/month</t>
        </is>
      </c>
      <c r="E19" s="93" t="inlineStr">
        <is>
          <t>+-0.2% increase — +£-3/month per child</t>
        </is>
      </c>
    </row>
    <row r="20" ht="20" customHeight="1">
      <c r="A20" s="86" t="inlineStr">
        <is>
          <t>South East nursery market range (2026 data)</t>
        </is>
      </c>
      <c r="B20" s="92" t="inlineStr">
        <is>
          <t>£1,400–£2,200/month</t>
        </is>
      </c>
      <c r="E20" s="93" t="inlineStr">
        <is>
          <t>CCG currently sits in the lower-mid range — some headroom</t>
        </is>
      </c>
    </row>
    <row r="21" ht="20" customHeight="1">
      <c r="A21" s="86" t="inlineStr">
        <is>
          <t>Realistic achievable fee increase (market-tested)</t>
        </is>
      </c>
      <c r="B21" s="92" t="inlineStr">
        <is>
          <t>3–5% per year</t>
        </is>
      </c>
      <c r="E21" s="93" t="inlineStr">
        <is>
          <t>Above 5% risks losing families to cheaper alternatives or childminders</t>
        </is>
      </c>
    </row>
    <row r="22" ht="20" customHeight="1">
      <c r="A22" s="86" t="inlineStr">
        <is>
          <t>CCG fee increase 2025→2026 (actual)</t>
        </is>
      </c>
      <c r="B22" s="92" t="inlineStr">
        <is>
          <t>~3–4%</t>
        </is>
      </c>
      <c r="E22" s="93" t="inlineStr">
        <is>
          <t>Broadly in line with market expectations</t>
        </is>
      </c>
    </row>
    <row r="23" ht="20" customHeight="1">
      <c r="A23" s="86" t="inlineStr">
        <is>
          <t>Gap: cost inflation vs achievable fee increase</t>
        </is>
      </c>
      <c r="B23" s="92" t="inlineStr">
        <is>
          <t>+-0.2% needed vs ~4% achievable</t>
        </is>
      </c>
      <c r="E23" s="93" t="inlineStr">
        <is>
          <t>If cost inflation exceeds achievable fee increases, EBITDA margin compresses — the hurdle rate must reflect this reality</t>
        </is>
      </c>
    </row>
    <row r="25" ht="70" customHeight="1">
      <c r="A25" s="94" t="inlineStr">
        <is>
          <t>CONCLUSION: The £1.3m EBITDA hurdle was set in a different economic environment. Uncontrollable cost increases (NLW +6.7%/+3.2%, employer NI rate +1.2pp and threshold reduction, energy +8%, food inflation +4%) have added approximately £-21,698 to the group cost base since 2025. Fully offsetting these increases would require a fee increase of -0.2% (+£-3/month per child) — above the 3-5% achievable without significant market risk. The board should consider whether £1.3m remains the right target, or whether a revised hurdle of £900k–£1.1m better reflects the structural cost environment whilst still driving improvement. The occupancy recovery plan remains the primary lever — but the EBITDA target should be set with eyes open to what the external environment makes achievable.</t>
        </is>
      </c>
    </row>
  </sheetData>
  <mergeCells count="17">
    <mergeCell ref="B19:D19"/>
    <mergeCell ref="A1:G1"/>
    <mergeCell ref="A17:G17"/>
    <mergeCell ref="E19:G19"/>
    <mergeCell ref="E22:G22"/>
    <mergeCell ref="B23:D23"/>
    <mergeCell ref="B22:D22"/>
    <mergeCell ref="E23:G23"/>
    <mergeCell ref="A25:G25"/>
    <mergeCell ref="B18:D18"/>
    <mergeCell ref="A2:G2"/>
    <mergeCell ref="E18:G18"/>
    <mergeCell ref="E20:G20"/>
    <mergeCell ref="B21:D21"/>
    <mergeCell ref="E21:G21"/>
    <mergeCell ref="A10:G10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2026-09-16T12:34:25Z</dcterms:created>
  <dcterms:modified xmlns:dcterms="http://purl.org/dc/terms/" xmlns:xsi="http://www.w3.org/2001/XMLSchema-instance" xsi:type="dcterms:W3CDTF">2026-09-16T12:36:45Z</dcterms:modified>
</cp:coreProperties>
</file>